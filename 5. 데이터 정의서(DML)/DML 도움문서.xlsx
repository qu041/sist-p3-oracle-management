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 만드는 순서 및 담당자" sheetId="1" r:id="rId4"/>
    <sheet state="visible" name="데이터 insert참고내용" sheetId="2" r:id="rId5"/>
    <sheet state="hidden" name="부모" sheetId="3" r:id="rId6"/>
    <sheet state="hidden" name="자식" sheetId="4" r:id="rId7"/>
    <sheet state="visible" name="출결유형" sheetId="5" r:id="rId8"/>
    <sheet state="visible" name="출결점수" sheetId="6" r:id="rId9"/>
    <sheet state="visible" name="출결일지" sheetId="7" r:id="rId10"/>
    <sheet state="visible" name="취업관리" sheetId="8" r:id="rId11"/>
    <sheet state="visible" name="큐앤에이상담게시판" sheetId="9" r:id="rId12"/>
    <sheet state="visible" name="큐앤에이삭제로그" sheetId="10" r:id="rId13"/>
    <sheet state="visible" name="큐앤에이답변" sheetId="11" r:id="rId14"/>
    <sheet state="visible" name="보상 아이템" sheetId="12" r:id="rId15"/>
    <sheet state="visible" name="관리자" sheetId="13" r:id="rId16"/>
    <sheet state="visible" name="취업 관리" sheetId="14" r:id="rId17"/>
    <sheet state="visible" name="시험 배점" sheetId="15" r:id="rId18"/>
    <sheet state="visible" name="문제 은행" sheetId="16" r:id="rId19"/>
    <sheet state="visible" name="시험지별 문제" sheetId="17" r:id="rId20"/>
    <sheet state="visible" name="시험지" sheetId="18" r:id="rId21"/>
    <sheet state="visible" name="시험정보" sheetId="19" r:id="rId22"/>
    <sheet state="visible" name="필기 시험 결과" sheetId="20" r:id="rId23"/>
    <sheet state="visible" name="실기 시험 결과" sheetId="21" r:id="rId24"/>
    <sheet state="visible" name="총점" sheetId="22" r:id="rId25"/>
    <sheet state="visible" name="시트28" sheetId="23" r:id="rId26"/>
    <sheet state="visible" name="holidays" sheetId="24" r:id="rId27"/>
    <sheet state="visible" name="tblLocker" sheetId="25" r:id="rId28"/>
    <sheet state="visible" name="더미데이터_tblSubject " sheetId="26" r:id="rId29"/>
    <sheet state="visible" name="tblClassroom" sheetId="27" r:id="rId30"/>
    <sheet state="visible" name="tblTeacherSubject" sheetId="28" r:id="rId31"/>
    <sheet state="visible" name="더미데이터_tblTeacher" sheetId="29" r:id="rId32"/>
    <sheet state="visible" name="더미데이터_tbltextBook" sheetId="30" r:id="rId33"/>
    <sheet state="visible" name="tblOpenCourse" sheetId="31" r:id="rId34"/>
    <sheet state="visible" name="tblCourseSubjectMapping" sheetId="32" r:id="rId35"/>
    <sheet state="visible" name="출결일지의 사본" sheetId="33" r:id="rId36"/>
    <sheet state="visible" name=" tblcoursestudent mapping" sheetId="34" r:id="rId37"/>
  </sheets>
  <definedNames>
    <definedName hidden="1" localSheetId="3" name="_xlnm._FilterDatabase">'자식'!$A$1:$F$27</definedName>
    <definedName hidden="1" localSheetId="23" name="_xlnm._FilterDatabase">holidays!$A$2:$Z$174</definedName>
  </definedNames>
  <calcPr/>
</workbook>
</file>

<file path=xl/sharedStrings.xml><?xml version="1.0" encoding="utf-8"?>
<sst xmlns="http://schemas.openxmlformats.org/spreadsheetml/2006/main" count="13130" uniqueCount="579">
  <si>
    <t>***의존관계 확인***</t>
  </si>
  <si>
    <t>테이블</t>
  </si>
  <si>
    <t>삽입단계</t>
  </si>
  <si>
    <t>분류</t>
  </si>
  <si>
    <t>담당자</t>
  </si>
  <si>
    <t>클라우드에 올렸는지 여부</t>
  </si>
  <si>
    <t>1. **tblSubject** - 과목 정보</t>
  </si>
  <si>
    <t>tblSubject</t>
  </si>
  <si>
    <t>과정</t>
  </si>
  <si>
    <t>INSERT</t>
  </si>
  <si>
    <t>학생</t>
  </si>
  <si>
    <t>재만, 홍건</t>
  </si>
  <si>
    <t>2. **tblCompletionStatus** - 수료 상태</t>
  </si>
  <si>
    <t>tblCompletionStatus</t>
  </si>
  <si>
    <t>시험</t>
  </si>
  <si>
    <t>서진</t>
  </si>
  <si>
    <t>3. **tblAttendanceCategory** - 출석 카테고리</t>
  </si>
  <si>
    <t>tblAttendanceCategory</t>
  </si>
  <si>
    <t>출결</t>
  </si>
  <si>
    <t>기타</t>
  </si>
  <si>
    <t>4. **tblTextBook** - 교재 정보</t>
  </si>
  <si>
    <t>tblTextBook</t>
  </si>
  <si>
    <t>보영</t>
  </si>
  <si>
    <t>5. **tblQuestionBank** - 문제은행</t>
  </si>
  <si>
    <t>tblQuestionBank</t>
  </si>
  <si>
    <t>게시판</t>
  </si>
  <si>
    <t>6. **tblApplicant** - 지원자 정보</t>
  </si>
  <si>
    <t>tblApplicant</t>
  </si>
  <si>
    <t>구윤</t>
  </si>
  <si>
    <t>7. **tblReward** - 상품 정보</t>
  </si>
  <si>
    <t>tblReward</t>
  </si>
  <si>
    <t>8. **tblAdmin** - 관리자 정보</t>
  </si>
  <si>
    <t>tblAdmin</t>
  </si>
  <si>
    <t>9. **tblAnswerStatus** - 답변 상태</t>
  </si>
  <si>
    <t>tblAnswerStatus</t>
  </si>
  <si>
    <t>10. **tblTeacher** - 강사 정보</t>
  </si>
  <si>
    <t>tblTeacher</t>
  </si>
  <si>
    <t>11. **tblClassroom** - 강의실 정보</t>
  </si>
  <si>
    <t>tblClassroom</t>
  </si>
  <si>
    <t>12. **tblExamConversionRatio** - 시험 배점 (의존 없음)</t>
  </si>
  <si>
    <t>tblExamConversionRatio</t>
  </si>
  <si>
    <t>39. **tblHoliday** 공휴일 관리 (의존 없음)</t>
  </si>
  <si>
    <t>tblHoliday</t>
  </si>
  <si>
    <t>24년~26년 공휴일 정보입력</t>
  </si>
  <si>
    <t>## 2단계: 1단계 테이블에 의존하는 자식 테이블들</t>
  </si>
  <si>
    <t>13. **tblInterviewedStudent** - (tblApplicant 의존)</t>
  </si>
  <si>
    <t>tblInterviewedStudent</t>
  </si>
  <si>
    <t>14. **tblLocker** - (tblClassroom 의존)</t>
  </si>
  <si>
    <t>tblLocker</t>
  </si>
  <si>
    <t>15. **tblExamSheet** - (tblSubject 의존)</t>
  </si>
  <si>
    <t>tblExamSheet</t>
  </si>
  <si>
    <t>16. **tblQnaAnswer** - (tblTeacher 의존)</t>
  </si>
  <si>
    <t>tblQnaAnswer</t>
  </si>
  <si>
    <t>## 3단계: 2단계 테이블에 의존하는 자식 테이블들</t>
  </si>
  <si>
    <t>17. **tblPassedStudent** - (tblInterviewedStudent 의존)</t>
  </si>
  <si>
    <t>tblPassedStudent</t>
  </si>
  <si>
    <t>18. **tblOpenCourse** - (tblClassroom, tblTeacher 의존)</t>
  </si>
  <si>
    <t>tblOpenCourse</t>
  </si>
  <si>
    <t>19. **tblExamInfo** - (tblExamSheet 의존)</t>
  </si>
  <si>
    <t>tblExamInfo</t>
  </si>
  <si>
    <t>## 4단계: 3단계 테이블에 의존하는 자식 테이블들</t>
  </si>
  <si>
    <t>20. **tblStudent** - (tblPassedStudent 의존)</t>
  </si>
  <si>
    <t>tblStudent</t>
  </si>
  <si>
    <t>21. **tblDayAttendanceLog** - (tblStudent 의존)</t>
  </si>
  <si>
    <t>tblDayAttendanceLog</t>
  </si>
  <si>
    <t>22. **tblReviewRecord** - (tblStudent 의존)</t>
  </si>
  <si>
    <t>tblReviewRecord</t>
  </si>
  <si>
    <t>23. **tblBookReceipt** - (tblOpenCourse, tblStudent, tblTextBook 의존)</t>
  </si>
  <si>
    <t>tblBookReceipt</t>
  </si>
  <si>
    <t>24. **tblQnaAndCounselBoard** - (tblStudent, tblQnaAnswer, tblAnswerStatus 의존)</t>
  </si>
  <si>
    <t>tblQnaAndCounselBoard</t>
  </si>
  <si>
    <t>25. **tblPracticalExamResult** - (tblStudent, tblExamInfo 의존)</t>
  </si>
  <si>
    <t>tblPracticalExamResult</t>
  </si>
  <si>
    <t>26. **tblStudentTotalScore** - (tblStudent 의존)</t>
  </si>
  <si>
    <t>tblStudentTotalScore</t>
  </si>
  <si>
    <t>27. **tblWrittenExamResult** - (tblStudent, tblExamInfo 의존)</t>
  </si>
  <si>
    <t>tblWrittenExamResult</t>
  </si>
  <si>
    <t>28. **tblCourseApplicationRecord** - (tblApplicant 의존)</t>
  </si>
  <si>
    <t>tblCourseApplicationRecord</t>
  </si>
  <si>
    <t>29. **tblStudentCompletionStatus** - (tblStudent, tblCompletionStatus 의존)</t>
  </si>
  <si>
    <t>tblStudentCompletionStatus</t>
  </si>
  <si>
    <t>30. **tblExamQuestionLink** - (tblExamSheet, tblQuestionBank 의존)</t>
  </si>
  <si>
    <t>tblExamQuestionLink</t>
  </si>
  <si>
    <t>31. **tblTeacherSubject** - (tblTeacher, tblSubject 의존)</t>
  </si>
  <si>
    <t>tblTeacherSubject</t>
  </si>
  <si>
    <t>32. **tblJobPlacement** - (tblStudent 의존)</t>
  </si>
  <si>
    <t>tblJobPlacement</t>
  </si>
  <si>
    <t>## 5단계: 4단계 테이블에 의존하는 자식 테이블들</t>
  </si>
  <si>
    <t>33. **tblCourseStudentMapping** - (tblStudent, tblOpenCourse, tblLocker 의존)</t>
  </si>
  <si>
    <t>tblCourseStudentMapping</t>
  </si>
  <si>
    <t>34. **tblAttendanceScore** - (tblDayAttendanceLog, tblAttendanceCategory 의존)</t>
  </si>
  <si>
    <t>tblAttendanceScore</t>
  </si>
  <si>
    <t>35. **tblReviewBoard** - (tblReviewRecord 의존)</t>
  </si>
  <si>
    <t>tblReviewBoard</t>
  </si>
  <si>
    <t>36. **tblOutstandingStudentList** - (tblStudent, tblReward 의존)</t>
  </si>
  <si>
    <t>tblOutstandingStudentList</t>
  </si>
  <si>
    <t>37. **tblCourseSubjectMapping** - (tblOpenCourse, tblTextBook, tblSubject 의존)</t>
  </si>
  <si>
    <t>tblCourseSubjectMapping</t>
  </si>
  <si>
    <t>## 6단계: 5단계 테이블에 의존하는 자식 테이블들</t>
  </si>
  <si>
    <t>38. **tblQnAdeleteLog** - (tblAdmin, tblQnaAndCounselBoard 의존)</t>
  </si>
  <si>
    <t>tblQnAdeleteLog</t>
  </si>
  <si>
    <t>trigger로 insert 예정</t>
  </si>
  <si>
    <t xml:space="preserve">이거는 따로 게시판 4,5,6,7 번 삭제 하면 자동으로 로그 기록되게 진행 </t>
  </si>
  <si>
    <t>외래키 무시하고 테이블 삭제 방법</t>
  </si>
  <si>
    <t>DROP TABLE 테이블명 CASCADE CONSTRAINTS;</t>
  </si>
  <si>
    <t xml:space="preserve">                                          제일앞에 등호(=) 직접추가
                  컬럼네개짜리 예시   (숫자열,    문자열,     문자열,    숫자열)</t>
  </si>
  <si>
    <t>숫자형식 컬럼 추가시
숫자 추가시 복붙(알파벳을 열번호에 맞게 수정 후 사용)</t>
  </si>
  <si>
    <t>문자형식 컬럼 추가시
문자열 추가시 복붙(알파벳을 열번호에 맞게 수정후 사용)</t>
  </si>
  <si>
    <t>insert 자동 함수</t>
  </si>
  <si>
    <t xml:space="preserve">인서트문 삽입하는 함수!!!!! 앞에 = 붙이기 / 본인 데이터 열 수 만큼 A2 B2 C2 추가 혹은 삭제 </t>
  </si>
  <si>
    <t>"INSERT INTO 테이블명 VALUES (" &amp; A2 &amp; ", '" &amp; B2 &amp; "', '" &amp; C2 &amp; "', " &amp; D2 &amp; ");"</t>
  </si>
  <si>
    <t>," &amp; E2 &amp; "</t>
  </si>
  <si>
    <t>,'" &amp; E2 &amp; "'</t>
  </si>
  <si>
    <t>&amp;' 문자열 넣는법</t>
  </si>
  <si>
    <t>SET DEFINE OFF;</t>
  </si>
  <si>
    <t>&lt;&lt;-- 실행하면  
세션이 종료되는 순간까지 &amp; 문자열 입력가능
SQL Developer를 껐거나,
연결 탭을 닫거나,
재접속했거나
→ 다시 기본값인 SET DEFINE ON;</t>
  </si>
  <si>
    <t>부모</t>
  </si>
  <si>
    <t>한글이름</t>
  </si>
  <si>
    <t>담당</t>
  </si>
  <si>
    <t>상태</t>
  </si>
  <si>
    <t>갯수</t>
  </si>
  <si>
    <t>tblCompletionStatus - 수료 상태</t>
  </si>
  <si>
    <t>홍건</t>
  </si>
  <si>
    <t>클라우드 인서트 완료</t>
  </si>
  <si>
    <t>tblApplicant - 지원자 정보(300명)</t>
  </si>
  <si>
    <t>재만</t>
  </si>
  <si>
    <t>tblAttendanceCategory - 출석 카테고리</t>
  </si>
  <si>
    <t>tblQuestionBank - 문제 은행</t>
  </si>
  <si>
    <t>tblReward - 보상정보</t>
  </si>
  <si>
    <t>보상정보</t>
  </si>
  <si>
    <t>tblExamConversionRatio - 시험 비율 (PK 없음, 자식 없음)</t>
  </si>
  <si>
    <t>tblAdmin - 관리자 정보</t>
  </si>
  <si>
    <t>tblSubject - 과목 정보</t>
  </si>
  <si>
    <t>tblTextBook - 교재 정보</t>
  </si>
  <si>
    <t>tblAnswerStatus - 답변 상태</t>
  </si>
  <si>
    <t>tblTeacher - 강사 정보</t>
  </si>
  <si>
    <t>교사</t>
  </si>
  <si>
    <t>부모+자식 분류</t>
  </si>
  <si>
    <t>인서트문 삽입하는 함수!!!!! 앞에 = 붙이기 / 본인 데이터 열 수 만큼 A2 B2 C2 추가 혹은 삭제 / 안되면 디코나 카톡으로 문의</t>
  </si>
  <si>
    <t>사후처리</t>
  </si>
  <si>
    <t>보상</t>
  </si>
  <si>
    <t>독립</t>
  </si>
  <si>
    <t>관리자</t>
  </si>
  <si>
    <t>데이터양많은순</t>
  </si>
  <si>
    <t>AB</t>
  </si>
  <si>
    <t>재만,홍건</t>
  </si>
  <si>
    <t>C</t>
  </si>
  <si>
    <t>시험/독립/보상/관리자/기타</t>
  </si>
  <si>
    <t>D</t>
  </si>
  <si>
    <t>출결/사후처리/게시판</t>
  </si>
  <si>
    <t>E</t>
  </si>
  <si>
    <t>과정/교사</t>
  </si>
  <si>
    <t>자식</t>
  </si>
  <si>
    <t>tblInterviewedStudent - 면접완료자 (tblApplicant 참조)</t>
  </si>
  <si>
    <t>완</t>
  </si>
  <si>
    <t>tblPassedStudent - 합격자 (tblInterviewedStudent 참조)</t>
  </si>
  <si>
    <t>tblStudent - 수강생 (tblPassedStudent 참조)</t>
  </si>
  <si>
    <t>tblCourseApplicationRecord - 수강신청내역 (tblApplicant 참조)</t>
  </si>
  <si>
    <t>tblStudentCompletionStatus - 학생 수료 상태 (tblStudent, tblCompletionStatus 참조)</t>
  </si>
  <si>
    <t>tblCourseStudentMapping - 과정 학생 매핑 (tblStudent, tblOpenCourse, tblLocker 참조)</t>
  </si>
  <si>
    <t>tblOutstandingStudentList - 우수 학생 목록 (tblStudent, tblReward 참조)</t>
  </si>
  <si>
    <t>tblDayAttendanceLog - 일일 출석 로그 (tblStudent 참조)</t>
  </si>
  <si>
    <t>tblAttendanceScore - 출석 점수 (tblDayAttendanceLog, tblAttendanceCategory 참조)</t>
  </si>
  <si>
    <t>tblExamSheet - 시험지 (tblSubject 참조)</t>
  </si>
  <si>
    <t>tblExamInfo - 시험 정보 (tblExamSheet 참조)</t>
  </si>
  <si>
    <t>tblPracticalExamResult - 실기 시험 결과 (tblStudent, tblExamInfo 참조)</t>
  </si>
  <si>
    <t>tblStudentTotalScore - 학생 총점 (tblStudent 참조)</t>
  </si>
  <si>
    <t>tblWrittenExamResult - 필기 시험 결과 (tblStudent, tblExamInfo 참조)</t>
  </si>
  <si>
    <t>tblExamQuestionLink - 시험지별문제 (tblExamSheet, tblQuestionBank 참조)</t>
  </si>
  <si>
    <t>tblJobPlacement - 취업 배치 (tblStudent 참조)</t>
  </si>
  <si>
    <t>tblTeacherSubject - 강사 과목 (tblTeacher, tblSubject 참조)</t>
  </si>
  <si>
    <t xml:space="preserve">tblClassroom - 교실 </t>
  </si>
  <si>
    <t>tblLocker - 사물함 (tblClassroom 참조)</t>
  </si>
  <si>
    <t>tblOpenCourse - 개설 과정 (tblClassroom, tblTeacher 참조)</t>
  </si>
  <si>
    <t>tblBookReceipt - 교재 수령 (tblOpenCourse, tblStudent, tblTextBook 참조)</t>
  </si>
  <si>
    <t>tblQnaAnswer - Q&amp;A 답변 (tblTeacher 참조)</t>
  </si>
  <si>
    <t>tblReviewRecord - 리뷰 기록 (tblStudent 참조)</t>
  </si>
  <si>
    <t>tblQnaAndCounselBoard - Q&amp;A 상담 게시판 (tblStudent, tblQnaAnswer, tblAnswerStatus 참조)</t>
  </si>
  <si>
    <t>tblQnAdeleteLog - Q&amp;A 삭제 로그 (tblAdmin, tblQnaAndCounselBoard 참조)</t>
  </si>
  <si>
    <t>tblReviewBoard - 리뷰 게시판 (tblReviewRecord 참조)</t>
  </si>
  <si>
    <t>출결 종류</t>
  </si>
  <si>
    <t>출결배점 (이름변경)</t>
  </si>
  <si>
    <t>출결 유형 번호</t>
  </si>
  <si>
    <t>출결유형 번호</t>
  </si>
  <si>
    <t>출석</t>
  </si>
  <si>
    <t>seqAttendanceCategory.nextval</t>
  </si>
  <si>
    <t>결석</t>
  </si>
  <si>
    <t>조퇴</t>
  </si>
  <si>
    <t>출석인정</t>
  </si>
  <si>
    <t>지각</t>
  </si>
  <si>
    <t>COMMIT;</t>
  </si>
  <si>
    <t>출결상태</t>
  </si>
  <si>
    <t>조건</t>
  </si>
  <si>
    <t>- 입실시간이 NULL 또는 퇴실시간이 NULL 
 - 수업시간 &lt; 4시간</t>
  </si>
  <si>
    <t>- 수업시간 ≥ 4시간 이지만 
 - 퇴실시간 &lt; 17:50:00</t>
  </si>
  <si>
    <t>- 입실시간 &gt;09:00:00 
 - 퇴실시간은 있고 수업시간 ≥ 4시간 AND 퇴실 ≥ 17:50:00</t>
  </si>
  <si>
    <t>- 입실시간 &lt; 09:00:00 
 - 퇴실시간 ≥ 17:50:00 
 - 수업시간 ≥ 4시간</t>
  </si>
  <si>
    <t>출결점수번호</t>
  </si>
  <si>
    <t>출결점수</t>
  </si>
  <si>
    <t>출결일지번호</t>
  </si>
  <si>
    <t>출결유형번호</t>
  </si>
  <si>
    <t>seqAttendanceScore.nextval</t>
  </si>
  <si>
    <t>교육생번호</t>
  </si>
  <si>
    <t>수업날짜</t>
  </si>
  <si>
    <t>입실시간</t>
  </si>
  <si>
    <t>퇴실시간</t>
  </si>
  <si>
    <t>seqDayAttendanceLog.nextval</t>
  </si>
  <si>
    <t>취업관리번호</t>
  </si>
  <si>
    <t>취업여부</t>
  </si>
  <si>
    <t>고용보험가입날짜</t>
  </si>
  <si>
    <t>수강생번호</t>
  </si>
  <si>
    <t>게시판번호</t>
  </si>
  <si>
    <t>제목</t>
  </si>
  <si>
    <t>내용</t>
  </si>
  <si>
    <t>등록날짜</t>
  </si>
  <si>
    <t>답변번호</t>
  </si>
  <si>
    <t>답변여부번호</t>
  </si>
  <si>
    <t>삭제번호</t>
  </si>
  <si>
    <t>삭제시간</t>
  </si>
  <si>
    <t>관리자번호</t>
  </si>
  <si>
    <t>답변내용</t>
  </si>
  <si>
    <t>답변날짜</t>
  </si>
  <si>
    <t>교사번호</t>
  </si>
  <si>
    <t>보상번호</t>
  </si>
  <si>
    <t>보상 아이템 목록</t>
  </si>
  <si>
    <t>보상 아이템 가격</t>
  </si>
  <si>
    <t>보상 종류</t>
  </si>
  <si>
    <t>seqReward.nextval</t>
  </si>
  <si>
    <t>애플 정품 유선 이어팟/라이트닝 이어폰</t>
  </si>
  <si>
    <t>삼성 갤럭시 버즈 라이브 (리퍼/특가)</t>
  </si>
  <si>
    <t>성적</t>
  </si>
  <si>
    <t>로지텍 블루투스 무선 마우스 M650</t>
  </si>
  <si>
    <t>문화상품권 5만원권</t>
  </si>
  <si>
    <t>신세계 백화점 상품권 10만원권 (이벤트용)</t>
  </si>
  <si>
    <t>스타벅스 카드 (잔액형 기프트 카드)</t>
  </si>
  <si>
    <t>무신사 상품권</t>
  </si>
  <si>
    <t>다이소 프리패스권 (5만원 한도 물품 구매권)</t>
  </si>
  <si>
    <t>스마트 워치 (샤오미/가성비 브랜드)</t>
  </si>
  <si>
    <t>휴대용 보조배터리 (Anker 10000mAh 이상)</t>
  </si>
  <si>
    <t>게이밍 헤드셋 (로지텍 G335 등)</t>
  </si>
  <si>
    <t>책 + 문구류 종합 세트 (학습용 + 굿즈 포함)</t>
  </si>
  <si>
    <t>미니 블루투스 스피커 (JBL/샤오미 등)</t>
  </si>
  <si>
    <t>유명 브랜드 텀블러 (스탠리/하이드로플라스크)</t>
  </si>
  <si>
    <t>관리자 번호</t>
  </si>
  <si>
    <t>관리자 이름</t>
  </si>
  <si>
    <t>관리자 주민번호</t>
  </si>
  <si>
    <t>관리자 아이디</t>
  </si>
  <si>
    <t>관리자 비밀번호</t>
  </si>
  <si>
    <t>관리자 월급</t>
  </si>
  <si>
    <t>seqAdmin.nextval</t>
  </si>
  <si>
    <t>김민수</t>
  </si>
  <si>
    <t>871107-2712936</t>
  </si>
  <si>
    <t>awMAX973</t>
  </si>
  <si>
    <t>rVaWp352</t>
  </si>
  <si>
    <t>이서연</t>
  </si>
  <si>
    <t>980721-2559672</t>
  </si>
  <si>
    <t>WSEpS162</t>
  </si>
  <si>
    <t>SglHx256</t>
  </si>
  <si>
    <t>박지훈</t>
  </si>
  <si>
    <t>930408-1179368</t>
  </si>
  <si>
    <t>FpDcQ504</t>
  </si>
  <si>
    <t>EKVWW746!</t>
  </si>
  <si>
    <t>최유진</t>
  </si>
  <si>
    <t>950413-2124882</t>
  </si>
  <si>
    <t>YkJgk353</t>
  </si>
  <si>
    <t>iciSn755</t>
  </si>
  <si>
    <t>정우성</t>
  </si>
  <si>
    <t>800326-1595435</t>
  </si>
  <si>
    <t>rcegX435</t>
  </si>
  <si>
    <t>QrhnT511!</t>
  </si>
  <si>
    <t>169~382</t>
  </si>
  <si>
    <t>tblJobPlacement - 취업 관리 (tblStudent 참조)</t>
  </si>
  <si>
    <t>수강생 번호</t>
  </si>
  <si>
    <t>seqJobPlacement.nextval</t>
  </si>
  <si>
    <t>취업</t>
  </si>
  <si>
    <t>미취업</t>
  </si>
  <si>
    <t>tblExamConversionRatio - 시험 배점 (의존 없음)</t>
  </si>
  <si>
    <t>출결비율</t>
  </si>
  <si>
    <t>실기비율</t>
  </si>
  <si>
    <t>필기비율</t>
  </si>
  <si>
    <t>시험문제은행번호</t>
  </si>
  <si>
    <t>시험문제내용</t>
  </si>
  <si>
    <t>시험문제정답</t>
  </si>
  <si>
    <t>seqQuestionBank.nextval</t>
  </si>
  <si>
    <t>변수의 스코프(scope)란 무엇인가에 대한 설명으로 올바른 것을 고르시오.</t>
  </si>
  <si>
    <t>재귀 함수와 반복문 중 메모리 사용량이 더 많은 것은 무엇인가?</t>
  </si>
  <si>
    <t>HTML에서 'a' 태그의 주요 기능은 무엇인가?</t>
  </si>
  <si>
    <t>Java에서 클래스와 객체의 차이점은 무엇인가?</t>
  </si>
  <si>
    <t>Python의 리스트와 튜플의 차이점은 무엇인가?</t>
  </si>
  <si>
    <t>C언어에서 포인터를 사용하는 주된 이유는 무엇인가?</t>
  </si>
  <si>
    <t>컴파일러와 인터프리터의 차이점은 무엇인가?</t>
  </si>
  <si>
    <t>JavaScript에서 클로저(closure)의 정의는 무엇인가?</t>
  </si>
  <si>
    <t>객체 지향 프로그래밍의 4대 특징 중 하나가 아닌 것은 무엇인가?</t>
  </si>
  <si>
    <t>SQL에서 'JOIN'의 기능은 무엇인가?</t>
  </si>
  <si>
    <t>Python에서 'with open()' 구문의 주요 목적은 무엇인가?</t>
  </si>
  <si>
    <t>데이터베이스에서 정규화의 목적은 무엇인가?</t>
  </si>
  <si>
    <t>CSS에서 'flexbox'의 주요 사용 목적은 무엇인가?</t>
  </si>
  <si>
    <t>Git에서 'merge'와 'rebase'의 차이점은 무엇인가?</t>
  </si>
  <si>
    <t>C++에서 참조자(reference)와 포인터(pointer)의 차이는 무엇인가?</t>
  </si>
  <si>
    <t>네트워크에서 TCP와 UDP의 차이점은 무엇인가?</t>
  </si>
  <si>
    <t>Python에서 제너레이터(generator)의 특징은 무엇인가?</t>
  </si>
  <si>
    <t>REST API의 주요 원칙 중 하나가 아닌 것은 무엇인가?</t>
  </si>
  <si>
    <t>Java에서 예외(Exception) 처리 방법으로 올바른 것을 고르시오.</t>
  </si>
  <si>
    <t>프로그래밍 언어에서 타입 캐스팅(type casting)이란 무엇인가?</t>
  </si>
  <si>
    <t>시험지별문제번호</t>
  </si>
  <si>
    <t>시험지번호</t>
  </si>
  <si>
    <t>seqExamQuestionLink.nextval</t>
  </si>
  <si>
    <t>과목번호</t>
  </si>
  <si>
    <t>seqExamSheet.nextval</t>
  </si>
  <si>
    <t>시험정보번호</t>
  </si>
  <si>
    <t>시험날짜</t>
  </si>
  <si>
    <t>시험종류</t>
  </si>
  <si>
    <t>seqExamInfo.nextval</t>
  </si>
  <si>
    <t>필기</t>
  </si>
  <si>
    <t>실기</t>
  </si>
  <si>
    <t>실기시험성적번호</t>
  </si>
  <si>
    <t>실기성적</t>
  </si>
  <si>
    <t>seqWrittenExamResult.nextval</t>
  </si>
  <si>
    <t>seqPracticalExamResult.nextval</t>
  </si>
  <si>
    <t>학생별총점번호</t>
  </si>
  <si>
    <t>출결총점</t>
  </si>
  <si>
    <t>실기총점</t>
  </si>
  <si>
    <t>필기총점</t>
  </si>
  <si>
    <t>seqStudentTotalScore.nextval</t>
  </si>
  <si>
    <t>대한민국의 공휴일</t>
  </si>
  <si>
    <t>Insert to tblHoliday</t>
  </si>
  <si>
    <t>Calendar Id</t>
  </si>
  <si>
    <t>시작일 시간</t>
  </si>
  <si>
    <t>종료일 시간</t>
  </si>
  <si>
    <t>공휴일/기념일</t>
  </si>
  <si>
    <t>구분</t>
  </si>
  <si>
    <t>ko.south_korea#holiday@group.v.calendar.google.com</t>
  </si>
  <si>
    <t>새해첫날</t>
  </si>
  <si>
    <t>공휴일</t>
  </si>
  <si>
    <t>설날 연휴</t>
  </si>
  <si>
    <t>설날</t>
  </si>
  <si>
    <t>삼일절</t>
  </si>
  <si>
    <t>식목일</t>
  </si>
  <si>
    <t>기념일
기념일을 숨기려면 Google Calendar 설정 &gt; 대한민국의 휴일 캘린더로 이동하세요.</t>
  </si>
  <si>
    <t>국회의원선거일</t>
  </si>
  <si>
    <t>노동절</t>
  </si>
  <si>
    <t>어린이날</t>
  </si>
  <si>
    <t>쉬는 날 어린이날</t>
  </si>
  <si>
    <t>어버이날</t>
  </si>
  <si>
    <t>부처님오신날</t>
  </si>
  <si>
    <t>스승의날</t>
  </si>
  <si>
    <t>현충일</t>
  </si>
  <si>
    <t>제헌절</t>
  </si>
  <si>
    <t>광복절</t>
  </si>
  <si>
    <t>추석</t>
  </si>
  <si>
    <t>추석 연휴</t>
  </si>
  <si>
    <t>국군의날</t>
  </si>
  <si>
    <t>개천절</t>
  </si>
  <si>
    <t>한글날</t>
  </si>
  <si>
    <t>크리스마스 이브</t>
  </si>
  <si>
    <t>크리스마스</t>
  </si>
  <si>
    <t>섣달 그믐날</t>
  </si>
  <si>
    <t>쉬는 날 삼일절</t>
  </si>
  <si>
    <t>대통령 선거</t>
  </si>
  <si>
    <t>쉬는 날 추석 연휴</t>
  </si>
  <si>
    <t>부처님오신날 연휴</t>
  </si>
  <si>
    <t>지방선거일</t>
  </si>
  <si>
    <t>쉬는 날 광복절</t>
  </si>
  <si>
    <t>쉬는 날 개천절</t>
  </si>
  <si>
    <t>쉬는 날 한글날</t>
  </si>
  <si>
    <t>쉬는 날 부처님오신날</t>
  </si>
  <si>
    <t>lockerNum</t>
  </si>
  <si>
    <t>classroomNum</t>
  </si>
  <si>
    <t>과목명</t>
  </si>
  <si>
    <t>과목분류</t>
  </si>
  <si>
    <t>수업기간</t>
  </si>
  <si>
    <t>과목번호 숫자</t>
  </si>
  <si>
    <t>seqSubject.nextval</t>
  </si>
  <si>
    <t>Java</t>
  </si>
  <si>
    <t>공통</t>
  </si>
  <si>
    <t>Oracle</t>
  </si>
  <si>
    <t>JDBC</t>
  </si>
  <si>
    <t>HTML</t>
  </si>
  <si>
    <t>CSS</t>
  </si>
  <si>
    <t>JavaScript</t>
  </si>
  <si>
    <t>SQL 기초</t>
  </si>
  <si>
    <t>자료구조</t>
  </si>
  <si>
    <t>운영체제</t>
  </si>
  <si>
    <t>네트워크</t>
  </si>
  <si>
    <t>Git/GitHub</t>
  </si>
  <si>
    <t>UML</t>
  </si>
  <si>
    <t>소프트웨어 공학</t>
  </si>
  <si>
    <t>디자인 패턴</t>
  </si>
  <si>
    <t>팀 프로젝트</t>
  </si>
  <si>
    <t>Spring Framework</t>
  </si>
  <si>
    <t>Spring Boot</t>
  </si>
  <si>
    <t>JSP/Servlet</t>
  </si>
  <si>
    <t>Thymeleaf</t>
  </si>
  <si>
    <t>MVC 아키텍처</t>
  </si>
  <si>
    <t>REST API 설계</t>
  </si>
  <si>
    <t>Frontend 연동</t>
  </si>
  <si>
    <t>MyBatis</t>
  </si>
  <si>
    <t>Linux 기본</t>
  </si>
  <si>
    <t>프로젝트 발표</t>
  </si>
  <si>
    <t>Python</t>
  </si>
  <si>
    <t>선택</t>
  </si>
  <si>
    <t>Pandas</t>
  </si>
  <si>
    <t>Numpy</t>
  </si>
  <si>
    <t>데이터 시각화</t>
  </si>
  <si>
    <t>머신러닝 개요</t>
  </si>
  <si>
    <t>딥러닝 기초</t>
  </si>
  <si>
    <t>TensorFlow</t>
  </si>
  <si>
    <t>자연어 처리</t>
  </si>
  <si>
    <t>AI 윤리</t>
  </si>
  <si>
    <t>Hadoop</t>
  </si>
  <si>
    <t>Spark</t>
  </si>
  <si>
    <t>Tableau</t>
  </si>
  <si>
    <t>데이터 분석 실무</t>
  </si>
  <si>
    <t>R 프로그래밍</t>
  </si>
  <si>
    <t>통계 기초</t>
  </si>
  <si>
    <t>강의실넘</t>
  </si>
  <si>
    <t>강의실명</t>
  </si>
  <si>
    <t>최대정원</t>
  </si>
  <si>
    <t>seqclassroom.nextval</t>
  </si>
  <si>
    <t>1강의실</t>
  </si>
  <si>
    <t>2강의실</t>
  </si>
  <si>
    <t>3강의실</t>
  </si>
  <si>
    <t>4강의실</t>
  </si>
  <si>
    <t>5강의실</t>
  </si>
  <si>
    <t>6강의실</t>
  </si>
  <si>
    <t>teacherSubjectNum</t>
  </si>
  <si>
    <t>teacherNum</t>
  </si>
  <si>
    <t>subjectNum</t>
  </si>
  <si>
    <t>seqTeacherSubject.nextval</t>
  </si>
  <si>
    <t>넘버</t>
  </si>
  <si>
    <t>이름</t>
  </si>
  <si>
    <t>주민</t>
  </si>
  <si>
    <t>전화번호</t>
  </si>
  <si>
    <t>아이디</t>
  </si>
  <si>
    <t>비밀번호</t>
  </si>
  <si>
    <t>월급</t>
  </si>
  <si>
    <t>seqTeacher.nextval</t>
  </si>
  <si>
    <t>박세인</t>
  </si>
  <si>
    <t>900705-1220246</t>
  </si>
  <si>
    <t>010-3273-1163</t>
  </si>
  <si>
    <t>t001</t>
  </si>
  <si>
    <t>차은우</t>
  </si>
  <si>
    <t>821204-1397732</t>
  </si>
  <si>
    <t>010-3407-6060</t>
  </si>
  <si>
    <t>t002</t>
  </si>
  <si>
    <t>서강준</t>
  </si>
  <si>
    <t>870912-1792930</t>
  </si>
  <si>
    <t>010-2219-2496</t>
  </si>
  <si>
    <t>t003</t>
  </si>
  <si>
    <t>정예린</t>
  </si>
  <si>
    <t>810120-2176438</t>
  </si>
  <si>
    <t>010-1936-9362</t>
  </si>
  <si>
    <t>t004</t>
  </si>
  <si>
    <t>한예진</t>
  </si>
  <si>
    <t>890514-2693665</t>
  </si>
  <si>
    <t>010-4560-3969</t>
  </si>
  <si>
    <t>t005</t>
  </si>
  <si>
    <t>최현우</t>
  </si>
  <si>
    <t>830605-1108597</t>
  </si>
  <si>
    <t>010-2975-2349</t>
  </si>
  <si>
    <t>t006</t>
  </si>
  <si>
    <t>유재석</t>
  </si>
  <si>
    <t>871014-1287583</t>
  </si>
  <si>
    <t>010-9241-8139</t>
  </si>
  <si>
    <t>t007</t>
  </si>
  <si>
    <t>강하늘</t>
  </si>
  <si>
    <t>751112-2653863</t>
  </si>
  <si>
    <t>010-1386-5611</t>
  </si>
  <si>
    <t>t008</t>
  </si>
  <si>
    <t>이보영</t>
  </si>
  <si>
    <t>780114-2135114</t>
  </si>
  <si>
    <t>010-5540-6848</t>
  </si>
  <si>
    <t>t009</t>
  </si>
  <si>
    <t>문채원</t>
  </si>
  <si>
    <t>700410-2636959</t>
  </si>
  <si>
    <t>010-3850-1873</t>
  </si>
  <si>
    <t>t010</t>
  </si>
  <si>
    <t>no</t>
  </si>
  <si>
    <t>책제목</t>
  </si>
  <si>
    <t>출판사</t>
  </si>
  <si>
    <t>가격</t>
  </si>
  <si>
    <t>seqTextBook.nextval</t>
  </si>
  <si>
    <t>Java 완전정복 (2019)</t>
  </si>
  <si>
    <t>한빛미디어</t>
  </si>
  <si>
    <t>Oracle 완전정복 (2022)</t>
  </si>
  <si>
    <t>이지스퍼블리싱</t>
  </si>
  <si>
    <t>JDBC 완전정복 (2023)</t>
  </si>
  <si>
    <t>인사이트</t>
  </si>
  <si>
    <t>HTML 완전정복 (2019)</t>
  </si>
  <si>
    <t>CSS 완전정복 (2020)</t>
  </si>
  <si>
    <t>에이콘</t>
  </si>
  <si>
    <t>JavaScript 완전정복 (2024)</t>
  </si>
  <si>
    <t>SQL 기초 완전정복 (2021)</t>
  </si>
  <si>
    <t>길벗</t>
  </si>
  <si>
    <t>자료구조 완전정복 (2024)</t>
  </si>
  <si>
    <t>운영체제 완전정복 (2024)</t>
  </si>
  <si>
    <t>BJPublic</t>
  </si>
  <si>
    <t>네트워크 완전정복 (2022)</t>
  </si>
  <si>
    <t>T아카데미</t>
  </si>
  <si>
    <t>Git/GitHub 완전정복 (2019)</t>
  </si>
  <si>
    <t>제이펍</t>
  </si>
  <si>
    <t>UML 완전정복 (2021)</t>
  </si>
  <si>
    <t>소프트웨어 공학 완전정복 (2020)</t>
  </si>
  <si>
    <t>디자인 패턴 완전정복 (2021)</t>
  </si>
  <si>
    <t>팀 프로젝트 완전정복 (2021)</t>
  </si>
  <si>
    <t>Spring Framework 완전정복 (2021)</t>
  </si>
  <si>
    <t>Spring Boot 완전정복 (2021)</t>
  </si>
  <si>
    <t>JSP/Servlet 완전정복 (2021)</t>
  </si>
  <si>
    <t>Thymeleaf 완전정복 (2023)</t>
  </si>
  <si>
    <t>MVC 아키텍처 완전정복 (2020)</t>
  </si>
  <si>
    <t>프리렉</t>
  </si>
  <si>
    <t>REST API 설계 완전정복 (2024)</t>
  </si>
  <si>
    <t>Frontend 연동 완전정복 (2024)</t>
  </si>
  <si>
    <t>MyBatis 완전정복 (2023)</t>
  </si>
  <si>
    <t>위키북스</t>
  </si>
  <si>
    <t>Linux 기본 완전정복 (2019)</t>
  </si>
  <si>
    <t>프로젝트 발표 완전정복 (2021)</t>
  </si>
  <si>
    <t>Python 완전정복 (2022)</t>
  </si>
  <si>
    <t>Pandas 완전정복 (2021)</t>
  </si>
  <si>
    <t>Numpy 완전정복 (2024)</t>
  </si>
  <si>
    <t>데이터 시각화 완전정복 (2023)</t>
  </si>
  <si>
    <t>머신러닝 개요 완전정복 (2019)</t>
  </si>
  <si>
    <t>딥러닝 기초 완전정복 (2022)</t>
  </si>
  <si>
    <t>TensorFlow 완전정복 (2019)</t>
  </si>
  <si>
    <t>자연어 처리 완전정복 (2024)</t>
  </si>
  <si>
    <t>AI 윤리 완전정복 (2023)</t>
  </si>
  <si>
    <t>Hadoop 완전정복 (2020)</t>
  </si>
  <si>
    <t>Spark 완전정복 (2021)</t>
  </si>
  <si>
    <t>Tableau 완전정복 (2022)</t>
  </si>
  <si>
    <t>데이터 분석 실무 완전정복 (2024)</t>
  </si>
  <si>
    <t>R 프로그래밍 완전정복 (2019)</t>
  </si>
  <si>
    <t>통계 기초 완전정복 (2024)</t>
  </si>
  <si>
    <t>과정넘버</t>
  </si>
  <si>
    <t>강의실번호</t>
  </si>
  <si>
    <t>선생님번호</t>
  </si>
  <si>
    <t>과정이름</t>
  </si>
  <si>
    <t>스타트데이트</t>
  </si>
  <si>
    <t>엔드데이트</t>
  </si>
  <si>
    <t>insert</t>
  </si>
  <si>
    <t>CREATE TABLE tblOpenCourse (</t>
  </si>
  <si>
    <t>seqopencourse.nextval</t>
  </si>
  <si>
    <t>Java &amp; Spring 기반 백엔드 개발자 양성과정</t>
  </si>
  <si>
    <t>(5.5개월 / 165일)</t>
  </si>
  <si>
    <t>1 2 6 16 12 3 4 9 19 5</t>
  </si>
  <si>
    <t>openCourseNum  number  NOT NULL PRIMARY KEY,</t>
  </si>
  <si>
    <t>classroomNum  number  NOT NULL,</t>
  </si>
  <si>
    <t>Python 기반 AI 데이터 분석 전문가 과정</t>
  </si>
  <si>
    <t>6개월 / 180일)</t>
  </si>
  <si>
    <t>15 16 10 12 3 4 17 18 5 9</t>
  </si>
  <si>
    <t>teacherNum  number  NOT NULL,</t>
  </si>
  <si>
    <t>React &amp; Node.js 풀스택 웹개발 마스터 과정</t>
  </si>
  <si>
    <t>6 8 3 4 1 19 2 5 18 10</t>
  </si>
  <si>
    <t>openCourseName varchar2(200)  NOT NULL,</t>
  </si>
  <si>
    <t>Docker &amp; AWS 클라우드 DevOps 엔지니어 과정</t>
  </si>
  <si>
    <t>(7개월 / 210일)</t>
  </si>
  <si>
    <t>7 13 14 20 6 8 1 2 12 3</t>
  </si>
  <si>
    <t>openCourseStartDate  date  NULL,</t>
  </si>
  <si>
    <t>openCourseEndDate  date  NULL,</t>
  </si>
  <si>
    <t>CONSTRAINT FK_tblClassroom_TO_tblOpenCourse_1 FOREIGN KEY (classroomNum) REFERENCES tblClassroom (classroomNum),</t>
  </si>
  <si>
    <t>CONSTRAINT FK_tblTeacher_TO_tblOpenCourse_1 FOREIGN KEY (teacherNum) REFERENCES tblTeacher (teacherNum)</t>
  </si>
  <si>
    <t>Java &amp; Spring 기반 백엔드 개발자 양성과정 (5.5개월 / 165일)</t>
  </si>
  <si>
    <t>➤ 과목번호: 1 2 6 16 12 3 4 9 19 5</t>
  </si>
  <si>
    <t>openCourseStartDate</t>
  </si>
  <si>
    <t>Python 기반 AI 데이터 분석 전문가 과정 (6개월 / 180일)</t>
  </si>
  <si>
    <t>➤ 과목번호: 15 16 10 12 3 4 17 18 5 9</t>
  </si>
  <si>
    <t>React &amp; Node.js 풀스택 웹개발 마스터 과정 (6개월 / 180일)</t>
  </si>
  <si>
    <t>➤ 과목번호: 6 8 3 4 1 19 2 5 18 10</t>
  </si>
  <si>
    <t>Docker &amp; AWS 클라우드 DevOps 엔지니어 과정 (7개월 / 210일)</t>
  </si>
  <si>
    <t>➤ 과목번호: 7 13 14 20 6 8 1 2 12 3</t>
  </si>
  <si>
    <t>과정과목매핑번호</t>
  </si>
  <si>
    <t>개설과정번호</t>
  </si>
  <si>
    <t>교재번호</t>
  </si>
  <si>
    <t>과목순서</t>
  </si>
  <si>
    <t>과목시작일</t>
  </si>
  <si>
    <t>과목종료일</t>
  </si>
  <si>
    <t>seqcourseSubjectMapping.nextval</t>
  </si>
  <si>
    <t>studentNum</t>
  </si>
  <si>
    <t>openCourseNum</t>
  </si>
  <si>
    <t>seqCourseStudentMapping.nextval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</si>
</sst>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Helvetica Neue"/>
    </font>
    <font>
      <color theme="1"/>
      <name val="Apple SD Gothic Neo"/>
    </font>
    <font>
      <color rgb="FF000000"/>
      <name val="Apple SD Gothic Neo"/>
    </font>
    <font>
      <color theme="1"/>
      <name val="Helvetica Neue"/>
    </font>
    <font>
      <color theme="1"/>
      <name val="Arial"/>
    </font>
    <font>
      <sz val="17.0"/>
      <color theme="1"/>
      <name val="Arial"/>
      <scheme val="minor"/>
    </font>
    <font>
      <sz val="11.0"/>
      <color rgb="FF000000"/>
      <name val="&quot;맑은 고딕&quot;"/>
    </font>
    <font>
      <sz val="12.0"/>
      <color theme="1"/>
      <name val="&quot;gg sans&quot;"/>
    </font>
    <font>
      <color rgb="FF000000"/>
      <name val="Arial"/>
      <scheme val="minor"/>
    </font>
    <font>
      <color rgb="FF000000"/>
      <name val="'Malgun Gothic'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2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readingOrder="0"/>
    </xf>
    <xf quotePrefix="1"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3" fontId="2" numFmtId="0" xfId="0" applyFont="1"/>
    <xf borderId="0" fillId="2" fontId="2" numFmtId="0" xfId="0" applyFont="1"/>
    <xf borderId="0" fillId="2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6" fontId="3" numFmtId="0" xfId="0" applyAlignment="1" applyFill="1" applyFont="1">
      <alignment readingOrder="0" vertical="top"/>
    </xf>
    <xf borderId="0" fillId="6" fontId="4" numFmtId="0" xfId="0" applyAlignment="1" applyFont="1">
      <alignment vertical="top"/>
    </xf>
    <xf borderId="0" fillId="6" fontId="5" numFmtId="0" xfId="0" applyAlignment="1" applyFont="1">
      <alignment readingOrder="0" vertical="top"/>
    </xf>
    <xf borderId="0" fillId="6" fontId="1" numFmtId="0" xfId="0" applyFont="1"/>
    <xf borderId="0" fillId="6" fontId="1" numFmtId="0" xfId="0" applyAlignment="1" applyFont="1">
      <alignment readingOrder="0"/>
    </xf>
    <xf borderId="0" fillId="6" fontId="6" numFmtId="0" xfId="0" applyAlignment="1" applyFont="1">
      <alignment horizontal="right" readingOrder="0" vertical="top"/>
    </xf>
    <xf borderId="0" fillId="6" fontId="6" numFmtId="0" xfId="0" applyAlignment="1" applyFont="1">
      <alignment horizontal="right" vertical="top"/>
    </xf>
    <xf borderId="0" fillId="6" fontId="6" numFmtId="164" xfId="0" applyAlignment="1" applyFont="1" applyNumberFormat="1">
      <alignment horizontal="right" vertical="top"/>
    </xf>
    <xf borderId="0" fillId="6" fontId="6" numFmtId="165" xfId="0" applyAlignment="1" applyFont="1" applyNumberFormat="1">
      <alignment horizontal="right" vertical="top"/>
    </xf>
    <xf borderId="0" fillId="6" fontId="7" numFmtId="165" xfId="0" applyAlignment="1" applyFont="1" applyNumberFormat="1">
      <alignment vertical="top"/>
    </xf>
    <xf borderId="0" fillId="6" fontId="3" numFmtId="165" xfId="0" applyAlignment="1" applyFont="1" applyNumberFormat="1">
      <alignment readingOrder="0" vertical="top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10" numFmtId="0" xfId="0" applyAlignment="1" applyFont="1">
      <alignment horizontal="left" readingOrder="0"/>
    </xf>
    <xf borderId="0" fillId="7" fontId="11" numFmtId="0" xfId="0" applyAlignment="1" applyFill="1" applyFont="1">
      <alignment readingOrder="0"/>
    </xf>
    <xf borderId="0" fillId="8" fontId="1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9" numFmtId="0" xfId="0" applyAlignment="1" applyFont="1">
      <alignment readingOrder="0" shrinkToFit="0" wrapText="0"/>
    </xf>
    <xf borderId="0" fillId="0" fontId="9" numFmtId="0" xfId="0" applyAlignment="1" applyFont="1">
      <alignment horizontal="right" readingOrder="0" shrinkToFit="0" wrapText="0"/>
    </xf>
    <xf borderId="0" fillId="9" fontId="12" numFmtId="0" xfId="0" applyAlignment="1" applyFill="1" applyFont="1">
      <alignment readingOrder="0"/>
    </xf>
    <xf borderId="0" fillId="9" fontId="12" numFmtId="0" xfId="0" applyFont="1"/>
    <xf borderId="0" fillId="0" fontId="13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933450</xdr:colOff>
      <xdr:row>12</xdr:row>
      <xdr:rowOff>19050</xdr:rowOff>
    </xdr:from>
    <xdr:ext cx="3248025" cy="10191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12</xdr:row>
      <xdr:rowOff>76200</xdr:rowOff>
    </xdr:from>
    <xdr:ext cx="2895600" cy="121920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5.0"/>
    <col customWidth="1" min="2" max="2" width="21.63"/>
    <col customWidth="1" min="3" max="3" width="7.13"/>
    <col customWidth="1" min="4" max="4" width="5.63"/>
    <col customWidth="1" min="6" max="6" width="20.25"/>
    <col customWidth="1" min="7" max="7" width="20.88"/>
    <col hidden="1" min="8" max="9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3</v>
      </c>
      <c r="I1" s="1" t="s">
        <v>4</v>
      </c>
    </row>
    <row r="2">
      <c r="A2" s="1" t="s">
        <v>6</v>
      </c>
      <c r="B2" s="1" t="s">
        <v>7</v>
      </c>
      <c r="C2" s="1">
        <v>1.0</v>
      </c>
      <c r="D2" s="1" t="s">
        <v>8</v>
      </c>
      <c r="E2" s="2" t="str">
        <f t="shared" ref="E2:E13" si="1">iferror(VLOOKUP(D2,$H$1:$I$7,2,0),"")</f>
        <v>구윤</v>
      </c>
      <c r="F2" s="1" t="s">
        <v>9</v>
      </c>
      <c r="H2" s="1" t="s">
        <v>10</v>
      </c>
      <c r="I2" s="1" t="s">
        <v>11</v>
      </c>
    </row>
    <row r="3">
      <c r="A3" s="1" t="s">
        <v>12</v>
      </c>
      <c r="B3" s="1" t="s">
        <v>13</v>
      </c>
      <c r="C3" s="1">
        <v>1.0</v>
      </c>
      <c r="D3" s="1" t="s">
        <v>10</v>
      </c>
      <c r="E3" s="2" t="str">
        <f t="shared" si="1"/>
        <v>재만, 홍건</v>
      </c>
      <c r="F3" s="1" t="s">
        <v>9</v>
      </c>
      <c r="H3" s="1" t="s">
        <v>14</v>
      </c>
      <c r="I3" s="1" t="s">
        <v>15</v>
      </c>
    </row>
    <row r="4">
      <c r="A4" s="1" t="s">
        <v>16</v>
      </c>
      <c r="B4" s="1" t="s">
        <v>17</v>
      </c>
      <c r="C4" s="1">
        <v>1.0</v>
      </c>
      <c r="D4" s="1" t="s">
        <v>18</v>
      </c>
      <c r="E4" s="2" t="str">
        <f t="shared" si="1"/>
        <v>보영</v>
      </c>
      <c r="F4" s="1" t="s">
        <v>9</v>
      </c>
      <c r="H4" s="1" t="s">
        <v>19</v>
      </c>
      <c r="I4" s="1" t="s">
        <v>15</v>
      </c>
    </row>
    <row r="5">
      <c r="A5" s="1" t="s">
        <v>20</v>
      </c>
      <c r="B5" s="1" t="s">
        <v>21</v>
      </c>
      <c r="C5" s="1">
        <v>1.0</v>
      </c>
      <c r="D5" s="1" t="s">
        <v>8</v>
      </c>
      <c r="E5" s="2" t="str">
        <f t="shared" si="1"/>
        <v>구윤</v>
      </c>
      <c r="F5" s="1" t="s">
        <v>9</v>
      </c>
      <c r="H5" s="1" t="s">
        <v>18</v>
      </c>
      <c r="I5" s="1" t="s">
        <v>22</v>
      </c>
    </row>
    <row r="6">
      <c r="A6" s="1" t="s">
        <v>23</v>
      </c>
      <c r="B6" s="1" t="s">
        <v>24</v>
      </c>
      <c r="C6" s="1">
        <v>1.0</v>
      </c>
      <c r="D6" s="1" t="s">
        <v>14</v>
      </c>
      <c r="E6" s="2" t="str">
        <f t="shared" si="1"/>
        <v>서진</v>
      </c>
      <c r="F6" s="1" t="s">
        <v>9</v>
      </c>
      <c r="H6" s="1" t="s">
        <v>25</v>
      </c>
      <c r="I6" s="1" t="s">
        <v>22</v>
      </c>
    </row>
    <row r="7">
      <c r="A7" s="1" t="s">
        <v>26</v>
      </c>
      <c r="B7" s="1" t="s">
        <v>27</v>
      </c>
      <c r="C7" s="1">
        <v>1.0</v>
      </c>
      <c r="D7" s="1" t="s">
        <v>10</v>
      </c>
      <c r="E7" s="2" t="str">
        <f t="shared" si="1"/>
        <v>재만, 홍건</v>
      </c>
      <c r="F7" s="1" t="s">
        <v>9</v>
      </c>
      <c r="H7" s="1" t="s">
        <v>8</v>
      </c>
      <c r="I7" s="1" t="s">
        <v>28</v>
      </c>
    </row>
    <row r="8">
      <c r="A8" s="1" t="s">
        <v>29</v>
      </c>
      <c r="B8" s="1" t="s">
        <v>30</v>
      </c>
      <c r="C8" s="1">
        <v>1.0</v>
      </c>
      <c r="D8" s="1" t="s">
        <v>19</v>
      </c>
      <c r="E8" s="2" t="str">
        <f t="shared" si="1"/>
        <v>서진</v>
      </c>
      <c r="F8" s="1" t="s">
        <v>9</v>
      </c>
    </row>
    <row r="9">
      <c r="A9" s="1" t="s">
        <v>31</v>
      </c>
      <c r="B9" s="1" t="s">
        <v>32</v>
      </c>
      <c r="C9" s="1">
        <v>1.0</v>
      </c>
      <c r="D9" s="1" t="s">
        <v>19</v>
      </c>
      <c r="E9" s="2" t="str">
        <f t="shared" si="1"/>
        <v>서진</v>
      </c>
      <c r="F9" s="1" t="s">
        <v>9</v>
      </c>
    </row>
    <row r="10">
      <c r="A10" s="1" t="s">
        <v>33</v>
      </c>
      <c r="B10" s="1" t="s">
        <v>34</v>
      </c>
      <c r="C10" s="1">
        <v>1.0</v>
      </c>
      <c r="D10" s="1" t="s">
        <v>25</v>
      </c>
      <c r="E10" s="2" t="str">
        <f t="shared" si="1"/>
        <v>보영</v>
      </c>
      <c r="F10" s="1" t="s">
        <v>9</v>
      </c>
    </row>
    <row r="11">
      <c r="A11" s="1" t="s">
        <v>35</v>
      </c>
      <c r="B11" s="1" t="s">
        <v>36</v>
      </c>
      <c r="C11" s="1">
        <v>1.0</v>
      </c>
      <c r="D11" s="1" t="s">
        <v>8</v>
      </c>
      <c r="E11" s="2" t="str">
        <f t="shared" si="1"/>
        <v>구윤</v>
      </c>
      <c r="F11" s="1" t="s">
        <v>9</v>
      </c>
    </row>
    <row r="12">
      <c r="A12" s="1" t="s">
        <v>37</v>
      </c>
      <c r="B12" s="1" t="s">
        <v>38</v>
      </c>
      <c r="C12" s="1">
        <v>1.0</v>
      </c>
      <c r="D12" s="1" t="s">
        <v>8</v>
      </c>
      <c r="E12" s="2" t="str">
        <f t="shared" si="1"/>
        <v>구윤</v>
      </c>
      <c r="F12" s="1" t="s">
        <v>9</v>
      </c>
    </row>
    <row r="13">
      <c r="A13" s="1" t="s">
        <v>39</v>
      </c>
      <c r="B13" s="1" t="s">
        <v>40</v>
      </c>
      <c r="C13" s="1">
        <v>1.0</v>
      </c>
      <c r="D13" s="1" t="s">
        <v>19</v>
      </c>
      <c r="E13" s="2" t="str">
        <f t="shared" si="1"/>
        <v>서진</v>
      </c>
      <c r="F13" s="1" t="s">
        <v>9</v>
      </c>
    </row>
    <row r="14">
      <c r="A14" s="1" t="s">
        <v>41</v>
      </c>
      <c r="B14" s="1" t="s">
        <v>42</v>
      </c>
      <c r="C14" s="1">
        <v>1.0</v>
      </c>
      <c r="D14" s="1" t="s">
        <v>18</v>
      </c>
      <c r="E14" s="1" t="s">
        <v>28</v>
      </c>
      <c r="F14" s="1" t="s">
        <v>9</v>
      </c>
      <c r="G14" s="1" t="s">
        <v>43</v>
      </c>
    </row>
    <row r="15">
      <c r="E15" s="2" t="str">
        <f t="shared" ref="E15:E50" si="2">iferror(VLOOKUP(D15,$H$1:$I$7,2,0),"")</f>
        <v/>
      </c>
      <c r="F15" s="2"/>
    </row>
    <row r="16">
      <c r="A16" s="1" t="s">
        <v>44</v>
      </c>
      <c r="E16" s="2" t="str">
        <f t="shared" si="2"/>
        <v/>
      </c>
      <c r="F16" s="2"/>
    </row>
    <row r="17">
      <c r="A17" s="1" t="s">
        <v>45</v>
      </c>
      <c r="B17" s="1" t="s">
        <v>46</v>
      </c>
      <c r="C17" s="1">
        <v>2.0</v>
      </c>
      <c r="D17" s="1" t="s">
        <v>10</v>
      </c>
      <c r="E17" s="2" t="str">
        <f t="shared" si="2"/>
        <v>재만, 홍건</v>
      </c>
      <c r="F17" s="1" t="s">
        <v>9</v>
      </c>
    </row>
    <row r="18">
      <c r="A18" s="1" t="s">
        <v>47</v>
      </c>
      <c r="B18" s="1" t="s">
        <v>48</v>
      </c>
      <c r="C18" s="1">
        <v>2.0</v>
      </c>
      <c r="D18" s="1" t="s">
        <v>8</v>
      </c>
      <c r="E18" s="2" t="str">
        <f t="shared" si="2"/>
        <v>구윤</v>
      </c>
      <c r="F18" s="1" t="s">
        <v>9</v>
      </c>
    </row>
    <row r="19">
      <c r="A19" s="1" t="s">
        <v>49</v>
      </c>
      <c r="B19" s="1" t="s">
        <v>50</v>
      </c>
      <c r="C19" s="1">
        <v>2.0</v>
      </c>
      <c r="D19" s="1" t="s">
        <v>14</v>
      </c>
      <c r="E19" s="2" t="str">
        <f t="shared" si="2"/>
        <v>서진</v>
      </c>
      <c r="F19" s="1" t="s">
        <v>9</v>
      </c>
    </row>
    <row r="20">
      <c r="A20" s="1" t="s">
        <v>51</v>
      </c>
      <c r="B20" s="1" t="s">
        <v>52</v>
      </c>
      <c r="C20" s="1">
        <v>2.0</v>
      </c>
      <c r="D20" s="1" t="s">
        <v>25</v>
      </c>
      <c r="E20" s="2" t="str">
        <f t="shared" si="2"/>
        <v>보영</v>
      </c>
      <c r="F20" s="1" t="s">
        <v>9</v>
      </c>
    </row>
    <row r="21">
      <c r="E21" s="2" t="str">
        <f t="shared" si="2"/>
        <v/>
      </c>
      <c r="F21" s="2"/>
    </row>
    <row r="22">
      <c r="A22" s="1" t="s">
        <v>53</v>
      </c>
      <c r="E22" s="2" t="str">
        <f t="shared" si="2"/>
        <v/>
      </c>
      <c r="F22" s="2"/>
    </row>
    <row r="23">
      <c r="A23" s="1" t="s">
        <v>54</v>
      </c>
      <c r="B23" s="1" t="s">
        <v>55</v>
      </c>
      <c r="C23" s="1">
        <v>3.0</v>
      </c>
      <c r="D23" s="1" t="s">
        <v>10</v>
      </c>
      <c r="E23" s="2" t="str">
        <f t="shared" si="2"/>
        <v>재만, 홍건</v>
      </c>
      <c r="F23" s="1" t="s">
        <v>9</v>
      </c>
    </row>
    <row r="24">
      <c r="A24" s="1" t="s">
        <v>56</v>
      </c>
      <c r="B24" s="1" t="s">
        <v>57</v>
      </c>
      <c r="C24" s="1">
        <v>3.0</v>
      </c>
      <c r="D24" s="1" t="s">
        <v>8</v>
      </c>
      <c r="E24" s="2" t="str">
        <f t="shared" si="2"/>
        <v>구윤</v>
      </c>
      <c r="F24" s="1" t="s">
        <v>9</v>
      </c>
    </row>
    <row r="25">
      <c r="A25" s="1" t="s">
        <v>58</v>
      </c>
      <c r="B25" s="1" t="s">
        <v>59</v>
      </c>
      <c r="C25" s="1">
        <v>3.0</v>
      </c>
      <c r="D25" s="1" t="s">
        <v>14</v>
      </c>
      <c r="E25" s="2" t="str">
        <f t="shared" si="2"/>
        <v>서진</v>
      </c>
      <c r="F25" s="1" t="s">
        <v>9</v>
      </c>
    </row>
    <row r="26">
      <c r="E26" s="2" t="str">
        <f t="shared" si="2"/>
        <v/>
      </c>
      <c r="F26" s="2"/>
    </row>
    <row r="27">
      <c r="A27" s="1" t="s">
        <v>60</v>
      </c>
      <c r="E27" s="2" t="str">
        <f t="shared" si="2"/>
        <v/>
      </c>
      <c r="F27" s="2"/>
    </row>
    <row r="28">
      <c r="A28" s="1" t="s">
        <v>61</v>
      </c>
      <c r="B28" s="1" t="s">
        <v>62</v>
      </c>
      <c r="C28" s="1">
        <v>4.0</v>
      </c>
      <c r="D28" s="1" t="s">
        <v>10</v>
      </c>
      <c r="E28" s="2" t="str">
        <f t="shared" si="2"/>
        <v>재만, 홍건</v>
      </c>
      <c r="F28" s="1" t="s">
        <v>9</v>
      </c>
    </row>
    <row r="29">
      <c r="A29" s="1" t="s">
        <v>63</v>
      </c>
      <c r="B29" s="1" t="s">
        <v>64</v>
      </c>
      <c r="C29" s="1">
        <v>4.0</v>
      </c>
      <c r="D29" s="1" t="s">
        <v>18</v>
      </c>
      <c r="E29" s="2" t="str">
        <f t="shared" si="2"/>
        <v>보영</v>
      </c>
      <c r="F29" s="1" t="s">
        <v>9</v>
      </c>
    </row>
    <row r="30">
      <c r="A30" s="1" t="s">
        <v>65</v>
      </c>
      <c r="B30" s="1" t="s">
        <v>66</v>
      </c>
      <c r="C30" s="1">
        <v>4.0</v>
      </c>
      <c r="D30" s="1" t="s">
        <v>25</v>
      </c>
      <c r="E30" s="2" t="str">
        <f t="shared" si="2"/>
        <v>보영</v>
      </c>
      <c r="F30" s="1" t="s">
        <v>9</v>
      </c>
    </row>
    <row r="31">
      <c r="A31" s="1" t="s">
        <v>67</v>
      </c>
      <c r="B31" s="1" t="s">
        <v>68</v>
      </c>
      <c r="C31" s="1">
        <v>4.0</v>
      </c>
      <c r="D31" s="1" t="s">
        <v>8</v>
      </c>
      <c r="E31" s="2" t="str">
        <f t="shared" si="2"/>
        <v>구윤</v>
      </c>
      <c r="F31" s="1" t="s">
        <v>9</v>
      </c>
    </row>
    <row r="32">
      <c r="A32" s="1" t="s">
        <v>69</v>
      </c>
      <c r="B32" s="1" t="s">
        <v>70</v>
      </c>
      <c r="C32" s="1">
        <v>4.0</v>
      </c>
      <c r="D32" s="1" t="s">
        <v>25</v>
      </c>
      <c r="E32" s="2" t="str">
        <f t="shared" si="2"/>
        <v>보영</v>
      </c>
      <c r="F32" s="1" t="s">
        <v>9</v>
      </c>
    </row>
    <row r="33">
      <c r="A33" s="1" t="s">
        <v>71</v>
      </c>
      <c r="B33" s="1" t="s">
        <v>72</v>
      </c>
      <c r="C33" s="1">
        <v>4.0</v>
      </c>
      <c r="D33" s="1" t="s">
        <v>14</v>
      </c>
      <c r="E33" s="2" t="str">
        <f t="shared" si="2"/>
        <v>서진</v>
      </c>
      <c r="F33" s="1" t="s">
        <v>9</v>
      </c>
    </row>
    <row r="34">
      <c r="A34" s="1" t="s">
        <v>73</v>
      </c>
      <c r="B34" s="1" t="s">
        <v>74</v>
      </c>
      <c r="C34" s="1">
        <v>4.0</v>
      </c>
      <c r="D34" s="1" t="s">
        <v>14</v>
      </c>
      <c r="E34" s="2" t="str">
        <f t="shared" si="2"/>
        <v>서진</v>
      </c>
      <c r="F34" s="1" t="s">
        <v>9</v>
      </c>
    </row>
    <row r="35">
      <c r="A35" s="1" t="s">
        <v>75</v>
      </c>
      <c r="B35" s="1" t="s">
        <v>76</v>
      </c>
      <c r="C35" s="1">
        <v>4.0</v>
      </c>
      <c r="D35" s="1" t="s">
        <v>14</v>
      </c>
      <c r="E35" s="2" t="str">
        <f t="shared" si="2"/>
        <v>서진</v>
      </c>
      <c r="F35" s="1" t="s">
        <v>9</v>
      </c>
    </row>
    <row r="36">
      <c r="A36" s="1" t="s">
        <v>77</v>
      </c>
      <c r="B36" s="1" t="s">
        <v>78</v>
      </c>
      <c r="C36" s="1">
        <v>4.0</v>
      </c>
      <c r="D36" s="1" t="s">
        <v>10</v>
      </c>
      <c r="E36" s="2" t="str">
        <f t="shared" si="2"/>
        <v>재만, 홍건</v>
      </c>
      <c r="F36" s="1" t="s">
        <v>9</v>
      </c>
    </row>
    <row r="37">
      <c r="A37" s="1" t="s">
        <v>79</v>
      </c>
      <c r="B37" s="1" t="s">
        <v>80</v>
      </c>
      <c r="C37" s="1">
        <v>4.0</v>
      </c>
      <c r="D37" s="1" t="s">
        <v>10</v>
      </c>
      <c r="E37" s="2" t="str">
        <f t="shared" si="2"/>
        <v>재만, 홍건</v>
      </c>
      <c r="F37" s="1" t="s">
        <v>9</v>
      </c>
    </row>
    <row r="38">
      <c r="A38" s="1" t="s">
        <v>81</v>
      </c>
      <c r="B38" s="1" t="s">
        <v>82</v>
      </c>
      <c r="C38" s="1">
        <v>4.0</v>
      </c>
      <c r="D38" s="1" t="s">
        <v>14</v>
      </c>
      <c r="E38" s="2" t="str">
        <f t="shared" si="2"/>
        <v>서진</v>
      </c>
      <c r="F38" s="1" t="s">
        <v>9</v>
      </c>
    </row>
    <row r="39">
      <c r="A39" s="1" t="s">
        <v>83</v>
      </c>
      <c r="B39" s="1" t="s">
        <v>84</v>
      </c>
      <c r="C39" s="1">
        <v>4.0</v>
      </c>
      <c r="D39" s="1" t="s">
        <v>8</v>
      </c>
      <c r="E39" s="2" t="str">
        <f t="shared" si="2"/>
        <v>구윤</v>
      </c>
      <c r="F39" s="1" t="s">
        <v>9</v>
      </c>
    </row>
    <row r="40">
      <c r="A40" s="1" t="s">
        <v>85</v>
      </c>
      <c r="B40" s="1" t="s">
        <v>86</v>
      </c>
      <c r="C40" s="1">
        <v>4.0</v>
      </c>
      <c r="D40" s="1" t="s">
        <v>19</v>
      </c>
      <c r="E40" s="2" t="str">
        <f t="shared" si="2"/>
        <v>서진</v>
      </c>
      <c r="F40" s="1" t="s">
        <v>9</v>
      </c>
    </row>
    <row r="41">
      <c r="E41" s="2" t="str">
        <f t="shared" si="2"/>
        <v/>
      </c>
      <c r="F41" s="2"/>
    </row>
    <row r="42">
      <c r="A42" s="1" t="s">
        <v>87</v>
      </c>
      <c r="E42" s="2" t="str">
        <f t="shared" si="2"/>
        <v/>
      </c>
      <c r="F42" s="2"/>
    </row>
    <row r="43">
      <c r="A43" s="1" t="s">
        <v>88</v>
      </c>
      <c r="B43" s="1" t="s">
        <v>89</v>
      </c>
      <c r="C43" s="1">
        <v>5.0</v>
      </c>
      <c r="D43" s="1" t="s">
        <v>10</v>
      </c>
      <c r="E43" s="2" t="str">
        <f t="shared" si="2"/>
        <v>재만, 홍건</v>
      </c>
      <c r="F43" s="1" t="s">
        <v>9</v>
      </c>
    </row>
    <row r="44">
      <c r="A44" s="1" t="s">
        <v>90</v>
      </c>
      <c r="B44" s="1" t="s">
        <v>91</v>
      </c>
      <c r="C44" s="1">
        <v>5.0</v>
      </c>
      <c r="D44" s="1" t="s">
        <v>18</v>
      </c>
      <c r="E44" s="2" t="str">
        <f t="shared" si="2"/>
        <v>보영</v>
      </c>
      <c r="F44" s="1" t="s">
        <v>9</v>
      </c>
    </row>
    <row r="45">
      <c r="A45" s="1" t="s">
        <v>92</v>
      </c>
      <c r="B45" s="1" t="s">
        <v>93</v>
      </c>
      <c r="C45" s="1">
        <v>5.0</v>
      </c>
      <c r="D45" s="1" t="s">
        <v>25</v>
      </c>
      <c r="E45" s="2" t="str">
        <f t="shared" si="2"/>
        <v>보영</v>
      </c>
      <c r="F45" s="1" t="s">
        <v>9</v>
      </c>
    </row>
    <row r="46">
      <c r="A46" s="1" t="s">
        <v>94</v>
      </c>
      <c r="B46" s="1" t="s">
        <v>95</v>
      </c>
      <c r="C46" s="1">
        <v>5.0</v>
      </c>
      <c r="D46" s="1" t="s">
        <v>10</v>
      </c>
      <c r="E46" s="2" t="str">
        <f t="shared" si="2"/>
        <v>재만, 홍건</v>
      </c>
      <c r="F46" s="1" t="s">
        <v>9</v>
      </c>
    </row>
    <row r="47">
      <c r="A47" s="1" t="s">
        <v>96</v>
      </c>
      <c r="B47" s="1" t="s">
        <v>97</v>
      </c>
      <c r="C47" s="1">
        <v>5.0</v>
      </c>
      <c r="D47" s="1" t="s">
        <v>8</v>
      </c>
      <c r="E47" s="2" t="str">
        <f t="shared" si="2"/>
        <v>구윤</v>
      </c>
      <c r="F47" s="1" t="s">
        <v>9</v>
      </c>
    </row>
    <row r="48">
      <c r="E48" s="2" t="str">
        <f t="shared" si="2"/>
        <v/>
      </c>
      <c r="F48" s="2"/>
    </row>
    <row r="49">
      <c r="A49" s="1" t="s">
        <v>98</v>
      </c>
      <c r="E49" s="2" t="str">
        <f t="shared" si="2"/>
        <v/>
      </c>
      <c r="F49" s="2"/>
    </row>
    <row r="50">
      <c r="A50" s="1" t="s">
        <v>99</v>
      </c>
      <c r="B50" s="1" t="s">
        <v>100</v>
      </c>
      <c r="C50" s="1">
        <v>1.0</v>
      </c>
      <c r="D50" s="1" t="s">
        <v>25</v>
      </c>
      <c r="E50" s="2" t="str">
        <f t="shared" si="2"/>
        <v>보영</v>
      </c>
      <c r="F50" s="1" t="s">
        <v>101</v>
      </c>
      <c r="G50" s="1" t="s">
        <v>102</v>
      </c>
    </row>
  </sheetData>
  <dataValidations>
    <dataValidation type="list" allowBlank="1" showErrorMessage="1" sqref="F2:F50">
      <formula1>"INSERT,NO,trigger로 insert 예정"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3" max="3" width="41.5"/>
    <col customWidth="1" min="4" max="4" width="79.75"/>
    <col customWidth="1" min="5" max="5" width="33.5"/>
    <col customWidth="1" min="6" max="6" width="35.13"/>
  </cols>
  <sheetData>
    <row r="1" ht="39.75" customHeight="1">
      <c r="A1" s="3">
        <v>1.0</v>
      </c>
      <c r="B1" s="4" t="s">
        <v>103</v>
      </c>
      <c r="C1" s="4" t="s">
        <v>104</v>
      </c>
      <c r="D1" s="5" t="s">
        <v>105</v>
      </c>
      <c r="E1" s="6" t="s">
        <v>106</v>
      </c>
      <c r="F1" s="6" t="s">
        <v>107</v>
      </c>
    </row>
    <row r="2">
      <c r="A2" s="3">
        <v>2.0</v>
      </c>
      <c r="B2" s="4" t="s">
        <v>108</v>
      </c>
      <c r="C2" s="4" t="s">
        <v>109</v>
      </c>
      <c r="D2" s="7" t="s">
        <v>110</v>
      </c>
      <c r="E2" s="8" t="s">
        <v>111</v>
      </c>
      <c r="F2" s="8" t="s">
        <v>112</v>
      </c>
    </row>
    <row r="3">
      <c r="A3" s="3">
        <v>0.0</v>
      </c>
      <c r="B3" s="9" t="s">
        <v>113</v>
      </c>
      <c r="C3" s="10" t="s">
        <v>114</v>
      </c>
      <c r="D3" s="8" t="s">
        <v>115</v>
      </c>
      <c r="E3" s="11"/>
      <c r="F3" s="11"/>
    </row>
    <row r="4">
      <c r="A4" s="12"/>
      <c r="B4" s="12"/>
      <c r="C4" s="13"/>
      <c r="D4" s="11"/>
      <c r="E4" s="11"/>
      <c r="F4" s="11"/>
    </row>
    <row r="5">
      <c r="A5" s="12"/>
      <c r="B5" s="12"/>
      <c r="C5" s="13"/>
      <c r="D5" s="11"/>
      <c r="E5" s="11"/>
      <c r="F5" s="11"/>
    </row>
    <row r="6">
      <c r="A6" s="12"/>
      <c r="B6" s="12"/>
      <c r="C6" s="13"/>
      <c r="D6" s="11"/>
      <c r="E6" s="11"/>
      <c r="F6" s="11"/>
    </row>
    <row r="7">
      <c r="A7" s="12"/>
      <c r="B7" s="12"/>
      <c r="C7" s="13"/>
      <c r="D7" s="11"/>
      <c r="E7" s="11"/>
      <c r="F7" s="11"/>
    </row>
    <row r="8">
      <c r="A8" s="12"/>
      <c r="B8" s="12"/>
      <c r="C8" s="13"/>
      <c r="D8" s="11"/>
      <c r="E8" s="11"/>
      <c r="F8" s="11"/>
    </row>
    <row r="9">
      <c r="A9" s="12"/>
      <c r="B9" s="12"/>
      <c r="C9" s="13"/>
      <c r="D9" s="11"/>
      <c r="E9" s="11"/>
      <c r="F9" s="11"/>
    </row>
    <row r="10">
      <c r="A10" s="12"/>
      <c r="B10" s="12"/>
      <c r="C10" s="13"/>
      <c r="D10" s="11"/>
      <c r="E10" s="11"/>
      <c r="F10" s="11"/>
    </row>
    <row r="11">
      <c r="A11" s="12"/>
      <c r="B11" s="12"/>
      <c r="C11" s="13"/>
      <c r="D11" s="11"/>
      <c r="E11" s="11"/>
      <c r="F11" s="11"/>
    </row>
    <row r="12">
      <c r="A12" s="12"/>
      <c r="B12" s="12"/>
      <c r="C12" s="13"/>
      <c r="D12" s="11"/>
      <c r="E12" s="11"/>
      <c r="F12" s="11"/>
    </row>
    <row r="13">
      <c r="A13" s="12"/>
      <c r="B13" s="12"/>
      <c r="C13" s="13"/>
      <c r="D13" s="11"/>
      <c r="E13" s="11"/>
      <c r="F13" s="11"/>
    </row>
    <row r="14">
      <c r="A14" s="12"/>
      <c r="B14" s="12"/>
      <c r="C14" s="13"/>
      <c r="D14" s="11"/>
      <c r="E14" s="11"/>
      <c r="F14" s="11"/>
    </row>
    <row r="15">
      <c r="A15" s="12"/>
      <c r="B15" s="12"/>
      <c r="C15" s="13"/>
      <c r="D15" s="11"/>
      <c r="E15" s="11"/>
      <c r="F15" s="11"/>
    </row>
    <row r="16">
      <c r="A16" s="12"/>
      <c r="B16" s="12"/>
      <c r="C16" s="13"/>
      <c r="D16" s="11"/>
      <c r="E16" s="11"/>
      <c r="F16" s="11"/>
    </row>
    <row r="17">
      <c r="A17" s="12"/>
      <c r="B17" s="12"/>
      <c r="C17" s="13"/>
      <c r="D17" s="11"/>
      <c r="E17" s="11"/>
      <c r="F17" s="11"/>
    </row>
    <row r="18">
      <c r="A18" s="12"/>
      <c r="B18" s="12"/>
      <c r="C18" s="13"/>
      <c r="D18" s="11"/>
      <c r="E18" s="11"/>
      <c r="F18" s="11"/>
    </row>
    <row r="19">
      <c r="A19" s="12"/>
      <c r="B19" s="12"/>
      <c r="C19" s="13"/>
      <c r="D19" s="11"/>
      <c r="E19" s="11"/>
      <c r="F19" s="11"/>
    </row>
    <row r="20">
      <c r="A20" s="12"/>
      <c r="B20" s="12"/>
      <c r="C20" s="13"/>
      <c r="D20" s="11"/>
      <c r="E20" s="11"/>
      <c r="F20" s="11"/>
    </row>
    <row r="21">
      <c r="A21" s="12"/>
      <c r="B21" s="12"/>
      <c r="C21" s="13"/>
      <c r="D21" s="11"/>
      <c r="E21" s="11"/>
      <c r="F21" s="11"/>
    </row>
    <row r="22">
      <c r="A22" s="12"/>
      <c r="B22" s="12"/>
      <c r="C22" s="13"/>
      <c r="D22" s="11"/>
      <c r="E22" s="11"/>
      <c r="F22" s="11"/>
    </row>
    <row r="23">
      <c r="A23" s="12"/>
      <c r="B23" s="12"/>
      <c r="C23" s="13"/>
      <c r="D23" s="11"/>
      <c r="E23" s="11"/>
      <c r="F23" s="11"/>
    </row>
    <row r="24">
      <c r="A24" s="12"/>
      <c r="B24" s="12"/>
      <c r="C24" s="13"/>
      <c r="D24" s="11"/>
      <c r="E24" s="11"/>
      <c r="F24" s="11"/>
    </row>
    <row r="25">
      <c r="A25" s="12"/>
      <c r="B25" s="12"/>
      <c r="C25" s="13"/>
      <c r="D25" s="11"/>
      <c r="E25" s="11"/>
      <c r="F25" s="11"/>
    </row>
    <row r="26">
      <c r="A26" s="12"/>
      <c r="B26" s="12"/>
      <c r="C26" s="13"/>
      <c r="D26" s="11"/>
      <c r="E26" s="11"/>
      <c r="F26" s="11"/>
    </row>
    <row r="27">
      <c r="A27" s="12"/>
      <c r="B27" s="12"/>
      <c r="C27" s="13"/>
      <c r="D27" s="11"/>
      <c r="E27" s="11"/>
      <c r="F27" s="11"/>
    </row>
    <row r="28">
      <c r="A28" s="12"/>
      <c r="B28" s="12"/>
      <c r="C28" s="13"/>
      <c r="D28" s="11"/>
      <c r="E28" s="11"/>
      <c r="F28" s="11"/>
    </row>
    <row r="29">
      <c r="A29" s="12"/>
      <c r="B29" s="12"/>
      <c r="C29" s="13"/>
      <c r="D29" s="11"/>
      <c r="E29" s="11"/>
      <c r="F29" s="11"/>
    </row>
    <row r="30">
      <c r="A30" s="12"/>
      <c r="B30" s="12"/>
      <c r="C30" s="13"/>
      <c r="D30" s="11"/>
      <c r="E30" s="11"/>
      <c r="F30" s="11"/>
    </row>
    <row r="31">
      <c r="A31" s="12"/>
      <c r="B31" s="12"/>
      <c r="C31" s="13"/>
      <c r="D31" s="11"/>
      <c r="E31" s="11"/>
      <c r="F31" s="11"/>
    </row>
    <row r="32">
      <c r="A32" s="12"/>
      <c r="B32" s="12"/>
      <c r="C32" s="13"/>
      <c r="D32" s="11"/>
      <c r="E32" s="11"/>
      <c r="F32" s="11"/>
    </row>
    <row r="33">
      <c r="A33" s="12"/>
      <c r="B33" s="12"/>
      <c r="C33" s="13"/>
      <c r="D33" s="11"/>
      <c r="E33" s="11"/>
      <c r="F33" s="11"/>
    </row>
    <row r="34">
      <c r="A34" s="12"/>
      <c r="B34" s="12"/>
      <c r="C34" s="13"/>
      <c r="D34" s="11"/>
      <c r="E34" s="11"/>
      <c r="F34" s="11"/>
    </row>
    <row r="35">
      <c r="A35" s="12"/>
      <c r="B35" s="12"/>
      <c r="C35" s="13"/>
      <c r="D35" s="11"/>
      <c r="E35" s="11"/>
      <c r="F35" s="11"/>
    </row>
    <row r="36">
      <c r="A36" s="12"/>
      <c r="B36" s="12"/>
      <c r="C36" s="13"/>
      <c r="D36" s="11"/>
      <c r="E36" s="11"/>
      <c r="F36" s="11"/>
    </row>
    <row r="37">
      <c r="A37" s="12"/>
      <c r="B37" s="12"/>
      <c r="C37" s="13"/>
      <c r="D37" s="11"/>
      <c r="E37" s="11"/>
      <c r="F37" s="11"/>
    </row>
    <row r="38">
      <c r="A38" s="12"/>
      <c r="B38" s="12"/>
      <c r="C38" s="13"/>
      <c r="D38" s="11"/>
      <c r="E38" s="11"/>
      <c r="F38" s="11"/>
    </row>
    <row r="39">
      <c r="A39" s="12"/>
      <c r="B39" s="12"/>
      <c r="C39" s="13"/>
      <c r="D39" s="11"/>
      <c r="E39" s="11"/>
      <c r="F39" s="11"/>
    </row>
    <row r="40">
      <c r="A40" s="12"/>
      <c r="B40" s="12"/>
      <c r="C40" s="13"/>
      <c r="D40" s="11"/>
      <c r="E40" s="11"/>
      <c r="F40" s="11"/>
    </row>
    <row r="41">
      <c r="A41" s="12"/>
      <c r="B41" s="12"/>
      <c r="C41" s="13"/>
      <c r="D41" s="11"/>
      <c r="E41" s="11"/>
      <c r="F41" s="11"/>
    </row>
    <row r="42">
      <c r="A42" s="12"/>
      <c r="B42" s="12"/>
      <c r="C42" s="13"/>
      <c r="D42" s="11"/>
      <c r="E42" s="11"/>
      <c r="F42" s="11"/>
    </row>
    <row r="43">
      <c r="A43" s="12"/>
      <c r="B43" s="12"/>
      <c r="C43" s="13"/>
      <c r="D43" s="11"/>
      <c r="E43" s="11"/>
      <c r="F43" s="11"/>
    </row>
    <row r="44">
      <c r="A44" s="12"/>
      <c r="B44" s="12"/>
      <c r="C44" s="13"/>
      <c r="D44" s="11"/>
      <c r="E44" s="11"/>
      <c r="F44" s="11"/>
    </row>
    <row r="45">
      <c r="A45" s="12"/>
      <c r="B45" s="12"/>
      <c r="C45" s="13"/>
      <c r="D45" s="11"/>
      <c r="E45" s="11"/>
      <c r="F45" s="11"/>
    </row>
    <row r="46">
      <c r="A46" s="12"/>
      <c r="B46" s="12"/>
      <c r="C46" s="13"/>
      <c r="D46" s="11"/>
      <c r="E46" s="11"/>
      <c r="F46" s="11"/>
    </row>
    <row r="47">
      <c r="A47" s="12"/>
      <c r="B47" s="12"/>
      <c r="C47" s="13"/>
      <c r="D47" s="11"/>
      <c r="E47" s="11"/>
      <c r="F47" s="11"/>
    </row>
    <row r="48">
      <c r="A48" s="12"/>
      <c r="B48" s="12"/>
      <c r="C48" s="13"/>
      <c r="D48" s="11"/>
      <c r="E48" s="11"/>
      <c r="F48" s="11"/>
    </row>
    <row r="49">
      <c r="A49" s="12"/>
      <c r="B49" s="12"/>
      <c r="C49" s="13"/>
      <c r="D49" s="11"/>
      <c r="E49" s="11"/>
      <c r="F49" s="11"/>
    </row>
    <row r="50">
      <c r="A50" s="12"/>
      <c r="B50" s="12"/>
      <c r="C50" s="13"/>
      <c r="D50" s="11"/>
      <c r="E50" s="11"/>
      <c r="F50" s="11"/>
    </row>
    <row r="51">
      <c r="A51" s="12"/>
      <c r="B51" s="12"/>
      <c r="C51" s="13"/>
      <c r="D51" s="11"/>
      <c r="E51" s="11"/>
      <c r="F51" s="11"/>
    </row>
    <row r="52">
      <c r="A52" s="12"/>
      <c r="B52" s="12"/>
      <c r="C52" s="13"/>
      <c r="D52" s="11"/>
      <c r="E52" s="11"/>
      <c r="F52" s="11"/>
    </row>
    <row r="53">
      <c r="A53" s="12"/>
      <c r="B53" s="12"/>
      <c r="C53" s="13"/>
      <c r="D53" s="11"/>
      <c r="E53" s="11"/>
      <c r="F53" s="11"/>
    </row>
    <row r="54">
      <c r="A54" s="12"/>
      <c r="B54" s="12"/>
      <c r="C54" s="13"/>
      <c r="D54" s="11"/>
      <c r="E54" s="11"/>
      <c r="F54" s="11"/>
    </row>
    <row r="55">
      <c r="A55" s="14"/>
      <c r="B55" s="14"/>
      <c r="C55" s="15"/>
      <c r="D55" s="14"/>
      <c r="E55" s="11"/>
      <c r="F55" s="11"/>
    </row>
    <row r="56">
      <c r="A56" s="14"/>
      <c r="B56" s="14"/>
      <c r="C56" s="15"/>
      <c r="D56" s="14"/>
      <c r="E56" s="11"/>
      <c r="F56" s="11"/>
    </row>
    <row r="57">
      <c r="A57" s="14"/>
      <c r="B57" s="14"/>
      <c r="C57" s="15"/>
      <c r="D57" s="14"/>
      <c r="E57" s="11"/>
      <c r="F57" s="11"/>
    </row>
    <row r="58">
      <c r="A58" s="14"/>
      <c r="B58" s="14"/>
      <c r="C58" s="15"/>
      <c r="D58" s="14"/>
      <c r="E58" s="11"/>
      <c r="F58" s="11"/>
    </row>
    <row r="59">
      <c r="A59" s="14"/>
      <c r="B59" s="14"/>
      <c r="C59" s="15"/>
      <c r="D59" s="14"/>
      <c r="E59" s="11"/>
      <c r="F59" s="11"/>
    </row>
    <row r="60">
      <c r="A60" s="14"/>
      <c r="B60" s="14"/>
      <c r="C60" s="15"/>
      <c r="D60" s="14"/>
      <c r="E60" s="11"/>
      <c r="F60" s="11"/>
    </row>
    <row r="61">
      <c r="A61" s="14"/>
      <c r="B61" s="14"/>
      <c r="C61" s="15"/>
      <c r="D61" s="14"/>
      <c r="E61" s="11"/>
      <c r="F61" s="11"/>
    </row>
    <row r="62">
      <c r="A62" s="14"/>
      <c r="B62" s="14"/>
      <c r="C62" s="15"/>
      <c r="D62" s="14"/>
      <c r="E62" s="11"/>
      <c r="F62" s="11"/>
    </row>
    <row r="63">
      <c r="A63" s="14"/>
      <c r="B63" s="14"/>
      <c r="C63" s="15"/>
      <c r="D63" s="14"/>
      <c r="E63" s="11"/>
      <c r="F63" s="11"/>
    </row>
    <row r="64">
      <c r="A64" s="14"/>
      <c r="B64" s="14"/>
      <c r="C64" s="15"/>
      <c r="D64" s="14"/>
      <c r="E64" s="11"/>
      <c r="F64" s="11"/>
    </row>
    <row r="65">
      <c r="A65" s="14"/>
      <c r="B65" s="14"/>
      <c r="C65" s="15"/>
      <c r="D65" s="14"/>
      <c r="E65" s="11"/>
      <c r="F65" s="11"/>
    </row>
    <row r="66">
      <c r="A66" s="14"/>
      <c r="B66" s="14"/>
      <c r="C66" s="15"/>
      <c r="D66" s="14"/>
      <c r="E66" s="11"/>
      <c r="F66" s="11"/>
    </row>
    <row r="67">
      <c r="A67" s="14"/>
      <c r="B67" s="14"/>
      <c r="C67" s="15"/>
      <c r="D67" s="14"/>
      <c r="E67" s="11"/>
      <c r="F67" s="11"/>
    </row>
    <row r="68">
      <c r="A68" s="14"/>
      <c r="B68" s="14"/>
      <c r="C68" s="15"/>
      <c r="D68" s="14"/>
      <c r="E68" s="11"/>
      <c r="F68" s="11"/>
    </row>
    <row r="69">
      <c r="A69" s="14"/>
      <c r="B69" s="14"/>
      <c r="C69" s="15"/>
      <c r="D69" s="14"/>
      <c r="E69" s="11"/>
      <c r="F69" s="11"/>
    </row>
    <row r="70">
      <c r="A70" s="14"/>
      <c r="B70" s="14"/>
      <c r="C70" s="15"/>
      <c r="D70" s="14"/>
      <c r="E70" s="11"/>
      <c r="F70" s="11"/>
    </row>
    <row r="71">
      <c r="A71" s="14"/>
      <c r="B71" s="14"/>
      <c r="C71" s="15"/>
      <c r="D71" s="14"/>
      <c r="E71" s="11"/>
      <c r="F71" s="11"/>
    </row>
    <row r="72">
      <c r="A72" s="14"/>
      <c r="B72" s="14"/>
      <c r="C72" s="15"/>
      <c r="D72" s="14"/>
      <c r="E72" s="11"/>
      <c r="F72" s="11"/>
    </row>
    <row r="73">
      <c r="A73" s="14"/>
      <c r="B73" s="14"/>
      <c r="C73" s="15"/>
      <c r="D73" s="14"/>
      <c r="E73" s="11"/>
      <c r="F73" s="11"/>
    </row>
    <row r="74">
      <c r="A74" s="14"/>
      <c r="B74" s="14"/>
      <c r="C74" s="15"/>
      <c r="D74" s="14"/>
      <c r="E74" s="11"/>
      <c r="F74" s="11"/>
    </row>
    <row r="75">
      <c r="A75" s="14"/>
      <c r="B75" s="14"/>
      <c r="C75" s="15"/>
      <c r="D75" s="14"/>
      <c r="E75" s="11"/>
      <c r="F75" s="11"/>
    </row>
    <row r="76">
      <c r="A76" s="14"/>
      <c r="B76" s="14"/>
      <c r="C76" s="15"/>
      <c r="D76" s="14"/>
      <c r="E76" s="11"/>
      <c r="F76" s="11"/>
    </row>
    <row r="77">
      <c r="A77" s="14"/>
      <c r="B77" s="14"/>
      <c r="C77" s="15"/>
      <c r="D77" s="14"/>
      <c r="E77" s="11"/>
      <c r="F77" s="11"/>
    </row>
    <row r="78">
      <c r="A78" s="14"/>
      <c r="B78" s="14"/>
      <c r="C78" s="15"/>
      <c r="D78" s="14"/>
      <c r="E78" s="11"/>
      <c r="F78" s="11"/>
    </row>
    <row r="79">
      <c r="A79" s="14"/>
      <c r="B79" s="14"/>
      <c r="C79" s="15"/>
      <c r="D79" s="14"/>
      <c r="E79" s="11"/>
      <c r="F79" s="11"/>
    </row>
    <row r="80">
      <c r="A80" s="14"/>
      <c r="B80" s="14"/>
      <c r="C80" s="15"/>
      <c r="D80" s="14"/>
      <c r="E80" s="11"/>
      <c r="F80" s="11"/>
    </row>
    <row r="81">
      <c r="A81" s="14"/>
      <c r="B81" s="14"/>
      <c r="C81" s="15"/>
      <c r="D81" s="14"/>
      <c r="E81" s="11"/>
      <c r="F81" s="11"/>
    </row>
    <row r="82">
      <c r="A82" s="14"/>
      <c r="B82" s="14"/>
      <c r="C82" s="15"/>
      <c r="D82" s="14"/>
      <c r="E82" s="11"/>
      <c r="F82" s="11"/>
    </row>
    <row r="83">
      <c r="A83" s="14"/>
      <c r="B83" s="14"/>
      <c r="C83" s="15"/>
      <c r="D83" s="14"/>
      <c r="E83" s="11"/>
      <c r="F83" s="11"/>
    </row>
    <row r="84">
      <c r="A84" s="14"/>
      <c r="B84" s="14"/>
      <c r="C84" s="15"/>
      <c r="D84" s="14"/>
      <c r="E84" s="11"/>
      <c r="F84" s="11"/>
    </row>
    <row r="85">
      <c r="A85" s="14"/>
      <c r="B85" s="14"/>
      <c r="C85" s="15"/>
      <c r="D85" s="14"/>
      <c r="E85" s="11"/>
      <c r="F85" s="11"/>
    </row>
    <row r="86">
      <c r="A86" s="14"/>
      <c r="B86" s="14"/>
      <c r="C86" s="15"/>
      <c r="D86" s="14"/>
      <c r="E86" s="11"/>
      <c r="F86" s="11"/>
    </row>
    <row r="87">
      <c r="A87" s="14"/>
      <c r="B87" s="14"/>
      <c r="C87" s="15"/>
      <c r="D87" s="14"/>
      <c r="E87" s="11"/>
      <c r="F87" s="11"/>
    </row>
    <row r="88">
      <c r="A88" s="14"/>
      <c r="B88" s="14"/>
      <c r="C88" s="15"/>
      <c r="D88" s="14"/>
      <c r="E88" s="11"/>
      <c r="F88" s="11"/>
    </row>
    <row r="89">
      <c r="A89" s="14"/>
      <c r="B89" s="14"/>
      <c r="C89" s="15"/>
      <c r="D89" s="14"/>
      <c r="E89" s="11"/>
      <c r="F89" s="11"/>
    </row>
    <row r="90">
      <c r="A90" s="14"/>
      <c r="B90" s="14"/>
      <c r="C90" s="15"/>
      <c r="D90" s="14"/>
      <c r="E90" s="11"/>
      <c r="F90" s="11"/>
    </row>
    <row r="91">
      <c r="A91" s="14"/>
      <c r="B91" s="14"/>
      <c r="C91" s="15"/>
      <c r="D91" s="14"/>
      <c r="E91" s="11"/>
      <c r="F91" s="11"/>
    </row>
    <row r="92">
      <c r="A92" s="14"/>
      <c r="B92" s="14"/>
      <c r="C92" s="15"/>
      <c r="D92" s="14"/>
      <c r="E92" s="11"/>
      <c r="F92" s="11"/>
    </row>
    <row r="93">
      <c r="A93" s="14"/>
      <c r="B93" s="14"/>
      <c r="C93" s="15"/>
      <c r="D93" s="14"/>
      <c r="E93" s="11"/>
      <c r="F93" s="11"/>
    </row>
    <row r="94">
      <c r="A94" s="14"/>
      <c r="B94" s="14"/>
      <c r="C94" s="15"/>
      <c r="D94" s="14"/>
      <c r="E94" s="11"/>
      <c r="F94" s="11"/>
    </row>
    <row r="95">
      <c r="A95" s="14"/>
      <c r="B95" s="14"/>
      <c r="C95" s="15"/>
      <c r="D95" s="14"/>
      <c r="E95" s="11"/>
      <c r="F95" s="11"/>
    </row>
    <row r="96">
      <c r="A96" s="14"/>
      <c r="B96" s="14"/>
      <c r="C96" s="15"/>
      <c r="D96" s="14"/>
      <c r="E96" s="11"/>
      <c r="F96" s="11"/>
    </row>
    <row r="97">
      <c r="A97" s="14"/>
      <c r="B97" s="14"/>
      <c r="C97" s="15"/>
      <c r="D97" s="14"/>
      <c r="E97" s="11"/>
      <c r="F97" s="11"/>
    </row>
    <row r="98">
      <c r="A98" s="14"/>
      <c r="B98" s="14"/>
      <c r="C98" s="15"/>
      <c r="D98" s="14"/>
      <c r="E98" s="11"/>
      <c r="F98" s="11"/>
    </row>
    <row r="99">
      <c r="A99" s="14"/>
      <c r="B99" s="14"/>
      <c r="C99" s="15"/>
      <c r="D99" s="14"/>
      <c r="E99" s="11"/>
      <c r="F99" s="11"/>
    </row>
    <row r="100">
      <c r="A100" s="14"/>
      <c r="B100" s="14"/>
      <c r="C100" s="15"/>
      <c r="D100" s="14"/>
      <c r="E100" s="11"/>
      <c r="F100" s="11"/>
    </row>
    <row r="101">
      <c r="A101" s="14"/>
      <c r="B101" s="14"/>
      <c r="C101" s="15"/>
      <c r="D101" s="14"/>
      <c r="E101" s="11"/>
      <c r="F101" s="11"/>
    </row>
    <row r="102">
      <c r="A102" s="14"/>
      <c r="B102" s="14"/>
      <c r="C102" s="15"/>
      <c r="D102" s="14"/>
      <c r="E102" s="11"/>
      <c r="F102" s="11"/>
    </row>
    <row r="103">
      <c r="A103" s="14"/>
      <c r="B103" s="14"/>
      <c r="C103" s="15"/>
      <c r="D103" s="14"/>
      <c r="E103" s="11"/>
      <c r="F103" s="11"/>
    </row>
    <row r="104">
      <c r="A104" s="14"/>
      <c r="B104" s="14"/>
      <c r="C104" s="15"/>
      <c r="D104" s="14"/>
      <c r="E104" s="11"/>
      <c r="F104" s="11"/>
    </row>
    <row r="105">
      <c r="A105" s="14"/>
      <c r="B105" s="14"/>
      <c r="C105" s="15"/>
      <c r="D105" s="14"/>
      <c r="E105" s="11"/>
      <c r="F105" s="11"/>
    </row>
    <row r="106">
      <c r="A106" s="14"/>
      <c r="B106" s="14"/>
      <c r="C106" s="15"/>
      <c r="D106" s="14"/>
      <c r="E106" s="11"/>
      <c r="F106" s="11"/>
    </row>
    <row r="107">
      <c r="A107" s="14"/>
      <c r="B107" s="14"/>
      <c r="C107" s="15"/>
      <c r="D107" s="14"/>
      <c r="E107" s="11"/>
      <c r="F107" s="11"/>
    </row>
    <row r="108">
      <c r="A108" s="14"/>
      <c r="B108" s="14"/>
      <c r="C108" s="15"/>
      <c r="D108" s="14"/>
      <c r="E108" s="11"/>
      <c r="F108" s="11"/>
    </row>
    <row r="109">
      <c r="A109" s="14"/>
      <c r="B109" s="14"/>
      <c r="C109" s="15"/>
      <c r="D109" s="14"/>
      <c r="E109" s="11"/>
      <c r="F109" s="11"/>
    </row>
    <row r="110">
      <c r="A110" s="14"/>
      <c r="B110" s="14"/>
      <c r="C110" s="15"/>
      <c r="D110" s="14"/>
      <c r="E110" s="11"/>
      <c r="F110" s="11"/>
    </row>
    <row r="111">
      <c r="A111" s="14"/>
      <c r="B111" s="14"/>
      <c r="C111" s="15"/>
      <c r="D111" s="14"/>
      <c r="E111" s="11"/>
      <c r="F111" s="11"/>
    </row>
    <row r="112">
      <c r="A112" s="14"/>
      <c r="B112" s="14"/>
      <c r="C112" s="15"/>
      <c r="D112" s="14"/>
      <c r="E112" s="11"/>
      <c r="F112" s="11"/>
    </row>
    <row r="113">
      <c r="A113" s="14"/>
      <c r="B113" s="14"/>
      <c r="C113" s="15"/>
      <c r="D113" s="14"/>
      <c r="E113" s="11"/>
      <c r="F113" s="11"/>
    </row>
    <row r="114">
      <c r="A114" s="14"/>
      <c r="B114" s="14"/>
      <c r="C114" s="15"/>
      <c r="D114" s="14"/>
      <c r="E114" s="11"/>
      <c r="F114" s="11"/>
    </row>
    <row r="115">
      <c r="A115" s="14"/>
      <c r="B115" s="14"/>
      <c r="C115" s="15"/>
      <c r="D115" s="14"/>
      <c r="E115" s="11"/>
      <c r="F115" s="11"/>
    </row>
    <row r="116">
      <c r="A116" s="14"/>
      <c r="B116" s="14"/>
      <c r="C116" s="15"/>
      <c r="D116" s="14"/>
      <c r="E116" s="11"/>
      <c r="F116" s="11"/>
    </row>
    <row r="117">
      <c r="A117" s="14"/>
      <c r="B117" s="14"/>
      <c r="C117" s="15"/>
      <c r="D117" s="14"/>
      <c r="E117" s="11"/>
      <c r="F117" s="11"/>
    </row>
    <row r="118">
      <c r="A118" s="14"/>
      <c r="B118" s="14"/>
      <c r="C118" s="15"/>
      <c r="D118" s="14"/>
      <c r="E118" s="11"/>
      <c r="F118" s="11"/>
    </row>
    <row r="119">
      <c r="A119" s="14"/>
      <c r="B119" s="14"/>
      <c r="C119" s="15"/>
      <c r="D119" s="14"/>
      <c r="E119" s="11"/>
      <c r="F119" s="11"/>
    </row>
    <row r="120">
      <c r="A120" s="14"/>
      <c r="B120" s="14"/>
      <c r="C120" s="15"/>
      <c r="D120" s="14"/>
      <c r="E120" s="11"/>
      <c r="F120" s="11"/>
    </row>
    <row r="121">
      <c r="A121" s="14"/>
      <c r="B121" s="14"/>
      <c r="C121" s="15"/>
      <c r="D121" s="14"/>
      <c r="E121" s="11"/>
      <c r="F121" s="11"/>
    </row>
    <row r="122">
      <c r="A122" s="14"/>
      <c r="B122" s="14"/>
      <c r="C122" s="15"/>
      <c r="D122" s="14"/>
      <c r="E122" s="11"/>
      <c r="F122" s="11"/>
    </row>
    <row r="123">
      <c r="A123" s="14"/>
      <c r="B123" s="14"/>
      <c r="C123" s="15"/>
      <c r="D123" s="14"/>
      <c r="E123" s="11"/>
      <c r="F123" s="11"/>
    </row>
    <row r="124">
      <c r="A124" s="14"/>
      <c r="B124" s="14"/>
      <c r="C124" s="15"/>
      <c r="D124" s="14"/>
      <c r="E124" s="11"/>
      <c r="F124" s="11"/>
    </row>
    <row r="125">
      <c r="A125" s="14"/>
      <c r="B125" s="14"/>
      <c r="C125" s="15"/>
      <c r="D125" s="14"/>
      <c r="E125" s="11"/>
      <c r="F125" s="11"/>
    </row>
    <row r="126">
      <c r="A126" s="14"/>
      <c r="B126" s="14"/>
      <c r="C126" s="15"/>
      <c r="D126" s="14"/>
      <c r="E126" s="11"/>
      <c r="F126" s="11"/>
    </row>
    <row r="127">
      <c r="A127" s="14"/>
      <c r="B127" s="14"/>
      <c r="C127" s="15"/>
      <c r="D127" s="14"/>
      <c r="E127" s="11"/>
      <c r="F127" s="11"/>
    </row>
    <row r="128">
      <c r="A128" s="14"/>
      <c r="B128" s="14"/>
      <c r="C128" s="15"/>
      <c r="D128" s="14"/>
      <c r="E128" s="11"/>
      <c r="F128" s="11"/>
    </row>
    <row r="129">
      <c r="A129" s="14"/>
      <c r="B129" s="14"/>
      <c r="C129" s="15"/>
      <c r="D129" s="14"/>
      <c r="E129" s="11"/>
      <c r="F129" s="11"/>
    </row>
    <row r="130">
      <c r="A130" s="14"/>
      <c r="B130" s="14"/>
      <c r="C130" s="15"/>
      <c r="D130" s="14"/>
      <c r="E130" s="11"/>
      <c r="F130" s="11"/>
    </row>
    <row r="131">
      <c r="A131" s="14"/>
      <c r="B131" s="14"/>
      <c r="C131" s="15"/>
      <c r="D131" s="14"/>
      <c r="E131" s="11"/>
      <c r="F131" s="11"/>
    </row>
    <row r="132">
      <c r="A132" s="14"/>
      <c r="B132" s="14"/>
      <c r="C132" s="15"/>
      <c r="D132" s="14"/>
      <c r="E132" s="11"/>
      <c r="F132" s="11"/>
    </row>
    <row r="133">
      <c r="A133" s="14"/>
      <c r="B133" s="14"/>
      <c r="C133" s="15"/>
      <c r="D133" s="14"/>
      <c r="E133" s="11"/>
      <c r="F133" s="11"/>
    </row>
    <row r="134">
      <c r="A134" s="14"/>
      <c r="B134" s="14"/>
      <c r="C134" s="15"/>
      <c r="D134" s="14"/>
      <c r="E134" s="11"/>
      <c r="F134" s="11"/>
    </row>
    <row r="135">
      <c r="A135" s="14"/>
      <c r="B135" s="14"/>
      <c r="C135" s="15"/>
      <c r="D135" s="14"/>
      <c r="E135" s="11"/>
      <c r="F135" s="11"/>
    </row>
    <row r="136">
      <c r="A136" s="14"/>
      <c r="B136" s="14"/>
      <c r="C136" s="15"/>
      <c r="D136" s="14"/>
      <c r="E136" s="11"/>
      <c r="F136" s="11"/>
    </row>
    <row r="137">
      <c r="A137" s="14"/>
      <c r="B137" s="14"/>
      <c r="C137" s="15"/>
      <c r="D137" s="14"/>
      <c r="E137" s="11"/>
      <c r="F137" s="11"/>
    </row>
    <row r="138">
      <c r="A138" s="14"/>
      <c r="B138" s="14"/>
      <c r="C138" s="15"/>
      <c r="D138" s="14"/>
      <c r="E138" s="11"/>
      <c r="F138" s="11"/>
    </row>
    <row r="139">
      <c r="A139" s="14"/>
      <c r="B139" s="14"/>
      <c r="C139" s="15"/>
      <c r="D139" s="14"/>
      <c r="E139" s="11"/>
      <c r="F139" s="11"/>
    </row>
    <row r="140">
      <c r="A140" s="14"/>
      <c r="B140" s="14"/>
      <c r="C140" s="15"/>
      <c r="D140" s="14"/>
      <c r="E140" s="11"/>
      <c r="F140" s="11"/>
    </row>
    <row r="141">
      <c r="A141" s="14"/>
      <c r="B141" s="14"/>
      <c r="C141" s="15"/>
      <c r="D141" s="14"/>
      <c r="E141" s="11"/>
      <c r="F141" s="11"/>
    </row>
    <row r="142">
      <c r="A142" s="14"/>
      <c r="B142" s="14"/>
      <c r="C142" s="15"/>
      <c r="D142" s="14"/>
      <c r="E142" s="11"/>
      <c r="F142" s="11"/>
    </row>
    <row r="143">
      <c r="A143" s="14"/>
      <c r="B143" s="14"/>
      <c r="C143" s="15"/>
      <c r="D143" s="14"/>
      <c r="E143" s="11"/>
      <c r="F143" s="11"/>
    </row>
    <row r="144">
      <c r="A144" s="14"/>
      <c r="B144" s="14"/>
      <c r="C144" s="15"/>
      <c r="D144" s="14"/>
      <c r="E144" s="11"/>
      <c r="F144" s="11"/>
    </row>
    <row r="145">
      <c r="A145" s="14"/>
      <c r="B145" s="14"/>
      <c r="C145" s="15"/>
      <c r="D145" s="14"/>
      <c r="E145" s="11"/>
      <c r="F145" s="11"/>
    </row>
    <row r="146">
      <c r="A146" s="14"/>
      <c r="B146" s="14"/>
      <c r="C146" s="15"/>
      <c r="D146" s="14"/>
      <c r="E146" s="11"/>
      <c r="F146" s="11"/>
    </row>
    <row r="147">
      <c r="A147" s="14"/>
      <c r="B147" s="14"/>
      <c r="C147" s="15"/>
      <c r="D147" s="14"/>
      <c r="E147" s="11"/>
      <c r="F147" s="11"/>
    </row>
    <row r="148">
      <c r="A148" s="14"/>
      <c r="B148" s="14"/>
      <c r="C148" s="15"/>
      <c r="D148" s="14"/>
      <c r="E148" s="11"/>
      <c r="F148" s="11"/>
    </row>
    <row r="149">
      <c r="A149" s="14"/>
      <c r="B149" s="14"/>
      <c r="C149" s="15"/>
      <c r="D149" s="14"/>
      <c r="E149" s="11"/>
      <c r="F149" s="11"/>
    </row>
    <row r="150">
      <c r="A150" s="14"/>
      <c r="B150" s="14"/>
      <c r="C150" s="15"/>
      <c r="D150" s="14"/>
      <c r="E150" s="11"/>
      <c r="F150" s="11"/>
    </row>
    <row r="151">
      <c r="A151" s="14"/>
      <c r="B151" s="14"/>
      <c r="C151" s="15"/>
      <c r="D151" s="14"/>
      <c r="E151" s="11"/>
      <c r="F151" s="11"/>
    </row>
    <row r="152">
      <c r="A152" s="14"/>
      <c r="B152" s="14"/>
      <c r="C152" s="15"/>
      <c r="D152" s="14"/>
      <c r="E152" s="11"/>
      <c r="F152" s="11"/>
    </row>
    <row r="153">
      <c r="A153" s="14"/>
      <c r="B153" s="14"/>
      <c r="C153" s="15"/>
      <c r="D153" s="14"/>
      <c r="E153" s="11"/>
      <c r="F153" s="11"/>
    </row>
    <row r="154">
      <c r="A154" s="14"/>
      <c r="B154" s="14"/>
      <c r="C154" s="15"/>
      <c r="D154" s="14"/>
      <c r="E154" s="11"/>
      <c r="F154" s="11"/>
    </row>
    <row r="155">
      <c r="A155" s="14"/>
      <c r="B155" s="14"/>
      <c r="C155" s="15"/>
      <c r="D155" s="14"/>
      <c r="E155" s="11"/>
      <c r="F155" s="11"/>
    </row>
    <row r="156">
      <c r="A156" s="14"/>
      <c r="B156" s="14"/>
      <c r="C156" s="15"/>
      <c r="D156" s="14"/>
      <c r="E156" s="11"/>
      <c r="F156" s="11"/>
    </row>
    <row r="157">
      <c r="A157" s="14"/>
      <c r="B157" s="14"/>
      <c r="C157" s="15"/>
      <c r="D157" s="14"/>
      <c r="E157" s="11"/>
      <c r="F157" s="11"/>
    </row>
    <row r="158">
      <c r="A158" s="14"/>
      <c r="B158" s="14"/>
      <c r="C158" s="15"/>
      <c r="D158" s="14"/>
      <c r="E158" s="11"/>
      <c r="F158" s="11"/>
    </row>
    <row r="159">
      <c r="A159" s="14"/>
      <c r="B159" s="14"/>
      <c r="C159" s="15"/>
      <c r="D159" s="14"/>
      <c r="E159" s="11"/>
      <c r="F159" s="11"/>
    </row>
    <row r="160">
      <c r="A160" s="14"/>
      <c r="B160" s="14"/>
      <c r="C160" s="15"/>
      <c r="D160" s="14"/>
      <c r="E160" s="11"/>
      <c r="F160" s="11"/>
    </row>
    <row r="161">
      <c r="A161" s="14"/>
      <c r="B161" s="14"/>
      <c r="C161" s="15"/>
      <c r="D161" s="14"/>
      <c r="E161" s="11"/>
      <c r="F161" s="11"/>
    </row>
    <row r="162">
      <c r="A162" s="14"/>
      <c r="B162" s="14"/>
      <c r="C162" s="15"/>
      <c r="D162" s="14"/>
      <c r="E162" s="11"/>
      <c r="F162" s="11"/>
    </row>
    <row r="163">
      <c r="A163" s="14"/>
      <c r="B163" s="14"/>
      <c r="C163" s="15"/>
      <c r="D163" s="14"/>
      <c r="E163" s="11"/>
      <c r="F163" s="11"/>
    </row>
    <row r="164">
      <c r="A164" s="14"/>
      <c r="B164" s="14"/>
      <c r="C164" s="15"/>
      <c r="D164" s="14"/>
      <c r="E164" s="11"/>
      <c r="F164" s="11"/>
    </row>
    <row r="165">
      <c r="A165" s="14"/>
      <c r="B165" s="14"/>
      <c r="C165" s="15"/>
      <c r="D165" s="14"/>
      <c r="E165" s="11"/>
      <c r="F165" s="11"/>
    </row>
    <row r="166">
      <c r="A166" s="14"/>
      <c r="B166" s="14"/>
      <c r="C166" s="15"/>
      <c r="D166" s="14"/>
      <c r="E166" s="11"/>
      <c r="F166" s="11"/>
    </row>
    <row r="167">
      <c r="A167" s="14"/>
      <c r="B167" s="14"/>
      <c r="C167" s="15"/>
      <c r="D167" s="14"/>
      <c r="E167" s="11"/>
      <c r="F167" s="11"/>
    </row>
    <row r="168">
      <c r="A168" s="14"/>
      <c r="B168" s="14"/>
      <c r="C168" s="15"/>
      <c r="D168" s="14"/>
      <c r="E168" s="11"/>
      <c r="F168" s="11"/>
    </row>
    <row r="169">
      <c r="A169" s="14"/>
      <c r="B169" s="14"/>
      <c r="C169" s="15"/>
      <c r="D169" s="14"/>
      <c r="E169" s="11"/>
      <c r="F169" s="11"/>
    </row>
    <row r="170">
      <c r="A170" s="14"/>
      <c r="B170" s="14"/>
      <c r="C170" s="15"/>
      <c r="D170" s="14"/>
      <c r="E170" s="11"/>
      <c r="F170" s="11"/>
    </row>
    <row r="171">
      <c r="A171" s="14"/>
      <c r="B171" s="14"/>
      <c r="C171" s="15"/>
      <c r="D171" s="14"/>
      <c r="E171" s="11"/>
      <c r="F171" s="11"/>
    </row>
    <row r="172">
      <c r="A172" s="14"/>
      <c r="B172" s="14"/>
      <c r="C172" s="15"/>
      <c r="D172" s="14"/>
      <c r="E172" s="11"/>
      <c r="F172" s="11"/>
    </row>
    <row r="173">
      <c r="A173" s="14"/>
      <c r="B173" s="14"/>
      <c r="C173" s="15"/>
      <c r="D173" s="14"/>
      <c r="E173" s="11"/>
      <c r="F173" s="11"/>
    </row>
    <row r="174">
      <c r="A174" s="14"/>
      <c r="B174" s="14"/>
      <c r="C174" s="15"/>
      <c r="D174" s="14"/>
      <c r="E174" s="11"/>
      <c r="F174" s="11"/>
    </row>
    <row r="175">
      <c r="A175" s="14"/>
      <c r="B175" s="14"/>
      <c r="C175" s="15"/>
      <c r="D175" s="14"/>
      <c r="E175" s="11"/>
      <c r="F175" s="11"/>
    </row>
    <row r="176">
      <c r="A176" s="14"/>
      <c r="B176" s="14"/>
      <c r="C176" s="15"/>
      <c r="D176" s="14"/>
      <c r="E176" s="11"/>
      <c r="F176" s="11"/>
    </row>
    <row r="177">
      <c r="A177" s="14"/>
      <c r="B177" s="14"/>
      <c r="C177" s="15"/>
      <c r="D177" s="14"/>
      <c r="E177" s="11"/>
      <c r="F177" s="11"/>
    </row>
    <row r="178">
      <c r="A178" s="14"/>
      <c r="B178" s="14"/>
      <c r="C178" s="15"/>
      <c r="D178" s="14"/>
      <c r="E178" s="11"/>
      <c r="F178" s="11"/>
    </row>
    <row r="179">
      <c r="A179" s="14"/>
      <c r="B179" s="14"/>
      <c r="C179" s="15"/>
      <c r="D179" s="14"/>
      <c r="E179" s="11"/>
      <c r="F179" s="11"/>
    </row>
    <row r="180">
      <c r="A180" s="14"/>
      <c r="B180" s="14"/>
      <c r="C180" s="15"/>
      <c r="D180" s="14"/>
      <c r="E180" s="11"/>
      <c r="F180" s="11"/>
    </row>
    <row r="181">
      <c r="A181" s="14"/>
      <c r="B181" s="14"/>
      <c r="C181" s="15"/>
      <c r="D181" s="14"/>
      <c r="E181" s="11"/>
      <c r="F181" s="11"/>
    </row>
    <row r="182">
      <c r="A182" s="14"/>
      <c r="B182" s="14"/>
      <c r="C182" s="15"/>
      <c r="D182" s="14"/>
      <c r="E182" s="11"/>
      <c r="F182" s="11"/>
    </row>
    <row r="183">
      <c r="A183" s="14"/>
      <c r="B183" s="14"/>
      <c r="C183" s="15"/>
      <c r="D183" s="14"/>
      <c r="E183" s="11"/>
      <c r="F183" s="11"/>
    </row>
    <row r="184">
      <c r="A184" s="14"/>
      <c r="B184" s="14"/>
      <c r="C184" s="15"/>
      <c r="D184" s="14"/>
      <c r="E184" s="11"/>
      <c r="F184" s="11"/>
    </row>
    <row r="185">
      <c r="A185" s="14"/>
      <c r="B185" s="14"/>
      <c r="C185" s="15"/>
      <c r="D185" s="14"/>
      <c r="E185" s="11"/>
      <c r="F185" s="11"/>
    </row>
    <row r="186">
      <c r="A186" s="14"/>
      <c r="B186" s="14"/>
      <c r="C186" s="15"/>
      <c r="D186" s="14"/>
      <c r="E186" s="11"/>
      <c r="F186" s="11"/>
    </row>
    <row r="187">
      <c r="A187" s="14"/>
      <c r="B187" s="14"/>
      <c r="C187" s="15"/>
      <c r="D187" s="14"/>
      <c r="E187" s="11"/>
      <c r="F187" s="11"/>
    </row>
    <row r="188">
      <c r="A188" s="14"/>
      <c r="B188" s="14"/>
      <c r="C188" s="15"/>
      <c r="D188" s="14"/>
      <c r="E188" s="11"/>
      <c r="F188" s="11"/>
    </row>
    <row r="189">
      <c r="A189" s="14"/>
      <c r="B189" s="14"/>
      <c r="C189" s="15"/>
      <c r="D189" s="14"/>
      <c r="E189" s="11"/>
      <c r="F189" s="11"/>
    </row>
    <row r="190">
      <c r="A190" s="14"/>
      <c r="B190" s="14"/>
      <c r="C190" s="15"/>
      <c r="D190" s="14"/>
      <c r="E190" s="11"/>
      <c r="F190" s="11"/>
    </row>
    <row r="191">
      <c r="A191" s="14"/>
      <c r="B191" s="14"/>
      <c r="C191" s="15"/>
      <c r="D191" s="14"/>
      <c r="E191" s="11"/>
      <c r="F191" s="11"/>
    </row>
    <row r="192">
      <c r="A192" s="14"/>
      <c r="B192" s="14"/>
      <c r="C192" s="15"/>
      <c r="D192" s="14"/>
      <c r="E192" s="11"/>
      <c r="F192" s="11"/>
    </row>
    <row r="193">
      <c r="A193" s="14"/>
      <c r="B193" s="14"/>
      <c r="C193" s="15"/>
      <c r="D193" s="14"/>
      <c r="E193" s="11"/>
      <c r="F193" s="11"/>
    </row>
    <row r="194">
      <c r="A194" s="14"/>
      <c r="B194" s="14"/>
      <c r="C194" s="15"/>
      <c r="D194" s="14"/>
      <c r="E194" s="11"/>
      <c r="F194" s="11"/>
    </row>
    <row r="195">
      <c r="A195" s="14"/>
      <c r="B195" s="14"/>
      <c r="C195" s="15"/>
      <c r="D195" s="14"/>
      <c r="E195" s="11"/>
      <c r="F195" s="11"/>
    </row>
    <row r="196">
      <c r="A196" s="14"/>
      <c r="B196" s="14"/>
      <c r="C196" s="15"/>
      <c r="D196" s="14"/>
      <c r="E196" s="11"/>
      <c r="F196" s="11"/>
    </row>
    <row r="197">
      <c r="A197" s="14"/>
      <c r="B197" s="14"/>
      <c r="C197" s="15"/>
      <c r="D197" s="14"/>
      <c r="E197" s="11"/>
      <c r="F197" s="11"/>
    </row>
    <row r="198">
      <c r="A198" s="14"/>
      <c r="B198" s="14"/>
      <c r="C198" s="15"/>
      <c r="D198" s="14"/>
      <c r="E198" s="11"/>
      <c r="F198" s="11"/>
    </row>
    <row r="199">
      <c r="A199" s="14"/>
      <c r="B199" s="14"/>
      <c r="C199" s="15"/>
      <c r="D199" s="14"/>
      <c r="E199" s="11"/>
      <c r="F199" s="11"/>
    </row>
    <row r="200">
      <c r="A200" s="14"/>
      <c r="B200" s="14"/>
      <c r="C200" s="15"/>
      <c r="D200" s="14"/>
      <c r="E200" s="11"/>
      <c r="F200" s="11"/>
    </row>
    <row r="201">
      <c r="A201" s="14"/>
      <c r="B201" s="14"/>
      <c r="C201" s="15"/>
      <c r="D201" s="14"/>
      <c r="E201" s="11"/>
      <c r="F201" s="11"/>
    </row>
    <row r="202">
      <c r="A202" s="14"/>
      <c r="B202" s="14"/>
      <c r="C202" s="15"/>
      <c r="D202" s="14"/>
      <c r="E202" s="11"/>
      <c r="F202" s="11"/>
    </row>
    <row r="203">
      <c r="A203" s="14"/>
      <c r="B203" s="14"/>
      <c r="C203" s="15"/>
      <c r="D203" s="14"/>
      <c r="E203" s="11"/>
      <c r="F203" s="11"/>
    </row>
    <row r="204">
      <c r="A204" s="14"/>
      <c r="B204" s="14"/>
      <c r="C204" s="15"/>
      <c r="D204" s="14"/>
      <c r="E204" s="11"/>
      <c r="F204" s="11"/>
    </row>
    <row r="205">
      <c r="A205" s="14"/>
      <c r="B205" s="14"/>
      <c r="C205" s="15"/>
      <c r="D205" s="14"/>
      <c r="E205" s="11"/>
      <c r="F205" s="11"/>
    </row>
    <row r="206">
      <c r="A206" s="14"/>
      <c r="B206" s="14"/>
      <c r="C206" s="15"/>
      <c r="D206" s="14"/>
      <c r="E206" s="11"/>
      <c r="F206" s="11"/>
    </row>
    <row r="207">
      <c r="A207" s="14"/>
      <c r="B207" s="14"/>
      <c r="C207" s="15"/>
      <c r="D207" s="14"/>
      <c r="E207" s="11"/>
      <c r="F207" s="11"/>
    </row>
    <row r="208">
      <c r="A208" s="14"/>
      <c r="B208" s="14"/>
      <c r="C208" s="15"/>
      <c r="D208" s="14"/>
      <c r="E208" s="11"/>
      <c r="F208" s="11"/>
    </row>
    <row r="209">
      <c r="A209" s="14"/>
      <c r="B209" s="14"/>
      <c r="C209" s="15"/>
      <c r="D209" s="14"/>
      <c r="E209" s="11"/>
      <c r="F209" s="11"/>
    </row>
    <row r="210">
      <c r="A210" s="14"/>
      <c r="B210" s="14"/>
      <c r="C210" s="15"/>
      <c r="D210" s="14"/>
      <c r="E210" s="11"/>
      <c r="F210" s="11"/>
    </row>
    <row r="211">
      <c r="A211" s="14"/>
      <c r="B211" s="14"/>
      <c r="C211" s="15"/>
      <c r="D211" s="14"/>
      <c r="E211" s="11"/>
      <c r="F211" s="11"/>
    </row>
    <row r="212">
      <c r="A212" s="14"/>
      <c r="B212" s="14"/>
      <c r="C212" s="15"/>
      <c r="D212" s="14"/>
      <c r="E212" s="11"/>
      <c r="F212" s="11"/>
    </row>
    <row r="213">
      <c r="A213" s="14"/>
      <c r="B213" s="14"/>
      <c r="C213" s="15"/>
      <c r="D213" s="14"/>
      <c r="E213" s="11"/>
      <c r="F213" s="11"/>
    </row>
    <row r="214">
      <c r="A214" s="14"/>
      <c r="B214" s="14"/>
      <c r="C214" s="15"/>
      <c r="D214" s="14"/>
      <c r="E214" s="11"/>
      <c r="F214" s="11"/>
    </row>
    <row r="215">
      <c r="A215" s="14"/>
      <c r="B215" s="14"/>
      <c r="C215" s="15"/>
      <c r="D215" s="14"/>
      <c r="E215" s="11"/>
      <c r="F215" s="11"/>
    </row>
    <row r="216">
      <c r="A216" s="14"/>
      <c r="B216" s="14"/>
      <c r="C216" s="15"/>
      <c r="D216" s="14"/>
      <c r="E216" s="11"/>
      <c r="F216" s="11"/>
    </row>
    <row r="217">
      <c r="A217" s="14"/>
      <c r="B217" s="14"/>
      <c r="C217" s="15"/>
      <c r="D217" s="14"/>
      <c r="E217" s="11"/>
      <c r="F217" s="11"/>
    </row>
    <row r="218">
      <c r="A218" s="14"/>
      <c r="B218" s="14"/>
      <c r="C218" s="15"/>
      <c r="D218" s="14"/>
      <c r="E218" s="11"/>
      <c r="F218" s="11"/>
    </row>
    <row r="219">
      <c r="A219" s="14"/>
      <c r="B219" s="14"/>
      <c r="C219" s="15"/>
      <c r="D219" s="14"/>
      <c r="E219" s="11"/>
      <c r="F219" s="11"/>
    </row>
    <row r="220">
      <c r="A220" s="14"/>
      <c r="B220" s="14"/>
      <c r="C220" s="15"/>
      <c r="D220" s="14"/>
      <c r="E220" s="11"/>
      <c r="F220" s="11"/>
    </row>
    <row r="221">
      <c r="A221" s="14"/>
      <c r="B221" s="14"/>
      <c r="C221" s="15"/>
      <c r="D221" s="14"/>
      <c r="E221" s="11"/>
      <c r="F221" s="11"/>
    </row>
    <row r="222">
      <c r="A222" s="14"/>
      <c r="B222" s="14"/>
      <c r="C222" s="15"/>
      <c r="D222" s="14"/>
      <c r="E222" s="11"/>
      <c r="F222" s="11"/>
    </row>
    <row r="223">
      <c r="A223" s="14"/>
      <c r="B223" s="14"/>
      <c r="C223" s="15"/>
      <c r="D223" s="14"/>
      <c r="E223" s="11"/>
      <c r="F223" s="11"/>
    </row>
    <row r="224">
      <c r="A224" s="14"/>
      <c r="B224" s="14"/>
      <c r="C224" s="15"/>
      <c r="D224" s="14"/>
      <c r="E224" s="11"/>
      <c r="F224" s="11"/>
    </row>
    <row r="225">
      <c r="A225" s="14"/>
      <c r="B225" s="14"/>
      <c r="C225" s="15"/>
      <c r="D225" s="14"/>
      <c r="E225" s="11"/>
      <c r="F225" s="11"/>
    </row>
    <row r="226">
      <c r="A226" s="14"/>
      <c r="B226" s="14"/>
      <c r="C226" s="15"/>
      <c r="D226" s="14"/>
      <c r="E226" s="11"/>
      <c r="F226" s="11"/>
    </row>
    <row r="227">
      <c r="A227" s="14"/>
      <c r="B227" s="14"/>
      <c r="C227" s="15"/>
      <c r="D227" s="14"/>
      <c r="E227" s="11"/>
      <c r="F227" s="11"/>
    </row>
    <row r="228">
      <c r="A228" s="14"/>
      <c r="B228" s="14"/>
      <c r="C228" s="15"/>
      <c r="D228" s="14"/>
      <c r="E228" s="11"/>
      <c r="F228" s="11"/>
    </row>
    <row r="229">
      <c r="A229" s="14"/>
      <c r="B229" s="14"/>
      <c r="C229" s="15"/>
      <c r="D229" s="14"/>
      <c r="E229" s="11"/>
      <c r="F229" s="11"/>
    </row>
    <row r="230">
      <c r="A230" s="14"/>
      <c r="B230" s="14"/>
      <c r="C230" s="15"/>
      <c r="D230" s="14"/>
      <c r="E230" s="11"/>
      <c r="F230" s="11"/>
    </row>
    <row r="231">
      <c r="A231" s="14"/>
      <c r="B231" s="14"/>
      <c r="C231" s="15"/>
      <c r="D231" s="14"/>
      <c r="E231" s="11"/>
      <c r="F231" s="11"/>
    </row>
    <row r="232">
      <c r="A232" s="14"/>
      <c r="B232" s="14"/>
      <c r="C232" s="15"/>
      <c r="D232" s="14"/>
      <c r="E232" s="11"/>
      <c r="F232" s="11"/>
    </row>
    <row r="233">
      <c r="A233" s="14"/>
      <c r="B233" s="14"/>
      <c r="C233" s="15"/>
      <c r="D233" s="14"/>
      <c r="E233" s="11"/>
      <c r="F233" s="11"/>
    </row>
    <row r="234">
      <c r="A234" s="14"/>
      <c r="B234" s="14"/>
      <c r="C234" s="15"/>
      <c r="D234" s="14"/>
      <c r="E234" s="11"/>
      <c r="F234" s="11"/>
    </row>
    <row r="235">
      <c r="A235" s="14"/>
      <c r="B235" s="14"/>
      <c r="C235" s="15"/>
      <c r="D235" s="14"/>
      <c r="E235" s="11"/>
      <c r="F235" s="11"/>
    </row>
    <row r="236">
      <c r="A236" s="14"/>
      <c r="B236" s="14"/>
      <c r="C236" s="15"/>
      <c r="D236" s="14"/>
      <c r="E236" s="11"/>
      <c r="F236" s="11"/>
    </row>
    <row r="237">
      <c r="A237" s="14"/>
      <c r="B237" s="14"/>
      <c r="C237" s="15"/>
      <c r="D237" s="14"/>
      <c r="E237" s="11"/>
      <c r="F237" s="11"/>
    </row>
    <row r="238">
      <c r="A238" s="14"/>
      <c r="B238" s="14"/>
      <c r="C238" s="15"/>
      <c r="D238" s="14"/>
      <c r="E238" s="11"/>
      <c r="F238" s="11"/>
    </row>
    <row r="239">
      <c r="A239" s="14"/>
      <c r="B239" s="14"/>
      <c r="C239" s="15"/>
      <c r="D239" s="14"/>
      <c r="E239" s="11"/>
      <c r="F239" s="11"/>
    </row>
    <row r="240">
      <c r="A240" s="14"/>
      <c r="B240" s="14"/>
      <c r="C240" s="15"/>
      <c r="D240" s="14"/>
      <c r="E240" s="11"/>
      <c r="F240" s="11"/>
    </row>
    <row r="241">
      <c r="A241" s="14"/>
      <c r="B241" s="14"/>
      <c r="C241" s="15"/>
      <c r="D241" s="14"/>
      <c r="E241" s="11"/>
      <c r="F241" s="11"/>
    </row>
    <row r="242">
      <c r="A242" s="14"/>
      <c r="B242" s="14"/>
      <c r="C242" s="15"/>
      <c r="D242" s="14"/>
      <c r="E242" s="11"/>
      <c r="F242" s="11"/>
    </row>
    <row r="243">
      <c r="A243" s="14"/>
      <c r="B243" s="14"/>
      <c r="C243" s="15"/>
      <c r="D243" s="14"/>
      <c r="E243" s="11"/>
      <c r="F243" s="11"/>
    </row>
    <row r="244">
      <c r="A244" s="14"/>
      <c r="B244" s="14"/>
      <c r="C244" s="15"/>
      <c r="D244" s="14"/>
      <c r="E244" s="11"/>
      <c r="F244" s="11"/>
    </row>
    <row r="245">
      <c r="A245" s="14"/>
      <c r="B245" s="14"/>
      <c r="C245" s="15"/>
      <c r="D245" s="14"/>
      <c r="E245" s="11"/>
      <c r="F245" s="11"/>
    </row>
    <row r="246">
      <c r="A246" s="14"/>
      <c r="B246" s="14"/>
      <c r="C246" s="15"/>
      <c r="D246" s="14"/>
      <c r="E246" s="11"/>
      <c r="F246" s="11"/>
    </row>
    <row r="247">
      <c r="A247" s="14"/>
      <c r="B247" s="14"/>
      <c r="C247" s="15"/>
      <c r="D247" s="14"/>
      <c r="E247" s="11"/>
      <c r="F247" s="11"/>
    </row>
    <row r="248">
      <c r="A248" s="14"/>
      <c r="B248" s="14"/>
      <c r="C248" s="15"/>
      <c r="D248" s="14"/>
      <c r="E248" s="11"/>
      <c r="F248" s="11"/>
    </row>
    <row r="249">
      <c r="A249" s="14"/>
      <c r="B249" s="14"/>
      <c r="C249" s="15"/>
      <c r="D249" s="14"/>
      <c r="E249" s="11"/>
      <c r="F249" s="11"/>
    </row>
    <row r="250">
      <c r="A250" s="14"/>
      <c r="B250" s="14"/>
      <c r="C250" s="15"/>
      <c r="D250" s="14"/>
      <c r="E250" s="11"/>
      <c r="F250" s="11"/>
    </row>
    <row r="251">
      <c r="A251" s="14"/>
      <c r="B251" s="14"/>
      <c r="C251" s="15"/>
      <c r="D251" s="14"/>
      <c r="E251" s="11"/>
      <c r="F251" s="11"/>
    </row>
    <row r="252">
      <c r="A252" s="14"/>
      <c r="B252" s="14"/>
      <c r="C252" s="15"/>
      <c r="D252" s="14"/>
      <c r="E252" s="11"/>
      <c r="F252" s="11"/>
    </row>
    <row r="253">
      <c r="A253" s="14"/>
      <c r="B253" s="14"/>
      <c r="C253" s="15"/>
      <c r="D253" s="14"/>
      <c r="E253" s="11"/>
      <c r="F253" s="11"/>
    </row>
    <row r="254">
      <c r="A254" s="14"/>
      <c r="B254" s="14"/>
      <c r="C254" s="15"/>
      <c r="D254" s="14"/>
      <c r="E254" s="11"/>
      <c r="F254" s="11"/>
    </row>
    <row r="255">
      <c r="A255" s="14"/>
      <c r="B255" s="14"/>
      <c r="C255" s="15"/>
      <c r="D255" s="14"/>
      <c r="E255" s="11"/>
      <c r="F255" s="11"/>
    </row>
    <row r="256">
      <c r="A256" s="14"/>
      <c r="B256" s="14"/>
      <c r="C256" s="15"/>
      <c r="D256" s="14"/>
      <c r="E256" s="11"/>
      <c r="F256" s="11"/>
    </row>
    <row r="257">
      <c r="A257" s="14"/>
      <c r="B257" s="14"/>
      <c r="C257" s="15"/>
      <c r="D257" s="14"/>
      <c r="E257" s="11"/>
      <c r="F257" s="11"/>
    </row>
    <row r="258">
      <c r="A258" s="14"/>
      <c r="B258" s="14"/>
      <c r="C258" s="15"/>
      <c r="D258" s="14"/>
      <c r="E258" s="11"/>
      <c r="F258" s="11"/>
    </row>
    <row r="259">
      <c r="A259" s="14"/>
      <c r="B259" s="14"/>
      <c r="C259" s="15"/>
      <c r="D259" s="14"/>
      <c r="E259" s="11"/>
      <c r="F259" s="11"/>
    </row>
    <row r="260">
      <c r="A260" s="14"/>
      <c r="B260" s="14"/>
      <c r="C260" s="15"/>
      <c r="D260" s="14"/>
      <c r="E260" s="11"/>
      <c r="F260" s="11"/>
    </row>
    <row r="261">
      <c r="A261" s="14"/>
      <c r="B261" s="14"/>
      <c r="C261" s="15"/>
      <c r="D261" s="14"/>
      <c r="E261" s="11"/>
      <c r="F261" s="11"/>
    </row>
    <row r="262">
      <c r="A262" s="14"/>
      <c r="B262" s="14"/>
      <c r="C262" s="15"/>
      <c r="D262" s="14"/>
      <c r="E262" s="11"/>
      <c r="F262" s="11"/>
    </row>
    <row r="263">
      <c r="A263" s="14"/>
      <c r="B263" s="14"/>
      <c r="C263" s="15"/>
      <c r="D263" s="14"/>
      <c r="E263" s="11"/>
      <c r="F263" s="11"/>
    </row>
    <row r="264">
      <c r="A264" s="14"/>
      <c r="B264" s="14"/>
      <c r="C264" s="15"/>
      <c r="D264" s="14"/>
      <c r="E264" s="11"/>
      <c r="F264" s="11"/>
    </row>
    <row r="265">
      <c r="A265" s="14"/>
      <c r="B265" s="14"/>
      <c r="C265" s="15"/>
      <c r="D265" s="14"/>
      <c r="E265" s="11"/>
      <c r="F265" s="11"/>
    </row>
    <row r="266">
      <c r="A266" s="14"/>
      <c r="B266" s="14"/>
      <c r="C266" s="15"/>
      <c r="D266" s="14"/>
      <c r="E266" s="11"/>
      <c r="F266" s="11"/>
    </row>
    <row r="267">
      <c r="A267" s="14"/>
      <c r="B267" s="14"/>
      <c r="C267" s="15"/>
      <c r="D267" s="14"/>
      <c r="E267" s="11"/>
      <c r="F267" s="11"/>
    </row>
    <row r="268">
      <c r="A268" s="14"/>
      <c r="B268" s="14"/>
      <c r="C268" s="15"/>
      <c r="D268" s="14"/>
      <c r="E268" s="11"/>
      <c r="F268" s="11"/>
    </row>
    <row r="269">
      <c r="A269" s="14"/>
      <c r="B269" s="14"/>
      <c r="C269" s="15"/>
      <c r="D269" s="14"/>
      <c r="E269" s="11"/>
      <c r="F269" s="11"/>
    </row>
    <row r="270">
      <c r="A270" s="14"/>
      <c r="B270" s="14"/>
      <c r="C270" s="15"/>
      <c r="D270" s="14"/>
      <c r="E270" s="11"/>
      <c r="F270" s="11"/>
    </row>
    <row r="271">
      <c r="A271" s="14"/>
      <c r="B271" s="14"/>
      <c r="C271" s="15"/>
      <c r="D271" s="14"/>
      <c r="E271" s="11"/>
      <c r="F271" s="11"/>
    </row>
    <row r="272">
      <c r="A272" s="14"/>
      <c r="B272" s="14"/>
      <c r="C272" s="15"/>
      <c r="D272" s="14"/>
      <c r="E272" s="11"/>
      <c r="F272" s="11"/>
    </row>
    <row r="273">
      <c r="A273" s="14"/>
      <c r="B273" s="14"/>
      <c r="C273" s="15"/>
      <c r="D273" s="14"/>
      <c r="E273" s="11"/>
      <c r="F273" s="11"/>
    </row>
    <row r="274">
      <c r="A274" s="14"/>
      <c r="B274" s="14"/>
      <c r="C274" s="15"/>
      <c r="D274" s="14"/>
      <c r="E274" s="11"/>
      <c r="F274" s="11"/>
    </row>
    <row r="275">
      <c r="A275" s="14"/>
      <c r="B275" s="14"/>
      <c r="C275" s="15"/>
      <c r="D275" s="14"/>
      <c r="E275" s="11"/>
      <c r="F275" s="11"/>
    </row>
    <row r="276">
      <c r="A276" s="14"/>
      <c r="B276" s="14"/>
      <c r="C276" s="15"/>
      <c r="D276" s="14"/>
      <c r="E276" s="11"/>
      <c r="F276" s="11"/>
    </row>
    <row r="277">
      <c r="A277" s="14"/>
      <c r="B277" s="14"/>
      <c r="C277" s="15"/>
      <c r="D277" s="14"/>
      <c r="E277" s="11"/>
      <c r="F277" s="11"/>
    </row>
    <row r="278">
      <c r="A278" s="14"/>
      <c r="B278" s="14"/>
      <c r="C278" s="15"/>
      <c r="D278" s="14"/>
      <c r="E278" s="11"/>
      <c r="F278" s="11"/>
    </row>
    <row r="279">
      <c r="A279" s="14"/>
      <c r="B279" s="14"/>
      <c r="C279" s="15"/>
      <c r="D279" s="14"/>
      <c r="E279" s="11"/>
      <c r="F279" s="11"/>
    </row>
    <row r="280">
      <c r="A280" s="14"/>
      <c r="B280" s="14"/>
      <c r="C280" s="15"/>
      <c r="D280" s="14"/>
      <c r="E280" s="11"/>
      <c r="F280" s="11"/>
    </row>
    <row r="281">
      <c r="A281" s="14"/>
      <c r="B281" s="14"/>
      <c r="C281" s="15"/>
      <c r="D281" s="14"/>
      <c r="E281" s="11"/>
      <c r="F281" s="11"/>
    </row>
    <row r="282">
      <c r="A282" s="14"/>
      <c r="B282" s="14"/>
      <c r="C282" s="15"/>
      <c r="D282" s="14"/>
      <c r="E282" s="11"/>
      <c r="F282" s="11"/>
    </row>
    <row r="283">
      <c r="A283" s="14"/>
      <c r="B283" s="14"/>
      <c r="C283" s="15"/>
      <c r="D283" s="14"/>
      <c r="E283" s="11"/>
      <c r="F283" s="11"/>
    </row>
    <row r="284">
      <c r="A284" s="14"/>
      <c r="B284" s="14"/>
      <c r="C284" s="15"/>
      <c r="D284" s="14"/>
      <c r="E284" s="11"/>
      <c r="F284" s="11"/>
    </row>
    <row r="285">
      <c r="A285" s="14"/>
      <c r="B285" s="14"/>
      <c r="C285" s="15"/>
      <c r="D285" s="14"/>
      <c r="E285" s="11"/>
      <c r="F285" s="11"/>
    </row>
    <row r="286">
      <c r="A286" s="14"/>
      <c r="B286" s="14"/>
      <c r="C286" s="15"/>
      <c r="D286" s="14"/>
      <c r="E286" s="11"/>
      <c r="F286" s="11"/>
    </row>
    <row r="287">
      <c r="A287" s="14"/>
      <c r="B287" s="14"/>
      <c r="C287" s="15"/>
      <c r="D287" s="14"/>
      <c r="E287" s="11"/>
      <c r="F287" s="11"/>
    </row>
    <row r="288">
      <c r="A288" s="14"/>
      <c r="B288" s="14"/>
      <c r="C288" s="15"/>
      <c r="D288" s="14"/>
      <c r="E288" s="11"/>
      <c r="F288" s="11"/>
    </row>
    <row r="289">
      <c r="A289" s="14"/>
      <c r="B289" s="14"/>
      <c r="C289" s="15"/>
      <c r="D289" s="14"/>
      <c r="E289" s="11"/>
      <c r="F289" s="11"/>
    </row>
    <row r="290">
      <c r="A290" s="14"/>
      <c r="B290" s="14"/>
      <c r="C290" s="15"/>
      <c r="D290" s="14"/>
      <c r="E290" s="11"/>
      <c r="F290" s="11"/>
    </row>
    <row r="291">
      <c r="A291" s="14"/>
      <c r="B291" s="14"/>
      <c r="C291" s="15"/>
      <c r="D291" s="14"/>
      <c r="E291" s="11"/>
      <c r="F291" s="11"/>
    </row>
    <row r="292">
      <c r="A292" s="14"/>
      <c r="B292" s="14"/>
      <c r="C292" s="15"/>
      <c r="D292" s="14"/>
      <c r="E292" s="11"/>
      <c r="F292" s="11"/>
    </row>
    <row r="293">
      <c r="A293" s="14"/>
      <c r="B293" s="14"/>
      <c r="C293" s="15"/>
      <c r="D293" s="14"/>
      <c r="E293" s="11"/>
      <c r="F293" s="11"/>
    </row>
    <row r="294">
      <c r="A294" s="14"/>
      <c r="B294" s="14"/>
      <c r="C294" s="15"/>
      <c r="D294" s="14"/>
      <c r="E294" s="11"/>
      <c r="F294" s="11"/>
    </row>
    <row r="295">
      <c r="A295" s="14"/>
      <c r="B295" s="14"/>
      <c r="C295" s="15"/>
      <c r="D295" s="14"/>
      <c r="E295" s="11"/>
      <c r="F295" s="11"/>
    </row>
    <row r="296">
      <c r="A296" s="14"/>
      <c r="B296" s="14"/>
      <c r="C296" s="15"/>
      <c r="D296" s="14"/>
      <c r="E296" s="11"/>
      <c r="F296" s="11"/>
    </row>
    <row r="297">
      <c r="A297" s="14"/>
      <c r="B297" s="14"/>
      <c r="C297" s="15"/>
      <c r="D297" s="14"/>
      <c r="E297" s="11"/>
      <c r="F297" s="11"/>
    </row>
    <row r="298">
      <c r="A298" s="14"/>
      <c r="B298" s="14"/>
      <c r="C298" s="15"/>
      <c r="D298" s="14"/>
      <c r="E298" s="11"/>
      <c r="F298" s="11"/>
    </row>
    <row r="299">
      <c r="A299" s="14"/>
      <c r="B299" s="14"/>
      <c r="C299" s="15"/>
      <c r="D299" s="14"/>
      <c r="E299" s="11"/>
      <c r="F299" s="11"/>
    </row>
    <row r="300">
      <c r="A300" s="14"/>
      <c r="B300" s="14"/>
      <c r="C300" s="15"/>
      <c r="D300" s="14"/>
      <c r="E300" s="11"/>
      <c r="F300" s="11"/>
    </row>
    <row r="301">
      <c r="A301" s="14"/>
      <c r="B301" s="14"/>
      <c r="C301" s="15"/>
      <c r="D301" s="14"/>
      <c r="E301" s="11"/>
      <c r="F301" s="11"/>
    </row>
    <row r="302">
      <c r="A302" s="14"/>
      <c r="B302" s="14"/>
      <c r="C302" s="15"/>
      <c r="D302" s="14"/>
      <c r="E302" s="11"/>
      <c r="F302" s="11"/>
    </row>
    <row r="303">
      <c r="A303" s="14"/>
      <c r="B303" s="14"/>
      <c r="C303" s="15"/>
      <c r="D303" s="14"/>
      <c r="E303" s="11"/>
      <c r="F303" s="11"/>
    </row>
    <row r="304">
      <c r="A304" s="14"/>
      <c r="B304" s="14"/>
      <c r="C304" s="15"/>
      <c r="D304" s="14"/>
      <c r="E304" s="11"/>
      <c r="F304" s="11"/>
    </row>
    <row r="305">
      <c r="A305" s="14"/>
      <c r="B305" s="14"/>
      <c r="C305" s="15"/>
      <c r="D305" s="14"/>
      <c r="E305" s="11"/>
      <c r="F305" s="11"/>
    </row>
    <row r="306">
      <c r="A306" s="14"/>
      <c r="B306" s="14"/>
      <c r="C306" s="15"/>
      <c r="D306" s="14"/>
      <c r="E306" s="11"/>
      <c r="F306" s="11"/>
    </row>
    <row r="307">
      <c r="A307" s="14"/>
      <c r="B307" s="14"/>
      <c r="C307" s="15"/>
      <c r="D307" s="14"/>
      <c r="E307" s="11"/>
      <c r="F307" s="11"/>
    </row>
    <row r="308">
      <c r="A308" s="14"/>
      <c r="B308" s="14"/>
      <c r="C308" s="15"/>
      <c r="D308" s="14"/>
      <c r="E308" s="11"/>
      <c r="F308" s="11"/>
    </row>
    <row r="309">
      <c r="A309" s="14"/>
      <c r="B309" s="14"/>
      <c r="C309" s="15"/>
      <c r="D309" s="14"/>
      <c r="E309" s="11"/>
      <c r="F309" s="11"/>
    </row>
    <row r="310">
      <c r="A310" s="14"/>
      <c r="B310" s="14"/>
      <c r="C310" s="15"/>
      <c r="D310" s="14"/>
      <c r="E310" s="11"/>
      <c r="F310" s="11"/>
    </row>
    <row r="311">
      <c r="A311" s="14"/>
      <c r="B311" s="14"/>
      <c r="C311" s="15"/>
      <c r="D311" s="14"/>
      <c r="E311" s="11"/>
      <c r="F311" s="11"/>
    </row>
    <row r="312">
      <c r="A312" s="14"/>
      <c r="B312" s="14"/>
      <c r="C312" s="15"/>
      <c r="D312" s="14"/>
      <c r="E312" s="11"/>
      <c r="F312" s="11"/>
    </row>
    <row r="313">
      <c r="A313" s="14"/>
      <c r="B313" s="14"/>
      <c r="C313" s="15"/>
      <c r="D313" s="14"/>
      <c r="E313" s="11"/>
      <c r="F313" s="11"/>
    </row>
    <row r="314">
      <c r="A314" s="14"/>
      <c r="B314" s="14"/>
      <c r="C314" s="15"/>
      <c r="D314" s="14"/>
      <c r="E314" s="11"/>
      <c r="F314" s="11"/>
    </row>
    <row r="315">
      <c r="A315" s="14"/>
      <c r="B315" s="14"/>
      <c r="C315" s="15"/>
      <c r="D315" s="14"/>
      <c r="E315" s="11"/>
      <c r="F315" s="11"/>
    </row>
    <row r="316">
      <c r="A316" s="14"/>
      <c r="B316" s="14"/>
      <c r="C316" s="15"/>
      <c r="D316" s="14"/>
      <c r="E316" s="11"/>
      <c r="F316" s="11"/>
    </row>
    <row r="317">
      <c r="A317" s="14"/>
      <c r="B317" s="14"/>
      <c r="C317" s="15"/>
      <c r="D317" s="14"/>
      <c r="E317" s="11"/>
      <c r="F317" s="11"/>
    </row>
    <row r="318">
      <c r="A318" s="14"/>
      <c r="B318" s="14"/>
      <c r="C318" s="15"/>
      <c r="D318" s="14"/>
      <c r="E318" s="11"/>
      <c r="F318" s="11"/>
    </row>
    <row r="319">
      <c r="A319" s="14"/>
      <c r="B319" s="14"/>
      <c r="C319" s="15"/>
      <c r="D319" s="14"/>
      <c r="E319" s="11"/>
      <c r="F319" s="11"/>
    </row>
    <row r="320">
      <c r="A320" s="14"/>
      <c r="B320" s="14"/>
      <c r="C320" s="15"/>
      <c r="D320" s="14"/>
      <c r="E320" s="11"/>
      <c r="F320" s="11"/>
    </row>
    <row r="321">
      <c r="A321" s="14"/>
      <c r="B321" s="14"/>
      <c r="C321" s="15"/>
      <c r="D321" s="14"/>
      <c r="E321" s="11"/>
      <c r="F321" s="11"/>
    </row>
    <row r="322">
      <c r="A322" s="14"/>
      <c r="B322" s="14"/>
      <c r="C322" s="15"/>
      <c r="D322" s="14"/>
      <c r="E322" s="11"/>
      <c r="F322" s="11"/>
    </row>
    <row r="323">
      <c r="A323" s="14"/>
      <c r="B323" s="14"/>
      <c r="C323" s="15"/>
      <c r="D323" s="14"/>
      <c r="E323" s="11"/>
      <c r="F323" s="11"/>
    </row>
    <row r="324">
      <c r="A324" s="14"/>
      <c r="B324" s="14"/>
      <c r="C324" s="15"/>
      <c r="D324" s="14"/>
      <c r="E324" s="11"/>
      <c r="F324" s="11"/>
    </row>
    <row r="325">
      <c r="A325" s="14"/>
      <c r="B325" s="14"/>
      <c r="C325" s="15"/>
      <c r="D325" s="14"/>
      <c r="E325" s="11"/>
      <c r="F325" s="11"/>
    </row>
    <row r="326">
      <c r="A326" s="14"/>
      <c r="B326" s="14"/>
      <c r="C326" s="15"/>
      <c r="D326" s="14"/>
      <c r="E326" s="11"/>
      <c r="F326" s="11"/>
    </row>
    <row r="327">
      <c r="A327" s="14"/>
      <c r="B327" s="14"/>
      <c r="C327" s="15"/>
      <c r="D327" s="14"/>
      <c r="E327" s="11"/>
      <c r="F327" s="11"/>
    </row>
    <row r="328">
      <c r="A328" s="14"/>
      <c r="B328" s="14"/>
      <c r="C328" s="15"/>
      <c r="D328" s="14"/>
      <c r="E328" s="11"/>
      <c r="F328" s="11"/>
    </row>
    <row r="329">
      <c r="A329" s="14"/>
      <c r="B329" s="14"/>
      <c r="C329" s="15"/>
      <c r="D329" s="14"/>
      <c r="E329" s="11"/>
      <c r="F329" s="11"/>
    </row>
    <row r="330">
      <c r="A330" s="14"/>
      <c r="B330" s="14"/>
      <c r="C330" s="15"/>
      <c r="D330" s="14"/>
      <c r="E330" s="11"/>
      <c r="F330" s="11"/>
    </row>
    <row r="331">
      <c r="A331" s="14"/>
      <c r="B331" s="14"/>
      <c r="C331" s="15"/>
      <c r="D331" s="14"/>
      <c r="E331" s="11"/>
      <c r="F331" s="11"/>
    </row>
    <row r="332">
      <c r="A332" s="14"/>
      <c r="B332" s="14"/>
      <c r="C332" s="15"/>
      <c r="D332" s="14"/>
      <c r="E332" s="11"/>
      <c r="F332" s="11"/>
    </row>
    <row r="333">
      <c r="A333" s="14"/>
      <c r="B333" s="14"/>
      <c r="C333" s="15"/>
      <c r="D333" s="14"/>
      <c r="E333" s="11"/>
      <c r="F333" s="11"/>
    </row>
    <row r="334">
      <c r="A334" s="14"/>
      <c r="B334" s="14"/>
      <c r="C334" s="15"/>
      <c r="D334" s="14"/>
      <c r="E334" s="11"/>
      <c r="F334" s="11"/>
    </row>
    <row r="335">
      <c r="A335" s="14"/>
      <c r="B335" s="14"/>
      <c r="C335" s="15"/>
      <c r="D335" s="14"/>
      <c r="E335" s="11"/>
      <c r="F335" s="11"/>
    </row>
    <row r="336">
      <c r="A336" s="14"/>
      <c r="B336" s="14"/>
      <c r="C336" s="15"/>
      <c r="D336" s="14"/>
      <c r="E336" s="11"/>
      <c r="F336" s="11"/>
    </row>
    <row r="337">
      <c r="A337" s="14"/>
      <c r="B337" s="14"/>
      <c r="C337" s="15"/>
      <c r="D337" s="14"/>
      <c r="E337" s="11"/>
      <c r="F337" s="11"/>
    </row>
    <row r="338">
      <c r="A338" s="14"/>
      <c r="B338" s="14"/>
      <c r="C338" s="15"/>
      <c r="D338" s="14"/>
      <c r="E338" s="11"/>
      <c r="F338" s="11"/>
    </row>
    <row r="339">
      <c r="A339" s="14"/>
      <c r="B339" s="14"/>
      <c r="C339" s="15"/>
      <c r="D339" s="14"/>
      <c r="E339" s="11"/>
      <c r="F339" s="11"/>
    </row>
    <row r="340">
      <c r="A340" s="14"/>
      <c r="B340" s="14"/>
      <c r="C340" s="15"/>
      <c r="D340" s="14"/>
      <c r="E340" s="11"/>
      <c r="F340" s="11"/>
    </row>
    <row r="341">
      <c r="A341" s="14"/>
      <c r="B341" s="14"/>
      <c r="C341" s="15"/>
      <c r="D341" s="14"/>
      <c r="E341" s="11"/>
      <c r="F341" s="11"/>
    </row>
    <row r="342">
      <c r="A342" s="14"/>
      <c r="B342" s="14"/>
      <c r="C342" s="15"/>
      <c r="D342" s="14"/>
      <c r="E342" s="11"/>
      <c r="F342" s="11"/>
    </row>
    <row r="343">
      <c r="A343" s="14"/>
      <c r="B343" s="14"/>
      <c r="C343" s="15"/>
      <c r="D343" s="14"/>
      <c r="E343" s="11"/>
      <c r="F343" s="11"/>
    </row>
    <row r="344">
      <c r="A344" s="14"/>
      <c r="B344" s="14"/>
      <c r="C344" s="15"/>
      <c r="D344" s="14"/>
      <c r="E344" s="11"/>
      <c r="F344" s="11"/>
    </row>
    <row r="345">
      <c r="A345" s="14"/>
      <c r="B345" s="14"/>
      <c r="C345" s="15"/>
      <c r="D345" s="14"/>
      <c r="E345" s="11"/>
      <c r="F345" s="11"/>
    </row>
    <row r="346">
      <c r="A346" s="14"/>
      <c r="B346" s="14"/>
      <c r="C346" s="15"/>
      <c r="D346" s="14"/>
      <c r="E346" s="11"/>
      <c r="F346" s="11"/>
    </row>
    <row r="347">
      <c r="A347" s="14"/>
      <c r="B347" s="14"/>
      <c r="C347" s="15"/>
      <c r="D347" s="14"/>
      <c r="E347" s="11"/>
      <c r="F347" s="11"/>
    </row>
    <row r="348">
      <c r="A348" s="14"/>
      <c r="B348" s="14"/>
      <c r="C348" s="15"/>
      <c r="D348" s="14"/>
      <c r="E348" s="11"/>
      <c r="F348" s="11"/>
    </row>
    <row r="349">
      <c r="A349" s="14"/>
      <c r="B349" s="14"/>
      <c r="C349" s="15"/>
      <c r="D349" s="14"/>
      <c r="E349" s="11"/>
      <c r="F349" s="11"/>
    </row>
    <row r="350">
      <c r="A350" s="14"/>
      <c r="B350" s="14"/>
      <c r="C350" s="15"/>
      <c r="D350" s="14"/>
      <c r="E350" s="11"/>
      <c r="F350" s="11"/>
    </row>
    <row r="351">
      <c r="A351" s="14"/>
      <c r="B351" s="14"/>
      <c r="C351" s="15"/>
      <c r="D351" s="14"/>
      <c r="E351" s="11"/>
      <c r="F351" s="11"/>
    </row>
    <row r="352">
      <c r="A352" s="14"/>
      <c r="B352" s="14"/>
      <c r="C352" s="15"/>
      <c r="D352" s="14"/>
      <c r="E352" s="11"/>
      <c r="F352" s="11"/>
    </row>
    <row r="353">
      <c r="A353" s="14"/>
      <c r="B353" s="14"/>
      <c r="C353" s="15"/>
      <c r="D353" s="14"/>
      <c r="E353" s="11"/>
      <c r="F353" s="11"/>
    </row>
    <row r="354">
      <c r="A354" s="14"/>
      <c r="B354" s="14"/>
      <c r="C354" s="15"/>
      <c r="D354" s="14"/>
      <c r="E354" s="11"/>
      <c r="F354" s="11"/>
    </row>
    <row r="355">
      <c r="A355" s="14"/>
      <c r="B355" s="14"/>
      <c r="C355" s="15"/>
      <c r="D355" s="14"/>
      <c r="E355" s="11"/>
      <c r="F355" s="11"/>
    </row>
    <row r="356">
      <c r="A356" s="14"/>
      <c r="B356" s="14"/>
      <c r="C356" s="15"/>
      <c r="D356" s="14"/>
      <c r="E356" s="11"/>
      <c r="F356" s="11"/>
    </row>
    <row r="357">
      <c r="A357" s="14"/>
      <c r="B357" s="14"/>
      <c r="C357" s="15"/>
      <c r="D357" s="14"/>
      <c r="E357" s="11"/>
      <c r="F357" s="11"/>
    </row>
    <row r="358">
      <c r="A358" s="14"/>
      <c r="B358" s="14"/>
      <c r="C358" s="15"/>
      <c r="D358" s="14"/>
      <c r="E358" s="11"/>
      <c r="F358" s="11"/>
    </row>
    <row r="359">
      <c r="A359" s="14"/>
      <c r="B359" s="14"/>
      <c r="C359" s="15"/>
      <c r="D359" s="14"/>
      <c r="E359" s="11"/>
      <c r="F359" s="11"/>
    </row>
    <row r="360">
      <c r="A360" s="14"/>
      <c r="B360" s="14"/>
      <c r="C360" s="15"/>
      <c r="D360" s="14"/>
      <c r="E360" s="11"/>
      <c r="F360" s="11"/>
    </row>
    <row r="361">
      <c r="A361" s="14"/>
      <c r="B361" s="14"/>
      <c r="C361" s="15"/>
      <c r="D361" s="14"/>
      <c r="E361" s="11"/>
      <c r="F361" s="11"/>
    </row>
    <row r="362">
      <c r="A362" s="14"/>
      <c r="B362" s="14"/>
      <c r="C362" s="15"/>
      <c r="D362" s="14"/>
      <c r="E362" s="11"/>
      <c r="F362" s="11"/>
    </row>
    <row r="363">
      <c r="A363" s="14"/>
      <c r="B363" s="14"/>
      <c r="C363" s="15"/>
      <c r="D363" s="14"/>
      <c r="E363" s="11"/>
      <c r="F363" s="11"/>
    </row>
    <row r="364">
      <c r="A364" s="14"/>
      <c r="B364" s="14"/>
      <c r="C364" s="15"/>
      <c r="D364" s="14"/>
      <c r="E364" s="11"/>
      <c r="F364" s="11"/>
    </row>
    <row r="365">
      <c r="A365" s="14"/>
      <c r="B365" s="14"/>
      <c r="C365" s="15"/>
      <c r="D365" s="14"/>
      <c r="E365" s="11"/>
      <c r="F365" s="11"/>
    </row>
    <row r="366">
      <c r="A366" s="14"/>
      <c r="B366" s="14"/>
      <c r="C366" s="15"/>
      <c r="D366" s="14"/>
      <c r="E366" s="11"/>
      <c r="F366" s="11"/>
    </row>
    <row r="367">
      <c r="A367" s="14"/>
      <c r="B367" s="14"/>
      <c r="C367" s="15"/>
      <c r="D367" s="14"/>
      <c r="E367" s="11"/>
      <c r="F367" s="11"/>
    </row>
    <row r="368">
      <c r="A368" s="14"/>
      <c r="B368" s="14"/>
      <c r="C368" s="15"/>
      <c r="D368" s="14"/>
      <c r="E368" s="11"/>
      <c r="F368" s="11"/>
    </row>
    <row r="369">
      <c r="A369" s="14"/>
      <c r="B369" s="14"/>
      <c r="C369" s="15"/>
      <c r="D369" s="14"/>
      <c r="E369" s="11"/>
      <c r="F369" s="11"/>
    </row>
    <row r="370">
      <c r="A370" s="14"/>
      <c r="B370" s="14"/>
      <c r="C370" s="15"/>
      <c r="D370" s="14"/>
      <c r="E370" s="11"/>
      <c r="F370" s="11"/>
    </row>
    <row r="371">
      <c r="A371" s="14"/>
      <c r="B371" s="14"/>
      <c r="C371" s="15"/>
      <c r="D371" s="14"/>
      <c r="E371" s="11"/>
      <c r="F371" s="11"/>
    </row>
    <row r="372">
      <c r="A372" s="14"/>
      <c r="B372" s="14"/>
      <c r="C372" s="15"/>
      <c r="D372" s="14"/>
      <c r="E372" s="11"/>
      <c r="F372" s="11"/>
    </row>
    <row r="373">
      <c r="A373" s="14"/>
      <c r="B373" s="14"/>
      <c r="C373" s="15"/>
      <c r="D373" s="14"/>
      <c r="E373" s="11"/>
      <c r="F373" s="11"/>
    </row>
    <row r="374">
      <c r="A374" s="14"/>
      <c r="B374" s="14"/>
      <c r="C374" s="15"/>
      <c r="D374" s="14"/>
      <c r="E374" s="11"/>
      <c r="F374" s="11"/>
    </row>
    <row r="375">
      <c r="A375" s="14"/>
      <c r="B375" s="14"/>
      <c r="C375" s="15"/>
      <c r="D375" s="14"/>
      <c r="E375" s="11"/>
      <c r="F375" s="11"/>
    </row>
    <row r="376">
      <c r="A376" s="14"/>
      <c r="B376" s="14"/>
      <c r="C376" s="15"/>
      <c r="D376" s="14"/>
      <c r="E376" s="11"/>
      <c r="F376" s="11"/>
    </row>
    <row r="377">
      <c r="A377" s="14"/>
      <c r="B377" s="14"/>
      <c r="C377" s="15"/>
      <c r="D377" s="14"/>
      <c r="E377" s="11"/>
      <c r="F377" s="11"/>
    </row>
    <row r="378">
      <c r="A378" s="14"/>
      <c r="B378" s="14"/>
      <c r="C378" s="15"/>
      <c r="D378" s="14"/>
      <c r="E378" s="11"/>
      <c r="F378" s="11"/>
    </row>
    <row r="379">
      <c r="A379" s="14"/>
      <c r="B379" s="14"/>
      <c r="C379" s="15"/>
      <c r="D379" s="14"/>
      <c r="E379" s="11"/>
      <c r="F379" s="11"/>
    </row>
    <row r="380">
      <c r="A380" s="14"/>
      <c r="B380" s="14"/>
      <c r="C380" s="15"/>
      <c r="D380" s="14"/>
      <c r="E380" s="11"/>
      <c r="F380" s="11"/>
    </row>
    <row r="381">
      <c r="A381" s="14"/>
      <c r="B381" s="14"/>
      <c r="C381" s="15"/>
      <c r="D381" s="14"/>
      <c r="E381" s="11"/>
      <c r="F381" s="11"/>
    </row>
    <row r="382">
      <c r="A382" s="14"/>
      <c r="B382" s="14"/>
      <c r="C382" s="15"/>
      <c r="D382" s="14"/>
      <c r="E382" s="11"/>
      <c r="F382" s="11"/>
    </row>
    <row r="383">
      <c r="A383" s="14"/>
      <c r="B383" s="14"/>
      <c r="C383" s="15"/>
      <c r="D383" s="14"/>
      <c r="E383" s="11"/>
      <c r="F383" s="11"/>
    </row>
    <row r="384">
      <c r="A384" s="14"/>
      <c r="B384" s="14"/>
      <c r="C384" s="15"/>
      <c r="D384" s="14"/>
      <c r="E384" s="11"/>
      <c r="F384" s="11"/>
    </row>
    <row r="385">
      <c r="A385" s="14"/>
      <c r="B385" s="14"/>
      <c r="C385" s="15"/>
      <c r="D385" s="14"/>
      <c r="E385" s="11"/>
      <c r="F385" s="11"/>
    </row>
    <row r="386">
      <c r="A386" s="14"/>
      <c r="B386" s="14"/>
      <c r="C386" s="15"/>
      <c r="D386" s="14"/>
      <c r="E386" s="11"/>
      <c r="F386" s="11"/>
    </row>
    <row r="387">
      <c r="A387" s="14"/>
      <c r="B387" s="14"/>
      <c r="C387" s="15"/>
      <c r="D387" s="14"/>
      <c r="E387" s="11"/>
      <c r="F387" s="11"/>
    </row>
    <row r="388">
      <c r="A388" s="14"/>
      <c r="B388" s="14"/>
      <c r="C388" s="15"/>
      <c r="D388" s="14"/>
      <c r="E388" s="11"/>
      <c r="F388" s="11"/>
    </row>
    <row r="389">
      <c r="A389" s="14"/>
      <c r="B389" s="14"/>
      <c r="C389" s="15"/>
      <c r="D389" s="14"/>
      <c r="E389" s="11"/>
      <c r="F389" s="11"/>
    </row>
    <row r="390">
      <c r="A390" s="14"/>
      <c r="B390" s="14"/>
      <c r="C390" s="15"/>
      <c r="D390" s="14"/>
      <c r="E390" s="11"/>
      <c r="F390" s="11"/>
    </row>
    <row r="391">
      <c r="A391" s="14"/>
      <c r="B391" s="14"/>
      <c r="C391" s="15"/>
      <c r="D391" s="14"/>
      <c r="E391" s="11"/>
      <c r="F391" s="11"/>
    </row>
    <row r="392">
      <c r="A392" s="14"/>
      <c r="B392" s="14"/>
      <c r="C392" s="15"/>
      <c r="D392" s="14"/>
      <c r="E392" s="11"/>
      <c r="F392" s="11"/>
    </row>
    <row r="393">
      <c r="A393" s="14"/>
      <c r="B393" s="14"/>
      <c r="C393" s="15"/>
      <c r="D393" s="14"/>
      <c r="E393" s="11"/>
      <c r="F393" s="11"/>
    </row>
    <row r="394">
      <c r="A394" s="14"/>
      <c r="B394" s="14"/>
      <c r="C394" s="15"/>
      <c r="D394" s="14"/>
      <c r="E394" s="11"/>
      <c r="F394" s="11"/>
    </row>
    <row r="395">
      <c r="A395" s="14"/>
      <c r="B395" s="14"/>
      <c r="C395" s="15"/>
      <c r="D395" s="14"/>
      <c r="E395" s="11"/>
      <c r="F395" s="11"/>
    </row>
    <row r="396">
      <c r="A396" s="14"/>
      <c r="B396" s="14"/>
      <c r="C396" s="15"/>
      <c r="D396" s="14"/>
      <c r="E396" s="11"/>
      <c r="F396" s="11"/>
    </row>
    <row r="397">
      <c r="A397" s="14"/>
      <c r="B397" s="14"/>
      <c r="C397" s="15"/>
      <c r="D397" s="14"/>
      <c r="E397" s="11"/>
      <c r="F397" s="11"/>
    </row>
    <row r="398">
      <c r="A398" s="14"/>
      <c r="B398" s="14"/>
      <c r="C398" s="15"/>
      <c r="D398" s="14"/>
      <c r="E398" s="11"/>
      <c r="F398" s="11"/>
    </row>
    <row r="399">
      <c r="A399" s="14"/>
      <c r="B399" s="14"/>
      <c r="C399" s="15"/>
      <c r="D399" s="14"/>
      <c r="E399" s="11"/>
      <c r="F399" s="11"/>
    </row>
    <row r="400">
      <c r="A400" s="14"/>
      <c r="B400" s="14"/>
      <c r="C400" s="15"/>
      <c r="D400" s="14"/>
      <c r="E400" s="11"/>
      <c r="F400" s="11"/>
    </row>
    <row r="401">
      <c r="A401" s="14"/>
      <c r="B401" s="14"/>
      <c r="C401" s="15"/>
      <c r="D401" s="14"/>
      <c r="E401" s="11"/>
      <c r="F401" s="11"/>
    </row>
    <row r="402">
      <c r="A402" s="14"/>
      <c r="B402" s="14"/>
      <c r="C402" s="15"/>
      <c r="D402" s="14"/>
      <c r="E402" s="11"/>
      <c r="F402" s="11"/>
    </row>
    <row r="403">
      <c r="A403" s="14"/>
      <c r="B403" s="14"/>
      <c r="C403" s="15"/>
      <c r="D403" s="14"/>
      <c r="E403" s="11"/>
      <c r="F403" s="11"/>
    </row>
    <row r="404">
      <c r="A404" s="14"/>
      <c r="B404" s="14"/>
      <c r="C404" s="15"/>
      <c r="D404" s="14"/>
      <c r="E404" s="11"/>
      <c r="F404" s="11"/>
    </row>
    <row r="405">
      <c r="A405" s="14"/>
      <c r="B405" s="14"/>
      <c r="C405" s="15"/>
      <c r="D405" s="14"/>
      <c r="E405" s="11"/>
      <c r="F405" s="11"/>
    </row>
    <row r="406">
      <c r="A406" s="14"/>
      <c r="B406" s="14"/>
      <c r="C406" s="15"/>
      <c r="D406" s="14"/>
      <c r="E406" s="11"/>
      <c r="F406" s="11"/>
    </row>
    <row r="407">
      <c r="A407" s="14"/>
      <c r="B407" s="14"/>
      <c r="C407" s="15"/>
      <c r="D407" s="14"/>
      <c r="E407" s="11"/>
      <c r="F407" s="11"/>
    </row>
    <row r="408">
      <c r="A408" s="14"/>
      <c r="B408" s="14"/>
      <c r="C408" s="15"/>
      <c r="D408" s="14"/>
      <c r="E408" s="11"/>
      <c r="F408" s="11"/>
    </row>
    <row r="409">
      <c r="A409" s="14"/>
      <c r="B409" s="14"/>
      <c r="C409" s="15"/>
      <c r="D409" s="14"/>
      <c r="E409" s="11"/>
      <c r="F409" s="11"/>
    </row>
    <row r="410">
      <c r="A410" s="14"/>
      <c r="B410" s="14"/>
      <c r="C410" s="15"/>
      <c r="D410" s="14"/>
      <c r="E410" s="11"/>
      <c r="F410" s="11"/>
    </row>
    <row r="411">
      <c r="A411" s="14"/>
      <c r="B411" s="14"/>
      <c r="C411" s="15"/>
      <c r="D411" s="14"/>
      <c r="E411" s="11"/>
      <c r="F411" s="11"/>
    </row>
    <row r="412">
      <c r="A412" s="14"/>
      <c r="B412" s="14"/>
      <c r="C412" s="15"/>
      <c r="D412" s="14"/>
      <c r="E412" s="11"/>
      <c r="F412" s="11"/>
    </row>
    <row r="413">
      <c r="A413" s="14"/>
      <c r="B413" s="14"/>
      <c r="C413" s="15"/>
      <c r="D413" s="14"/>
      <c r="E413" s="11"/>
      <c r="F413" s="11"/>
    </row>
    <row r="414">
      <c r="A414" s="14"/>
      <c r="B414" s="14"/>
      <c r="C414" s="15"/>
      <c r="D414" s="14"/>
      <c r="E414" s="11"/>
      <c r="F414" s="11"/>
    </row>
    <row r="415">
      <c r="A415" s="14"/>
      <c r="B415" s="14"/>
      <c r="C415" s="15"/>
      <c r="D415" s="14"/>
      <c r="E415" s="11"/>
      <c r="F415" s="11"/>
    </row>
    <row r="416">
      <c r="A416" s="14"/>
      <c r="B416" s="14"/>
      <c r="C416" s="15"/>
      <c r="D416" s="14"/>
      <c r="E416" s="11"/>
      <c r="F416" s="11"/>
    </row>
    <row r="417">
      <c r="A417" s="14"/>
      <c r="B417" s="14"/>
      <c r="C417" s="15"/>
      <c r="D417" s="14"/>
      <c r="E417" s="11"/>
      <c r="F417" s="11"/>
    </row>
    <row r="418">
      <c r="A418" s="14"/>
      <c r="B418" s="14"/>
      <c r="C418" s="15"/>
      <c r="D418" s="14"/>
      <c r="E418" s="11"/>
      <c r="F418" s="11"/>
    </row>
    <row r="419">
      <c r="A419" s="14"/>
      <c r="B419" s="14"/>
      <c r="C419" s="15"/>
      <c r="D419" s="14"/>
      <c r="E419" s="11"/>
      <c r="F419" s="11"/>
    </row>
    <row r="420">
      <c r="A420" s="14"/>
      <c r="B420" s="14"/>
      <c r="C420" s="15"/>
      <c r="D420" s="14"/>
      <c r="E420" s="11"/>
      <c r="F420" s="11"/>
    </row>
    <row r="421">
      <c r="A421" s="14"/>
      <c r="B421" s="14"/>
      <c r="C421" s="15"/>
      <c r="D421" s="14"/>
      <c r="E421" s="11"/>
      <c r="F421" s="11"/>
    </row>
    <row r="422">
      <c r="A422" s="14"/>
      <c r="B422" s="14"/>
      <c r="C422" s="15"/>
      <c r="D422" s="14"/>
      <c r="E422" s="11"/>
      <c r="F422" s="11"/>
    </row>
    <row r="423">
      <c r="A423" s="14"/>
      <c r="B423" s="14"/>
      <c r="C423" s="15"/>
      <c r="D423" s="14"/>
      <c r="E423" s="11"/>
      <c r="F423" s="11"/>
    </row>
    <row r="424">
      <c r="A424" s="14"/>
      <c r="B424" s="14"/>
      <c r="C424" s="15"/>
      <c r="D424" s="14"/>
      <c r="E424" s="11"/>
      <c r="F424" s="11"/>
    </row>
    <row r="425">
      <c r="A425" s="14"/>
      <c r="B425" s="14"/>
      <c r="C425" s="15"/>
      <c r="D425" s="14"/>
      <c r="E425" s="11"/>
      <c r="F425" s="11"/>
    </row>
    <row r="426">
      <c r="A426" s="14"/>
      <c r="B426" s="14"/>
      <c r="C426" s="15"/>
      <c r="D426" s="14"/>
      <c r="E426" s="11"/>
      <c r="F426" s="11"/>
    </row>
    <row r="427">
      <c r="A427" s="14"/>
      <c r="B427" s="14"/>
      <c r="C427" s="15"/>
      <c r="D427" s="14"/>
      <c r="E427" s="11"/>
      <c r="F427" s="11"/>
    </row>
    <row r="428">
      <c r="A428" s="14"/>
      <c r="B428" s="14"/>
      <c r="C428" s="15"/>
      <c r="D428" s="14"/>
      <c r="E428" s="11"/>
      <c r="F428" s="11"/>
    </row>
    <row r="429">
      <c r="A429" s="14"/>
      <c r="B429" s="14"/>
      <c r="C429" s="15"/>
      <c r="D429" s="14"/>
      <c r="E429" s="11"/>
      <c r="F429" s="11"/>
    </row>
    <row r="430">
      <c r="A430" s="14"/>
      <c r="B430" s="14"/>
      <c r="C430" s="15"/>
      <c r="D430" s="14"/>
      <c r="E430" s="11"/>
      <c r="F430" s="11"/>
    </row>
    <row r="431">
      <c r="A431" s="14"/>
      <c r="B431" s="14"/>
      <c r="C431" s="15"/>
      <c r="D431" s="14"/>
      <c r="E431" s="11"/>
      <c r="F431" s="11"/>
    </row>
    <row r="432">
      <c r="A432" s="14"/>
      <c r="B432" s="14"/>
      <c r="C432" s="15"/>
      <c r="D432" s="14"/>
      <c r="E432" s="11"/>
      <c r="F432" s="11"/>
    </row>
    <row r="433">
      <c r="A433" s="14"/>
      <c r="B433" s="14"/>
      <c r="C433" s="15"/>
      <c r="D433" s="14"/>
      <c r="E433" s="11"/>
      <c r="F433" s="11"/>
    </row>
    <row r="434">
      <c r="A434" s="14"/>
      <c r="B434" s="14"/>
      <c r="C434" s="15"/>
      <c r="D434" s="14"/>
      <c r="E434" s="11"/>
      <c r="F434" s="11"/>
    </row>
    <row r="435">
      <c r="A435" s="14"/>
      <c r="B435" s="14"/>
      <c r="C435" s="15"/>
      <c r="D435" s="14"/>
      <c r="E435" s="11"/>
      <c r="F435" s="11"/>
    </row>
    <row r="436">
      <c r="A436" s="14"/>
      <c r="B436" s="14"/>
      <c r="C436" s="15"/>
      <c r="D436" s="14"/>
      <c r="E436" s="11"/>
      <c r="F436" s="11"/>
    </row>
    <row r="437">
      <c r="A437" s="14"/>
      <c r="B437" s="14"/>
      <c r="C437" s="15"/>
      <c r="D437" s="14"/>
      <c r="E437" s="11"/>
      <c r="F437" s="11"/>
    </row>
    <row r="438">
      <c r="A438" s="14"/>
      <c r="B438" s="14"/>
      <c r="C438" s="15"/>
      <c r="D438" s="14"/>
      <c r="E438" s="11"/>
      <c r="F438" s="11"/>
    </row>
    <row r="439">
      <c r="A439" s="14"/>
      <c r="B439" s="14"/>
      <c r="C439" s="15"/>
      <c r="D439" s="14"/>
      <c r="E439" s="11"/>
      <c r="F439" s="11"/>
    </row>
    <row r="440">
      <c r="A440" s="14"/>
      <c r="B440" s="14"/>
      <c r="C440" s="15"/>
      <c r="D440" s="14"/>
      <c r="E440" s="11"/>
      <c r="F440" s="11"/>
    </row>
    <row r="441">
      <c r="A441" s="14"/>
      <c r="B441" s="14"/>
      <c r="C441" s="15"/>
      <c r="D441" s="14"/>
      <c r="E441" s="11"/>
      <c r="F441" s="11"/>
    </row>
    <row r="442">
      <c r="A442" s="14"/>
      <c r="B442" s="14"/>
      <c r="C442" s="15"/>
      <c r="D442" s="14"/>
      <c r="E442" s="11"/>
      <c r="F442" s="11"/>
    </row>
    <row r="443">
      <c r="A443" s="14"/>
      <c r="B443" s="14"/>
      <c r="C443" s="15"/>
      <c r="D443" s="14"/>
      <c r="E443" s="11"/>
      <c r="F443" s="11"/>
    </row>
    <row r="444">
      <c r="A444" s="14"/>
      <c r="B444" s="14"/>
      <c r="C444" s="15"/>
      <c r="D444" s="14"/>
      <c r="E444" s="11"/>
      <c r="F444" s="11"/>
    </row>
    <row r="445">
      <c r="A445" s="14"/>
      <c r="B445" s="14"/>
      <c r="C445" s="15"/>
      <c r="D445" s="14"/>
      <c r="E445" s="11"/>
      <c r="F445" s="11"/>
    </row>
    <row r="446">
      <c r="A446" s="14"/>
      <c r="B446" s="14"/>
      <c r="C446" s="15"/>
      <c r="D446" s="14"/>
      <c r="E446" s="11"/>
      <c r="F446" s="11"/>
    </row>
    <row r="447">
      <c r="A447" s="14"/>
      <c r="B447" s="14"/>
      <c r="C447" s="15"/>
      <c r="D447" s="14"/>
      <c r="E447" s="11"/>
      <c r="F447" s="11"/>
    </row>
    <row r="448">
      <c r="A448" s="14"/>
      <c r="B448" s="14"/>
      <c r="C448" s="15"/>
      <c r="D448" s="14"/>
      <c r="E448" s="11"/>
      <c r="F448" s="11"/>
    </row>
    <row r="449">
      <c r="A449" s="14"/>
      <c r="B449" s="14"/>
      <c r="C449" s="15"/>
      <c r="D449" s="14"/>
      <c r="E449" s="11"/>
      <c r="F449" s="11"/>
    </row>
    <row r="450">
      <c r="A450" s="14"/>
      <c r="B450" s="14"/>
      <c r="C450" s="15"/>
      <c r="D450" s="14"/>
      <c r="E450" s="11"/>
      <c r="F450" s="11"/>
    </row>
    <row r="451">
      <c r="A451" s="14"/>
      <c r="B451" s="14"/>
      <c r="C451" s="15"/>
      <c r="D451" s="14"/>
      <c r="E451" s="11"/>
      <c r="F451" s="11"/>
    </row>
    <row r="452">
      <c r="A452" s="14"/>
      <c r="B452" s="14"/>
      <c r="C452" s="15"/>
      <c r="D452" s="14"/>
      <c r="E452" s="11"/>
      <c r="F452" s="11"/>
    </row>
    <row r="453">
      <c r="A453" s="14"/>
      <c r="B453" s="14"/>
      <c r="C453" s="15"/>
      <c r="D453" s="14"/>
      <c r="E453" s="11"/>
      <c r="F453" s="11"/>
    </row>
    <row r="454">
      <c r="A454" s="14"/>
      <c r="B454" s="14"/>
      <c r="C454" s="15"/>
      <c r="D454" s="14"/>
      <c r="E454" s="11"/>
      <c r="F454" s="11"/>
    </row>
    <row r="455">
      <c r="A455" s="14"/>
      <c r="B455" s="14"/>
      <c r="C455" s="15"/>
      <c r="D455" s="14"/>
      <c r="E455" s="11"/>
      <c r="F455" s="11"/>
    </row>
    <row r="456">
      <c r="A456" s="14"/>
      <c r="B456" s="14"/>
      <c r="C456" s="15"/>
      <c r="D456" s="14"/>
      <c r="E456" s="11"/>
      <c r="F456" s="11"/>
    </row>
    <row r="457">
      <c r="A457" s="14"/>
      <c r="B457" s="14"/>
      <c r="C457" s="15"/>
      <c r="D457" s="14"/>
      <c r="E457" s="11"/>
      <c r="F457" s="11"/>
    </row>
    <row r="458">
      <c r="A458" s="14"/>
      <c r="B458" s="14"/>
      <c r="C458" s="15"/>
      <c r="D458" s="14"/>
      <c r="E458" s="11"/>
      <c r="F458" s="11"/>
    </row>
    <row r="459">
      <c r="A459" s="14"/>
      <c r="B459" s="14"/>
      <c r="C459" s="15"/>
      <c r="D459" s="14"/>
      <c r="E459" s="11"/>
      <c r="F459" s="11"/>
    </row>
    <row r="460">
      <c r="A460" s="14"/>
      <c r="B460" s="14"/>
      <c r="C460" s="15"/>
      <c r="D460" s="14"/>
      <c r="E460" s="11"/>
      <c r="F460" s="11"/>
    </row>
    <row r="461">
      <c r="A461" s="14"/>
      <c r="B461" s="14"/>
      <c r="C461" s="15"/>
      <c r="D461" s="14"/>
      <c r="E461" s="11"/>
      <c r="F461" s="11"/>
    </row>
    <row r="462">
      <c r="A462" s="14"/>
      <c r="B462" s="14"/>
      <c r="C462" s="15"/>
      <c r="D462" s="14"/>
      <c r="E462" s="11"/>
      <c r="F462" s="11"/>
    </row>
    <row r="463">
      <c r="A463" s="14"/>
      <c r="B463" s="14"/>
      <c r="C463" s="15"/>
      <c r="D463" s="14"/>
      <c r="E463" s="11"/>
      <c r="F463" s="11"/>
    </row>
    <row r="464">
      <c r="A464" s="14"/>
      <c r="B464" s="14"/>
      <c r="C464" s="15"/>
      <c r="D464" s="14"/>
      <c r="E464" s="11"/>
      <c r="F464" s="11"/>
    </row>
    <row r="465">
      <c r="A465" s="14"/>
      <c r="B465" s="14"/>
      <c r="C465" s="15"/>
      <c r="D465" s="14"/>
      <c r="E465" s="11"/>
      <c r="F465" s="11"/>
    </row>
    <row r="466">
      <c r="A466" s="14"/>
      <c r="B466" s="14"/>
      <c r="C466" s="15"/>
      <c r="D466" s="14"/>
      <c r="E466" s="11"/>
      <c r="F466" s="11"/>
    </row>
    <row r="467">
      <c r="A467" s="14"/>
      <c r="B467" s="14"/>
      <c r="C467" s="15"/>
      <c r="D467" s="14"/>
      <c r="E467" s="11"/>
      <c r="F467" s="11"/>
    </row>
    <row r="468">
      <c r="A468" s="14"/>
      <c r="B468" s="14"/>
      <c r="C468" s="15"/>
      <c r="D468" s="14"/>
      <c r="E468" s="11"/>
      <c r="F468" s="11"/>
    </row>
    <row r="469">
      <c r="A469" s="14"/>
      <c r="B469" s="14"/>
      <c r="C469" s="15"/>
      <c r="D469" s="14"/>
      <c r="E469" s="11"/>
      <c r="F469" s="11"/>
    </row>
    <row r="470">
      <c r="A470" s="14"/>
      <c r="B470" s="14"/>
      <c r="C470" s="15"/>
      <c r="D470" s="14"/>
      <c r="E470" s="11"/>
      <c r="F470" s="11"/>
    </row>
    <row r="471">
      <c r="A471" s="14"/>
      <c r="B471" s="14"/>
      <c r="C471" s="15"/>
      <c r="D471" s="14"/>
      <c r="E471" s="11"/>
      <c r="F471" s="11"/>
    </row>
    <row r="472">
      <c r="A472" s="14"/>
      <c r="B472" s="14"/>
      <c r="C472" s="15"/>
      <c r="D472" s="14"/>
      <c r="E472" s="11"/>
      <c r="F472" s="11"/>
    </row>
    <row r="473">
      <c r="A473" s="14"/>
      <c r="B473" s="14"/>
      <c r="C473" s="15"/>
      <c r="D473" s="14"/>
      <c r="E473" s="11"/>
      <c r="F473" s="11"/>
    </row>
    <row r="474">
      <c r="A474" s="14"/>
      <c r="B474" s="14"/>
      <c r="C474" s="15"/>
      <c r="D474" s="14"/>
      <c r="E474" s="11"/>
      <c r="F474" s="11"/>
    </row>
    <row r="475">
      <c r="A475" s="14"/>
      <c r="B475" s="14"/>
      <c r="C475" s="15"/>
      <c r="D475" s="14"/>
      <c r="E475" s="11"/>
      <c r="F475" s="11"/>
    </row>
    <row r="476">
      <c r="A476" s="14"/>
      <c r="B476" s="14"/>
      <c r="C476" s="15"/>
      <c r="D476" s="14"/>
      <c r="E476" s="11"/>
      <c r="F476" s="11"/>
    </row>
    <row r="477">
      <c r="A477" s="14"/>
      <c r="B477" s="14"/>
      <c r="C477" s="15"/>
      <c r="D477" s="14"/>
      <c r="E477" s="11"/>
      <c r="F477" s="11"/>
    </row>
    <row r="478">
      <c r="A478" s="14"/>
      <c r="B478" s="14"/>
      <c r="C478" s="15"/>
      <c r="D478" s="14"/>
      <c r="E478" s="11"/>
      <c r="F478" s="11"/>
    </row>
    <row r="479">
      <c r="A479" s="14"/>
      <c r="B479" s="14"/>
      <c r="C479" s="15"/>
      <c r="D479" s="14"/>
      <c r="E479" s="11"/>
      <c r="F479" s="11"/>
    </row>
    <row r="480">
      <c r="A480" s="14"/>
      <c r="B480" s="14"/>
      <c r="C480" s="15"/>
      <c r="D480" s="14"/>
      <c r="E480" s="11"/>
      <c r="F480" s="11"/>
    </row>
    <row r="481">
      <c r="A481" s="14"/>
      <c r="B481" s="14"/>
      <c r="C481" s="15"/>
      <c r="D481" s="14"/>
      <c r="E481" s="11"/>
      <c r="F481" s="11"/>
    </row>
    <row r="482">
      <c r="A482" s="14"/>
      <c r="B482" s="14"/>
      <c r="C482" s="15"/>
      <c r="D482" s="14"/>
      <c r="E482" s="11"/>
      <c r="F482" s="11"/>
    </row>
    <row r="483">
      <c r="A483" s="14"/>
      <c r="B483" s="14"/>
      <c r="C483" s="15"/>
      <c r="D483" s="14"/>
      <c r="E483" s="11"/>
      <c r="F483" s="11"/>
    </row>
    <row r="484">
      <c r="A484" s="14"/>
      <c r="B484" s="14"/>
      <c r="C484" s="15"/>
      <c r="D484" s="14"/>
      <c r="E484" s="11"/>
      <c r="F484" s="11"/>
    </row>
    <row r="485">
      <c r="A485" s="14"/>
      <c r="B485" s="14"/>
      <c r="C485" s="15"/>
      <c r="D485" s="14"/>
      <c r="E485" s="11"/>
      <c r="F485" s="11"/>
    </row>
    <row r="486">
      <c r="A486" s="14"/>
      <c r="B486" s="14"/>
      <c r="C486" s="15"/>
      <c r="D486" s="14"/>
      <c r="E486" s="11"/>
      <c r="F486" s="11"/>
    </row>
    <row r="487">
      <c r="A487" s="14"/>
      <c r="B487" s="14"/>
      <c r="C487" s="15"/>
      <c r="D487" s="14"/>
      <c r="E487" s="11"/>
      <c r="F487" s="11"/>
    </row>
    <row r="488">
      <c r="A488" s="14"/>
      <c r="B488" s="14"/>
      <c r="C488" s="15"/>
      <c r="D488" s="14"/>
      <c r="E488" s="11"/>
      <c r="F488" s="11"/>
    </row>
    <row r="489">
      <c r="A489" s="14"/>
      <c r="B489" s="14"/>
      <c r="C489" s="15"/>
      <c r="D489" s="14"/>
      <c r="E489" s="11"/>
      <c r="F489" s="11"/>
    </row>
    <row r="490">
      <c r="A490" s="14"/>
      <c r="B490" s="14"/>
      <c r="C490" s="15"/>
      <c r="D490" s="14"/>
      <c r="E490" s="11"/>
      <c r="F490" s="11"/>
    </row>
    <row r="491">
      <c r="A491" s="14"/>
      <c r="B491" s="14"/>
      <c r="C491" s="15"/>
      <c r="D491" s="14"/>
      <c r="E491" s="11"/>
      <c r="F491" s="11"/>
    </row>
    <row r="492">
      <c r="A492" s="14"/>
      <c r="B492" s="14"/>
      <c r="C492" s="15"/>
      <c r="D492" s="14"/>
      <c r="E492" s="11"/>
      <c r="F492" s="11"/>
    </row>
    <row r="493">
      <c r="A493" s="14"/>
      <c r="B493" s="14"/>
      <c r="C493" s="15"/>
      <c r="D493" s="14"/>
      <c r="E493" s="11"/>
      <c r="F493" s="11"/>
    </row>
    <row r="494">
      <c r="A494" s="14"/>
      <c r="B494" s="14"/>
      <c r="C494" s="15"/>
      <c r="D494" s="14"/>
      <c r="E494" s="11"/>
      <c r="F494" s="11"/>
    </row>
    <row r="495">
      <c r="A495" s="14"/>
      <c r="B495" s="14"/>
      <c r="C495" s="15"/>
      <c r="D495" s="14"/>
      <c r="E495" s="11"/>
      <c r="F495" s="11"/>
    </row>
    <row r="496">
      <c r="A496" s="14"/>
      <c r="B496" s="14"/>
      <c r="C496" s="15"/>
      <c r="D496" s="14"/>
      <c r="E496" s="11"/>
      <c r="F496" s="11"/>
    </row>
    <row r="497">
      <c r="A497" s="14"/>
      <c r="B497" s="14"/>
      <c r="C497" s="15"/>
      <c r="D497" s="14"/>
      <c r="E497" s="11"/>
      <c r="F497" s="11"/>
    </row>
    <row r="498">
      <c r="A498" s="14"/>
      <c r="B498" s="14"/>
      <c r="C498" s="15"/>
      <c r="D498" s="14"/>
      <c r="E498" s="11"/>
      <c r="F498" s="11"/>
    </row>
    <row r="499">
      <c r="A499" s="14"/>
      <c r="B499" s="14"/>
      <c r="C499" s="15"/>
      <c r="D499" s="14"/>
      <c r="E499" s="11"/>
      <c r="F499" s="11"/>
    </row>
    <row r="500">
      <c r="A500" s="14"/>
      <c r="B500" s="14"/>
      <c r="C500" s="15"/>
      <c r="D500" s="14"/>
      <c r="E500" s="11"/>
      <c r="F500" s="11"/>
    </row>
    <row r="501">
      <c r="A501" s="14"/>
      <c r="B501" s="14"/>
      <c r="C501" s="15"/>
      <c r="D501" s="14"/>
      <c r="E501" s="11"/>
      <c r="F501" s="11"/>
    </row>
    <row r="502">
      <c r="A502" s="14"/>
      <c r="B502" s="14"/>
      <c r="C502" s="15"/>
      <c r="D502" s="14"/>
      <c r="E502" s="11"/>
      <c r="F502" s="11"/>
    </row>
    <row r="503">
      <c r="A503" s="14"/>
      <c r="B503" s="14"/>
      <c r="C503" s="15"/>
      <c r="D503" s="14"/>
      <c r="E503" s="11"/>
      <c r="F503" s="11"/>
    </row>
    <row r="504">
      <c r="A504" s="14"/>
      <c r="B504" s="14"/>
      <c r="C504" s="15"/>
      <c r="D504" s="14"/>
      <c r="E504" s="11"/>
      <c r="F504" s="11"/>
    </row>
    <row r="505">
      <c r="A505" s="14"/>
      <c r="B505" s="14"/>
      <c r="C505" s="15"/>
      <c r="D505" s="14"/>
      <c r="E505" s="11"/>
      <c r="F505" s="11"/>
    </row>
    <row r="506">
      <c r="A506" s="14"/>
      <c r="B506" s="14"/>
      <c r="C506" s="15"/>
      <c r="D506" s="14"/>
      <c r="E506" s="11"/>
      <c r="F506" s="11"/>
    </row>
    <row r="507">
      <c r="A507" s="14"/>
      <c r="B507" s="14"/>
      <c r="C507" s="15"/>
      <c r="D507" s="14"/>
      <c r="E507" s="11"/>
      <c r="F507" s="11"/>
    </row>
    <row r="508">
      <c r="A508" s="14"/>
      <c r="B508" s="14"/>
      <c r="C508" s="15"/>
      <c r="D508" s="14"/>
      <c r="E508" s="11"/>
      <c r="F508" s="11"/>
    </row>
    <row r="509">
      <c r="A509" s="14"/>
      <c r="B509" s="14"/>
      <c r="C509" s="15"/>
      <c r="D509" s="14"/>
      <c r="E509" s="11"/>
      <c r="F509" s="11"/>
    </row>
    <row r="510">
      <c r="A510" s="14"/>
      <c r="B510" s="14"/>
      <c r="C510" s="15"/>
      <c r="D510" s="14"/>
      <c r="E510" s="11"/>
      <c r="F510" s="11"/>
    </row>
    <row r="511">
      <c r="A511" s="14"/>
      <c r="B511" s="14"/>
      <c r="C511" s="15"/>
      <c r="D511" s="14"/>
      <c r="E511" s="11"/>
      <c r="F511" s="11"/>
    </row>
    <row r="512">
      <c r="A512" s="14"/>
      <c r="B512" s="14"/>
      <c r="C512" s="15"/>
      <c r="D512" s="14"/>
      <c r="E512" s="11"/>
      <c r="F512" s="11"/>
    </row>
    <row r="513">
      <c r="A513" s="14"/>
      <c r="B513" s="14"/>
      <c r="C513" s="15"/>
      <c r="D513" s="14"/>
      <c r="E513" s="11"/>
      <c r="F513" s="11"/>
    </row>
    <row r="514">
      <c r="A514" s="14"/>
      <c r="B514" s="14"/>
      <c r="C514" s="15"/>
      <c r="D514" s="14"/>
      <c r="E514" s="11"/>
      <c r="F514" s="11"/>
    </row>
    <row r="515">
      <c r="A515" s="14"/>
      <c r="B515" s="14"/>
      <c r="C515" s="15"/>
      <c r="D515" s="14"/>
      <c r="E515" s="11"/>
      <c r="F515" s="11"/>
    </row>
    <row r="516">
      <c r="A516" s="14"/>
      <c r="B516" s="14"/>
      <c r="C516" s="15"/>
      <c r="D516" s="14"/>
      <c r="E516" s="11"/>
      <c r="F516" s="11"/>
    </row>
    <row r="517">
      <c r="A517" s="14"/>
      <c r="B517" s="14"/>
      <c r="C517" s="15"/>
      <c r="D517" s="14"/>
      <c r="E517" s="11"/>
      <c r="F517" s="11"/>
    </row>
    <row r="518">
      <c r="A518" s="14"/>
      <c r="B518" s="14"/>
      <c r="C518" s="15"/>
      <c r="D518" s="14"/>
      <c r="E518" s="11"/>
      <c r="F518" s="11"/>
    </row>
    <row r="519">
      <c r="A519" s="14"/>
      <c r="B519" s="14"/>
      <c r="C519" s="15"/>
      <c r="D519" s="14"/>
      <c r="E519" s="11"/>
      <c r="F519" s="11"/>
    </row>
    <row r="520">
      <c r="A520" s="14"/>
      <c r="B520" s="14"/>
      <c r="C520" s="15"/>
      <c r="D520" s="14"/>
      <c r="E520" s="11"/>
      <c r="F520" s="11"/>
    </row>
    <row r="521">
      <c r="A521" s="14"/>
      <c r="B521" s="14"/>
      <c r="C521" s="15"/>
      <c r="D521" s="14"/>
      <c r="E521" s="11"/>
      <c r="F521" s="11"/>
    </row>
    <row r="522">
      <c r="A522" s="14"/>
      <c r="B522" s="14"/>
      <c r="C522" s="15"/>
      <c r="D522" s="14"/>
      <c r="E522" s="11"/>
      <c r="F522" s="11"/>
    </row>
    <row r="523">
      <c r="A523" s="14"/>
      <c r="B523" s="14"/>
      <c r="C523" s="15"/>
      <c r="D523" s="14"/>
      <c r="E523" s="11"/>
      <c r="F523" s="11"/>
    </row>
    <row r="524">
      <c r="A524" s="14"/>
      <c r="B524" s="14"/>
      <c r="C524" s="15"/>
      <c r="D524" s="14"/>
      <c r="E524" s="11"/>
      <c r="F524" s="11"/>
    </row>
    <row r="525">
      <c r="A525" s="14"/>
      <c r="B525" s="14"/>
      <c r="C525" s="15"/>
      <c r="D525" s="14"/>
      <c r="E525" s="11"/>
      <c r="F525" s="11"/>
    </row>
    <row r="526">
      <c r="A526" s="14"/>
      <c r="B526" s="14"/>
      <c r="C526" s="15"/>
      <c r="D526" s="14"/>
      <c r="E526" s="11"/>
      <c r="F526" s="11"/>
    </row>
    <row r="527">
      <c r="A527" s="14"/>
      <c r="B527" s="14"/>
      <c r="C527" s="15"/>
      <c r="D527" s="14"/>
      <c r="E527" s="11"/>
      <c r="F527" s="11"/>
    </row>
    <row r="528">
      <c r="A528" s="14"/>
      <c r="B528" s="14"/>
      <c r="C528" s="15"/>
      <c r="D528" s="14"/>
      <c r="E528" s="11"/>
      <c r="F528" s="11"/>
    </row>
    <row r="529">
      <c r="A529" s="14"/>
      <c r="B529" s="14"/>
      <c r="C529" s="15"/>
      <c r="D529" s="14"/>
      <c r="E529" s="11"/>
      <c r="F529" s="11"/>
    </row>
    <row r="530">
      <c r="A530" s="14"/>
      <c r="B530" s="14"/>
      <c r="C530" s="15"/>
      <c r="D530" s="14"/>
      <c r="E530" s="11"/>
      <c r="F530" s="11"/>
    </row>
    <row r="531">
      <c r="A531" s="14"/>
      <c r="B531" s="14"/>
      <c r="C531" s="15"/>
      <c r="D531" s="14"/>
      <c r="E531" s="11"/>
      <c r="F531" s="11"/>
    </row>
    <row r="532">
      <c r="A532" s="14"/>
      <c r="B532" s="14"/>
      <c r="C532" s="15"/>
      <c r="D532" s="14"/>
      <c r="E532" s="11"/>
      <c r="F532" s="11"/>
    </row>
    <row r="533">
      <c r="A533" s="14"/>
      <c r="B533" s="14"/>
      <c r="C533" s="15"/>
      <c r="D533" s="14"/>
      <c r="E533" s="11"/>
      <c r="F533" s="11"/>
    </row>
    <row r="534">
      <c r="A534" s="14"/>
      <c r="B534" s="14"/>
      <c r="C534" s="15"/>
      <c r="D534" s="14"/>
      <c r="E534" s="11"/>
      <c r="F534" s="11"/>
    </row>
    <row r="535">
      <c r="A535" s="14"/>
      <c r="B535" s="14"/>
      <c r="C535" s="15"/>
      <c r="D535" s="14"/>
      <c r="E535" s="11"/>
      <c r="F535" s="11"/>
    </row>
    <row r="536">
      <c r="A536" s="14"/>
      <c r="B536" s="14"/>
      <c r="C536" s="15"/>
      <c r="D536" s="14"/>
      <c r="E536" s="11"/>
      <c r="F536" s="11"/>
    </row>
    <row r="537">
      <c r="A537" s="14"/>
      <c r="B537" s="14"/>
      <c r="C537" s="15"/>
      <c r="D537" s="14"/>
      <c r="E537" s="11"/>
      <c r="F537" s="11"/>
    </row>
    <row r="538">
      <c r="A538" s="14"/>
      <c r="B538" s="14"/>
      <c r="C538" s="15"/>
      <c r="D538" s="14"/>
      <c r="E538" s="11"/>
      <c r="F538" s="11"/>
    </row>
    <row r="539">
      <c r="A539" s="14"/>
      <c r="B539" s="14"/>
      <c r="C539" s="15"/>
      <c r="D539" s="14"/>
      <c r="E539" s="11"/>
      <c r="F539" s="11"/>
    </row>
    <row r="540">
      <c r="A540" s="14"/>
      <c r="B540" s="14"/>
      <c r="C540" s="15"/>
      <c r="D540" s="14"/>
      <c r="E540" s="11"/>
      <c r="F540" s="11"/>
    </row>
    <row r="541">
      <c r="A541" s="14"/>
      <c r="B541" s="14"/>
      <c r="C541" s="15"/>
      <c r="D541" s="14"/>
      <c r="E541" s="11"/>
      <c r="F541" s="11"/>
    </row>
    <row r="542">
      <c r="A542" s="14"/>
      <c r="B542" s="14"/>
      <c r="C542" s="15"/>
      <c r="D542" s="14"/>
      <c r="E542" s="11"/>
      <c r="F542" s="11"/>
    </row>
    <row r="543">
      <c r="A543" s="14"/>
      <c r="B543" s="14"/>
      <c r="C543" s="15"/>
      <c r="D543" s="14"/>
      <c r="E543" s="11"/>
      <c r="F543" s="11"/>
    </row>
    <row r="544">
      <c r="A544" s="14"/>
      <c r="B544" s="14"/>
      <c r="C544" s="15"/>
      <c r="D544" s="14"/>
      <c r="E544" s="11"/>
      <c r="F544" s="11"/>
    </row>
    <row r="545">
      <c r="A545" s="14"/>
      <c r="B545" s="14"/>
      <c r="C545" s="15"/>
      <c r="D545" s="14"/>
      <c r="E545" s="11"/>
      <c r="F545" s="11"/>
    </row>
    <row r="546">
      <c r="A546" s="14"/>
      <c r="B546" s="14"/>
      <c r="C546" s="15"/>
      <c r="D546" s="14"/>
      <c r="E546" s="11"/>
      <c r="F546" s="11"/>
    </row>
    <row r="547">
      <c r="A547" s="14"/>
      <c r="B547" s="14"/>
      <c r="C547" s="15"/>
      <c r="D547" s="14"/>
      <c r="E547" s="11"/>
      <c r="F547" s="11"/>
    </row>
    <row r="548">
      <c r="A548" s="14"/>
      <c r="B548" s="14"/>
      <c r="C548" s="15"/>
      <c r="D548" s="14"/>
      <c r="E548" s="11"/>
      <c r="F548" s="11"/>
    </row>
    <row r="549">
      <c r="A549" s="14"/>
      <c r="B549" s="14"/>
      <c r="C549" s="15"/>
      <c r="D549" s="14"/>
      <c r="E549" s="11"/>
      <c r="F549" s="11"/>
    </row>
    <row r="550">
      <c r="A550" s="14"/>
      <c r="B550" s="14"/>
      <c r="C550" s="15"/>
      <c r="D550" s="14"/>
      <c r="E550" s="11"/>
      <c r="F550" s="11"/>
    </row>
    <row r="551">
      <c r="A551" s="14"/>
      <c r="B551" s="14"/>
      <c r="C551" s="15"/>
      <c r="D551" s="14"/>
      <c r="E551" s="11"/>
      <c r="F551" s="11"/>
    </row>
    <row r="552">
      <c r="A552" s="14"/>
      <c r="B552" s="14"/>
      <c r="C552" s="15"/>
      <c r="D552" s="14"/>
      <c r="E552" s="11"/>
      <c r="F552" s="11"/>
    </row>
    <row r="553">
      <c r="A553" s="14"/>
      <c r="B553" s="14"/>
      <c r="C553" s="15"/>
      <c r="D553" s="14"/>
      <c r="E553" s="11"/>
      <c r="F553" s="11"/>
    </row>
    <row r="554">
      <c r="A554" s="14"/>
      <c r="B554" s="14"/>
      <c r="C554" s="15"/>
      <c r="D554" s="14"/>
      <c r="E554" s="11"/>
      <c r="F554" s="11"/>
    </row>
    <row r="555">
      <c r="A555" s="14"/>
      <c r="B555" s="14"/>
      <c r="C555" s="15"/>
      <c r="D555" s="14"/>
      <c r="E555" s="11"/>
      <c r="F555" s="11"/>
    </row>
    <row r="556">
      <c r="A556" s="14"/>
      <c r="B556" s="14"/>
      <c r="C556" s="15"/>
      <c r="D556" s="14"/>
      <c r="E556" s="11"/>
      <c r="F556" s="11"/>
    </row>
    <row r="557">
      <c r="A557" s="14"/>
      <c r="B557" s="14"/>
      <c r="C557" s="15"/>
      <c r="D557" s="14"/>
      <c r="E557" s="11"/>
      <c r="F557" s="11"/>
    </row>
    <row r="558">
      <c r="A558" s="14"/>
      <c r="B558" s="14"/>
      <c r="C558" s="15"/>
      <c r="D558" s="14"/>
      <c r="E558" s="11"/>
      <c r="F558" s="11"/>
    </row>
    <row r="559">
      <c r="A559" s="14"/>
      <c r="B559" s="14"/>
      <c r="C559" s="15"/>
      <c r="D559" s="14"/>
      <c r="E559" s="11"/>
      <c r="F559" s="11"/>
    </row>
    <row r="560">
      <c r="A560" s="14"/>
      <c r="B560" s="14"/>
      <c r="C560" s="15"/>
      <c r="D560" s="14"/>
      <c r="E560" s="11"/>
      <c r="F560" s="11"/>
    </row>
    <row r="561">
      <c r="A561" s="14"/>
      <c r="B561" s="14"/>
      <c r="C561" s="15"/>
      <c r="D561" s="14"/>
      <c r="E561" s="11"/>
      <c r="F561" s="11"/>
    </row>
    <row r="562">
      <c r="A562" s="14"/>
      <c r="B562" s="14"/>
      <c r="C562" s="15"/>
      <c r="D562" s="14"/>
      <c r="E562" s="11"/>
      <c r="F562" s="11"/>
    </row>
    <row r="563">
      <c r="A563" s="14"/>
      <c r="B563" s="14"/>
      <c r="C563" s="15"/>
      <c r="D563" s="14"/>
      <c r="E563" s="11"/>
      <c r="F563" s="11"/>
    </row>
    <row r="564">
      <c r="A564" s="14"/>
      <c r="B564" s="14"/>
      <c r="C564" s="15"/>
      <c r="D564" s="14"/>
      <c r="E564" s="11"/>
      <c r="F564" s="11"/>
    </row>
    <row r="565">
      <c r="A565" s="14"/>
      <c r="B565" s="14"/>
      <c r="C565" s="15"/>
      <c r="D565" s="14"/>
      <c r="E565" s="11"/>
      <c r="F565" s="11"/>
    </row>
    <row r="566">
      <c r="A566" s="14"/>
      <c r="B566" s="14"/>
      <c r="C566" s="15"/>
      <c r="D566" s="14"/>
      <c r="E566" s="11"/>
      <c r="F566" s="11"/>
    </row>
    <row r="567">
      <c r="A567" s="14"/>
      <c r="B567" s="14"/>
      <c r="C567" s="15"/>
      <c r="D567" s="14"/>
      <c r="E567" s="11"/>
      <c r="F567" s="11"/>
    </row>
    <row r="568">
      <c r="A568" s="14"/>
      <c r="B568" s="14"/>
      <c r="C568" s="15"/>
      <c r="D568" s="14"/>
      <c r="E568" s="11"/>
      <c r="F568" s="11"/>
    </row>
    <row r="569">
      <c r="A569" s="14"/>
      <c r="B569" s="14"/>
      <c r="C569" s="15"/>
      <c r="D569" s="14"/>
      <c r="E569" s="11"/>
      <c r="F569" s="11"/>
    </row>
    <row r="570">
      <c r="A570" s="14"/>
      <c r="B570" s="14"/>
      <c r="C570" s="15"/>
      <c r="D570" s="14"/>
      <c r="E570" s="11"/>
      <c r="F570" s="11"/>
    </row>
    <row r="571">
      <c r="A571" s="14"/>
      <c r="B571" s="14"/>
      <c r="C571" s="15"/>
      <c r="D571" s="14"/>
      <c r="E571" s="11"/>
      <c r="F571" s="11"/>
    </row>
    <row r="572">
      <c r="A572" s="14"/>
      <c r="B572" s="14"/>
      <c r="C572" s="15"/>
      <c r="D572" s="14"/>
      <c r="E572" s="11"/>
      <c r="F572" s="11"/>
    </row>
    <row r="573">
      <c r="A573" s="14"/>
      <c r="B573" s="14"/>
      <c r="C573" s="15"/>
      <c r="D573" s="14"/>
      <c r="E573" s="11"/>
      <c r="F573" s="11"/>
    </row>
    <row r="574">
      <c r="A574" s="14"/>
      <c r="B574" s="14"/>
      <c r="C574" s="15"/>
      <c r="D574" s="14"/>
      <c r="E574" s="11"/>
      <c r="F574" s="11"/>
    </row>
    <row r="575">
      <c r="A575" s="14"/>
      <c r="B575" s="14"/>
      <c r="C575" s="15"/>
      <c r="D575" s="14"/>
      <c r="E575" s="11"/>
      <c r="F575" s="11"/>
    </row>
    <row r="576">
      <c r="A576" s="14"/>
      <c r="B576" s="14"/>
      <c r="C576" s="15"/>
      <c r="D576" s="14"/>
      <c r="E576" s="11"/>
      <c r="F576" s="11"/>
    </row>
    <row r="577">
      <c r="A577" s="14"/>
      <c r="B577" s="14"/>
      <c r="C577" s="15"/>
      <c r="D577" s="14"/>
      <c r="E577" s="11"/>
      <c r="F577" s="11"/>
    </row>
    <row r="578">
      <c r="A578" s="14"/>
      <c r="B578" s="14"/>
      <c r="C578" s="15"/>
      <c r="D578" s="14"/>
      <c r="E578" s="11"/>
      <c r="F578" s="11"/>
    </row>
    <row r="579">
      <c r="A579" s="14"/>
      <c r="B579" s="14"/>
      <c r="C579" s="15"/>
      <c r="D579" s="14"/>
      <c r="E579" s="11"/>
      <c r="F579" s="11"/>
    </row>
    <row r="580">
      <c r="A580" s="14"/>
      <c r="B580" s="14"/>
      <c r="C580" s="15"/>
      <c r="D580" s="14"/>
      <c r="E580" s="11"/>
      <c r="F580" s="11"/>
    </row>
    <row r="581">
      <c r="A581" s="14"/>
      <c r="B581" s="14"/>
      <c r="C581" s="15"/>
      <c r="D581" s="14"/>
      <c r="E581" s="11"/>
      <c r="F581" s="11"/>
    </row>
    <row r="582">
      <c r="A582" s="14"/>
      <c r="B582" s="14"/>
      <c r="C582" s="15"/>
      <c r="D582" s="14"/>
      <c r="E582" s="11"/>
      <c r="F582" s="11"/>
    </row>
    <row r="583">
      <c r="A583" s="14"/>
      <c r="B583" s="14"/>
      <c r="C583" s="15"/>
      <c r="D583" s="14"/>
      <c r="E583" s="11"/>
      <c r="F583" s="11"/>
    </row>
    <row r="584">
      <c r="A584" s="14"/>
      <c r="B584" s="14"/>
      <c r="C584" s="15"/>
      <c r="D584" s="14"/>
      <c r="E584" s="11"/>
      <c r="F584" s="11"/>
    </row>
    <row r="585">
      <c r="A585" s="14"/>
      <c r="B585" s="14"/>
      <c r="C585" s="15"/>
      <c r="D585" s="14"/>
      <c r="E585" s="11"/>
      <c r="F585" s="11"/>
    </row>
    <row r="586">
      <c r="A586" s="14"/>
      <c r="B586" s="14"/>
      <c r="C586" s="15"/>
      <c r="D586" s="14"/>
      <c r="E586" s="11"/>
      <c r="F586" s="11"/>
    </row>
    <row r="587">
      <c r="A587" s="14"/>
      <c r="B587" s="14"/>
      <c r="C587" s="15"/>
      <c r="D587" s="14"/>
      <c r="E587" s="11"/>
      <c r="F587" s="11"/>
    </row>
    <row r="588">
      <c r="A588" s="14"/>
      <c r="B588" s="14"/>
      <c r="C588" s="15"/>
      <c r="D588" s="14"/>
      <c r="E588" s="11"/>
      <c r="F588" s="11"/>
    </row>
    <row r="589">
      <c r="A589" s="14"/>
      <c r="B589" s="14"/>
      <c r="C589" s="15"/>
      <c r="D589" s="14"/>
      <c r="E589" s="11"/>
      <c r="F589" s="11"/>
    </row>
    <row r="590">
      <c r="A590" s="14"/>
      <c r="B590" s="14"/>
      <c r="C590" s="15"/>
      <c r="D590" s="14"/>
      <c r="E590" s="11"/>
      <c r="F590" s="11"/>
    </row>
    <row r="591">
      <c r="A591" s="14"/>
      <c r="B591" s="14"/>
      <c r="C591" s="15"/>
      <c r="D591" s="14"/>
      <c r="E591" s="11"/>
      <c r="F591" s="11"/>
    </row>
    <row r="592">
      <c r="A592" s="14"/>
      <c r="B592" s="14"/>
      <c r="C592" s="15"/>
      <c r="D592" s="14"/>
      <c r="E592" s="11"/>
      <c r="F592" s="11"/>
    </row>
    <row r="593">
      <c r="A593" s="14"/>
      <c r="B593" s="14"/>
      <c r="C593" s="15"/>
      <c r="D593" s="14"/>
      <c r="E593" s="11"/>
      <c r="F593" s="11"/>
    </row>
    <row r="594">
      <c r="A594" s="14"/>
      <c r="B594" s="14"/>
      <c r="C594" s="15"/>
      <c r="D594" s="14"/>
      <c r="E594" s="11"/>
      <c r="F594" s="11"/>
    </row>
    <row r="595">
      <c r="A595" s="14"/>
      <c r="B595" s="14"/>
      <c r="C595" s="15"/>
      <c r="D595" s="14"/>
      <c r="E595" s="11"/>
      <c r="F595" s="11"/>
    </row>
    <row r="596">
      <c r="A596" s="14"/>
      <c r="B596" s="14"/>
      <c r="C596" s="15"/>
      <c r="D596" s="14"/>
      <c r="E596" s="11"/>
      <c r="F596" s="11"/>
    </row>
    <row r="597">
      <c r="A597" s="14"/>
      <c r="B597" s="14"/>
      <c r="C597" s="15"/>
      <c r="D597" s="14"/>
      <c r="E597" s="11"/>
      <c r="F597" s="11"/>
    </row>
    <row r="598">
      <c r="A598" s="14"/>
      <c r="B598" s="14"/>
      <c r="C598" s="15"/>
      <c r="D598" s="14"/>
      <c r="E598" s="11"/>
      <c r="F598" s="11"/>
    </row>
    <row r="599">
      <c r="A599" s="14"/>
      <c r="B599" s="14"/>
      <c r="C599" s="15"/>
      <c r="D599" s="14"/>
      <c r="E599" s="11"/>
      <c r="F599" s="11"/>
    </row>
    <row r="600">
      <c r="A600" s="14"/>
      <c r="B600" s="14"/>
      <c r="C600" s="15"/>
      <c r="D600" s="14"/>
      <c r="E600" s="11"/>
      <c r="F600" s="11"/>
    </row>
    <row r="601">
      <c r="A601" s="14"/>
      <c r="B601" s="14"/>
      <c r="C601" s="15"/>
      <c r="D601" s="14"/>
      <c r="E601" s="11"/>
      <c r="F601" s="11"/>
    </row>
    <row r="602">
      <c r="A602" s="14"/>
      <c r="B602" s="14"/>
      <c r="C602" s="15"/>
      <c r="D602" s="14"/>
      <c r="E602" s="11"/>
      <c r="F602" s="11"/>
    </row>
    <row r="603">
      <c r="A603" s="14"/>
      <c r="B603" s="14"/>
      <c r="C603" s="15"/>
      <c r="D603" s="14"/>
      <c r="E603" s="11"/>
      <c r="F603" s="11"/>
    </row>
    <row r="604">
      <c r="A604" s="14"/>
      <c r="B604" s="14"/>
      <c r="C604" s="15"/>
      <c r="D604" s="14"/>
      <c r="E604" s="11"/>
      <c r="F604" s="11"/>
    </row>
    <row r="605">
      <c r="A605" s="14"/>
      <c r="B605" s="14"/>
      <c r="C605" s="15"/>
      <c r="D605" s="14"/>
      <c r="E605" s="11"/>
      <c r="F605" s="11"/>
    </row>
    <row r="606">
      <c r="A606" s="14"/>
      <c r="B606" s="14"/>
      <c r="C606" s="15"/>
      <c r="D606" s="14"/>
      <c r="E606" s="11"/>
      <c r="F606" s="11"/>
    </row>
    <row r="607">
      <c r="A607" s="14"/>
      <c r="B607" s="14"/>
      <c r="C607" s="15"/>
      <c r="D607" s="14"/>
      <c r="E607" s="11"/>
      <c r="F607" s="11"/>
    </row>
    <row r="608">
      <c r="A608" s="14"/>
      <c r="B608" s="14"/>
      <c r="C608" s="15"/>
      <c r="D608" s="14"/>
      <c r="E608" s="11"/>
      <c r="F608" s="11"/>
    </row>
    <row r="609">
      <c r="A609" s="14"/>
      <c r="B609" s="14"/>
      <c r="C609" s="15"/>
      <c r="D609" s="14"/>
      <c r="E609" s="11"/>
      <c r="F609" s="11"/>
    </row>
    <row r="610">
      <c r="A610" s="14"/>
      <c r="B610" s="14"/>
      <c r="C610" s="15"/>
      <c r="D610" s="14"/>
      <c r="E610" s="11"/>
      <c r="F610" s="11"/>
    </row>
    <row r="611">
      <c r="A611" s="14"/>
      <c r="B611" s="14"/>
      <c r="C611" s="15"/>
      <c r="D611" s="14"/>
      <c r="E611" s="11"/>
      <c r="F611" s="11"/>
    </row>
    <row r="612">
      <c r="A612" s="14"/>
      <c r="B612" s="14"/>
      <c r="C612" s="15"/>
      <c r="D612" s="14"/>
      <c r="E612" s="11"/>
      <c r="F612" s="11"/>
    </row>
    <row r="613">
      <c r="A613" s="14"/>
      <c r="B613" s="14"/>
      <c r="C613" s="15"/>
      <c r="D613" s="14"/>
      <c r="E613" s="11"/>
      <c r="F613" s="11"/>
    </row>
    <row r="614">
      <c r="A614" s="14"/>
      <c r="B614" s="14"/>
      <c r="C614" s="15"/>
      <c r="D614" s="14"/>
      <c r="E614" s="11"/>
      <c r="F614" s="11"/>
    </row>
    <row r="615">
      <c r="A615" s="14"/>
      <c r="B615" s="14"/>
      <c r="C615" s="15"/>
      <c r="D615" s="14"/>
      <c r="E615" s="11"/>
      <c r="F615" s="11"/>
    </row>
    <row r="616">
      <c r="A616" s="14"/>
      <c r="B616" s="14"/>
      <c r="C616" s="15"/>
      <c r="D616" s="14"/>
      <c r="E616" s="11"/>
      <c r="F616" s="11"/>
    </row>
    <row r="617">
      <c r="A617" s="14"/>
      <c r="B617" s="14"/>
      <c r="C617" s="15"/>
      <c r="D617" s="14"/>
      <c r="E617" s="11"/>
      <c r="F617" s="11"/>
    </row>
    <row r="618">
      <c r="A618" s="14"/>
      <c r="B618" s="14"/>
      <c r="C618" s="15"/>
      <c r="D618" s="14"/>
      <c r="E618" s="11"/>
      <c r="F618" s="11"/>
    </row>
    <row r="619">
      <c r="A619" s="14"/>
      <c r="B619" s="14"/>
      <c r="C619" s="15"/>
      <c r="D619" s="14"/>
      <c r="E619" s="11"/>
      <c r="F619" s="11"/>
    </row>
    <row r="620">
      <c r="A620" s="14"/>
      <c r="B620" s="14"/>
      <c r="C620" s="15"/>
      <c r="D620" s="14"/>
      <c r="E620" s="11"/>
      <c r="F620" s="11"/>
    </row>
    <row r="621">
      <c r="A621" s="14"/>
      <c r="B621" s="14"/>
      <c r="C621" s="15"/>
      <c r="D621" s="14"/>
      <c r="E621" s="11"/>
      <c r="F621" s="11"/>
    </row>
    <row r="622">
      <c r="A622" s="14"/>
      <c r="B622" s="14"/>
      <c r="C622" s="15"/>
      <c r="D622" s="14"/>
      <c r="E622" s="11"/>
      <c r="F622" s="11"/>
    </row>
    <row r="623">
      <c r="A623" s="14"/>
      <c r="B623" s="14"/>
      <c r="C623" s="15"/>
      <c r="D623" s="14"/>
      <c r="E623" s="11"/>
      <c r="F623" s="11"/>
    </row>
    <row r="624">
      <c r="A624" s="14"/>
      <c r="B624" s="14"/>
      <c r="C624" s="15"/>
      <c r="D624" s="14"/>
      <c r="E624" s="11"/>
      <c r="F624" s="11"/>
    </row>
    <row r="625">
      <c r="A625" s="14"/>
      <c r="B625" s="14"/>
      <c r="C625" s="15"/>
      <c r="D625" s="14"/>
      <c r="E625" s="11"/>
      <c r="F625" s="11"/>
    </row>
    <row r="626">
      <c r="A626" s="14"/>
      <c r="B626" s="14"/>
      <c r="C626" s="15"/>
      <c r="D626" s="14"/>
      <c r="E626" s="11"/>
      <c r="F626" s="11"/>
    </row>
    <row r="627">
      <c r="A627" s="14"/>
      <c r="B627" s="14"/>
      <c r="C627" s="15"/>
      <c r="D627" s="14"/>
      <c r="E627" s="11"/>
      <c r="F627" s="11"/>
    </row>
    <row r="628">
      <c r="A628" s="14"/>
      <c r="B628" s="14"/>
      <c r="C628" s="15"/>
      <c r="D628" s="14"/>
      <c r="E628" s="11"/>
      <c r="F628" s="11"/>
    </row>
    <row r="629">
      <c r="A629" s="14"/>
      <c r="B629" s="14"/>
      <c r="C629" s="15"/>
      <c r="D629" s="14"/>
      <c r="E629" s="11"/>
      <c r="F629" s="11"/>
    </row>
    <row r="630">
      <c r="A630" s="14"/>
      <c r="B630" s="14"/>
      <c r="C630" s="15"/>
      <c r="D630" s="14"/>
      <c r="E630" s="11"/>
      <c r="F630" s="11"/>
    </row>
    <row r="631">
      <c r="A631" s="14"/>
      <c r="B631" s="14"/>
      <c r="C631" s="15"/>
      <c r="D631" s="14"/>
      <c r="E631" s="11"/>
      <c r="F631" s="11"/>
    </row>
    <row r="632">
      <c r="A632" s="14"/>
      <c r="B632" s="14"/>
      <c r="C632" s="15"/>
      <c r="D632" s="14"/>
      <c r="E632" s="11"/>
      <c r="F632" s="11"/>
    </row>
    <row r="633">
      <c r="A633" s="14"/>
      <c r="B633" s="14"/>
      <c r="C633" s="15"/>
      <c r="D633" s="14"/>
      <c r="E633" s="11"/>
      <c r="F633" s="11"/>
    </row>
    <row r="634">
      <c r="A634" s="14"/>
      <c r="B634" s="14"/>
      <c r="C634" s="15"/>
      <c r="D634" s="14"/>
      <c r="E634" s="11"/>
      <c r="F634" s="11"/>
    </row>
    <row r="635">
      <c r="A635" s="14"/>
      <c r="B635" s="14"/>
      <c r="C635" s="15"/>
      <c r="D635" s="14"/>
      <c r="E635" s="11"/>
      <c r="F635" s="11"/>
    </row>
    <row r="636">
      <c r="A636" s="14"/>
      <c r="B636" s="14"/>
      <c r="C636" s="15"/>
      <c r="D636" s="14"/>
      <c r="E636" s="11"/>
      <c r="F636" s="11"/>
    </row>
    <row r="637">
      <c r="A637" s="14"/>
      <c r="B637" s="14"/>
      <c r="C637" s="15"/>
      <c r="D637" s="14"/>
      <c r="E637" s="11"/>
      <c r="F637" s="11"/>
    </row>
    <row r="638">
      <c r="A638" s="14"/>
      <c r="B638" s="14"/>
      <c r="C638" s="15"/>
      <c r="D638" s="14"/>
      <c r="E638" s="11"/>
      <c r="F638" s="11"/>
    </row>
    <row r="639">
      <c r="A639" s="14"/>
      <c r="B639" s="14"/>
      <c r="C639" s="15"/>
      <c r="D639" s="14"/>
      <c r="E639" s="11"/>
      <c r="F639" s="11"/>
    </row>
    <row r="640">
      <c r="A640" s="14"/>
      <c r="B640" s="14"/>
      <c r="C640" s="15"/>
      <c r="D640" s="14"/>
      <c r="E640" s="11"/>
      <c r="F640" s="11"/>
    </row>
    <row r="641">
      <c r="A641" s="14"/>
      <c r="B641" s="14"/>
      <c r="C641" s="15"/>
      <c r="D641" s="14"/>
      <c r="E641" s="11"/>
      <c r="F641" s="11"/>
    </row>
    <row r="642">
      <c r="A642" s="14"/>
      <c r="B642" s="14"/>
      <c r="C642" s="15"/>
      <c r="D642" s="14"/>
      <c r="E642" s="11"/>
      <c r="F642" s="11"/>
    </row>
    <row r="643">
      <c r="A643" s="14"/>
      <c r="B643" s="14"/>
      <c r="C643" s="15"/>
      <c r="D643" s="14"/>
      <c r="E643" s="11"/>
      <c r="F643" s="11"/>
    </row>
    <row r="644">
      <c r="A644" s="14"/>
      <c r="B644" s="14"/>
      <c r="C644" s="15"/>
      <c r="D644" s="14"/>
      <c r="E644" s="11"/>
      <c r="F644" s="11"/>
    </row>
    <row r="645">
      <c r="A645" s="14"/>
      <c r="B645" s="14"/>
      <c r="C645" s="15"/>
      <c r="D645" s="14"/>
      <c r="E645" s="11"/>
      <c r="F645" s="11"/>
    </row>
    <row r="646">
      <c r="A646" s="14"/>
      <c r="B646" s="14"/>
      <c r="C646" s="15"/>
      <c r="D646" s="14"/>
      <c r="E646" s="11"/>
      <c r="F646" s="11"/>
    </row>
    <row r="647">
      <c r="A647" s="14"/>
      <c r="B647" s="14"/>
      <c r="C647" s="15"/>
      <c r="D647" s="14"/>
      <c r="E647" s="11"/>
      <c r="F647" s="11"/>
    </row>
    <row r="648">
      <c r="A648" s="14"/>
      <c r="B648" s="14"/>
      <c r="C648" s="15"/>
      <c r="D648" s="14"/>
      <c r="E648" s="11"/>
      <c r="F648" s="11"/>
    </row>
    <row r="649">
      <c r="A649" s="14"/>
      <c r="B649" s="14"/>
      <c r="C649" s="15"/>
      <c r="D649" s="14"/>
      <c r="E649" s="11"/>
      <c r="F649" s="11"/>
    </row>
    <row r="650">
      <c r="A650" s="14"/>
      <c r="B650" s="14"/>
      <c r="C650" s="15"/>
      <c r="D650" s="14"/>
      <c r="E650" s="11"/>
      <c r="F650" s="11"/>
    </row>
    <row r="651">
      <c r="A651" s="14"/>
      <c r="B651" s="14"/>
      <c r="C651" s="15"/>
      <c r="D651" s="14"/>
      <c r="E651" s="11"/>
      <c r="F651" s="11"/>
    </row>
    <row r="652">
      <c r="A652" s="14"/>
      <c r="B652" s="14"/>
      <c r="C652" s="15"/>
      <c r="D652" s="14"/>
      <c r="E652" s="11"/>
      <c r="F652" s="11"/>
    </row>
    <row r="653">
      <c r="A653" s="14"/>
      <c r="B653" s="14"/>
      <c r="C653" s="15"/>
      <c r="D653" s="14"/>
      <c r="E653" s="11"/>
      <c r="F653" s="11"/>
    </row>
    <row r="654">
      <c r="A654" s="14"/>
      <c r="B654" s="14"/>
      <c r="C654" s="15"/>
      <c r="D654" s="14"/>
      <c r="E654" s="11"/>
      <c r="F654" s="11"/>
    </row>
    <row r="655">
      <c r="A655" s="14"/>
      <c r="B655" s="14"/>
      <c r="C655" s="15"/>
      <c r="D655" s="14"/>
      <c r="E655" s="11"/>
      <c r="F655" s="11"/>
    </row>
    <row r="656">
      <c r="A656" s="14"/>
      <c r="B656" s="14"/>
      <c r="C656" s="15"/>
      <c r="D656" s="14"/>
      <c r="E656" s="11"/>
      <c r="F656" s="11"/>
    </row>
    <row r="657">
      <c r="A657" s="14"/>
      <c r="B657" s="14"/>
      <c r="C657" s="15"/>
      <c r="D657" s="14"/>
      <c r="E657" s="11"/>
      <c r="F657" s="11"/>
    </row>
    <row r="658">
      <c r="A658" s="14"/>
      <c r="B658" s="14"/>
      <c r="C658" s="15"/>
      <c r="D658" s="14"/>
      <c r="E658" s="11"/>
      <c r="F658" s="11"/>
    </row>
    <row r="659">
      <c r="A659" s="14"/>
      <c r="B659" s="14"/>
      <c r="C659" s="15"/>
      <c r="D659" s="14"/>
      <c r="E659" s="11"/>
      <c r="F659" s="11"/>
    </row>
    <row r="660">
      <c r="A660" s="14"/>
      <c r="B660" s="14"/>
      <c r="C660" s="15"/>
      <c r="D660" s="14"/>
      <c r="E660" s="11"/>
      <c r="F660" s="11"/>
    </row>
    <row r="661">
      <c r="A661" s="14"/>
      <c r="B661" s="14"/>
      <c r="C661" s="15"/>
      <c r="D661" s="14"/>
      <c r="E661" s="11"/>
      <c r="F661" s="11"/>
    </row>
    <row r="662">
      <c r="A662" s="14"/>
      <c r="B662" s="14"/>
      <c r="C662" s="15"/>
      <c r="D662" s="14"/>
      <c r="E662" s="11"/>
      <c r="F662" s="11"/>
    </row>
    <row r="663">
      <c r="A663" s="14"/>
      <c r="B663" s="14"/>
      <c r="C663" s="15"/>
      <c r="D663" s="14"/>
      <c r="E663" s="11"/>
      <c r="F663" s="11"/>
    </row>
    <row r="664">
      <c r="A664" s="14"/>
      <c r="B664" s="14"/>
      <c r="C664" s="15"/>
      <c r="D664" s="14"/>
      <c r="E664" s="11"/>
      <c r="F664" s="11"/>
    </row>
    <row r="665">
      <c r="A665" s="14"/>
      <c r="B665" s="14"/>
      <c r="C665" s="15"/>
      <c r="D665" s="14"/>
      <c r="E665" s="11"/>
      <c r="F665" s="11"/>
    </row>
    <row r="666">
      <c r="A666" s="14"/>
      <c r="B666" s="14"/>
      <c r="C666" s="15"/>
      <c r="D666" s="14"/>
      <c r="E666" s="11"/>
      <c r="F666" s="11"/>
    </row>
    <row r="667">
      <c r="A667" s="14"/>
      <c r="B667" s="14"/>
      <c r="C667" s="15"/>
      <c r="D667" s="14"/>
      <c r="E667" s="11"/>
      <c r="F667" s="11"/>
    </row>
    <row r="668">
      <c r="A668" s="14"/>
      <c r="B668" s="14"/>
      <c r="C668" s="15"/>
      <c r="D668" s="14"/>
      <c r="E668" s="11"/>
      <c r="F668" s="11"/>
    </row>
    <row r="669">
      <c r="A669" s="14"/>
      <c r="B669" s="14"/>
      <c r="C669" s="15"/>
      <c r="D669" s="14"/>
      <c r="E669" s="11"/>
      <c r="F669" s="11"/>
    </row>
    <row r="670">
      <c r="A670" s="14"/>
      <c r="B670" s="14"/>
      <c r="C670" s="15"/>
      <c r="D670" s="14"/>
      <c r="E670" s="11"/>
      <c r="F670" s="11"/>
    </row>
    <row r="671">
      <c r="A671" s="14"/>
      <c r="B671" s="14"/>
      <c r="C671" s="15"/>
      <c r="D671" s="14"/>
      <c r="E671" s="11"/>
      <c r="F671" s="11"/>
    </row>
    <row r="672">
      <c r="A672" s="14"/>
      <c r="B672" s="14"/>
      <c r="C672" s="15"/>
      <c r="D672" s="14"/>
      <c r="E672" s="11"/>
      <c r="F672" s="11"/>
    </row>
    <row r="673">
      <c r="A673" s="14"/>
      <c r="B673" s="14"/>
      <c r="C673" s="15"/>
      <c r="D673" s="14"/>
      <c r="E673" s="11"/>
      <c r="F673" s="11"/>
    </row>
    <row r="674">
      <c r="A674" s="14"/>
      <c r="B674" s="14"/>
      <c r="C674" s="15"/>
      <c r="D674" s="14"/>
      <c r="E674" s="11"/>
      <c r="F674" s="11"/>
    </row>
    <row r="675">
      <c r="A675" s="14"/>
      <c r="B675" s="14"/>
      <c r="C675" s="15"/>
      <c r="D675" s="14"/>
      <c r="E675" s="11"/>
      <c r="F675" s="11"/>
    </row>
    <row r="676">
      <c r="A676" s="14"/>
      <c r="B676" s="14"/>
      <c r="C676" s="15"/>
      <c r="D676" s="14"/>
      <c r="E676" s="11"/>
      <c r="F676" s="11"/>
    </row>
    <row r="677">
      <c r="A677" s="14"/>
      <c r="B677" s="14"/>
      <c r="C677" s="15"/>
      <c r="D677" s="14"/>
      <c r="E677" s="11"/>
      <c r="F677" s="11"/>
    </row>
    <row r="678">
      <c r="A678" s="14"/>
      <c r="B678" s="14"/>
      <c r="C678" s="15"/>
      <c r="D678" s="14"/>
      <c r="E678" s="11"/>
      <c r="F678" s="11"/>
    </row>
    <row r="679">
      <c r="A679" s="14"/>
      <c r="B679" s="14"/>
      <c r="C679" s="15"/>
      <c r="D679" s="14"/>
      <c r="E679" s="11"/>
      <c r="F679" s="11"/>
    </row>
    <row r="680">
      <c r="A680" s="14"/>
      <c r="B680" s="14"/>
      <c r="C680" s="15"/>
      <c r="D680" s="14"/>
      <c r="E680" s="11"/>
      <c r="F680" s="11"/>
    </row>
    <row r="681">
      <c r="A681" s="14"/>
      <c r="B681" s="14"/>
      <c r="C681" s="15"/>
      <c r="D681" s="14"/>
      <c r="E681" s="11"/>
      <c r="F681" s="11"/>
    </row>
    <row r="682">
      <c r="A682" s="14"/>
      <c r="B682" s="14"/>
      <c r="C682" s="15"/>
      <c r="D682" s="14"/>
      <c r="E682" s="11"/>
      <c r="F682" s="11"/>
    </row>
    <row r="683">
      <c r="A683" s="14"/>
      <c r="B683" s="14"/>
      <c r="C683" s="15"/>
      <c r="D683" s="14"/>
      <c r="E683" s="11"/>
      <c r="F683" s="11"/>
    </row>
    <row r="684">
      <c r="A684" s="14"/>
      <c r="B684" s="14"/>
      <c r="C684" s="15"/>
      <c r="D684" s="14"/>
      <c r="E684" s="11"/>
      <c r="F684" s="11"/>
    </row>
    <row r="685">
      <c r="A685" s="14"/>
      <c r="B685" s="14"/>
      <c r="C685" s="15"/>
      <c r="D685" s="14"/>
      <c r="E685" s="11"/>
      <c r="F685" s="11"/>
    </row>
    <row r="686">
      <c r="A686" s="14"/>
      <c r="B686" s="14"/>
      <c r="C686" s="15"/>
      <c r="D686" s="14"/>
      <c r="E686" s="11"/>
      <c r="F686" s="11"/>
    </row>
    <row r="687">
      <c r="A687" s="14"/>
      <c r="B687" s="14"/>
      <c r="C687" s="15"/>
      <c r="D687" s="14"/>
      <c r="E687" s="11"/>
      <c r="F687" s="11"/>
    </row>
    <row r="688">
      <c r="A688" s="14"/>
      <c r="B688" s="14"/>
      <c r="C688" s="15"/>
      <c r="D688" s="14"/>
      <c r="E688" s="11"/>
      <c r="F688" s="11"/>
    </row>
    <row r="689">
      <c r="A689" s="14"/>
      <c r="B689" s="14"/>
      <c r="C689" s="15"/>
      <c r="D689" s="14"/>
      <c r="E689" s="11"/>
      <c r="F689" s="11"/>
    </row>
    <row r="690">
      <c r="A690" s="14"/>
      <c r="B690" s="14"/>
      <c r="C690" s="15"/>
      <c r="D690" s="14"/>
      <c r="E690" s="11"/>
      <c r="F690" s="11"/>
    </row>
    <row r="691">
      <c r="A691" s="14"/>
      <c r="B691" s="14"/>
      <c r="C691" s="15"/>
      <c r="D691" s="14"/>
      <c r="E691" s="11"/>
      <c r="F691" s="11"/>
    </row>
    <row r="692">
      <c r="A692" s="14"/>
      <c r="B692" s="14"/>
      <c r="C692" s="15"/>
      <c r="D692" s="14"/>
      <c r="E692" s="11"/>
      <c r="F692" s="11"/>
    </row>
    <row r="693">
      <c r="A693" s="14"/>
      <c r="B693" s="14"/>
      <c r="C693" s="15"/>
      <c r="D693" s="14"/>
      <c r="E693" s="11"/>
      <c r="F693" s="11"/>
    </row>
    <row r="694">
      <c r="A694" s="14"/>
      <c r="B694" s="14"/>
      <c r="C694" s="15"/>
      <c r="D694" s="14"/>
      <c r="E694" s="11"/>
      <c r="F694" s="11"/>
    </row>
    <row r="695">
      <c r="A695" s="14"/>
      <c r="B695" s="14"/>
      <c r="C695" s="15"/>
      <c r="D695" s="14"/>
      <c r="E695" s="11"/>
      <c r="F695" s="11"/>
    </row>
    <row r="696">
      <c r="A696" s="14"/>
      <c r="B696" s="14"/>
      <c r="C696" s="15"/>
      <c r="D696" s="14"/>
      <c r="E696" s="11"/>
      <c r="F696" s="11"/>
    </row>
    <row r="697">
      <c r="A697" s="14"/>
      <c r="B697" s="14"/>
      <c r="C697" s="15"/>
      <c r="D697" s="14"/>
      <c r="E697" s="11"/>
      <c r="F697" s="11"/>
    </row>
    <row r="698">
      <c r="A698" s="14"/>
      <c r="B698" s="14"/>
      <c r="C698" s="15"/>
      <c r="D698" s="14"/>
      <c r="E698" s="11"/>
      <c r="F698" s="11"/>
    </row>
    <row r="699">
      <c r="A699" s="14"/>
      <c r="B699" s="14"/>
      <c r="C699" s="15"/>
      <c r="D699" s="14"/>
      <c r="E699" s="11"/>
      <c r="F699" s="11"/>
    </row>
    <row r="700">
      <c r="A700" s="14"/>
      <c r="B700" s="14"/>
      <c r="C700" s="15"/>
      <c r="D700" s="14"/>
      <c r="E700" s="11"/>
      <c r="F700" s="11"/>
    </row>
    <row r="701">
      <c r="A701" s="14"/>
      <c r="B701" s="14"/>
      <c r="C701" s="15"/>
      <c r="D701" s="14"/>
      <c r="E701" s="11"/>
      <c r="F701" s="11"/>
    </row>
    <row r="702">
      <c r="A702" s="14"/>
      <c r="B702" s="14"/>
      <c r="C702" s="15"/>
      <c r="D702" s="14"/>
      <c r="E702" s="11"/>
      <c r="F702" s="11"/>
    </row>
    <row r="703">
      <c r="A703" s="14"/>
      <c r="B703" s="14"/>
      <c r="C703" s="15"/>
      <c r="D703" s="14"/>
      <c r="E703" s="11"/>
      <c r="F703" s="11"/>
    </row>
    <row r="704">
      <c r="A704" s="14"/>
      <c r="B704" s="14"/>
      <c r="C704" s="15"/>
      <c r="D704" s="14"/>
      <c r="E704" s="11"/>
      <c r="F704" s="11"/>
    </row>
    <row r="705">
      <c r="A705" s="14"/>
      <c r="B705" s="14"/>
      <c r="C705" s="15"/>
      <c r="D705" s="14"/>
      <c r="E705" s="11"/>
      <c r="F705" s="11"/>
    </row>
    <row r="706">
      <c r="A706" s="14"/>
      <c r="B706" s="14"/>
      <c r="C706" s="15"/>
      <c r="D706" s="14"/>
      <c r="E706" s="11"/>
      <c r="F706" s="11"/>
    </row>
    <row r="707">
      <c r="A707" s="14"/>
      <c r="B707" s="14"/>
      <c r="C707" s="15"/>
      <c r="D707" s="14"/>
      <c r="E707" s="11"/>
      <c r="F707" s="11"/>
    </row>
    <row r="708">
      <c r="A708" s="14"/>
      <c r="B708" s="14"/>
      <c r="C708" s="15"/>
      <c r="D708" s="14"/>
      <c r="E708" s="11"/>
      <c r="F708" s="11"/>
    </row>
    <row r="709">
      <c r="A709" s="14"/>
      <c r="B709" s="14"/>
      <c r="C709" s="15"/>
      <c r="D709" s="14"/>
      <c r="E709" s="11"/>
      <c r="F709" s="11"/>
    </row>
    <row r="710">
      <c r="A710" s="14"/>
      <c r="B710" s="14"/>
      <c r="C710" s="15"/>
      <c r="D710" s="14"/>
      <c r="E710" s="11"/>
      <c r="F710" s="11"/>
    </row>
    <row r="711">
      <c r="A711" s="14"/>
      <c r="B711" s="14"/>
      <c r="C711" s="15"/>
      <c r="D711" s="14"/>
      <c r="E711" s="11"/>
      <c r="F711" s="11"/>
    </row>
    <row r="712">
      <c r="A712" s="14"/>
      <c r="B712" s="14"/>
      <c r="C712" s="15"/>
      <c r="D712" s="14"/>
      <c r="E712" s="11"/>
      <c r="F712" s="11"/>
    </row>
    <row r="713">
      <c r="A713" s="14"/>
      <c r="B713" s="14"/>
      <c r="C713" s="15"/>
      <c r="D713" s="14"/>
      <c r="E713" s="11"/>
      <c r="F713" s="11"/>
    </row>
    <row r="714">
      <c r="A714" s="14"/>
      <c r="B714" s="14"/>
      <c r="C714" s="15"/>
      <c r="D714" s="14"/>
      <c r="E714" s="11"/>
      <c r="F714" s="11"/>
    </row>
    <row r="715">
      <c r="A715" s="14"/>
      <c r="B715" s="14"/>
      <c r="C715" s="15"/>
      <c r="D715" s="14"/>
      <c r="E715" s="11"/>
      <c r="F715" s="11"/>
    </row>
    <row r="716">
      <c r="A716" s="14"/>
      <c r="B716" s="14"/>
      <c r="C716" s="15"/>
      <c r="D716" s="14"/>
      <c r="E716" s="11"/>
      <c r="F716" s="11"/>
    </row>
    <row r="717">
      <c r="A717" s="14"/>
      <c r="B717" s="14"/>
      <c r="C717" s="15"/>
      <c r="D717" s="14"/>
      <c r="E717" s="11"/>
      <c r="F717" s="11"/>
    </row>
    <row r="718">
      <c r="A718" s="14"/>
      <c r="B718" s="14"/>
      <c r="C718" s="15"/>
      <c r="D718" s="14"/>
      <c r="E718" s="11"/>
      <c r="F718" s="11"/>
    </row>
    <row r="719">
      <c r="A719" s="14"/>
      <c r="B719" s="14"/>
      <c r="C719" s="15"/>
      <c r="D719" s="14"/>
      <c r="E719" s="11"/>
      <c r="F719" s="11"/>
    </row>
    <row r="720">
      <c r="A720" s="14"/>
      <c r="B720" s="14"/>
      <c r="C720" s="15"/>
      <c r="D720" s="14"/>
      <c r="E720" s="11"/>
      <c r="F720" s="11"/>
    </row>
    <row r="721">
      <c r="A721" s="14"/>
      <c r="B721" s="14"/>
      <c r="C721" s="15"/>
      <c r="D721" s="14"/>
      <c r="E721" s="11"/>
      <c r="F721" s="11"/>
    </row>
    <row r="722">
      <c r="A722" s="14"/>
      <c r="B722" s="14"/>
      <c r="C722" s="15"/>
      <c r="D722" s="14"/>
      <c r="E722" s="11"/>
      <c r="F722" s="11"/>
    </row>
    <row r="723">
      <c r="A723" s="14"/>
      <c r="B723" s="14"/>
      <c r="C723" s="15"/>
      <c r="D723" s="14"/>
      <c r="E723" s="11"/>
      <c r="F723" s="11"/>
    </row>
    <row r="724">
      <c r="A724" s="14"/>
      <c r="B724" s="14"/>
      <c r="C724" s="15"/>
      <c r="D724" s="14"/>
      <c r="E724" s="11"/>
      <c r="F724" s="11"/>
    </row>
    <row r="725">
      <c r="A725" s="14"/>
      <c r="B725" s="14"/>
      <c r="C725" s="15"/>
      <c r="D725" s="14"/>
      <c r="E725" s="11"/>
      <c r="F725" s="11"/>
    </row>
    <row r="726">
      <c r="A726" s="14"/>
      <c r="B726" s="14"/>
      <c r="C726" s="15"/>
      <c r="D726" s="14"/>
      <c r="E726" s="11"/>
      <c r="F726" s="11"/>
    </row>
    <row r="727">
      <c r="A727" s="14"/>
      <c r="B727" s="14"/>
      <c r="C727" s="15"/>
      <c r="D727" s="14"/>
      <c r="E727" s="11"/>
      <c r="F727" s="11"/>
    </row>
    <row r="728">
      <c r="A728" s="14"/>
      <c r="B728" s="14"/>
      <c r="C728" s="15"/>
      <c r="D728" s="14"/>
      <c r="E728" s="11"/>
      <c r="F728" s="11"/>
    </row>
    <row r="729">
      <c r="A729" s="14"/>
      <c r="B729" s="14"/>
      <c r="C729" s="15"/>
      <c r="D729" s="14"/>
      <c r="E729" s="11"/>
      <c r="F729" s="11"/>
    </row>
    <row r="730">
      <c r="A730" s="14"/>
      <c r="B730" s="14"/>
      <c r="C730" s="15"/>
      <c r="D730" s="14"/>
      <c r="E730" s="11"/>
      <c r="F730" s="11"/>
    </row>
    <row r="731">
      <c r="A731" s="14"/>
      <c r="B731" s="14"/>
      <c r="C731" s="15"/>
      <c r="D731" s="14"/>
      <c r="E731" s="11"/>
      <c r="F731" s="11"/>
    </row>
    <row r="732">
      <c r="A732" s="14"/>
      <c r="B732" s="14"/>
      <c r="C732" s="15"/>
      <c r="D732" s="14"/>
      <c r="E732" s="11"/>
      <c r="F732" s="11"/>
    </row>
    <row r="733">
      <c r="A733" s="14"/>
      <c r="B733" s="14"/>
      <c r="C733" s="15"/>
      <c r="D733" s="14"/>
      <c r="E733" s="11"/>
      <c r="F733" s="11"/>
    </row>
    <row r="734">
      <c r="A734" s="14"/>
      <c r="B734" s="14"/>
      <c r="C734" s="15"/>
      <c r="D734" s="14"/>
      <c r="E734" s="11"/>
      <c r="F734" s="11"/>
    </row>
    <row r="735">
      <c r="A735" s="14"/>
      <c r="B735" s="14"/>
      <c r="C735" s="15"/>
      <c r="D735" s="14"/>
      <c r="E735" s="11"/>
      <c r="F735" s="11"/>
    </row>
    <row r="736">
      <c r="A736" s="14"/>
      <c r="B736" s="14"/>
      <c r="C736" s="15"/>
      <c r="D736" s="14"/>
      <c r="E736" s="11"/>
      <c r="F736" s="11"/>
    </row>
    <row r="737">
      <c r="A737" s="14"/>
      <c r="B737" s="14"/>
      <c r="C737" s="15"/>
      <c r="D737" s="14"/>
      <c r="E737" s="11"/>
      <c r="F737" s="11"/>
    </row>
    <row r="738">
      <c r="A738" s="14"/>
      <c r="B738" s="14"/>
      <c r="C738" s="15"/>
      <c r="D738" s="14"/>
      <c r="E738" s="11"/>
      <c r="F738" s="11"/>
    </row>
    <row r="739">
      <c r="A739" s="14"/>
      <c r="B739" s="14"/>
      <c r="C739" s="15"/>
      <c r="D739" s="14"/>
      <c r="E739" s="11"/>
      <c r="F739" s="11"/>
    </row>
    <row r="740">
      <c r="A740" s="14"/>
      <c r="B740" s="14"/>
      <c r="C740" s="15"/>
      <c r="D740" s="14"/>
      <c r="E740" s="11"/>
      <c r="F740" s="11"/>
    </row>
    <row r="741">
      <c r="A741" s="14"/>
      <c r="B741" s="14"/>
      <c r="C741" s="15"/>
      <c r="D741" s="14"/>
      <c r="E741" s="11"/>
      <c r="F741" s="11"/>
    </row>
    <row r="742">
      <c r="A742" s="14"/>
      <c r="B742" s="14"/>
      <c r="C742" s="15"/>
      <c r="D742" s="14"/>
      <c r="E742" s="11"/>
      <c r="F742" s="11"/>
    </row>
    <row r="743">
      <c r="A743" s="14"/>
      <c r="B743" s="14"/>
      <c r="C743" s="15"/>
      <c r="D743" s="14"/>
      <c r="E743" s="11"/>
      <c r="F743" s="11"/>
    </row>
    <row r="744">
      <c r="A744" s="14"/>
      <c r="B744" s="14"/>
      <c r="C744" s="15"/>
      <c r="D744" s="14"/>
      <c r="E744" s="11"/>
      <c r="F744" s="11"/>
    </row>
    <row r="745">
      <c r="A745" s="14"/>
      <c r="B745" s="14"/>
      <c r="C745" s="15"/>
      <c r="D745" s="14"/>
      <c r="E745" s="11"/>
      <c r="F745" s="11"/>
    </row>
    <row r="746">
      <c r="A746" s="14"/>
      <c r="B746" s="14"/>
      <c r="C746" s="15"/>
      <c r="D746" s="14"/>
      <c r="E746" s="11"/>
      <c r="F746" s="11"/>
    </row>
    <row r="747">
      <c r="A747" s="14"/>
      <c r="B747" s="14"/>
      <c r="C747" s="15"/>
      <c r="D747" s="14"/>
      <c r="E747" s="11"/>
      <c r="F747" s="11"/>
    </row>
    <row r="748">
      <c r="A748" s="14"/>
      <c r="B748" s="14"/>
      <c r="C748" s="15"/>
      <c r="D748" s="14"/>
      <c r="E748" s="11"/>
      <c r="F748" s="11"/>
    </row>
    <row r="749">
      <c r="A749" s="14"/>
      <c r="B749" s="14"/>
      <c r="C749" s="15"/>
      <c r="D749" s="14"/>
      <c r="E749" s="11"/>
      <c r="F749" s="11"/>
    </row>
    <row r="750">
      <c r="A750" s="14"/>
      <c r="B750" s="14"/>
      <c r="C750" s="15"/>
      <c r="D750" s="14"/>
      <c r="E750" s="11"/>
      <c r="F750" s="11"/>
    </row>
    <row r="751">
      <c r="A751" s="14"/>
      <c r="B751" s="14"/>
      <c r="C751" s="15"/>
      <c r="D751" s="14"/>
      <c r="E751" s="11"/>
      <c r="F751" s="11"/>
    </row>
    <row r="752">
      <c r="A752" s="14"/>
      <c r="B752" s="14"/>
      <c r="C752" s="15"/>
      <c r="D752" s="14"/>
      <c r="E752" s="11"/>
      <c r="F752" s="11"/>
    </row>
    <row r="753">
      <c r="A753" s="14"/>
      <c r="B753" s="14"/>
      <c r="C753" s="15"/>
      <c r="D753" s="14"/>
      <c r="E753" s="11"/>
      <c r="F753" s="11"/>
    </row>
    <row r="754">
      <c r="A754" s="14"/>
      <c r="B754" s="14"/>
      <c r="C754" s="15"/>
      <c r="D754" s="14"/>
      <c r="E754" s="11"/>
      <c r="F754" s="11"/>
    </row>
    <row r="755">
      <c r="A755" s="14"/>
      <c r="B755" s="14"/>
      <c r="C755" s="15"/>
      <c r="D755" s="14"/>
      <c r="E755" s="11"/>
      <c r="F755" s="11"/>
    </row>
    <row r="756">
      <c r="A756" s="14"/>
      <c r="B756" s="14"/>
      <c r="C756" s="15"/>
      <c r="D756" s="14"/>
      <c r="E756" s="11"/>
      <c r="F756" s="11"/>
    </row>
    <row r="757">
      <c r="A757" s="14"/>
      <c r="B757" s="14"/>
      <c r="C757" s="15"/>
      <c r="D757" s="14"/>
      <c r="E757" s="11"/>
      <c r="F757" s="11"/>
    </row>
    <row r="758">
      <c r="A758" s="14"/>
      <c r="B758" s="14"/>
      <c r="C758" s="15"/>
      <c r="D758" s="14"/>
      <c r="E758" s="11"/>
      <c r="F758" s="11"/>
    </row>
    <row r="759">
      <c r="A759" s="14"/>
      <c r="B759" s="14"/>
      <c r="C759" s="15"/>
      <c r="D759" s="14"/>
      <c r="E759" s="11"/>
      <c r="F759" s="11"/>
    </row>
    <row r="760">
      <c r="A760" s="14"/>
      <c r="B760" s="14"/>
      <c r="C760" s="15"/>
      <c r="D760" s="14"/>
      <c r="E760" s="11"/>
      <c r="F760" s="11"/>
    </row>
    <row r="761">
      <c r="A761" s="14"/>
      <c r="B761" s="14"/>
      <c r="C761" s="15"/>
      <c r="D761" s="14"/>
      <c r="E761" s="11"/>
      <c r="F761" s="11"/>
    </row>
    <row r="762">
      <c r="A762" s="14"/>
      <c r="B762" s="14"/>
      <c r="C762" s="15"/>
      <c r="D762" s="14"/>
      <c r="E762" s="11"/>
      <c r="F762" s="11"/>
    </row>
    <row r="763">
      <c r="A763" s="14"/>
      <c r="B763" s="14"/>
      <c r="C763" s="15"/>
      <c r="D763" s="14"/>
      <c r="E763" s="11"/>
      <c r="F763" s="11"/>
    </row>
    <row r="764">
      <c r="A764" s="14"/>
      <c r="B764" s="14"/>
      <c r="C764" s="15"/>
      <c r="D764" s="14"/>
      <c r="E764" s="11"/>
      <c r="F764" s="11"/>
    </row>
    <row r="765">
      <c r="A765" s="14"/>
      <c r="B765" s="14"/>
      <c r="C765" s="15"/>
      <c r="D765" s="14"/>
      <c r="E765" s="11"/>
      <c r="F765" s="11"/>
    </row>
    <row r="766">
      <c r="A766" s="14"/>
      <c r="B766" s="14"/>
      <c r="C766" s="15"/>
      <c r="D766" s="14"/>
      <c r="E766" s="11"/>
      <c r="F766" s="11"/>
    </row>
    <row r="767">
      <c r="A767" s="14"/>
      <c r="B767" s="14"/>
      <c r="C767" s="15"/>
      <c r="D767" s="14"/>
      <c r="E767" s="11"/>
      <c r="F767" s="11"/>
    </row>
    <row r="768">
      <c r="A768" s="14"/>
      <c r="B768" s="14"/>
      <c r="C768" s="15"/>
      <c r="D768" s="14"/>
      <c r="E768" s="11"/>
      <c r="F768" s="11"/>
    </row>
    <row r="769">
      <c r="A769" s="14"/>
      <c r="B769" s="14"/>
      <c r="C769" s="15"/>
      <c r="D769" s="14"/>
      <c r="E769" s="11"/>
      <c r="F769" s="11"/>
    </row>
    <row r="770">
      <c r="A770" s="14"/>
      <c r="B770" s="14"/>
      <c r="C770" s="15"/>
      <c r="D770" s="14"/>
      <c r="E770" s="11"/>
      <c r="F770" s="11"/>
    </row>
    <row r="771">
      <c r="A771" s="14"/>
      <c r="B771" s="14"/>
      <c r="C771" s="15"/>
      <c r="D771" s="14"/>
      <c r="E771" s="11"/>
      <c r="F771" s="11"/>
    </row>
    <row r="772">
      <c r="A772" s="14"/>
      <c r="B772" s="14"/>
      <c r="C772" s="15"/>
      <c r="D772" s="14"/>
      <c r="E772" s="11"/>
      <c r="F772" s="11"/>
    </row>
    <row r="773">
      <c r="A773" s="14"/>
      <c r="B773" s="14"/>
      <c r="C773" s="15"/>
      <c r="D773" s="14"/>
      <c r="E773" s="11"/>
      <c r="F773" s="11"/>
    </row>
    <row r="774">
      <c r="A774" s="14"/>
      <c r="B774" s="14"/>
      <c r="C774" s="15"/>
      <c r="D774" s="14"/>
      <c r="E774" s="11"/>
      <c r="F774" s="11"/>
    </row>
    <row r="775">
      <c r="A775" s="14"/>
      <c r="B775" s="14"/>
      <c r="C775" s="15"/>
      <c r="D775" s="14"/>
      <c r="E775" s="11"/>
      <c r="F775" s="11"/>
    </row>
    <row r="776">
      <c r="A776" s="14"/>
      <c r="B776" s="14"/>
      <c r="C776" s="15"/>
      <c r="D776" s="14"/>
      <c r="E776" s="11"/>
      <c r="F776" s="11"/>
    </row>
    <row r="777">
      <c r="A777" s="14"/>
      <c r="B777" s="14"/>
      <c r="C777" s="15"/>
      <c r="D777" s="14"/>
      <c r="E777" s="11"/>
      <c r="F777" s="11"/>
    </row>
    <row r="778">
      <c r="A778" s="14"/>
      <c r="B778" s="14"/>
      <c r="C778" s="15"/>
      <c r="D778" s="14"/>
      <c r="E778" s="11"/>
      <c r="F778" s="11"/>
    </row>
    <row r="779">
      <c r="A779" s="14"/>
      <c r="B779" s="14"/>
      <c r="C779" s="15"/>
      <c r="D779" s="14"/>
      <c r="E779" s="11"/>
      <c r="F779" s="11"/>
    </row>
    <row r="780">
      <c r="A780" s="14"/>
      <c r="B780" s="14"/>
      <c r="C780" s="15"/>
      <c r="D780" s="14"/>
      <c r="E780" s="11"/>
      <c r="F780" s="11"/>
    </row>
    <row r="781">
      <c r="A781" s="14"/>
      <c r="B781" s="14"/>
      <c r="C781" s="15"/>
      <c r="D781" s="14"/>
      <c r="E781" s="11"/>
      <c r="F781" s="11"/>
    </row>
    <row r="782">
      <c r="A782" s="14"/>
      <c r="B782" s="14"/>
      <c r="C782" s="15"/>
      <c r="D782" s="14"/>
      <c r="E782" s="11"/>
      <c r="F782" s="11"/>
    </row>
    <row r="783">
      <c r="A783" s="14"/>
      <c r="B783" s="14"/>
      <c r="C783" s="15"/>
      <c r="D783" s="14"/>
      <c r="E783" s="11"/>
      <c r="F783" s="11"/>
    </row>
    <row r="784">
      <c r="A784" s="14"/>
      <c r="B784" s="14"/>
      <c r="C784" s="15"/>
      <c r="D784" s="14"/>
      <c r="E784" s="11"/>
      <c r="F784" s="11"/>
    </row>
    <row r="785">
      <c r="A785" s="14"/>
      <c r="B785" s="14"/>
      <c r="C785" s="15"/>
      <c r="D785" s="14"/>
      <c r="E785" s="11"/>
      <c r="F785" s="11"/>
    </row>
    <row r="786">
      <c r="A786" s="14"/>
      <c r="B786" s="14"/>
      <c r="C786" s="15"/>
      <c r="D786" s="14"/>
      <c r="E786" s="11"/>
      <c r="F786" s="11"/>
    </row>
    <row r="787">
      <c r="A787" s="14"/>
      <c r="B787" s="14"/>
      <c r="C787" s="15"/>
      <c r="D787" s="14"/>
      <c r="E787" s="11"/>
      <c r="F787" s="11"/>
    </row>
    <row r="788">
      <c r="A788" s="14"/>
      <c r="B788" s="14"/>
      <c r="C788" s="15"/>
      <c r="D788" s="14"/>
      <c r="E788" s="11"/>
      <c r="F788" s="11"/>
    </row>
    <row r="789">
      <c r="A789" s="14"/>
      <c r="B789" s="14"/>
      <c r="C789" s="15"/>
      <c r="D789" s="14"/>
      <c r="E789" s="11"/>
      <c r="F789" s="11"/>
    </row>
    <row r="790">
      <c r="A790" s="14"/>
      <c r="B790" s="14"/>
      <c r="C790" s="15"/>
      <c r="D790" s="14"/>
      <c r="E790" s="11"/>
      <c r="F790" s="11"/>
    </row>
    <row r="791">
      <c r="A791" s="14"/>
      <c r="B791" s="14"/>
      <c r="C791" s="15"/>
      <c r="D791" s="14"/>
      <c r="E791" s="11"/>
      <c r="F791" s="11"/>
    </row>
    <row r="792">
      <c r="A792" s="14"/>
      <c r="B792" s="14"/>
      <c r="C792" s="15"/>
      <c r="D792" s="14"/>
      <c r="E792" s="11"/>
      <c r="F792" s="11"/>
    </row>
    <row r="793">
      <c r="A793" s="14"/>
      <c r="B793" s="14"/>
      <c r="C793" s="15"/>
      <c r="D793" s="14"/>
      <c r="E793" s="11"/>
      <c r="F793" s="11"/>
    </row>
    <row r="794">
      <c r="A794" s="14"/>
      <c r="B794" s="14"/>
      <c r="C794" s="15"/>
      <c r="D794" s="14"/>
      <c r="E794" s="11"/>
      <c r="F794" s="11"/>
    </row>
    <row r="795">
      <c r="A795" s="14"/>
      <c r="B795" s="14"/>
      <c r="C795" s="15"/>
      <c r="D795" s="14"/>
      <c r="E795" s="11"/>
      <c r="F795" s="11"/>
    </row>
    <row r="796">
      <c r="A796" s="14"/>
      <c r="B796" s="14"/>
      <c r="C796" s="15"/>
      <c r="D796" s="14"/>
      <c r="E796" s="11"/>
      <c r="F796" s="11"/>
    </row>
    <row r="797">
      <c r="A797" s="14"/>
      <c r="B797" s="14"/>
      <c r="C797" s="15"/>
      <c r="D797" s="14"/>
      <c r="E797" s="11"/>
      <c r="F797" s="11"/>
    </row>
    <row r="798">
      <c r="A798" s="14"/>
      <c r="B798" s="14"/>
      <c r="C798" s="15"/>
      <c r="D798" s="14"/>
      <c r="E798" s="11"/>
      <c r="F798" s="11"/>
    </row>
    <row r="799">
      <c r="A799" s="14"/>
      <c r="B799" s="14"/>
      <c r="C799" s="15"/>
      <c r="D799" s="14"/>
      <c r="E799" s="11"/>
      <c r="F799" s="11"/>
    </row>
    <row r="800">
      <c r="A800" s="14"/>
      <c r="B800" s="14"/>
      <c r="C800" s="15"/>
      <c r="D800" s="14"/>
      <c r="E800" s="11"/>
      <c r="F800" s="11"/>
    </row>
    <row r="801">
      <c r="A801" s="14"/>
      <c r="B801" s="14"/>
      <c r="C801" s="15"/>
      <c r="D801" s="14"/>
      <c r="E801" s="11"/>
      <c r="F801" s="11"/>
    </row>
    <row r="802">
      <c r="A802" s="14"/>
      <c r="B802" s="14"/>
      <c r="C802" s="15"/>
      <c r="D802" s="14"/>
      <c r="E802" s="11"/>
      <c r="F802" s="11"/>
    </row>
    <row r="803">
      <c r="A803" s="14"/>
      <c r="B803" s="14"/>
      <c r="C803" s="15"/>
      <c r="D803" s="14"/>
      <c r="E803" s="11"/>
      <c r="F803" s="11"/>
    </row>
    <row r="804">
      <c r="A804" s="14"/>
      <c r="B804" s="14"/>
      <c r="C804" s="15"/>
      <c r="D804" s="14"/>
      <c r="E804" s="11"/>
      <c r="F804" s="11"/>
    </row>
    <row r="805">
      <c r="A805" s="14"/>
      <c r="B805" s="14"/>
      <c r="C805" s="15"/>
      <c r="D805" s="14"/>
      <c r="E805" s="11"/>
      <c r="F805" s="11"/>
    </row>
    <row r="806">
      <c r="A806" s="14"/>
      <c r="B806" s="14"/>
      <c r="C806" s="15"/>
      <c r="D806" s="14"/>
      <c r="E806" s="11"/>
      <c r="F806" s="11"/>
    </row>
    <row r="807">
      <c r="A807" s="14"/>
      <c r="B807" s="14"/>
      <c r="C807" s="15"/>
      <c r="D807" s="14"/>
      <c r="E807" s="11"/>
      <c r="F807" s="11"/>
    </row>
    <row r="808">
      <c r="A808" s="14"/>
      <c r="B808" s="14"/>
      <c r="C808" s="15"/>
      <c r="D808" s="14"/>
      <c r="E808" s="11"/>
      <c r="F808" s="11"/>
    </row>
    <row r="809">
      <c r="A809" s="14"/>
      <c r="B809" s="14"/>
      <c r="C809" s="15"/>
      <c r="D809" s="14"/>
      <c r="E809" s="11"/>
      <c r="F809" s="11"/>
    </row>
    <row r="810">
      <c r="A810" s="14"/>
      <c r="B810" s="14"/>
      <c r="C810" s="15"/>
      <c r="D810" s="14"/>
      <c r="E810" s="11"/>
      <c r="F810" s="11"/>
    </row>
    <row r="811">
      <c r="A811" s="14"/>
      <c r="B811" s="14"/>
      <c r="C811" s="15"/>
      <c r="D811" s="14"/>
      <c r="E811" s="11"/>
      <c r="F811" s="11"/>
    </row>
    <row r="812">
      <c r="A812" s="14"/>
      <c r="B812" s="14"/>
      <c r="C812" s="15"/>
      <c r="D812" s="14"/>
      <c r="E812" s="11"/>
      <c r="F812" s="11"/>
    </row>
    <row r="813">
      <c r="A813" s="14"/>
      <c r="B813" s="14"/>
      <c r="C813" s="15"/>
      <c r="D813" s="14"/>
      <c r="E813" s="11"/>
      <c r="F813" s="11"/>
    </row>
    <row r="814">
      <c r="A814" s="14"/>
      <c r="B814" s="14"/>
      <c r="C814" s="15"/>
      <c r="D814" s="14"/>
      <c r="E814" s="11"/>
      <c r="F814" s="11"/>
    </row>
    <row r="815">
      <c r="A815" s="14"/>
      <c r="B815" s="14"/>
      <c r="C815" s="15"/>
      <c r="D815" s="14"/>
      <c r="E815" s="11"/>
      <c r="F815" s="11"/>
    </row>
    <row r="816">
      <c r="A816" s="14"/>
      <c r="B816" s="14"/>
      <c r="C816" s="15"/>
      <c r="D816" s="14"/>
      <c r="E816" s="11"/>
      <c r="F816" s="11"/>
    </row>
    <row r="817">
      <c r="A817" s="14"/>
      <c r="B817" s="14"/>
      <c r="C817" s="15"/>
      <c r="D817" s="14"/>
      <c r="E817" s="11"/>
      <c r="F817" s="11"/>
    </row>
    <row r="818">
      <c r="A818" s="14"/>
      <c r="B818" s="14"/>
      <c r="C818" s="15"/>
      <c r="D818" s="14"/>
      <c r="E818" s="11"/>
      <c r="F818" s="11"/>
    </row>
    <row r="819">
      <c r="A819" s="14"/>
      <c r="B819" s="14"/>
      <c r="C819" s="15"/>
      <c r="D819" s="14"/>
      <c r="E819" s="11"/>
      <c r="F819" s="11"/>
    </row>
    <row r="820">
      <c r="A820" s="14"/>
      <c r="B820" s="14"/>
      <c r="C820" s="15"/>
      <c r="D820" s="14"/>
      <c r="E820" s="11"/>
      <c r="F820" s="11"/>
    </row>
    <row r="821">
      <c r="A821" s="14"/>
      <c r="B821" s="14"/>
      <c r="C821" s="15"/>
      <c r="D821" s="14"/>
      <c r="E821" s="11"/>
      <c r="F821" s="11"/>
    </row>
    <row r="822">
      <c r="A822" s="14"/>
      <c r="B822" s="14"/>
      <c r="C822" s="15"/>
      <c r="D822" s="14"/>
      <c r="E822" s="11"/>
      <c r="F822" s="11"/>
    </row>
    <row r="823">
      <c r="A823" s="14"/>
      <c r="B823" s="14"/>
      <c r="C823" s="15"/>
      <c r="D823" s="14"/>
      <c r="E823" s="11"/>
      <c r="F823" s="11"/>
    </row>
    <row r="824">
      <c r="A824" s="14"/>
      <c r="B824" s="14"/>
      <c r="C824" s="15"/>
      <c r="D824" s="14"/>
      <c r="E824" s="11"/>
      <c r="F824" s="11"/>
    </row>
    <row r="825">
      <c r="A825" s="14"/>
      <c r="B825" s="14"/>
      <c r="C825" s="15"/>
      <c r="D825" s="14"/>
      <c r="E825" s="11"/>
      <c r="F825" s="11"/>
    </row>
    <row r="826">
      <c r="A826" s="14"/>
      <c r="B826" s="14"/>
      <c r="C826" s="15"/>
      <c r="D826" s="14"/>
      <c r="E826" s="11"/>
      <c r="F826" s="11"/>
    </row>
    <row r="827">
      <c r="A827" s="14"/>
      <c r="B827" s="14"/>
      <c r="C827" s="15"/>
      <c r="D827" s="14"/>
      <c r="E827" s="11"/>
      <c r="F827" s="11"/>
    </row>
    <row r="828">
      <c r="A828" s="14"/>
      <c r="B828" s="14"/>
      <c r="C828" s="15"/>
      <c r="D828" s="14"/>
      <c r="E828" s="11"/>
      <c r="F828" s="11"/>
    </row>
    <row r="829">
      <c r="A829" s="14"/>
      <c r="B829" s="14"/>
      <c r="C829" s="15"/>
      <c r="D829" s="14"/>
      <c r="E829" s="11"/>
      <c r="F829" s="11"/>
    </row>
    <row r="830">
      <c r="A830" s="14"/>
      <c r="B830" s="14"/>
      <c r="C830" s="15"/>
      <c r="D830" s="14"/>
      <c r="E830" s="11"/>
      <c r="F830" s="11"/>
    </row>
    <row r="831">
      <c r="A831" s="14"/>
      <c r="B831" s="14"/>
      <c r="C831" s="15"/>
      <c r="D831" s="14"/>
      <c r="E831" s="11"/>
      <c r="F831" s="11"/>
    </row>
    <row r="832">
      <c r="A832" s="14"/>
      <c r="B832" s="14"/>
      <c r="C832" s="15"/>
      <c r="D832" s="14"/>
      <c r="E832" s="11"/>
      <c r="F832" s="11"/>
    </row>
    <row r="833">
      <c r="A833" s="14"/>
      <c r="B833" s="14"/>
      <c r="C833" s="15"/>
      <c r="D833" s="14"/>
      <c r="E833" s="11"/>
      <c r="F833" s="11"/>
    </row>
    <row r="834">
      <c r="A834" s="14"/>
      <c r="B834" s="14"/>
      <c r="C834" s="15"/>
      <c r="D834" s="14"/>
      <c r="E834" s="11"/>
      <c r="F834" s="11"/>
    </row>
    <row r="835">
      <c r="A835" s="14"/>
      <c r="B835" s="14"/>
      <c r="C835" s="15"/>
      <c r="D835" s="14"/>
      <c r="E835" s="11"/>
      <c r="F835" s="11"/>
    </row>
    <row r="836">
      <c r="A836" s="14"/>
      <c r="B836" s="14"/>
      <c r="C836" s="15"/>
      <c r="D836" s="14"/>
      <c r="E836" s="11"/>
      <c r="F836" s="11"/>
    </row>
    <row r="837">
      <c r="A837" s="14"/>
      <c r="B837" s="14"/>
      <c r="C837" s="15"/>
      <c r="D837" s="14"/>
      <c r="E837" s="11"/>
      <c r="F837" s="11"/>
    </row>
    <row r="838">
      <c r="A838" s="14"/>
      <c r="B838" s="14"/>
      <c r="C838" s="15"/>
      <c r="D838" s="14"/>
      <c r="E838" s="11"/>
      <c r="F838" s="11"/>
    </row>
    <row r="839">
      <c r="A839" s="14"/>
      <c r="B839" s="14"/>
      <c r="C839" s="15"/>
      <c r="D839" s="14"/>
      <c r="E839" s="11"/>
      <c r="F839" s="11"/>
    </row>
    <row r="840">
      <c r="A840" s="14"/>
      <c r="B840" s="14"/>
      <c r="C840" s="15"/>
      <c r="D840" s="14"/>
      <c r="E840" s="11"/>
      <c r="F840" s="11"/>
    </row>
    <row r="841">
      <c r="A841" s="14"/>
      <c r="B841" s="14"/>
      <c r="C841" s="15"/>
      <c r="D841" s="14"/>
      <c r="E841" s="11"/>
      <c r="F841" s="11"/>
    </row>
    <row r="842">
      <c r="A842" s="14"/>
      <c r="B842" s="14"/>
      <c r="C842" s="15"/>
      <c r="D842" s="14"/>
      <c r="E842" s="11"/>
      <c r="F842" s="11"/>
    </row>
    <row r="843">
      <c r="A843" s="14"/>
      <c r="B843" s="14"/>
      <c r="C843" s="15"/>
      <c r="D843" s="14"/>
      <c r="E843" s="11"/>
      <c r="F843" s="11"/>
    </row>
    <row r="844">
      <c r="A844" s="14"/>
      <c r="B844" s="14"/>
      <c r="C844" s="15"/>
      <c r="D844" s="14"/>
      <c r="E844" s="11"/>
      <c r="F844" s="11"/>
    </row>
    <row r="845">
      <c r="A845" s="14"/>
      <c r="B845" s="14"/>
      <c r="C845" s="15"/>
      <c r="D845" s="14"/>
      <c r="E845" s="11"/>
      <c r="F845" s="11"/>
    </row>
    <row r="846">
      <c r="A846" s="14"/>
      <c r="B846" s="14"/>
      <c r="C846" s="15"/>
      <c r="D846" s="14"/>
      <c r="E846" s="11"/>
      <c r="F846" s="11"/>
    </row>
    <row r="847">
      <c r="A847" s="14"/>
      <c r="B847" s="14"/>
      <c r="C847" s="15"/>
      <c r="D847" s="14"/>
      <c r="E847" s="11"/>
      <c r="F847" s="11"/>
    </row>
    <row r="848">
      <c r="A848" s="14"/>
      <c r="B848" s="14"/>
      <c r="C848" s="15"/>
      <c r="D848" s="14"/>
      <c r="E848" s="11"/>
      <c r="F848" s="11"/>
    </row>
    <row r="849">
      <c r="A849" s="14"/>
      <c r="B849" s="14"/>
      <c r="C849" s="15"/>
      <c r="D849" s="14"/>
      <c r="E849" s="11"/>
      <c r="F849" s="11"/>
    </row>
    <row r="850">
      <c r="A850" s="14"/>
      <c r="B850" s="14"/>
      <c r="C850" s="15"/>
      <c r="D850" s="14"/>
      <c r="E850" s="11"/>
      <c r="F850" s="11"/>
    </row>
    <row r="851">
      <c r="A851" s="14"/>
      <c r="B851" s="14"/>
      <c r="C851" s="15"/>
      <c r="D851" s="14"/>
      <c r="E851" s="11"/>
      <c r="F851" s="11"/>
    </row>
    <row r="852">
      <c r="A852" s="14"/>
      <c r="B852" s="14"/>
      <c r="C852" s="15"/>
      <c r="D852" s="14"/>
      <c r="E852" s="11"/>
      <c r="F852" s="11"/>
    </row>
    <row r="853">
      <c r="A853" s="14"/>
      <c r="B853" s="14"/>
      <c r="C853" s="15"/>
      <c r="D853" s="14"/>
      <c r="E853" s="11"/>
      <c r="F853" s="11"/>
    </row>
    <row r="854">
      <c r="A854" s="14"/>
      <c r="B854" s="14"/>
      <c r="C854" s="15"/>
      <c r="D854" s="14"/>
      <c r="E854" s="11"/>
      <c r="F854" s="11"/>
    </row>
    <row r="855">
      <c r="A855" s="14"/>
      <c r="B855" s="14"/>
      <c r="C855" s="15"/>
      <c r="D855" s="14"/>
      <c r="E855" s="11"/>
      <c r="F855" s="11"/>
    </row>
    <row r="856">
      <c r="A856" s="14"/>
      <c r="B856" s="14"/>
      <c r="C856" s="15"/>
      <c r="D856" s="14"/>
      <c r="E856" s="11"/>
      <c r="F856" s="11"/>
    </row>
    <row r="857">
      <c r="A857" s="14"/>
      <c r="B857" s="14"/>
      <c r="C857" s="15"/>
      <c r="D857" s="14"/>
      <c r="E857" s="11"/>
      <c r="F857" s="11"/>
    </row>
    <row r="858">
      <c r="A858" s="14"/>
      <c r="B858" s="14"/>
      <c r="C858" s="15"/>
      <c r="D858" s="14"/>
      <c r="E858" s="11"/>
      <c r="F858" s="11"/>
    </row>
    <row r="859">
      <c r="A859" s="14"/>
      <c r="B859" s="14"/>
      <c r="C859" s="15"/>
      <c r="D859" s="14"/>
      <c r="E859" s="11"/>
      <c r="F859" s="11"/>
    </row>
    <row r="860">
      <c r="A860" s="14"/>
      <c r="B860" s="14"/>
      <c r="C860" s="15"/>
      <c r="D860" s="14"/>
      <c r="E860" s="11"/>
      <c r="F860" s="11"/>
    </row>
    <row r="861">
      <c r="A861" s="14"/>
      <c r="B861" s="14"/>
      <c r="C861" s="15"/>
      <c r="D861" s="14"/>
      <c r="E861" s="11"/>
      <c r="F861" s="11"/>
    </row>
    <row r="862">
      <c r="A862" s="14"/>
      <c r="B862" s="14"/>
      <c r="C862" s="15"/>
      <c r="D862" s="14"/>
      <c r="E862" s="11"/>
      <c r="F862" s="11"/>
    </row>
    <row r="863">
      <c r="A863" s="14"/>
      <c r="B863" s="14"/>
      <c r="C863" s="15"/>
      <c r="D863" s="14"/>
      <c r="E863" s="11"/>
      <c r="F863" s="11"/>
    </row>
    <row r="864">
      <c r="A864" s="14"/>
      <c r="B864" s="14"/>
      <c r="C864" s="15"/>
      <c r="D864" s="14"/>
      <c r="E864" s="11"/>
      <c r="F864" s="11"/>
    </row>
    <row r="865">
      <c r="A865" s="14"/>
      <c r="B865" s="14"/>
      <c r="C865" s="15"/>
      <c r="D865" s="14"/>
      <c r="E865" s="11"/>
      <c r="F865" s="11"/>
    </row>
    <row r="866">
      <c r="A866" s="14"/>
      <c r="B866" s="14"/>
      <c r="C866" s="15"/>
      <c r="D866" s="14"/>
      <c r="E866" s="11"/>
      <c r="F866" s="11"/>
    </row>
    <row r="867">
      <c r="A867" s="14"/>
      <c r="B867" s="14"/>
      <c r="C867" s="15"/>
      <c r="D867" s="14"/>
      <c r="E867" s="11"/>
      <c r="F867" s="11"/>
    </row>
    <row r="868">
      <c r="A868" s="14"/>
      <c r="B868" s="14"/>
      <c r="C868" s="15"/>
      <c r="D868" s="14"/>
      <c r="E868" s="11"/>
      <c r="F868" s="11"/>
    </row>
    <row r="869">
      <c r="A869" s="14"/>
      <c r="B869" s="14"/>
      <c r="C869" s="15"/>
      <c r="D869" s="14"/>
      <c r="E869" s="11"/>
      <c r="F869" s="11"/>
    </row>
    <row r="870">
      <c r="A870" s="14"/>
      <c r="B870" s="14"/>
      <c r="C870" s="15"/>
      <c r="D870" s="14"/>
      <c r="E870" s="11"/>
      <c r="F870" s="11"/>
    </row>
    <row r="871">
      <c r="A871" s="14"/>
      <c r="B871" s="14"/>
      <c r="C871" s="15"/>
      <c r="D871" s="14"/>
      <c r="E871" s="11"/>
      <c r="F871" s="11"/>
    </row>
    <row r="872">
      <c r="A872" s="14"/>
      <c r="B872" s="14"/>
      <c r="C872" s="15"/>
      <c r="D872" s="14"/>
      <c r="E872" s="11"/>
      <c r="F872" s="11"/>
    </row>
    <row r="873">
      <c r="A873" s="14"/>
      <c r="B873" s="14"/>
      <c r="C873" s="15"/>
      <c r="D873" s="14"/>
      <c r="E873" s="11"/>
      <c r="F873" s="11"/>
    </row>
    <row r="874">
      <c r="A874" s="14"/>
      <c r="B874" s="14"/>
      <c r="C874" s="15"/>
      <c r="D874" s="14"/>
      <c r="E874" s="11"/>
      <c r="F874" s="11"/>
    </row>
    <row r="875">
      <c r="A875" s="14"/>
      <c r="B875" s="14"/>
      <c r="C875" s="15"/>
      <c r="D875" s="14"/>
      <c r="E875" s="11"/>
      <c r="F875" s="11"/>
    </row>
    <row r="876">
      <c r="A876" s="14"/>
      <c r="B876" s="14"/>
      <c r="C876" s="15"/>
      <c r="D876" s="14"/>
      <c r="E876" s="11"/>
      <c r="F876" s="11"/>
    </row>
    <row r="877">
      <c r="A877" s="14"/>
      <c r="B877" s="14"/>
      <c r="C877" s="15"/>
      <c r="D877" s="14"/>
      <c r="E877" s="11"/>
      <c r="F877" s="11"/>
    </row>
    <row r="878">
      <c r="A878" s="14"/>
      <c r="B878" s="14"/>
      <c r="C878" s="15"/>
      <c r="D878" s="14"/>
      <c r="E878" s="11"/>
      <c r="F878" s="11"/>
    </row>
    <row r="879">
      <c r="A879" s="14"/>
      <c r="B879" s="14"/>
      <c r="C879" s="15"/>
      <c r="D879" s="14"/>
      <c r="E879" s="11"/>
      <c r="F879" s="11"/>
    </row>
    <row r="880">
      <c r="A880" s="14"/>
      <c r="B880" s="14"/>
      <c r="C880" s="15"/>
      <c r="D880" s="14"/>
      <c r="E880" s="11"/>
      <c r="F880" s="11"/>
    </row>
    <row r="881">
      <c r="A881" s="14"/>
      <c r="B881" s="14"/>
      <c r="C881" s="15"/>
      <c r="D881" s="14"/>
      <c r="E881" s="11"/>
      <c r="F881" s="11"/>
    </row>
    <row r="882">
      <c r="A882" s="14"/>
      <c r="B882" s="14"/>
      <c r="C882" s="15"/>
      <c r="D882" s="14"/>
      <c r="E882" s="11"/>
      <c r="F882" s="11"/>
    </row>
    <row r="883">
      <c r="A883" s="14"/>
      <c r="B883" s="14"/>
      <c r="C883" s="15"/>
      <c r="D883" s="14"/>
      <c r="E883" s="11"/>
      <c r="F883" s="11"/>
    </row>
    <row r="884">
      <c r="A884" s="14"/>
      <c r="B884" s="14"/>
      <c r="C884" s="15"/>
      <c r="D884" s="14"/>
      <c r="E884" s="11"/>
      <c r="F884" s="11"/>
    </row>
    <row r="885">
      <c r="A885" s="14"/>
      <c r="B885" s="14"/>
      <c r="C885" s="15"/>
      <c r="D885" s="14"/>
      <c r="E885" s="11"/>
      <c r="F885" s="11"/>
    </row>
    <row r="886">
      <c r="A886" s="14"/>
      <c r="B886" s="14"/>
      <c r="C886" s="15"/>
      <c r="D886" s="14"/>
      <c r="E886" s="11"/>
      <c r="F886" s="11"/>
    </row>
    <row r="887">
      <c r="A887" s="14"/>
      <c r="B887" s="14"/>
      <c r="C887" s="15"/>
      <c r="D887" s="14"/>
      <c r="E887" s="11"/>
      <c r="F887" s="11"/>
    </row>
    <row r="888">
      <c r="A888" s="14"/>
      <c r="B888" s="14"/>
      <c r="C888" s="15"/>
      <c r="D888" s="14"/>
      <c r="E888" s="11"/>
      <c r="F888" s="11"/>
    </row>
    <row r="889">
      <c r="A889" s="14"/>
      <c r="B889" s="14"/>
      <c r="C889" s="15"/>
      <c r="D889" s="14"/>
      <c r="E889" s="11"/>
      <c r="F889" s="11"/>
    </row>
    <row r="890">
      <c r="A890" s="14"/>
      <c r="B890" s="14"/>
      <c r="C890" s="15"/>
      <c r="D890" s="14"/>
      <c r="E890" s="11"/>
      <c r="F890" s="11"/>
    </row>
    <row r="891">
      <c r="A891" s="14"/>
      <c r="B891" s="14"/>
      <c r="C891" s="15"/>
      <c r="D891" s="14"/>
      <c r="E891" s="11"/>
      <c r="F891" s="11"/>
    </row>
    <row r="892">
      <c r="A892" s="14"/>
      <c r="B892" s="14"/>
      <c r="C892" s="15"/>
      <c r="D892" s="14"/>
      <c r="E892" s="11"/>
      <c r="F892" s="11"/>
    </row>
    <row r="893">
      <c r="A893" s="14"/>
      <c r="B893" s="14"/>
      <c r="C893" s="15"/>
      <c r="D893" s="14"/>
      <c r="E893" s="11"/>
      <c r="F893" s="11"/>
    </row>
    <row r="894">
      <c r="A894" s="14"/>
      <c r="B894" s="14"/>
      <c r="C894" s="15"/>
      <c r="D894" s="14"/>
      <c r="E894" s="11"/>
      <c r="F894" s="11"/>
    </row>
    <row r="895">
      <c r="A895" s="14"/>
      <c r="B895" s="14"/>
      <c r="C895" s="15"/>
      <c r="D895" s="14"/>
      <c r="E895" s="11"/>
      <c r="F895" s="11"/>
    </row>
    <row r="896">
      <c r="A896" s="14"/>
      <c r="B896" s="14"/>
      <c r="C896" s="15"/>
      <c r="D896" s="14"/>
      <c r="E896" s="11"/>
      <c r="F896" s="11"/>
    </row>
    <row r="897">
      <c r="A897" s="14"/>
      <c r="B897" s="14"/>
      <c r="C897" s="15"/>
      <c r="D897" s="14"/>
      <c r="E897" s="11"/>
      <c r="F897" s="11"/>
    </row>
    <row r="898">
      <c r="A898" s="14"/>
      <c r="B898" s="14"/>
      <c r="C898" s="15"/>
      <c r="D898" s="14"/>
      <c r="E898" s="11"/>
      <c r="F898" s="11"/>
    </row>
    <row r="899">
      <c r="A899" s="14"/>
      <c r="B899" s="14"/>
      <c r="C899" s="15"/>
      <c r="D899" s="14"/>
      <c r="E899" s="11"/>
      <c r="F899" s="11"/>
    </row>
    <row r="900">
      <c r="A900" s="14"/>
      <c r="B900" s="14"/>
      <c r="C900" s="15"/>
      <c r="D900" s="14"/>
      <c r="E900" s="11"/>
      <c r="F900" s="11"/>
    </row>
    <row r="901">
      <c r="A901" s="14"/>
      <c r="B901" s="14"/>
      <c r="C901" s="15"/>
      <c r="D901" s="14"/>
      <c r="E901" s="11"/>
      <c r="F901" s="11"/>
    </row>
    <row r="902">
      <c r="A902" s="14"/>
      <c r="B902" s="14"/>
      <c r="C902" s="15"/>
      <c r="D902" s="14"/>
      <c r="E902" s="11"/>
      <c r="F902" s="11"/>
    </row>
    <row r="903">
      <c r="A903" s="14"/>
      <c r="B903" s="14"/>
      <c r="C903" s="15"/>
      <c r="D903" s="14"/>
      <c r="E903" s="11"/>
      <c r="F903" s="11"/>
    </row>
    <row r="904">
      <c r="A904" s="14"/>
      <c r="B904" s="14"/>
      <c r="C904" s="15"/>
      <c r="D904" s="14"/>
      <c r="E904" s="11"/>
      <c r="F904" s="11"/>
    </row>
    <row r="905">
      <c r="A905" s="14"/>
      <c r="B905" s="14"/>
      <c r="C905" s="15"/>
      <c r="D905" s="14"/>
      <c r="E905" s="11"/>
      <c r="F905" s="11"/>
    </row>
    <row r="906">
      <c r="A906" s="14"/>
      <c r="B906" s="14"/>
      <c r="C906" s="15"/>
      <c r="D906" s="14"/>
      <c r="E906" s="11"/>
      <c r="F906" s="11"/>
    </row>
    <row r="907">
      <c r="A907" s="14"/>
      <c r="B907" s="14"/>
      <c r="C907" s="15"/>
      <c r="D907" s="14"/>
      <c r="E907" s="11"/>
      <c r="F907" s="11"/>
    </row>
    <row r="908">
      <c r="A908" s="14"/>
      <c r="B908" s="14"/>
      <c r="C908" s="15"/>
      <c r="D908" s="14"/>
      <c r="E908" s="11"/>
      <c r="F908" s="11"/>
    </row>
    <row r="909">
      <c r="A909" s="14"/>
      <c r="B909" s="14"/>
      <c r="C909" s="15"/>
      <c r="D909" s="14"/>
      <c r="E909" s="11"/>
      <c r="F909" s="11"/>
    </row>
    <row r="910">
      <c r="A910" s="14"/>
      <c r="B910" s="14"/>
      <c r="C910" s="15"/>
      <c r="D910" s="14"/>
      <c r="E910" s="11"/>
      <c r="F910" s="11"/>
    </row>
    <row r="911">
      <c r="A911" s="14"/>
      <c r="B911" s="14"/>
      <c r="C911" s="15"/>
      <c r="D911" s="14"/>
      <c r="E911" s="11"/>
      <c r="F911" s="11"/>
    </row>
    <row r="912">
      <c r="A912" s="14"/>
      <c r="B912" s="14"/>
      <c r="C912" s="15"/>
      <c r="D912" s="14"/>
      <c r="E912" s="11"/>
      <c r="F912" s="11"/>
    </row>
    <row r="913">
      <c r="A913" s="14"/>
      <c r="B913" s="14"/>
      <c r="C913" s="15"/>
      <c r="D913" s="14"/>
      <c r="E913" s="11"/>
      <c r="F913" s="11"/>
    </row>
    <row r="914">
      <c r="A914" s="14"/>
      <c r="B914" s="14"/>
      <c r="C914" s="15"/>
      <c r="D914" s="14"/>
      <c r="E914" s="11"/>
      <c r="F914" s="11"/>
    </row>
    <row r="915">
      <c r="A915" s="14"/>
      <c r="B915" s="14"/>
      <c r="C915" s="15"/>
      <c r="D915" s="14"/>
      <c r="E915" s="11"/>
      <c r="F915" s="11"/>
    </row>
    <row r="916">
      <c r="A916" s="14"/>
      <c r="B916" s="14"/>
      <c r="C916" s="15"/>
      <c r="D916" s="14"/>
      <c r="E916" s="11"/>
      <c r="F916" s="11"/>
    </row>
    <row r="917">
      <c r="A917" s="14"/>
      <c r="B917" s="14"/>
      <c r="C917" s="15"/>
      <c r="D917" s="14"/>
      <c r="E917" s="11"/>
      <c r="F917" s="11"/>
    </row>
    <row r="918">
      <c r="A918" s="14"/>
      <c r="B918" s="14"/>
      <c r="C918" s="15"/>
      <c r="D918" s="14"/>
      <c r="E918" s="11"/>
      <c r="F918" s="11"/>
    </row>
    <row r="919">
      <c r="A919" s="14"/>
      <c r="B919" s="14"/>
      <c r="C919" s="15"/>
      <c r="D919" s="14"/>
      <c r="E919" s="11"/>
      <c r="F919" s="11"/>
    </row>
    <row r="920">
      <c r="A920" s="14"/>
      <c r="B920" s="14"/>
      <c r="C920" s="15"/>
      <c r="D920" s="14"/>
      <c r="E920" s="11"/>
      <c r="F920" s="11"/>
    </row>
    <row r="921">
      <c r="A921" s="14"/>
      <c r="B921" s="14"/>
      <c r="C921" s="15"/>
      <c r="D921" s="14"/>
      <c r="E921" s="11"/>
      <c r="F921" s="11"/>
    </row>
    <row r="922">
      <c r="A922" s="14"/>
      <c r="B922" s="14"/>
      <c r="C922" s="15"/>
      <c r="D922" s="14"/>
      <c r="E922" s="11"/>
      <c r="F922" s="11"/>
    </row>
    <row r="923">
      <c r="A923" s="14"/>
      <c r="B923" s="14"/>
      <c r="C923" s="15"/>
      <c r="D923" s="14"/>
      <c r="E923" s="11"/>
      <c r="F923" s="11"/>
    </row>
    <row r="924">
      <c r="A924" s="14"/>
      <c r="B924" s="14"/>
      <c r="C924" s="15"/>
      <c r="D924" s="14"/>
      <c r="E924" s="11"/>
      <c r="F924" s="11"/>
    </row>
    <row r="925">
      <c r="A925" s="14"/>
      <c r="B925" s="14"/>
      <c r="C925" s="15"/>
      <c r="D925" s="14"/>
      <c r="E925" s="11"/>
      <c r="F925" s="11"/>
    </row>
    <row r="926">
      <c r="A926" s="14"/>
      <c r="B926" s="14"/>
      <c r="C926" s="15"/>
      <c r="D926" s="14"/>
      <c r="E926" s="11"/>
      <c r="F926" s="11"/>
    </row>
    <row r="927">
      <c r="A927" s="14"/>
      <c r="B927" s="14"/>
      <c r="C927" s="15"/>
      <c r="D927" s="14"/>
      <c r="E927" s="11"/>
      <c r="F927" s="11"/>
    </row>
    <row r="928">
      <c r="A928" s="14"/>
      <c r="B928" s="14"/>
      <c r="C928" s="15"/>
      <c r="D928" s="14"/>
      <c r="E928" s="11"/>
      <c r="F928" s="11"/>
    </row>
    <row r="929">
      <c r="A929" s="14"/>
      <c r="B929" s="14"/>
      <c r="C929" s="15"/>
      <c r="D929" s="14"/>
      <c r="E929" s="11"/>
      <c r="F929" s="11"/>
    </row>
    <row r="930">
      <c r="A930" s="14"/>
      <c r="B930" s="14"/>
      <c r="C930" s="15"/>
      <c r="D930" s="14"/>
      <c r="E930" s="11"/>
      <c r="F930" s="11"/>
    </row>
    <row r="931">
      <c r="A931" s="14"/>
      <c r="B931" s="14"/>
      <c r="C931" s="15"/>
      <c r="D931" s="14"/>
      <c r="E931" s="11"/>
      <c r="F931" s="11"/>
    </row>
    <row r="932">
      <c r="A932" s="14"/>
      <c r="B932" s="14"/>
      <c r="C932" s="15"/>
      <c r="D932" s="14"/>
      <c r="E932" s="11"/>
      <c r="F932" s="11"/>
    </row>
    <row r="933">
      <c r="A933" s="14"/>
      <c r="B933" s="14"/>
      <c r="C933" s="15"/>
      <c r="D933" s="14"/>
      <c r="E933" s="11"/>
      <c r="F933" s="11"/>
    </row>
    <row r="934">
      <c r="A934" s="14"/>
      <c r="B934" s="14"/>
      <c r="C934" s="15"/>
      <c r="D934" s="14"/>
      <c r="E934" s="11"/>
      <c r="F934" s="11"/>
    </row>
    <row r="935">
      <c r="A935" s="14"/>
      <c r="B935" s="14"/>
      <c r="C935" s="15"/>
      <c r="D935" s="14"/>
      <c r="E935" s="11"/>
      <c r="F935" s="11"/>
    </row>
    <row r="936">
      <c r="A936" s="14"/>
      <c r="B936" s="14"/>
      <c r="C936" s="15"/>
      <c r="D936" s="14"/>
      <c r="E936" s="11"/>
      <c r="F936" s="11"/>
    </row>
    <row r="937">
      <c r="A937" s="14"/>
      <c r="B937" s="14"/>
      <c r="C937" s="15"/>
      <c r="D937" s="14"/>
      <c r="E937" s="11"/>
      <c r="F937" s="11"/>
    </row>
    <row r="938">
      <c r="A938" s="14"/>
      <c r="B938" s="14"/>
      <c r="C938" s="15"/>
      <c r="D938" s="14"/>
      <c r="E938" s="11"/>
      <c r="F938" s="11"/>
    </row>
    <row r="939">
      <c r="A939" s="14"/>
      <c r="B939" s="14"/>
      <c r="C939" s="15"/>
      <c r="D939" s="14"/>
      <c r="E939" s="11"/>
      <c r="F939" s="11"/>
    </row>
    <row r="940">
      <c r="A940" s="14"/>
      <c r="B940" s="14"/>
      <c r="C940" s="15"/>
      <c r="D940" s="14"/>
      <c r="E940" s="11"/>
      <c r="F940" s="11"/>
    </row>
    <row r="941">
      <c r="A941" s="14"/>
      <c r="B941" s="14"/>
      <c r="C941" s="15"/>
      <c r="D941" s="14"/>
      <c r="E941" s="11"/>
      <c r="F941" s="11"/>
    </row>
    <row r="942">
      <c r="A942" s="14"/>
      <c r="B942" s="14"/>
      <c r="C942" s="15"/>
      <c r="D942" s="14"/>
      <c r="E942" s="11"/>
      <c r="F942" s="11"/>
    </row>
    <row r="943">
      <c r="A943" s="14"/>
      <c r="B943" s="14"/>
      <c r="C943" s="15"/>
      <c r="D943" s="14"/>
      <c r="E943" s="11"/>
      <c r="F943" s="11"/>
    </row>
    <row r="944">
      <c r="A944" s="14"/>
      <c r="B944" s="14"/>
      <c r="C944" s="15"/>
      <c r="D944" s="14"/>
      <c r="E944" s="11"/>
      <c r="F944" s="11"/>
    </row>
    <row r="945">
      <c r="A945" s="14"/>
      <c r="B945" s="14"/>
      <c r="C945" s="15"/>
      <c r="D945" s="14"/>
      <c r="E945" s="11"/>
      <c r="F945" s="11"/>
    </row>
    <row r="946">
      <c r="A946" s="14"/>
      <c r="B946" s="14"/>
      <c r="C946" s="15"/>
      <c r="D946" s="14"/>
      <c r="E946" s="11"/>
      <c r="F946" s="11"/>
    </row>
    <row r="947">
      <c r="A947" s="14"/>
      <c r="B947" s="14"/>
      <c r="C947" s="15"/>
      <c r="D947" s="14"/>
      <c r="E947" s="11"/>
      <c r="F947" s="11"/>
    </row>
    <row r="948">
      <c r="A948" s="14"/>
      <c r="B948" s="14"/>
      <c r="C948" s="15"/>
      <c r="D948" s="14"/>
      <c r="E948" s="11"/>
      <c r="F948" s="11"/>
    </row>
    <row r="949">
      <c r="A949" s="14"/>
      <c r="B949" s="14"/>
      <c r="C949" s="15"/>
      <c r="D949" s="14"/>
      <c r="E949" s="11"/>
      <c r="F949" s="11"/>
    </row>
    <row r="950">
      <c r="A950" s="14"/>
      <c r="B950" s="14"/>
      <c r="C950" s="15"/>
      <c r="D950" s="14"/>
      <c r="E950" s="11"/>
      <c r="F950" s="11"/>
    </row>
    <row r="951">
      <c r="A951" s="14"/>
      <c r="B951" s="14"/>
      <c r="C951" s="15"/>
      <c r="D951" s="14"/>
      <c r="E951" s="11"/>
      <c r="F951" s="11"/>
    </row>
    <row r="952">
      <c r="A952" s="14"/>
      <c r="B952" s="14"/>
      <c r="C952" s="15"/>
      <c r="D952" s="14"/>
      <c r="E952" s="11"/>
      <c r="F952" s="11"/>
    </row>
    <row r="953">
      <c r="A953" s="14"/>
      <c r="B953" s="14"/>
      <c r="C953" s="15"/>
      <c r="D953" s="14"/>
      <c r="E953" s="11"/>
      <c r="F953" s="11"/>
    </row>
    <row r="954">
      <c r="A954" s="14"/>
      <c r="B954" s="14"/>
      <c r="C954" s="15"/>
      <c r="D954" s="14"/>
      <c r="E954" s="11"/>
      <c r="F954" s="11"/>
    </row>
    <row r="955">
      <c r="A955" s="14"/>
      <c r="B955" s="14"/>
      <c r="C955" s="15"/>
      <c r="D955" s="14"/>
      <c r="E955" s="11"/>
      <c r="F955" s="11"/>
    </row>
    <row r="956">
      <c r="A956" s="14"/>
      <c r="B956" s="14"/>
      <c r="C956" s="15"/>
      <c r="D956" s="14"/>
      <c r="E956" s="11"/>
      <c r="F956" s="11"/>
    </row>
    <row r="957">
      <c r="A957" s="14"/>
      <c r="B957" s="14"/>
      <c r="C957" s="15"/>
      <c r="D957" s="14"/>
      <c r="E957" s="11"/>
      <c r="F957" s="11"/>
    </row>
    <row r="958">
      <c r="A958" s="14"/>
      <c r="B958" s="14"/>
      <c r="C958" s="15"/>
      <c r="D958" s="14"/>
      <c r="E958" s="11"/>
      <c r="F958" s="11"/>
    </row>
    <row r="959">
      <c r="A959" s="14"/>
      <c r="B959" s="14"/>
      <c r="C959" s="15"/>
      <c r="D959" s="14"/>
      <c r="E959" s="11"/>
      <c r="F959" s="11"/>
    </row>
    <row r="960">
      <c r="A960" s="14"/>
      <c r="B960" s="14"/>
      <c r="C960" s="15"/>
      <c r="D960" s="14"/>
      <c r="E960" s="11"/>
      <c r="F960" s="11"/>
    </row>
    <row r="961">
      <c r="A961" s="14"/>
      <c r="B961" s="14"/>
      <c r="C961" s="15"/>
      <c r="D961" s="14"/>
      <c r="E961" s="11"/>
      <c r="F961" s="11"/>
    </row>
    <row r="962">
      <c r="A962" s="14"/>
      <c r="B962" s="14"/>
      <c r="C962" s="15"/>
      <c r="D962" s="14"/>
      <c r="E962" s="11"/>
      <c r="F962" s="11"/>
    </row>
    <row r="963">
      <c r="A963" s="14"/>
      <c r="B963" s="14"/>
      <c r="C963" s="15"/>
      <c r="D963" s="14"/>
      <c r="E963" s="11"/>
      <c r="F963" s="11"/>
    </row>
    <row r="964">
      <c r="A964" s="14"/>
      <c r="B964" s="14"/>
      <c r="C964" s="15"/>
      <c r="D964" s="14"/>
      <c r="E964" s="11"/>
      <c r="F964" s="11"/>
    </row>
    <row r="965">
      <c r="A965" s="14"/>
      <c r="B965" s="14"/>
      <c r="C965" s="15"/>
      <c r="D965" s="14"/>
      <c r="E965" s="11"/>
      <c r="F965" s="11"/>
    </row>
    <row r="966">
      <c r="A966" s="14"/>
      <c r="B966" s="14"/>
      <c r="C966" s="15"/>
      <c r="D966" s="14"/>
      <c r="E966" s="11"/>
      <c r="F966" s="11"/>
    </row>
    <row r="967">
      <c r="A967" s="14"/>
      <c r="B967" s="14"/>
      <c r="C967" s="15"/>
      <c r="D967" s="14"/>
      <c r="E967" s="11"/>
      <c r="F967" s="11"/>
    </row>
    <row r="968">
      <c r="A968" s="14"/>
      <c r="B968" s="14"/>
      <c r="C968" s="15"/>
      <c r="D968" s="14"/>
      <c r="E968" s="11"/>
      <c r="F968" s="11"/>
    </row>
    <row r="969">
      <c r="A969" s="14"/>
      <c r="B969" s="14"/>
      <c r="C969" s="15"/>
      <c r="D969" s="14"/>
      <c r="E969" s="11"/>
      <c r="F969" s="11"/>
    </row>
    <row r="970">
      <c r="A970" s="14"/>
      <c r="B970" s="14"/>
      <c r="C970" s="15"/>
      <c r="D970" s="14"/>
      <c r="E970" s="11"/>
      <c r="F970" s="11"/>
    </row>
    <row r="971">
      <c r="A971" s="14"/>
      <c r="B971" s="14"/>
      <c r="C971" s="15"/>
      <c r="D971" s="14"/>
      <c r="E971" s="11"/>
      <c r="F971" s="11"/>
    </row>
    <row r="972">
      <c r="A972" s="14"/>
      <c r="B972" s="14"/>
      <c r="C972" s="15"/>
      <c r="D972" s="14"/>
      <c r="E972" s="11"/>
      <c r="F972" s="11"/>
    </row>
    <row r="973">
      <c r="A973" s="14"/>
      <c r="B973" s="14"/>
      <c r="C973" s="15"/>
      <c r="D973" s="14"/>
      <c r="E973" s="11"/>
      <c r="F973" s="11"/>
    </row>
    <row r="974">
      <c r="A974" s="14"/>
      <c r="B974" s="14"/>
      <c r="C974" s="15"/>
      <c r="D974" s="14"/>
      <c r="E974" s="11"/>
      <c r="F974" s="11"/>
    </row>
    <row r="975">
      <c r="A975" s="14"/>
      <c r="B975" s="14"/>
      <c r="C975" s="15"/>
      <c r="D975" s="14"/>
      <c r="E975" s="11"/>
      <c r="F975" s="11"/>
    </row>
    <row r="976">
      <c r="A976" s="14"/>
      <c r="B976" s="14"/>
      <c r="C976" s="15"/>
      <c r="D976" s="14"/>
      <c r="E976" s="11"/>
      <c r="F976" s="11"/>
    </row>
    <row r="977">
      <c r="A977" s="14"/>
      <c r="B977" s="14"/>
      <c r="C977" s="15"/>
      <c r="D977" s="14"/>
      <c r="E977" s="11"/>
      <c r="F977" s="11"/>
    </row>
    <row r="978">
      <c r="A978" s="14"/>
      <c r="B978" s="14"/>
      <c r="C978" s="15"/>
      <c r="D978" s="14"/>
      <c r="E978" s="11"/>
      <c r="F978" s="11"/>
    </row>
    <row r="979">
      <c r="A979" s="14"/>
      <c r="B979" s="14"/>
      <c r="C979" s="15"/>
      <c r="D979" s="14"/>
      <c r="E979" s="11"/>
      <c r="F979" s="11"/>
    </row>
    <row r="980">
      <c r="A980" s="14"/>
      <c r="B980" s="14"/>
      <c r="C980" s="15"/>
      <c r="D980" s="14"/>
      <c r="E980" s="11"/>
      <c r="F980" s="11"/>
    </row>
    <row r="981">
      <c r="A981" s="14"/>
      <c r="B981" s="14"/>
      <c r="C981" s="15"/>
      <c r="D981" s="14"/>
      <c r="E981" s="11"/>
      <c r="F981" s="11"/>
    </row>
    <row r="982">
      <c r="A982" s="14"/>
      <c r="B982" s="14"/>
      <c r="C982" s="15"/>
      <c r="D982" s="14"/>
      <c r="E982" s="11"/>
      <c r="F982" s="11"/>
    </row>
    <row r="983">
      <c r="A983" s="14"/>
      <c r="B983" s="14"/>
      <c r="C983" s="15"/>
      <c r="D983" s="14"/>
      <c r="E983" s="11"/>
      <c r="F983" s="11"/>
    </row>
    <row r="984">
      <c r="A984" s="14"/>
      <c r="B984" s="14"/>
      <c r="C984" s="15"/>
      <c r="D984" s="14"/>
      <c r="E984" s="11"/>
      <c r="F984" s="11"/>
    </row>
    <row r="985">
      <c r="A985" s="14"/>
      <c r="B985" s="14"/>
      <c r="C985" s="15"/>
      <c r="D985" s="14"/>
      <c r="E985" s="11"/>
      <c r="F985" s="11"/>
    </row>
    <row r="986">
      <c r="A986" s="14"/>
      <c r="B986" s="14"/>
      <c r="C986" s="15"/>
      <c r="D986" s="14"/>
      <c r="E986" s="11"/>
      <c r="F986" s="11"/>
    </row>
    <row r="987">
      <c r="A987" s="14"/>
      <c r="B987" s="14"/>
      <c r="C987" s="15"/>
      <c r="D987" s="14"/>
      <c r="E987" s="11"/>
      <c r="F987" s="11"/>
    </row>
    <row r="988">
      <c r="A988" s="14"/>
      <c r="B988" s="14"/>
      <c r="C988" s="15"/>
      <c r="D988" s="14"/>
      <c r="E988" s="11"/>
      <c r="F988" s="11"/>
    </row>
    <row r="989">
      <c r="A989" s="14"/>
      <c r="B989" s="14"/>
      <c r="C989" s="15"/>
      <c r="D989" s="14"/>
      <c r="E989" s="11"/>
      <c r="F989" s="11"/>
    </row>
    <row r="990">
      <c r="A990" s="14"/>
      <c r="B990" s="14"/>
      <c r="C990" s="15"/>
      <c r="D990" s="14"/>
      <c r="E990" s="11"/>
      <c r="F990" s="11"/>
    </row>
    <row r="991">
      <c r="A991" s="14"/>
      <c r="B991" s="14"/>
      <c r="C991" s="15"/>
      <c r="D991" s="14"/>
      <c r="E991" s="11"/>
      <c r="F991" s="11"/>
    </row>
    <row r="992">
      <c r="A992" s="14"/>
      <c r="B992" s="14"/>
      <c r="C992" s="15"/>
      <c r="D992" s="14"/>
      <c r="E992" s="11"/>
      <c r="F992" s="11"/>
    </row>
    <row r="993">
      <c r="A993" s="14"/>
      <c r="B993" s="14"/>
      <c r="C993" s="15"/>
      <c r="D993" s="14"/>
      <c r="E993" s="11"/>
      <c r="F993" s="11"/>
    </row>
    <row r="994">
      <c r="A994" s="14"/>
      <c r="B994" s="14"/>
      <c r="C994" s="15"/>
      <c r="D994" s="14"/>
      <c r="E994" s="11"/>
      <c r="F994" s="11"/>
    </row>
    <row r="995">
      <c r="A995" s="14"/>
      <c r="B995" s="14"/>
      <c r="C995" s="15"/>
      <c r="D995" s="14"/>
      <c r="E995" s="11"/>
      <c r="F995" s="11"/>
    </row>
    <row r="996">
      <c r="A996" s="14"/>
      <c r="B996" s="14"/>
      <c r="C996" s="15"/>
      <c r="D996" s="14"/>
      <c r="E996" s="11"/>
      <c r="F996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4.25"/>
    <col customWidth="1" min="9" max="9" width="24.75"/>
  </cols>
  <sheetData>
    <row r="1">
      <c r="A1" s="1"/>
      <c r="B1" s="1" t="s">
        <v>116</v>
      </c>
      <c r="C1" s="1" t="s">
        <v>117</v>
      </c>
      <c r="D1" s="1" t="s">
        <v>116</v>
      </c>
      <c r="E1" s="1" t="s">
        <v>3</v>
      </c>
      <c r="F1" s="1" t="s">
        <v>118</v>
      </c>
      <c r="G1" s="16" t="s">
        <v>119</v>
      </c>
      <c r="I1" s="1" t="s">
        <v>3</v>
      </c>
      <c r="J1" s="1" t="s">
        <v>120</v>
      </c>
    </row>
    <row r="2">
      <c r="A2" s="1">
        <v>2.0</v>
      </c>
      <c r="B2" s="1" t="s">
        <v>121</v>
      </c>
      <c r="C2" s="1"/>
      <c r="D2" s="1" t="s">
        <v>116</v>
      </c>
      <c r="E2" s="1" t="s">
        <v>10</v>
      </c>
      <c r="F2" s="1" t="s">
        <v>122</v>
      </c>
      <c r="G2" s="1" t="s">
        <v>123</v>
      </c>
      <c r="H2" s="1">
        <v>1.0</v>
      </c>
      <c r="I2" s="2" t="str">
        <f t="array" ref="I2:I4">unique(F2:F12)</f>
        <v>홍건</v>
      </c>
      <c r="J2" s="2">
        <f t="shared" ref="J2:J9" si="1">COUNTIF($E$2:$E$100,I2)</f>
        <v>0</v>
      </c>
    </row>
    <row r="3">
      <c r="A3" s="1">
        <v>6.0</v>
      </c>
      <c r="B3" s="1" t="s">
        <v>124</v>
      </c>
      <c r="C3" s="1"/>
      <c r="D3" s="1" t="s">
        <v>116</v>
      </c>
      <c r="E3" s="1" t="s">
        <v>10</v>
      </c>
      <c r="F3" s="1" t="s">
        <v>125</v>
      </c>
      <c r="G3" s="1" t="s">
        <v>123</v>
      </c>
      <c r="H3" s="1">
        <v>2.0</v>
      </c>
      <c r="I3" s="2" t="s">
        <v>125</v>
      </c>
      <c r="J3" s="2">
        <f t="shared" si="1"/>
        <v>0</v>
      </c>
    </row>
    <row r="4">
      <c r="A4" s="1">
        <v>3.0</v>
      </c>
      <c r="B4" s="1" t="s">
        <v>126</v>
      </c>
      <c r="C4" s="1"/>
      <c r="D4" s="1" t="s">
        <v>116</v>
      </c>
      <c r="E4" s="1" t="s">
        <v>18</v>
      </c>
      <c r="H4" s="1">
        <v>3.0</v>
      </c>
      <c r="I4" s="2"/>
      <c r="J4" s="2">
        <f t="shared" si="1"/>
        <v>0</v>
      </c>
    </row>
    <row r="5">
      <c r="A5" s="1">
        <v>5.0</v>
      </c>
      <c r="B5" s="1" t="s">
        <v>127</v>
      </c>
      <c r="C5" s="1"/>
      <c r="D5" s="1" t="s">
        <v>116</v>
      </c>
      <c r="E5" s="1" t="s">
        <v>14</v>
      </c>
      <c r="H5" s="1">
        <v>4.0</v>
      </c>
      <c r="J5" s="2">
        <f t="shared" si="1"/>
        <v>0</v>
      </c>
    </row>
    <row r="6">
      <c r="A6" s="1">
        <v>7.0</v>
      </c>
      <c r="B6" s="1" t="s">
        <v>128</v>
      </c>
      <c r="C6" s="1" t="s">
        <v>129</v>
      </c>
      <c r="D6" s="1" t="s">
        <v>116</v>
      </c>
      <c r="E6" s="1" t="s">
        <v>19</v>
      </c>
      <c r="H6" s="1">
        <v>5.0</v>
      </c>
      <c r="J6" s="2">
        <f t="shared" si="1"/>
        <v>0</v>
      </c>
    </row>
    <row r="7">
      <c r="A7" s="1">
        <v>11.0</v>
      </c>
      <c r="B7" s="1" t="s">
        <v>130</v>
      </c>
      <c r="C7" s="1"/>
      <c r="D7" s="1" t="s">
        <v>116</v>
      </c>
      <c r="E7" s="1" t="s">
        <v>19</v>
      </c>
      <c r="H7" s="1">
        <v>6.0</v>
      </c>
      <c r="J7" s="2">
        <f t="shared" si="1"/>
        <v>0</v>
      </c>
    </row>
    <row r="8">
      <c r="A8" s="1">
        <v>8.0</v>
      </c>
      <c r="B8" s="1" t="s">
        <v>131</v>
      </c>
      <c r="C8" s="1"/>
      <c r="D8" s="1" t="s">
        <v>116</v>
      </c>
      <c r="E8" s="1" t="s">
        <v>19</v>
      </c>
      <c r="H8" s="1">
        <v>7.0</v>
      </c>
      <c r="J8" s="2">
        <f t="shared" si="1"/>
        <v>0</v>
      </c>
    </row>
    <row r="9">
      <c r="A9" s="17">
        <v>1.0</v>
      </c>
      <c r="B9" s="17" t="s">
        <v>132</v>
      </c>
      <c r="C9" s="17"/>
      <c r="D9" s="17" t="s">
        <v>116</v>
      </c>
      <c r="E9" s="17" t="s">
        <v>8</v>
      </c>
      <c r="G9" s="1" t="s">
        <v>123</v>
      </c>
      <c r="H9" s="1">
        <v>8.0</v>
      </c>
      <c r="I9" s="1" t="s">
        <v>19</v>
      </c>
      <c r="J9" s="2">
        <f t="shared" si="1"/>
        <v>3</v>
      </c>
    </row>
    <row r="10">
      <c r="A10" s="1">
        <v>4.0</v>
      </c>
      <c r="B10" s="1" t="s">
        <v>133</v>
      </c>
      <c r="C10" s="1"/>
      <c r="D10" s="1" t="s">
        <v>116</v>
      </c>
      <c r="E10" s="1" t="s">
        <v>8</v>
      </c>
      <c r="G10" s="1" t="s">
        <v>123</v>
      </c>
    </row>
    <row r="11">
      <c r="A11" s="1">
        <v>9.0</v>
      </c>
      <c r="B11" s="1" t="s">
        <v>134</v>
      </c>
      <c r="C11" s="1"/>
      <c r="D11" s="1" t="s">
        <v>116</v>
      </c>
      <c r="E11" s="1" t="s">
        <v>25</v>
      </c>
    </row>
    <row r="12">
      <c r="A12" s="1">
        <v>10.0</v>
      </c>
      <c r="B12" s="1" t="s">
        <v>135</v>
      </c>
      <c r="C12" s="1"/>
      <c r="D12" s="1" t="s">
        <v>116</v>
      </c>
      <c r="E12" s="1" t="s">
        <v>136</v>
      </c>
      <c r="G12" s="1" t="s">
        <v>123</v>
      </c>
    </row>
    <row r="14">
      <c r="H14" s="1" t="s">
        <v>137</v>
      </c>
      <c r="I14" s="1" t="s">
        <v>120</v>
      </c>
      <c r="K14" s="2" t="s">
        <v>10</v>
      </c>
    </row>
    <row r="15">
      <c r="A15" s="18" t="s">
        <v>138</v>
      </c>
      <c r="G15" s="1">
        <v>1.0</v>
      </c>
      <c r="H15" s="2" t="str">
        <f t="array" ref="H15:H25">UNIQUE(K14:K29)</f>
        <v>학생</v>
      </c>
      <c r="I15" s="2" t="str">
        <f>I2+'자식'!J2</f>
        <v>#VALUE!</v>
      </c>
      <c r="K15" s="2" t="s">
        <v>18</v>
      </c>
    </row>
    <row r="16">
      <c r="G16" s="1">
        <v>2.0</v>
      </c>
      <c r="H16" s="2" t="s">
        <v>18</v>
      </c>
      <c r="I16" s="2" t="str">
        <f>I3+'자식'!J3</f>
        <v>#VALUE!</v>
      </c>
      <c r="K16" s="2" t="s">
        <v>14</v>
      </c>
    </row>
    <row r="17">
      <c r="A17" s="8" t="s">
        <v>110</v>
      </c>
      <c r="G17" s="1">
        <v>3.0</v>
      </c>
      <c r="H17" s="2" t="s">
        <v>14</v>
      </c>
      <c r="I17" s="2">
        <f>I4+'자식'!J4</f>
        <v>6</v>
      </c>
      <c r="K17" s="2" t="s">
        <v>139</v>
      </c>
    </row>
    <row r="18">
      <c r="G18" s="1">
        <v>4.0</v>
      </c>
      <c r="H18" s="2" t="s">
        <v>139</v>
      </c>
      <c r="I18" s="2">
        <f>'자식'!J5</f>
        <v>1</v>
      </c>
      <c r="K18" s="2" t="s">
        <v>136</v>
      </c>
    </row>
    <row r="19">
      <c r="G19" s="1">
        <v>5.0</v>
      </c>
      <c r="H19" s="2" t="s">
        <v>136</v>
      </c>
      <c r="I19" s="2">
        <f>I10+'자식'!J6+'자식'!J7</f>
        <v>5</v>
      </c>
      <c r="K19" s="2" t="s">
        <v>8</v>
      </c>
    </row>
    <row r="20">
      <c r="G20" s="1">
        <v>6.0</v>
      </c>
      <c r="H20" s="2" t="s">
        <v>8</v>
      </c>
      <c r="I20" s="2">
        <f>I8+'자식'!J7</f>
        <v>4</v>
      </c>
      <c r="K20" s="2" t="s">
        <v>25</v>
      </c>
    </row>
    <row r="21">
      <c r="G21" s="1">
        <v>7.0</v>
      </c>
      <c r="H21" s="2" t="s">
        <v>25</v>
      </c>
      <c r="I21" s="2" t="str">
        <f>I9+'자식'!J8</f>
        <v>#VALUE!</v>
      </c>
      <c r="K21" s="2" t="s">
        <v>10</v>
      </c>
    </row>
    <row r="22">
      <c r="G22" s="1">
        <v>8.0</v>
      </c>
      <c r="H22" s="2" t="s">
        <v>140</v>
      </c>
      <c r="I22" s="2" t="str">
        <f>I5</f>
        <v/>
      </c>
      <c r="K22" s="2" t="s">
        <v>18</v>
      </c>
    </row>
    <row r="23">
      <c r="G23" s="1">
        <v>9.0</v>
      </c>
      <c r="H23" s="2" t="s">
        <v>141</v>
      </c>
      <c r="I23" s="1">
        <v>1.0</v>
      </c>
      <c r="K23" s="2" t="s">
        <v>14</v>
      </c>
    </row>
    <row r="24">
      <c r="G24" s="1">
        <v>10.0</v>
      </c>
      <c r="H24" s="2" t="s">
        <v>142</v>
      </c>
      <c r="I24" s="2" t="str">
        <f>I7</f>
        <v/>
      </c>
      <c r="K24" s="2" t="s">
        <v>140</v>
      </c>
    </row>
    <row r="25">
      <c r="G25" s="1">
        <v>11.0</v>
      </c>
      <c r="H25" s="2" t="s">
        <v>19</v>
      </c>
      <c r="I25" s="1">
        <v>3.0</v>
      </c>
      <c r="K25" s="2" t="s">
        <v>141</v>
      </c>
    </row>
    <row r="26">
      <c r="K26" s="2" t="s">
        <v>142</v>
      </c>
    </row>
    <row r="27">
      <c r="K27" s="2" t="s">
        <v>8</v>
      </c>
    </row>
    <row r="28">
      <c r="K28" s="2" t="s">
        <v>25</v>
      </c>
    </row>
    <row r="29">
      <c r="K29" s="1" t="s">
        <v>19</v>
      </c>
    </row>
    <row r="33">
      <c r="M33" s="2" t="str">
        <f>'자식'!N20</f>
        <v/>
      </c>
    </row>
    <row r="37">
      <c r="G37" s="1" t="s">
        <v>143</v>
      </c>
      <c r="H37" s="1" t="s">
        <v>144</v>
      </c>
      <c r="I37" s="1" t="s">
        <v>10</v>
      </c>
      <c r="J37" s="1">
        <v>9.0</v>
      </c>
      <c r="K37" s="1" t="s">
        <v>145</v>
      </c>
    </row>
    <row r="38">
      <c r="H38" s="1" t="s">
        <v>146</v>
      </c>
      <c r="I38" s="1" t="s">
        <v>147</v>
      </c>
      <c r="K38" s="1" t="s">
        <v>15</v>
      </c>
    </row>
    <row r="39">
      <c r="H39" s="1" t="s">
        <v>148</v>
      </c>
      <c r="I39" s="1" t="s">
        <v>149</v>
      </c>
      <c r="K39" s="1" t="s">
        <v>22</v>
      </c>
    </row>
    <row r="40">
      <c r="H40" s="1" t="s">
        <v>150</v>
      </c>
      <c r="I40" s="1" t="s">
        <v>151</v>
      </c>
      <c r="J40" s="1">
        <v>8.0</v>
      </c>
      <c r="K40" s="1" t="s">
        <v>28</v>
      </c>
    </row>
  </sheetData>
  <mergeCells count="2">
    <mergeCell ref="A15:B16"/>
    <mergeCell ref="A17:B1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88"/>
    <col customWidth="1" min="6" max="6" width="15.75"/>
  </cols>
  <sheetData>
    <row r="1">
      <c r="A1" s="1"/>
      <c r="B1" s="1" t="s">
        <v>152</v>
      </c>
      <c r="C1" s="1" t="s">
        <v>117</v>
      </c>
      <c r="D1" s="1" t="s">
        <v>116</v>
      </c>
      <c r="E1" s="1" t="s">
        <v>3</v>
      </c>
      <c r="F1" s="1" t="s">
        <v>118</v>
      </c>
      <c r="G1" s="16" t="s">
        <v>119</v>
      </c>
    </row>
    <row r="2">
      <c r="A2" s="1">
        <v>1.0</v>
      </c>
      <c r="B2" s="1" t="s">
        <v>153</v>
      </c>
      <c r="C2" s="1"/>
      <c r="D2" s="1" t="s">
        <v>152</v>
      </c>
      <c r="E2" s="1" t="s">
        <v>10</v>
      </c>
      <c r="F2" s="1" t="s">
        <v>125</v>
      </c>
      <c r="G2" s="1" t="s">
        <v>154</v>
      </c>
      <c r="H2" s="1">
        <v>1.0</v>
      </c>
      <c r="I2" s="2" t="str">
        <f t="array" ref="I2:I8">unique(E2:E27)</f>
        <v>학생</v>
      </c>
      <c r="J2" s="2">
        <f t="shared" ref="J2:J8" si="1">COUNTIF($E$2:$E$100,I2)</f>
        <v>7</v>
      </c>
    </row>
    <row r="3">
      <c r="A3" s="1">
        <v>2.0</v>
      </c>
      <c r="B3" s="1" t="s">
        <v>155</v>
      </c>
      <c r="C3" s="1"/>
      <c r="D3" s="1" t="s">
        <v>152</v>
      </c>
      <c r="E3" s="1" t="s">
        <v>10</v>
      </c>
      <c r="F3" s="1" t="s">
        <v>125</v>
      </c>
      <c r="H3" s="1">
        <v>2.0</v>
      </c>
      <c r="I3" s="2" t="s">
        <v>18</v>
      </c>
      <c r="J3" s="2">
        <f t="shared" si="1"/>
        <v>2</v>
      </c>
    </row>
    <row r="4">
      <c r="A4" s="1">
        <v>3.0</v>
      </c>
      <c r="B4" s="1" t="s">
        <v>156</v>
      </c>
      <c r="C4" s="1"/>
      <c r="D4" s="1" t="s">
        <v>152</v>
      </c>
      <c r="E4" s="1" t="s">
        <v>10</v>
      </c>
      <c r="H4" s="1">
        <v>3.0</v>
      </c>
      <c r="I4" s="2" t="s">
        <v>14</v>
      </c>
      <c r="J4" s="2">
        <f t="shared" si="1"/>
        <v>6</v>
      </c>
    </row>
    <row r="5">
      <c r="A5" s="1">
        <v>18.0</v>
      </c>
      <c r="B5" s="1" t="s">
        <v>157</v>
      </c>
      <c r="C5" s="1"/>
      <c r="D5" s="1" t="s">
        <v>152</v>
      </c>
      <c r="E5" s="1" t="s">
        <v>10</v>
      </c>
      <c r="F5" s="1" t="s">
        <v>122</v>
      </c>
      <c r="H5" s="1">
        <v>4.0</v>
      </c>
      <c r="I5" s="2" t="s">
        <v>19</v>
      </c>
      <c r="J5" s="2">
        <f t="shared" si="1"/>
        <v>1</v>
      </c>
    </row>
    <row r="6">
      <c r="A6" s="1">
        <v>19.0</v>
      </c>
      <c r="B6" s="1" t="s">
        <v>158</v>
      </c>
      <c r="C6" s="1"/>
      <c r="D6" s="1" t="s">
        <v>152</v>
      </c>
      <c r="E6" s="1" t="s">
        <v>10</v>
      </c>
      <c r="H6" s="1">
        <v>5.0</v>
      </c>
      <c r="I6" s="2" t="s">
        <v>136</v>
      </c>
      <c r="J6" s="2">
        <f t="shared" si="1"/>
        <v>1</v>
      </c>
    </row>
    <row r="7">
      <c r="A7" s="1">
        <v>23.0</v>
      </c>
      <c r="B7" s="1" t="s">
        <v>159</v>
      </c>
      <c r="C7" s="1"/>
      <c r="D7" s="1" t="s">
        <v>152</v>
      </c>
      <c r="E7" s="1" t="s">
        <v>10</v>
      </c>
      <c r="H7" s="1">
        <v>6.0</v>
      </c>
      <c r="I7" s="2" t="s">
        <v>8</v>
      </c>
      <c r="J7" s="2">
        <f t="shared" si="1"/>
        <v>4</v>
      </c>
    </row>
    <row r="8">
      <c r="A8" s="1">
        <v>26.0</v>
      </c>
      <c r="B8" s="1" t="s">
        <v>160</v>
      </c>
      <c r="C8" s="1"/>
      <c r="D8" s="1" t="s">
        <v>152</v>
      </c>
      <c r="E8" s="1" t="s">
        <v>10</v>
      </c>
      <c r="H8" s="1">
        <v>7.0</v>
      </c>
      <c r="I8" s="2" t="s">
        <v>25</v>
      </c>
      <c r="J8" s="2">
        <f t="shared" si="1"/>
        <v>5</v>
      </c>
    </row>
    <row r="9">
      <c r="A9" s="1">
        <v>10.0</v>
      </c>
      <c r="B9" s="1" t="s">
        <v>161</v>
      </c>
      <c r="C9" s="1"/>
      <c r="D9" s="1" t="s">
        <v>152</v>
      </c>
      <c r="E9" s="1" t="s">
        <v>18</v>
      </c>
    </row>
    <row r="10">
      <c r="A10" s="1">
        <v>24.0</v>
      </c>
      <c r="B10" s="1" t="s">
        <v>162</v>
      </c>
      <c r="C10" s="1"/>
      <c r="D10" s="1" t="s">
        <v>152</v>
      </c>
      <c r="E10" s="1" t="s">
        <v>18</v>
      </c>
    </row>
    <row r="11">
      <c r="A11" s="1">
        <v>7.0</v>
      </c>
      <c r="B11" s="1" t="s">
        <v>163</v>
      </c>
      <c r="C11" s="1"/>
      <c r="D11" s="1" t="s">
        <v>152</v>
      </c>
      <c r="E11" s="1" t="s">
        <v>14</v>
      </c>
    </row>
    <row r="12">
      <c r="A12" s="1">
        <v>8.0</v>
      </c>
      <c r="B12" s="1" t="s">
        <v>164</v>
      </c>
      <c r="C12" s="1"/>
      <c r="D12" s="1" t="s">
        <v>152</v>
      </c>
      <c r="E12" s="1" t="s">
        <v>14</v>
      </c>
    </row>
    <row r="13">
      <c r="A13" s="1">
        <v>14.0</v>
      </c>
      <c r="B13" s="1" t="s">
        <v>165</v>
      </c>
      <c r="C13" s="1"/>
      <c r="D13" s="1" t="s">
        <v>152</v>
      </c>
      <c r="E13" s="1" t="s">
        <v>14</v>
      </c>
    </row>
    <row r="14">
      <c r="A14" s="1">
        <v>15.0</v>
      </c>
      <c r="B14" s="1" t="s">
        <v>166</v>
      </c>
      <c r="C14" s="1"/>
      <c r="D14" s="1" t="s">
        <v>152</v>
      </c>
      <c r="E14" s="1" t="s">
        <v>14</v>
      </c>
    </row>
    <row r="15">
      <c r="A15" s="1">
        <v>17.0</v>
      </c>
      <c r="B15" s="1" t="s">
        <v>167</v>
      </c>
      <c r="C15" s="1"/>
      <c r="D15" s="1" t="s">
        <v>152</v>
      </c>
      <c r="E15" s="1" t="s">
        <v>14</v>
      </c>
    </row>
    <row r="16">
      <c r="A16" s="1">
        <v>20.0</v>
      </c>
      <c r="B16" s="1" t="s">
        <v>168</v>
      </c>
      <c r="C16" s="1"/>
      <c r="D16" s="1" t="s">
        <v>152</v>
      </c>
      <c r="E16" s="1" t="s">
        <v>14</v>
      </c>
    </row>
    <row r="17">
      <c r="A17" s="1">
        <v>22.0</v>
      </c>
      <c r="B17" s="1" t="s">
        <v>169</v>
      </c>
      <c r="C17" s="1"/>
      <c r="D17" s="1" t="s">
        <v>152</v>
      </c>
      <c r="E17" s="1" t="s">
        <v>19</v>
      </c>
    </row>
    <row r="18">
      <c r="A18" s="1">
        <v>21.0</v>
      </c>
      <c r="B18" s="1" t="s">
        <v>170</v>
      </c>
      <c r="C18" s="1"/>
      <c r="D18" s="1" t="s">
        <v>152</v>
      </c>
      <c r="E18" s="1" t="s">
        <v>136</v>
      </c>
      <c r="F18" s="1" t="s">
        <v>123</v>
      </c>
    </row>
    <row r="19">
      <c r="A19" s="1">
        <v>4.0</v>
      </c>
      <c r="B19" s="1" t="s">
        <v>171</v>
      </c>
      <c r="C19" s="1"/>
      <c r="D19" s="1" t="s">
        <v>152</v>
      </c>
      <c r="E19" s="1" t="s">
        <v>8</v>
      </c>
      <c r="F19" s="1" t="s">
        <v>123</v>
      </c>
    </row>
    <row r="20">
      <c r="A20" s="1">
        <v>5.0</v>
      </c>
      <c r="B20" s="1" t="s">
        <v>172</v>
      </c>
      <c r="C20" s="1"/>
      <c r="D20" s="1" t="s">
        <v>152</v>
      </c>
      <c r="E20" s="1" t="s">
        <v>8</v>
      </c>
    </row>
    <row r="21">
      <c r="A21" s="1">
        <v>6.0</v>
      </c>
      <c r="B21" s="1" t="s">
        <v>173</v>
      </c>
      <c r="C21" s="1"/>
      <c r="D21" s="1" t="s">
        <v>152</v>
      </c>
      <c r="E21" s="1" t="s">
        <v>8</v>
      </c>
    </row>
    <row r="22">
      <c r="A22" s="1">
        <v>12.0</v>
      </c>
      <c r="B22" s="1" t="s">
        <v>174</v>
      </c>
      <c r="C22" s="1"/>
      <c r="D22" s="1" t="s">
        <v>152</v>
      </c>
      <c r="E22" s="1" t="s">
        <v>8</v>
      </c>
    </row>
    <row r="23">
      <c r="A23" s="1">
        <v>9.0</v>
      </c>
      <c r="B23" s="1" t="s">
        <v>175</v>
      </c>
      <c r="C23" s="1"/>
      <c r="D23" s="1" t="s">
        <v>152</v>
      </c>
      <c r="E23" s="1" t="s">
        <v>25</v>
      </c>
    </row>
    <row r="24">
      <c r="A24" s="1">
        <v>11.0</v>
      </c>
      <c r="B24" s="1" t="s">
        <v>176</v>
      </c>
      <c r="C24" s="1"/>
      <c r="D24" s="1" t="s">
        <v>152</v>
      </c>
      <c r="E24" s="1" t="s">
        <v>25</v>
      </c>
    </row>
    <row r="25">
      <c r="A25" s="1">
        <v>13.0</v>
      </c>
      <c r="B25" s="1" t="s">
        <v>177</v>
      </c>
      <c r="C25" s="1"/>
      <c r="D25" s="1" t="s">
        <v>152</v>
      </c>
      <c r="E25" s="1" t="s">
        <v>25</v>
      </c>
      <c r="G25" s="1">
        <v>11.0</v>
      </c>
    </row>
    <row r="26">
      <c r="A26" s="1">
        <v>16.0</v>
      </c>
      <c r="B26" s="1" t="s">
        <v>178</v>
      </c>
      <c r="C26" s="1"/>
      <c r="D26" s="1" t="s">
        <v>152</v>
      </c>
      <c r="E26" s="1" t="s">
        <v>25</v>
      </c>
    </row>
    <row r="27">
      <c r="A27" s="1">
        <v>25.0</v>
      </c>
      <c r="B27" s="1" t="s">
        <v>179</v>
      </c>
      <c r="C27" s="1"/>
      <c r="D27" s="1" t="s">
        <v>152</v>
      </c>
      <c r="E27" s="1" t="s">
        <v>25</v>
      </c>
    </row>
    <row r="37">
      <c r="G37" s="1" t="s">
        <v>143</v>
      </c>
    </row>
  </sheetData>
  <autoFilter ref="$A$1:$F$27">
    <sortState ref="A1:F27">
      <sortCondition descending="1" ref="E1:E27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0"/>
  </cols>
  <sheetData>
    <row r="1">
      <c r="A1" s="1" t="s">
        <v>180</v>
      </c>
      <c r="B1" s="1" t="s">
        <v>181</v>
      </c>
      <c r="C1" s="1" t="s">
        <v>182</v>
      </c>
      <c r="E1" s="1" t="s">
        <v>183</v>
      </c>
      <c r="L1" s="1" t="s">
        <v>180</v>
      </c>
      <c r="M1" s="1" t="s">
        <v>183</v>
      </c>
    </row>
    <row r="2">
      <c r="A2" s="1" t="s">
        <v>184</v>
      </c>
      <c r="B2" s="1">
        <v>0.0</v>
      </c>
      <c r="C2" s="1" t="s">
        <v>185</v>
      </c>
      <c r="E2" s="1">
        <v>1.0</v>
      </c>
      <c r="F2" s="1" t="str">
        <f t="shared" ref="F2:F6" si="1">"INSERT INTO tblAttendanceCategory VALUES (" &amp; C2 &amp; ", " &amp; A2 &amp; ", " &amp; B2 &amp; ");"</f>
        <v>INSERT INTO tblAttendanceCategory VALUES (seqAttendanceCategory.nextval, 출석, 0);</v>
      </c>
      <c r="L2" s="1" t="s">
        <v>184</v>
      </c>
      <c r="M2" s="1">
        <v>1.0</v>
      </c>
    </row>
    <row r="3">
      <c r="A3" s="1" t="s">
        <v>186</v>
      </c>
      <c r="B3" s="1">
        <v>-1.0</v>
      </c>
      <c r="C3" s="1" t="s">
        <v>185</v>
      </c>
      <c r="E3" s="1">
        <v>2.0</v>
      </c>
      <c r="F3" s="1" t="str">
        <f t="shared" si="1"/>
        <v>INSERT INTO tblAttendanceCategory VALUES (seqAttendanceCategory.nextval, 결석, -1);</v>
      </c>
      <c r="L3" s="1" t="s">
        <v>186</v>
      </c>
      <c r="M3" s="1">
        <v>2.0</v>
      </c>
    </row>
    <row r="4">
      <c r="A4" s="1" t="s">
        <v>187</v>
      </c>
      <c r="B4" s="1">
        <v>-0.25</v>
      </c>
      <c r="C4" s="1" t="s">
        <v>185</v>
      </c>
      <c r="E4" s="1">
        <v>3.0</v>
      </c>
      <c r="F4" s="1" t="str">
        <f t="shared" si="1"/>
        <v>INSERT INTO tblAttendanceCategory VALUES (seqAttendanceCategory.nextval, 조퇴, -0.25);</v>
      </c>
      <c r="L4" s="1" t="s">
        <v>187</v>
      </c>
      <c r="M4" s="1">
        <v>3.0</v>
      </c>
    </row>
    <row r="5">
      <c r="A5" s="1" t="s">
        <v>188</v>
      </c>
      <c r="B5" s="1">
        <v>0.0</v>
      </c>
      <c r="C5" s="1" t="s">
        <v>185</v>
      </c>
      <c r="E5" s="1">
        <v>4.0</v>
      </c>
      <c r="F5" s="1" t="str">
        <f t="shared" si="1"/>
        <v>INSERT INTO tblAttendanceCategory VALUES (seqAttendanceCategory.nextval, 출석인정, 0);</v>
      </c>
      <c r="L5" s="1" t="s">
        <v>188</v>
      </c>
      <c r="M5" s="1">
        <v>4.0</v>
      </c>
    </row>
    <row r="6">
      <c r="A6" s="1" t="s">
        <v>189</v>
      </c>
      <c r="B6" s="1">
        <v>-0.25</v>
      </c>
      <c r="C6" s="1" t="s">
        <v>185</v>
      </c>
      <c r="E6" s="1">
        <v>5.0</v>
      </c>
      <c r="F6" s="1" t="str">
        <f t="shared" si="1"/>
        <v>INSERT INTO tblAttendanceCategory VALUES (seqAttendanceCategory.nextval, 지각, -0.25);</v>
      </c>
      <c r="L6" s="1" t="s">
        <v>189</v>
      </c>
      <c r="M6" s="1">
        <v>5.0</v>
      </c>
    </row>
    <row r="8">
      <c r="F8" s="1" t="s">
        <v>190</v>
      </c>
    </row>
    <row r="12">
      <c r="A12" s="19" t="s">
        <v>191</v>
      </c>
      <c r="B12" s="19" t="s">
        <v>192</v>
      </c>
    </row>
    <row r="13">
      <c r="A13" s="1" t="s">
        <v>186</v>
      </c>
      <c r="B13" s="1" t="s">
        <v>193</v>
      </c>
    </row>
    <row r="14">
      <c r="A14" s="1" t="s">
        <v>187</v>
      </c>
      <c r="B14" s="1" t="s">
        <v>194</v>
      </c>
    </row>
    <row r="15">
      <c r="A15" s="1" t="s">
        <v>189</v>
      </c>
      <c r="B15" s="1" t="s">
        <v>195</v>
      </c>
    </row>
    <row r="16">
      <c r="A16" s="1" t="s">
        <v>184</v>
      </c>
      <c r="B16" s="1" t="s">
        <v>196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197</v>
      </c>
      <c r="B1" s="1" t="s">
        <v>198</v>
      </c>
      <c r="C1" s="1" t="s">
        <v>199</v>
      </c>
      <c r="D1" s="1" t="s">
        <v>200</v>
      </c>
      <c r="E1" s="20" t="s">
        <v>191</v>
      </c>
    </row>
    <row r="2">
      <c r="A2" s="1" t="s">
        <v>201</v>
      </c>
      <c r="B2" s="2">
        <f>iferror(VLOOKUP(E2,'출결유형'!$A:$C,2,0),"")</f>
        <v>-0.25</v>
      </c>
      <c r="C2" s="2">
        <v>1.0</v>
      </c>
      <c r="D2" s="2">
        <f>iferror(VLOOKUP(E2,'출결유형'!$L:$M,2,0),"")</f>
        <v>5</v>
      </c>
      <c r="E2" s="21" t="s">
        <v>189</v>
      </c>
      <c r="G2" s="2" t="str">
        <f t="shared" ref="G2:G841" si="1">"INSERT INTO tblAttendanceScore VALUES (" &amp; A2 &amp; ", " &amp; B2 &amp; ", " &amp; C2 &amp; ", " &amp; D2 &amp; ");"</f>
        <v>INSERT INTO tblAttendanceScore VALUES (seqAttendanceScore.nextval, -0.25, 1, 5);</v>
      </c>
    </row>
    <row r="3">
      <c r="A3" s="1" t="s">
        <v>201</v>
      </c>
      <c r="B3" s="2">
        <f>iferror(VLOOKUP(E3,'출결유형'!$A:$C,2,0),"")</f>
        <v>0</v>
      </c>
      <c r="C3" s="2">
        <v>2.0</v>
      </c>
      <c r="D3" s="2">
        <f>iferror(VLOOKUP(E3,'출결유형'!$L:$M,2,0),"")</f>
        <v>1</v>
      </c>
      <c r="E3" s="21" t="s">
        <v>184</v>
      </c>
      <c r="G3" s="2" t="str">
        <f t="shared" si="1"/>
        <v>INSERT INTO tblAttendanceScore VALUES (seqAttendanceScore.nextval, 0, 2, 1);</v>
      </c>
    </row>
    <row r="4">
      <c r="A4" s="1" t="s">
        <v>201</v>
      </c>
      <c r="B4" s="2">
        <f>iferror(VLOOKUP(E4,'출결유형'!$A:$C,2,0),"")</f>
        <v>-0.25</v>
      </c>
      <c r="C4" s="2">
        <v>3.0</v>
      </c>
      <c r="D4" s="2">
        <f>iferror(VLOOKUP(E4,'출결유형'!$L:$M,2,0),"")</f>
        <v>5</v>
      </c>
      <c r="E4" s="21" t="s">
        <v>189</v>
      </c>
      <c r="G4" s="2" t="str">
        <f t="shared" si="1"/>
        <v>INSERT INTO tblAttendanceScore VALUES (seqAttendanceScore.nextval, -0.25, 3, 5);</v>
      </c>
    </row>
    <row r="5">
      <c r="A5" s="1" t="s">
        <v>201</v>
      </c>
      <c r="B5" s="2">
        <f>iferror(VLOOKUP(E5,'출결유형'!$A:$C,2,0),"")</f>
        <v>0</v>
      </c>
      <c r="C5" s="2">
        <v>4.0</v>
      </c>
      <c r="D5" s="2">
        <f>iferror(VLOOKUP(E5,'출결유형'!$L:$M,2,0),"")</f>
        <v>1</v>
      </c>
      <c r="E5" s="21" t="s">
        <v>184</v>
      </c>
      <c r="G5" s="2" t="str">
        <f t="shared" si="1"/>
        <v>INSERT INTO tblAttendanceScore VALUES (seqAttendanceScore.nextval, 0, 4, 1);</v>
      </c>
    </row>
    <row r="6">
      <c r="A6" s="1" t="s">
        <v>201</v>
      </c>
      <c r="B6" s="2">
        <f>iferror(VLOOKUP(E6,'출결유형'!$A:$C,2,0),"")</f>
        <v>0</v>
      </c>
      <c r="C6" s="2">
        <v>5.0</v>
      </c>
      <c r="D6" s="2">
        <f>iferror(VLOOKUP(E6,'출결유형'!$L:$M,2,0),"")</f>
        <v>1</v>
      </c>
      <c r="E6" s="21" t="s">
        <v>184</v>
      </c>
      <c r="G6" s="2" t="str">
        <f t="shared" si="1"/>
        <v>INSERT INTO tblAttendanceScore VALUES (seqAttendanceScore.nextval, 0, 5, 1);</v>
      </c>
    </row>
    <row r="7">
      <c r="A7" s="1" t="s">
        <v>201</v>
      </c>
      <c r="B7" s="2">
        <f>iferror(VLOOKUP(E7,'출결유형'!$A:$C,2,0),"")</f>
        <v>0</v>
      </c>
      <c r="C7" s="2">
        <v>6.0</v>
      </c>
      <c r="D7" s="2">
        <f>iferror(VLOOKUP(E7,'출결유형'!$L:$M,2,0),"")</f>
        <v>1</v>
      </c>
      <c r="E7" s="21" t="s">
        <v>184</v>
      </c>
      <c r="G7" s="2" t="str">
        <f t="shared" si="1"/>
        <v>INSERT INTO tblAttendanceScore VALUES (seqAttendanceScore.nextval, 0, 6, 1);</v>
      </c>
    </row>
    <row r="8">
      <c r="A8" s="1" t="s">
        <v>201</v>
      </c>
      <c r="B8" s="2">
        <f>iferror(VLOOKUP(E8,'출결유형'!$A:$C,2,0),"")</f>
        <v>0</v>
      </c>
      <c r="C8" s="2">
        <v>7.0</v>
      </c>
      <c r="D8" s="2">
        <f>iferror(VLOOKUP(E8,'출결유형'!$L:$M,2,0),"")</f>
        <v>1</v>
      </c>
      <c r="E8" s="21" t="s">
        <v>184</v>
      </c>
      <c r="G8" s="2" t="str">
        <f t="shared" si="1"/>
        <v>INSERT INTO tblAttendanceScore VALUES (seqAttendanceScore.nextval, 0, 7, 1);</v>
      </c>
    </row>
    <row r="9">
      <c r="A9" s="1" t="s">
        <v>201</v>
      </c>
      <c r="B9" s="2">
        <f>iferror(VLOOKUP(E9,'출결유형'!$A:$C,2,0),"")</f>
        <v>-0.25</v>
      </c>
      <c r="C9" s="2">
        <v>8.0</v>
      </c>
      <c r="D9" s="2">
        <f>iferror(VLOOKUP(E9,'출결유형'!$L:$M,2,0),"")</f>
        <v>5</v>
      </c>
      <c r="E9" s="21" t="s">
        <v>189</v>
      </c>
      <c r="G9" s="2" t="str">
        <f t="shared" si="1"/>
        <v>INSERT INTO tblAttendanceScore VALUES (seqAttendanceScore.nextval, -0.25, 8, 5);</v>
      </c>
    </row>
    <row r="10">
      <c r="A10" s="1" t="s">
        <v>201</v>
      </c>
      <c r="B10" s="2">
        <f>iferror(VLOOKUP(E10,'출결유형'!$A:$C,2,0),"")</f>
        <v>0</v>
      </c>
      <c r="C10" s="2">
        <v>9.0</v>
      </c>
      <c r="D10" s="2">
        <f>iferror(VLOOKUP(E10,'출결유형'!$L:$M,2,0),"")</f>
        <v>1</v>
      </c>
      <c r="E10" s="21" t="s">
        <v>184</v>
      </c>
      <c r="G10" s="2" t="str">
        <f t="shared" si="1"/>
        <v>INSERT INTO tblAttendanceScore VALUES (seqAttendanceScore.nextval, 0, 9, 1);</v>
      </c>
    </row>
    <row r="11">
      <c r="A11" s="1" t="s">
        <v>201</v>
      </c>
      <c r="B11" s="2">
        <f>iferror(VLOOKUP(E11,'출결유형'!$A:$C,2,0),"")</f>
        <v>0</v>
      </c>
      <c r="C11" s="2">
        <v>10.0</v>
      </c>
      <c r="D11" s="2">
        <f>iferror(VLOOKUP(E11,'출결유형'!$L:$M,2,0),"")</f>
        <v>1</v>
      </c>
      <c r="E11" s="21" t="s">
        <v>184</v>
      </c>
      <c r="G11" s="2" t="str">
        <f t="shared" si="1"/>
        <v>INSERT INTO tblAttendanceScore VALUES (seqAttendanceScore.nextval, 0, 10, 1);</v>
      </c>
    </row>
    <row r="12">
      <c r="A12" s="1" t="s">
        <v>201</v>
      </c>
      <c r="B12" s="2">
        <f>iferror(VLOOKUP(E12,'출결유형'!$A:$C,2,0),"")</f>
        <v>-0.25</v>
      </c>
      <c r="C12" s="2">
        <v>11.0</v>
      </c>
      <c r="D12" s="2">
        <f>iferror(VLOOKUP(E12,'출결유형'!$L:$M,2,0),"")</f>
        <v>5</v>
      </c>
      <c r="E12" s="21" t="s">
        <v>189</v>
      </c>
      <c r="G12" s="2" t="str">
        <f t="shared" si="1"/>
        <v>INSERT INTO tblAttendanceScore VALUES (seqAttendanceScore.nextval, -0.25, 11, 5);</v>
      </c>
    </row>
    <row r="13">
      <c r="A13" s="1" t="s">
        <v>201</v>
      </c>
      <c r="B13" s="2">
        <f>iferror(VLOOKUP(E13,'출결유형'!$A:$C,2,0),"")</f>
        <v>-0.25</v>
      </c>
      <c r="C13" s="2">
        <v>12.0</v>
      </c>
      <c r="D13" s="2">
        <f>iferror(VLOOKUP(E13,'출결유형'!$L:$M,2,0),"")</f>
        <v>5</v>
      </c>
      <c r="E13" s="21" t="s">
        <v>189</v>
      </c>
      <c r="G13" s="2" t="str">
        <f t="shared" si="1"/>
        <v>INSERT INTO tblAttendanceScore VALUES (seqAttendanceScore.nextval, -0.25, 12, 5);</v>
      </c>
    </row>
    <row r="14">
      <c r="A14" s="1" t="s">
        <v>201</v>
      </c>
      <c r="B14" s="2">
        <f>iferror(VLOOKUP(E14,'출결유형'!$A:$C,2,0),"")</f>
        <v>0</v>
      </c>
      <c r="C14" s="2">
        <v>13.0</v>
      </c>
      <c r="D14" s="2">
        <f>iferror(VLOOKUP(E14,'출결유형'!$L:$M,2,0),"")</f>
        <v>1</v>
      </c>
      <c r="E14" s="21" t="s">
        <v>184</v>
      </c>
      <c r="G14" s="2" t="str">
        <f t="shared" si="1"/>
        <v>INSERT INTO tblAttendanceScore VALUES (seqAttendanceScore.nextval, 0, 13, 1);</v>
      </c>
    </row>
    <row r="15">
      <c r="A15" s="1" t="s">
        <v>201</v>
      </c>
      <c r="B15" s="2">
        <f>iferror(VLOOKUP(E15,'출결유형'!$A:$C,2,0),"")</f>
        <v>-0.25</v>
      </c>
      <c r="C15" s="2">
        <v>14.0</v>
      </c>
      <c r="D15" s="2">
        <f>iferror(VLOOKUP(E15,'출결유형'!$L:$M,2,0),"")</f>
        <v>5</v>
      </c>
      <c r="E15" s="21" t="s">
        <v>189</v>
      </c>
      <c r="G15" s="2" t="str">
        <f t="shared" si="1"/>
        <v>INSERT INTO tblAttendanceScore VALUES (seqAttendanceScore.nextval, -0.25, 14, 5);</v>
      </c>
    </row>
    <row r="16">
      <c r="A16" s="1" t="s">
        <v>201</v>
      </c>
      <c r="B16" s="2">
        <f>iferror(VLOOKUP(E16,'출결유형'!$A:$C,2,0),"")</f>
        <v>-0.25</v>
      </c>
      <c r="C16" s="2">
        <v>15.0</v>
      </c>
      <c r="D16" s="2">
        <f>iferror(VLOOKUP(E16,'출결유형'!$L:$M,2,0),"")</f>
        <v>5</v>
      </c>
      <c r="E16" s="21" t="s">
        <v>189</v>
      </c>
      <c r="G16" s="2" t="str">
        <f t="shared" si="1"/>
        <v>INSERT INTO tblAttendanceScore VALUES (seqAttendanceScore.nextval, -0.25, 15, 5);</v>
      </c>
    </row>
    <row r="17">
      <c r="A17" s="1" t="s">
        <v>201</v>
      </c>
      <c r="B17" s="2">
        <f>iferror(VLOOKUP(E17,'출결유형'!$A:$C,2,0),"")</f>
        <v>-0.25</v>
      </c>
      <c r="C17" s="2">
        <v>16.0</v>
      </c>
      <c r="D17" s="2">
        <f>iferror(VLOOKUP(E17,'출결유형'!$L:$M,2,0),"")</f>
        <v>5</v>
      </c>
      <c r="E17" s="21" t="s">
        <v>189</v>
      </c>
      <c r="G17" s="2" t="str">
        <f t="shared" si="1"/>
        <v>INSERT INTO tblAttendanceScore VALUES (seqAttendanceScore.nextval, -0.25, 16, 5);</v>
      </c>
    </row>
    <row r="18">
      <c r="A18" s="1" t="s">
        <v>201</v>
      </c>
      <c r="B18" s="2">
        <f>iferror(VLOOKUP(E18,'출결유형'!$A:$C,2,0),"")</f>
        <v>-0.25</v>
      </c>
      <c r="C18" s="2">
        <v>17.0</v>
      </c>
      <c r="D18" s="2">
        <f>iferror(VLOOKUP(E18,'출결유형'!$L:$M,2,0),"")</f>
        <v>5</v>
      </c>
      <c r="E18" s="21" t="s">
        <v>189</v>
      </c>
      <c r="G18" s="2" t="str">
        <f t="shared" si="1"/>
        <v>INSERT INTO tblAttendanceScore VALUES (seqAttendanceScore.nextval, -0.25, 17, 5);</v>
      </c>
    </row>
    <row r="19">
      <c r="A19" s="1" t="s">
        <v>201</v>
      </c>
      <c r="B19" s="2">
        <f>iferror(VLOOKUP(E19,'출결유형'!$A:$C,2,0),"")</f>
        <v>0</v>
      </c>
      <c r="C19" s="2">
        <v>18.0</v>
      </c>
      <c r="D19" s="2">
        <f>iferror(VLOOKUP(E19,'출결유형'!$L:$M,2,0),"")</f>
        <v>1</v>
      </c>
      <c r="E19" s="21" t="s">
        <v>184</v>
      </c>
      <c r="G19" s="2" t="str">
        <f t="shared" si="1"/>
        <v>INSERT INTO tblAttendanceScore VALUES (seqAttendanceScore.nextval, 0, 18, 1);</v>
      </c>
    </row>
    <row r="20">
      <c r="A20" s="1" t="s">
        <v>201</v>
      </c>
      <c r="B20" s="2">
        <f>iferror(VLOOKUP(E20,'출결유형'!$A:$C,2,0),"")</f>
        <v>-0.25</v>
      </c>
      <c r="C20" s="2">
        <v>19.0</v>
      </c>
      <c r="D20" s="2">
        <f>iferror(VLOOKUP(E20,'출결유형'!$L:$M,2,0),"")</f>
        <v>5</v>
      </c>
      <c r="E20" s="21" t="s">
        <v>189</v>
      </c>
      <c r="G20" s="2" t="str">
        <f t="shared" si="1"/>
        <v>INSERT INTO tblAttendanceScore VALUES (seqAttendanceScore.nextval, -0.25, 19, 5);</v>
      </c>
    </row>
    <row r="21">
      <c r="A21" s="1" t="s">
        <v>201</v>
      </c>
      <c r="B21" s="2">
        <f>iferror(VLOOKUP(E21,'출결유형'!$A:$C,2,0),"")</f>
        <v>-0.25</v>
      </c>
      <c r="C21" s="2">
        <v>20.0</v>
      </c>
      <c r="D21" s="2">
        <f>iferror(VLOOKUP(E21,'출결유형'!$L:$M,2,0),"")</f>
        <v>5</v>
      </c>
      <c r="E21" s="21" t="s">
        <v>189</v>
      </c>
      <c r="G21" s="2" t="str">
        <f t="shared" si="1"/>
        <v>INSERT INTO tblAttendanceScore VALUES (seqAttendanceScore.nextval, -0.25, 20, 5);</v>
      </c>
    </row>
    <row r="22">
      <c r="A22" s="1" t="s">
        <v>201</v>
      </c>
      <c r="B22" s="2">
        <f>iferror(VLOOKUP(E22,'출결유형'!$A:$C,2,0),"")</f>
        <v>-0.25</v>
      </c>
      <c r="C22" s="2">
        <v>21.0</v>
      </c>
      <c r="D22" s="2">
        <f>iferror(VLOOKUP(E22,'출결유형'!$L:$M,2,0),"")</f>
        <v>5</v>
      </c>
      <c r="E22" s="21" t="s">
        <v>189</v>
      </c>
      <c r="G22" s="2" t="str">
        <f t="shared" si="1"/>
        <v>INSERT INTO tblAttendanceScore VALUES (seqAttendanceScore.nextval, -0.25, 21, 5);</v>
      </c>
    </row>
    <row r="23">
      <c r="A23" s="1" t="s">
        <v>201</v>
      </c>
      <c r="B23" s="2">
        <f>iferror(VLOOKUP(E23,'출결유형'!$A:$C,2,0),"")</f>
        <v>-0.25</v>
      </c>
      <c r="C23" s="2">
        <v>22.0</v>
      </c>
      <c r="D23" s="2">
        <f>iferror(VLOOKUP(E23,'출결유형'!$L:$M,2,0),"")</f>
        <v>5</v>
      </c>
      <c r="E23" s="21" t="s">
        <v>189</v>
      </c>
      <c r="G23" s="2" t="str">
        <f t="shared" si="1"/>
        <v>INSERT INTO tblAttendanceScore VALUES (seqAttendanceScore.nextval, -0.25, 22, 5);</v>
      </c>
    </row>
    <row r="24">
      <c r="A24" s="1" t="s">
        <v>201</v>
      </c>
      <c r="B24" s="2">
        <f>iferror(VLOOKUP(E24,'출결유형'!$A:$C,2,0),"")</f>
        <v>-0.25</v>
      </c>
      <c r="C24" s="2">
        <v>23.0</v>
      </c>
      <c r="D24" s="2">
        <f>iferror(VLOOKUP(E24,'출결유형'!$L:$M,2,0),"")</f>
        <v>5</v>
      </c>
      <c r="E24" s="21" t="s">
        <v>189</v>
      </c>
      <c r="G24" s="2" t="str">
        <f t="shared" si="1"/>
        <v>INSERT INTO tblAttendanceScore VALUES (seqAttendanceScore.nextval, -0.25, 23, 5);</v>
      </c>
    </row>
    <row r="25">
      <c r="A25" s="1" t="s">
        <v>201</v>
      </c>
      <c r="B25" s="2">
        <f>iferror(VLOOKUP(E25,'출결유형'!$A:$C,2,0),"")</f>
        <v>-0.25</v>
      </c>
      <c r="C25" s="2">
        <v>24.0</v>
      </c>
      <c r="D25" s="2">
        <f>iferror(VLOOKUP(E25,'출결유형'!$L:$M,2,0),"")</f>
        <v>5</v>
      </c>
      <c r="E25" s="21" t="s">
        <v>189</v>
      </c>
      <c r="G25" s="2" t="str">
        <f t="shared" si="1"/>
        <v>INSERT INTO tblAttendanceScore VALUES (seqAttendanceScore.nextval, -0.25, 24, 5);</v>
      </c>
    </row>
    <row r="26">
      <c r="A26" s="1" t="s">
        <v>201</v>
      </c>
      <c r="B26" s="2">
        <f>iferror(VLOOKUP(E26,'출결유형'!$A:$C,2,0),"")</f>
        <v>-0.25</v>
      </c>
      <c r="C26" s="2">
        <v>25.0</v>
      </c>
      <c r="D26" s="2">
        <f>iferror(VLOOKUP(E26,'출결유형'!$L:$M,2,0),"")</f>
        <v>5</v>
      </c>
      <c r="E26" s="21" t="s">
        <v>189</v>
      </c>
      <c r="G26" s="2" t="str">
        <f t="shared" si="1"/>
        <v>INSERT INTO tblAttendanceScore VALUES (seqAttendanceScore.nextval, -0.25, 25, 5);</v>
      </c>
    </row>
    <row r="27">
      <c r="A27" s="1" t="s">
        <v>201</v>
      </c>
      <c r="B27" s="2">
        <f>iferror(VLOOKUP(E27,'출결유형'!$A:$C,2,0),"")</f>
        <v>-0.25</v>
      </c>
      <c r="C27" s="2">
        <v>26.0</v>
      </c>
      <c r="D27" s="2">
        <f>iferror(VLOOKUP(E27,'출결유형'!$L:$M,2,0),"")</f>
        <v>5</v>
      </c>
      <c r="E27" s="21" t="s">
        <v>189</v>
      </c>
      <c r="G27" s="2" t="str">
        <f t="shared" si="1"/>
        <v>INSERT INTO tblAttendanceScore VALUES (seqAttendanceScore.nextval, -0.25, 26, 5);</v>
      </c>
    </row>
    <row r="28">
      <c r="A28" s="1" t="s">
        <v>201</v>
      </c>
      <c r="B28" s="2">
        <f>iferror(VLOOKUP(E28,'출결유형'!$A:$C,2,0),"")</f>
        <v>0</v>
      </c>
      <c r="C28" s="2">
        <v>27.0</v>
      </c>
      <c r="D28" s="2">
        <f>iferror(VLOOKUP(E28,'출결유형'!$L:$M,2,0),"")</f>
        <v>1</v>
      </c>
      <c r="E28" s="21" t="s">
        <v>184</v>
      </c>
      <c r="G28" s="2" t="str">
        <f t="shared" si="1"/>
        <v>INSERT INTO tblAttendanceScore VALUES (seqAttendanceScore.nextval, 0, 27, 1);</v>
      </c>
    </row>
    <row r="29">
      <c r="A29" s="1" t="s">
        <v>201</v>
      </c>
      <c r="B29" s="2">
        <f>iferror(VLOOKUP(E29,'출결유형'!$A:$C,2,0),"")</f>
        <v>0</v>
      </c>
      <c r="C29" s="2">
        <v>28.0</v>
      </c>
      <c r="D29" s="2">
        <f>iferror(VLOOKUP(E29,'출결유형'!$L:$M,2,0),"")</f>
        <v>1</v>
      </c>
      <c r="E29" s="21" t="s">
        <v>184</v>
      </c>
      <c r="G29" s="2" t="str">
        <f t="shared" si="1"/>
        <v>INSERT INTO tblAttendanceScore VALUES (seqAttendanceScore.nextval, 0, 28, 1);</v>
      </c>
    </row>
    <row r="30">
      <c r="A30" s="1" t="s">
        <v>201</v>
      </c>
      <c r="B30" s="2">
        <f>iferror(VLOOKUP(E30,'출결유형'!$A:$C,2,0),"")</f>
        <v>0</v>
      </c>
      <c r="C30" s="2">
        <v>29.0</v>
      </c>
      <c r="D30" s="2">
        <f>iferror(VLOOKUP(E30,'출결유형'!$L:$M,2,0),"")</f>
        <v>1</v>
      </c>
      <c r="E30" s="21" t="s">
        <v>184</v>
      </c>
      <c r="G30" s="2" t="str">
        <f t="shared" si="1"/>
        <v>INSERT INTO tblAttendanceScore VALUES (seqAttendanceScore.nextval, 0, 29, 1);</v>
      </c>
    </row>
    <row r="31">
      <c r="A31" s="1" t="s">
        <v>201</v>
      </c>
      <c r="B31" s="2">
        <f>iferror(VLOOKUP(E31,'출결유형'!$A:$C,2,0),"")</f>
        <v>0</v>
      </c>
      <c r="C31" s="2">
        <v>30.0</v>
      </c>
      <c r="D31" s="2">
        <f>iferror(VLOOKUP(E31,'출결유형'!$L:$M,2,0),"")</f>
        <v>1</v>
      </c>
      <c r="E31" s="21" t="s">
        <v>184</v>
      </c>
      <c r="G31" s="2" t="str">
        <f t="shared" si="1"/>
        <v>INSERT INTO tblAttendanceScore VALUES (seqAttendanceScore.nextval, 0, 30, 1);</v>
      </c>
    </row>
    <row r="32">
      <c r="A32" s="1" t="s">
        <v>201</v>
      </c>
      <c r="B32" s="2">
        <f>iferror(VLOOKUP(E32,'출결유형'!$A:$C,2,0),"")</f>
        <v>-0.25</v>
      </c>
      <c r="C32" s="2">
        <v>31.0</v>
      </c>
      <c r="D32" s="2">
        <f>iferror(VLOOKUP(E32,'출결유형'!$L:$M,2,0),"")</f>
        <v>5</v>
      </c>
      <c r="E32" s="21" t="s">
        <v>189</v>
      </c>
      <c r="G32" s="2" t="str">
        <f t="shared" si="1"/>
        <v>INSERT INTO tblAttendanceScore VALUES (seqAttendanceScore.nextval, -0.25, 31, 5);</v>
      </c>
    </row>
    <row r="33">
      <c r="A33" s="1" t="s">
        <v>201</v>
      </c>
      <c r="B33" s="2">
        <f>iferror(VLOOKUP(E33,'출결유형'!$A:$C,2,0),"")</f>
        <v>0</v>
      </c>
      <c r="C33" s="2">
        <v>32.0</v>
      </c>
      <c r="D33" s="2">
        <f>iferror(VLOOKUP(E33,'출결유형'!$L:$M,2,0),"")</f>
        <v>1</v>
      </c>
      <c r="E33" s="21" t="s">
        <v>184</v>
      </c>
      <c r="G33" s="2" t="str">
        <f t="shared" si="1"/>
        <v>INSERT INTO tblAttendanceScore VALUES (seqAttendanceScore.nextval, 0, 32, 1);</v>
      </c>
    </row>
    <row r="34">
      <c r="A34" s="1" t="s">
        <v>201</v>
      </c>
      <c r="B34" s="2">
        <f>iferror(VLOOKUP(E34,'출결유형'!$A:$C,2,0),"")</f>
        <v>-0.25</v>
      </c>
      <c r="C34" s="2">
        <v>33.0</v>
      </c>
      <c r="D34" s="2">
        <f>iferror(VLOOKUP(E34,'출결유형'!$L:$M,2,0),"")</f>
        <v>5</v>
      </c>
      <c r="E34" s="21" t="s">
        <v>189</v>
      </c>
      <c r="G34" s="2" t="str">
        <f t="shared" si="1"/>
        <v>INSERT INTO tblAttendanceScore VALUES (seqAttendanceScore.nextval, -0.25, 33, 5);</v>
      </c>
    </row>
    <row r="35">
      <c r="A35" s="1" t="s">
        <v>201</v>
      </c>
      <c r="B35" s="2">
        <f>iferror(VLOOKUP(E35,'출결유형'!$A:$C,2,0),"")</f>
        <v>-0.25</v>
      </c>
      <c r="C35" s="2">
        <v>34.0</v>
      </c>
      <c r="D35" s="2">
        <f>iferror(VLOOKUP(E35,'출결유형'!$L:$M,2,0),"")</f>
        <v>5</v>
      </c>
      <c r="E35" s="21" t="s">
        <v>189</v>
      </c>
      <c r="G35" s="2" t="str">
        <f t="shared" si="1"/>
        <v>INSERT INTO tblAttendanceScore VALUES (seqAttendanceScore.nextval, -0.25, 34, 5);</v>
      </c>
    </row>
    <row r="36">
      <c r="A36" s="1" t="s">
        <v>201</v>
      </c>
      <c r="B36" s="2">
        <f>iferror(VLOOKUP(E36,'출결유형'!$A:$C,2,0),"")</f>
        <v>0</v>
      </c>
      <c r="C36" s="2">
        <v>35.0</v>
      </c>
      <c r="D36" s="2">
        <f>iferror(VLOOKUP(E36,'출결유형'!$L:$M,2,0),"")</f>
        <v>1</v>
      </c>
      <c r="E36" s="21" t="s">
        <v>184</v>
      </c>
      <c r="G36" s="2" t="str">
        <f t="shared" si="1"/>
        <v>INSERT INTO tblAttendanceScore VALUES (seqAttendanceScore.nextval, 0, 35, 1);</v>
      </c>
    </row>
    <row r="37">
      <c r="A37" s="1" t="s">
        <v>201</v>
      </c>
      <c r="B37" s="2">
        <f>iferror(VLOOKUP(E37,'출결유형'!$A:$C,2,0),"")</f>
        <v>0</v>
      </c>
      <c r="C37" s="2">
        <v>36.0</v>
      </c>
      <c r="D37" s="2">
        <f>iferror(VLOOKUP(E37,'출결유형'!$L:$M,2,0),"")</f>
        <v>1</v>
      </c>
      <c r="E37" s="21" t="s">
        <v>184</v>
      </c>
      <c r="G37" s="2" t="str">
        <f t="shared" si="1"/>
        <v>INSERT INTO tblAttendanceScore VALUES (seqAttendanceScore.nextval, 0, 36, 1);</v>
      </c>
    </row>
    <row r="38">
      <c r="A38" s="1" t="s">
        <v>201</v>
      </c>
      <c r="B38" s="2">
        <f>iferror(VLOOKUP(E38,'출결유형'!$A:$C,2,0),"")</f>
        <v>0</v>
      </c>
      <c r="C38" s="2">
        <v>37.0</v>
      </c>
      <c r="D38" s="2">
        <f>iferror(VLOOKUP(E38,'출결유형'!$L:$M,2,0),"")</f>
        <v>1</v>
      </c>
      <c r="E38" s="21" t="s">
        <v>184</v>
      </c>
      <c r="G38" s="2" t="str">
        <f t="shared" si="1"/>
        <v>INSERT INTO tblAttendanceScore VALUES (seqAttendanceScore.nextval, 0, 37, 1);</v>
      </c>
    </row>
    <row r="39">
      <c r="A39" s="1" t="s">
        <v>201</v>
      </c>
      <c r="B39" s="2">
        <f>iferror(VLOOKUP(E39,'출결유형'!$A:$C,2,0),"")</f>
        <v>0</v>
      </c>
      <c r="C39" s="2">
        <v>38.0</v>
      </c>
      <c r="D39" s="2">
        <f>iferror(VLOOKUP(E39,'출결유형'!$L:$M,2,0),"")</f>
        <v>1</v>
      </c>
      <c r="E39" s="21" t="s">
        <v>184</v>
      </c>
      <c r="G39" s="2" t="str">
        <f t="shared" si="1"/>
        <v>INSERT INTO tblAttendanceScore VALUES (seqAttendanceScore.nextval, 0, 38, 1);</v>
      </c>
    </row>
    <row r="40">
      <c r="A40" s="1" t="s">
        <v>201</v>
      </c>
      <c r="B40" s="2">
        <f>iferror(VLOOKUP(E40,'출결유형'!$A:$C,2,0),"")</f>
        <v>-0.25</v>
      </c>
      <c r="C40" s="2">
        <v>39.0</v>
      </c>
      <c r="D40" s="2">
        <f>iferror(VLOOKUP(E40,'출결유형'!$L:$M,2,0),"")</f>
        <v>5</v>
      </c>
      <c r="E40" s="21" t="s">
        <v>189</v>
      </c>
      <c r="G40" s="2" t="str">
        <f t="shared" si="1"/>
        <v>INSERT INTO tblAttendanceScore VALUES (seqAttendanceScore.nextval, -0.25, 39, 5);</v>
      </c>
    </row>
    <row r="41">
      <c r="A41" s="1" t="s">
        <v>201</v>
      </c>
      <c r="B41" s="2">
        <f>iferror(VLOOKUP(E41,'출결유형'!$A:$C,2,0),"")</f>
        <v>-0.25</v>
      </c>
      <c r="C41" s="2">
        <v>40.0</v>
      </c>
      <c r="D41" s="2">
        <f>iferror(VLOOKUP(E41,'출결유형'!$L:$M,2,0),"")</f>
        <v>5</v>
      </c>
      <c r="E41" s="21" t="s">
        <v>189</v>
      </c>
      <c r="G41" s="2" t="str">
        <f t="shared" si="1"/>
        <v>INSERT INTO tblAttendanceScore VALUES (seqAttendanceScore.nextval, -0.25, 40, 5);</v>
      </c>
    </row>
    <row r="42">
      <c r="A42" s="1" t="s">
        <v>201</v>
      </c>
      <c r="B42" s="2">
        <f>iferror(VLOOKUP(E42,'출결유형'!$A:$C,2,0),"")</f>
        <v>0</v>
      </c>
      <c r="C42" s="2">
        <v>41.0</v>
      </c>
      <c r="D42" s="2">
        <f>iferror(VLOOKUP(E42,'출결유형'!$L:$M,2,0),"")</f>
        <v>1</v>
      </c>
      <c r="E42" s="21" t="s">
        <v>184</v>
      </c>
      <c r="G42" s="2" t="str">
        <f t="shared" si="1"/>
        <v>INSERT INTO tblAttendanceScore VALUES (seqAttendanceScore.nextval, 0, 41, 1);</v>
      </c>
    </row>
    <row r="43">
      <c r="A43" s="1" t="s">
        <v>201</v>
      </c>
      <c r="B43" s="2">
        <f>iferror(VLOOKUP(E43,'출결유형'!$A:$C,2,0),"")</f>
        <v>-0.25</v>
      </c>
      <c r="C43" s="2">
        <v>42.0</v>
      </c>
      <c r="D43" s="2">
        <f>iferror(VLOOKUP(E43,'출결유형'!$L:$M,2,0),"")</f>
        <v>5</v>
      </c>
      <c r="E43" s="21" t="s">
        <v>189</v>
      </c>
      <c r="G43" s="2" t="str">
        <f t="shared" si="1"/>
        <v>INSERT INTO tblAttendanceScore VALUES (seqAttendanceScore.nextval, -0.25, 42, 5);</v>
      </c>
    </row>
    <row r="44">
      <c r="A44" s="1" t="s">
        <v>201</v>
      </c>
      <c r="B44" s="2">
        <f>iferror(VLOOKUP(E44,'출결유형'!$A:$C,2,0),"")</f>
        <v>0</v>
      </c>
      <c r="C44" s="2">
        <v>43.0</v>
      </c>
      <c r="D44" s="2">
        <f>iferror(VLOOKUP(E44,'출결유형'!$L:$M,2,0),"")</f>
        <v>1</v>
      </c>
      <c r="E44" s="21" t="s">
        <v>184</v>
      </c>
      <c r="G44" s="2" t="str">
        <f t="shared" si="1"/>
        <v>INSERT INTO tblAttendanceScore VALUES (seqAttendanceScore.nextval, 0, 43, 1);</v>
      </c>
    </row>
    <row r="45">
      <c r="A45" s="1" t="s">
        <v>201</v>
      </c>
      <c r="B45" s="2">
        <f>iferror(VLOOKUP(E45,'출결유형'!$A:$C,2,0),"")</f>
        <v>0</v>
      </c>
      <c r="C45" s="2">
        <v>44.0</v>
      </c>
      <c r="D45" s="2">
        <f>iferror(VLOOKUP(E45,'출결유형'!$L:$M,2,0),"")</f>
        <v>1</v>
      </c>
      <c r="E45" s="21" t="s">
        <v>184</v>
      </c>
      <c r="G45" s="2" t="str">
        <f t="shared" si="1"/>
        <v>INSERT INTO tblAttendanceScore VALUES (seqAttendanceScore.nextval, 0, 44, 1);</v>
      </c>
    </row>
    <row r="46">
      <c r="A46" s="1" t="s">
        <v>201</v>
      </c>
      <c r="B46" s="2">
        <f>iferror(VLOOKUP(E46,'출결유형'!$A:$C,2,0),"")</f>
        <v>0</v>
      </c>
      <c r="C46" s="2">
        <v>45.0</v>
      </c>
      <c r="D46" s="2">
        <f>iferror(VLOOKUP(E46,'출결유형'!$L:$M,2,0),"")</f>
        <v>1</v>
      </c>
      <c r="E46" s="21" t="s">
        <v>184</v>
      </c>
      <c r="G46" s="2" t="str">
        <f t="shared" si="1"/>
        <v>INSERT INTO tblAttendanceScore VALUES (seqAttendanceScore.nextval, 0, 45, 1);</v>
      </c>
    </row>
    <row r="47">
      <c r="A47" s="1" t="s">
        <v>201</v>
      </c>
      <c r="B47" s="2">
        <f>iferror(VLOOKUP(E47,'출결유형'!$A:$C,2,0),"")</f>
        <v>0</v>
      </c>
      <c r="C47" s="2">
        <v>46.0</v>
      </c>
      <c r="D47" s="2">
        <f>iferror(VLOOKUP(E47,'출결유형'!$L:$M,2,0),"")</f>
        <v>1</v>
      </c>
      <c r="E47" s="21" t="s">
        <v>184</v>
      </c>
      <c r="G47" s="2" t="str">
        <f t="shared" si="1"/>
        <v>INSERT INTO tblAttendanceScore VALUES (seqAttendanceScore.nextval, 0, 46, 1);</v>
      </c>
    </row>
    <row r="48">
      <c r="A48" s="1" t="s">
        <v>201</v>
      </c>
      <c r="B48" s="2">
        <f>iferror(VLOOKUP(E48,'출결유형'!$A:$C,2,0),"")</f>
        <v>0</v>
      </c>
      <c r="C48" s="2">
        <v>47.0</v>
      </c>
      <c r="D48" s="2">
        <f>iferror(VLOOKUP(E48,'출결유형'!$L:$M,2,0),"")</f>
        <v>1</v>
      </c>
      <c r="E48" s="21" t="s">
        <v>184</v>
      </c>
      <c r="G48" s="2" t="str">
        <f t="shared" si="1"/>
        <v>INSERT INTO tblAttendanceScore VALUES (seqAttendanceScore.nextval, 0, 47, 1);</v>
      </c>
    </row>
    <row r="49">
      <c r="A49" s="1" t="s">
        <v>201</v>
      </c>
      <c r="B49" s="2">
        <f>iferror(VLOOKUP(E49,'출결유형'!$A:$C,2,0),"")</f>
        <v>-0.25</v>
      </c>
      <c r="C49" s="2">
        <v>48.0</v>
      </c>
      <c r="D49" s="2">
        <f>iferror(VLOOKUP(E49,'출결유형'!$L:$M,2,0),"")</f>
        <v>5</v>
      </c>
      <c r="E49" s="21" t="s">
        <v>189</v>
      </c>
      <c r="G49" s="2" t="str">
        <f t="shared" si="1"/>
        <v>INSERT INTO tblAttendanceScore VALUES (seqAttendanceScore.nextval, -0.25, 48, 5);</v>
      </c>
    </row>
    <row r="50">
      <c r="A50" s="1" t="s">
        <v>201</v>
      </c>
      <c r="B50" s="2">
        <f>iferror(VLOOKUP(E50,'출결유형'!$A:$C,2,0),"")</f>
        <v>0</v>
      </c>
      <c r="C50" s="2">
        <v>49.0</v>
      </c>
      <c r="D50" s="2">
        <f>iferror(VLOOKUP(E50,'출결유형'!$L:$M,2,0),"")</f>
        <v>1</v>
      </c>
      <c r="E50" s="21" t="s">
        <v>184</v>
      </c>
      <c r="G50" s="2" t="str">
        <f t="shared" si="1"/>
        <v>INSERT INTO tblAttendanceScore VALUES (seqAttendanceScore.nextval, 0, 49, 1);</v>
      </c>
    </row>
    <row r="51">
      <c r="A51" s="1" t="s">
        <v>201</v>
      </c>
      <c r="B51" s="2">
        <f>iferror(VLOOKUP(E51,'출결유형'!$A:$C,2,0),"")</f>
        <v>-0.25</v>
      </c>
      <c r="C51" s="2">
        <v>50.0</v>
      </c>
      <c r="D51" s="2">
        <f>iferror(VLOOKUP(E51,'출결유형'!$L:$M,2,0),"")</f>
        <v>5</v>
      </c>
      <c r="E51" s="21" t="s">
        <v>189</v>
      </c>
      <c r="G51" s="2" t="str">
        <f t="shared" si="1"/>
        <v>INSERT INTO tblAttendanceScore VALUES (seqAttendanceScore.nextval, -0.25, 50, 5);</v>
      </c>
    </row>
    <row r="52">
      <c r="A52" s="1" t="s">
        <v>201</v>
      </c>
      <c r="B52" s="2">
        <f>iferror(VLOOKUP(E52,'출결유형'!$A:$C,2,0),"")</f>
        <v>0</v>
      </c>
      <c r="C52" s="2">
        <v>51.0</v>
      </c>
      <c r="D52" s="2">
        <f>iferror(VLOOKUP(E52,'출결유형'!$L:$M,2,0),"")</f>
        <v>1</v>
      </c>
      <c r="E52" s="21" t="s">
        <v>184</v>
      </c>
      <c r="G52" s="2" t="str">
        <f t="shared" si="1"/>
        <v>INSERT INTO tblAttendanceScore VALUES (seqAttendanceScore.nextval, 0, 51, 1);</v>
      </c>
    </row>
    <row r="53">
      <c r="A53" s="1" t="s">
        <v>201</v>
      </c>
      <c r="B53" s="2">
        <f>iferror(VLOOKUP(E53,'출결유형'!$A:$C,2,0),"")</f>
        <v>-0.25</v>
      </c>
      <c r="C53" s="2">
        <v>52.0</v>
      </c>
      <c r="D53" s="2">
        <f>iferror(VLOOKUP(E53,'출결유형'!$L:$M,2,0),"")</f>
        <v>5</v>
      </c>
      <c r="E53" s="21" t="s">
        <v>189</v>
      </c>
      <c r="G53" s="2" t="str">
        <f t="shared" si="1"/>
        <v>INSERT INTO tblAttendanceScore VALUES (seqAttendanceScore.nextval, -0.25, 52, 5);</v>
      </c>
    </row>
    <row r="54">
      <c r="A54" s="1" t="s">
        <v>201</v>
      </c>
      <c r="B54" s="2">
        <f>iferror(VLOOKUP(E54,'출결유형'!$A:$C,2,0),"")</f>
        <v>-0.25</v>
      </c>
      <c r="C54" s="2">
        <v>53.0</v>
      </c>
      <c r="D54" s="2">
        <f>iferror(VLOOKUP(E54,'출결유형'!$L:$M,2,0),"")</f>
        <v>5</v>
      </c>
      <c r="E54" s="21" t="s">
        <v>189</v>
      </c>
      <c r="G54" s="2" t="str">
        <f t="shared" si="1"/>
        <v>INSERT INTO tblAttendanceScore VALUES (seqAttendanceScore.nextval, -0.25, 53, 5);</v>
      </c>
    </row>
    <row r="55">
      <c r="A55" s="1" t="s">
        <v>201</v>
      </c>
      <c r="B55" s="2">
        <f>iferror(VLOOKUP(E55,'출결유형'!$A:$C,2,0),"")</f>
        <v>-0.25</v>
      </c>
      <c r="C55" s="2">
        <v>54.0</v>
      </c>
      <c r="D55" s="2">
        <f>iferror(VLOOKUP(E55,'출결유형'!$L:$M,2,0),"")</f>
        <v>5</v>
      </c>
      <c r="E55" s="21" t="s">
        <v>189</v>
      </c>
      <c r="G55" s="2" t="str">
        <f t="shared" si="1"/>
        <v>INSERT INTO tblAttendanceScore VALUES (seqAttendanceScore.nextval, -0.25, 54, 5);</v>
      </c>
    </row>
    <row r="56">
      <c r="A56" s="1" t="s">
        <v>201</v>
      </c>
      <c r="B56" s="2">
        <f>iferror(VLOOKUP(E56,'출결유형'!$A:$C,2,0),"")</f>
        <v>-0.25</v>
      </c>
      <c r="C56" s="2">
        <v>55.0</v>
      </c>
      <c r="D56" s="2">
        <f>iferror(VLOOKUP(E56,'출결유형'!$L:$M,2,0),"")</f>
        <v>5</v>
      </c>
      <c r="E56" s="21" t="s">
        <v>189</v>
      </c>
      <c r="G56" s="2" t="str">
        <f t="shared" si="1"/>
        <v>INSERT INTO tblAttendanceScore VALUES (seqAttendanceScore.nextval, -0.25, 55, 5);</v>
      </c>
    </row>
    <row r="57">
      <c r="A57" s="1" t="s">
        <v>201</v>
      </c>
      <c r="B57" s="2">
        <f>iferror(VLOOKUP(E57,'출결유형'!$A:$C,2,0),"")</f>
        <v>0</v>
      </c>
      <c r="C57" s="2">
        <v>56.0</v>
      </c>
      <c r="D57" s="2">
        <f>iferror(VLOOKUP(E57,'출결유형'!$L:$M,2,0),"")</f>
        <v>1</v>
      </c>
      <c r="E57" s="21" t="s">
        <v>184</v>
      </c>
      <c r="G57" s="2" t="str">
        <f t="shared" si="1"/>
        <v>INSERT INTO tblAttendanceScore VALUES (seqAttendanceScore.nextval, 0, 56, 1);</v>
      </c>
    </row>
    <row r="58">
      <c r="A58" s="1" t="s">
        <v>201</v>
      </c>
      <c r="B58" s="2">
        <f>iferror(VLOOKUP(E58,'출결유형'!$A:$C,2,0),"")</f>
        <v>0</v>
      </c>
      <c r="C58" s="2">
        <v>57.0</v>
      </c>
      <c r="D58" s="2">
        <f>iferror(VLOOKUP(E58,'출결유형'!$L:$M,2,0),"")</f>
        <v>1</v>
      </c>
      <c r="E58" s="21" t="s">
        <v>184</v>
      </c>
      <c r="G58" s="2" t="str">
        <f t="shared" si="1"/>
        <v>INSERT INTO tblAttendanceScore VALUES (seqAttendanceScore.nextval, 0, 57, 1);</v>
      </c>
    </row>
    <row r="59">
      <c r="A59" s="1" t="s">
        <v>201</v>
      </c>
      <c r="B59" s="2">
        <f>iferror(VLOOKUP(E59,'출결유형'!$A:$C,2,0),"")</f>
        <v>0</v>
      </c>
      <c r="C59" s="2">
        <v>58.0</v>
      </c>
      <c r="D59" s="2">
        <f>iferror(VLOOKUP(E59,'출결유형'!$L:$M,2,0),"")</f>
        <v>1</v>
      </c>
      <c r="E59" s="21" t="s">
        <v>184</v>
      </c>
      <c r="G59" s="2" t="str">
        <f t="shared" si="1"/>
        <v>INSERT INTO tblAttendanceScore VALUES (seqAttendanceScore.nextval, 0, 58, 1);</v>
      </c>
    </row>
    <row r="60">
      <c r="A60" s="1" t="s">
        <v>201</v>
      </c>
      <c r="B60" s="2">
        <f>iferror(VLOOKUP(E60,'출결유형'!$A:$C,2,0),"")</f>
        <v>-0.25</v>
      </c>
      <c r="C60" s="2">
        <v>59.0</v>
      </c>
      <c r="D60" s="2">
        <f>iferror(VLOOKUP(E60,'출결유형'!$L:$M,2,0),"")</f>
        <v>5</v>
      </c>
      <c r="E60" s="21" t="s">
        <v>189</v>
      </c>
      <c r="G60" s="2" t="str">
        <f t="shared" si="1"/>
        <v>INSERT INTO tblAttendanceScore VALUES (seqAttendanceScore.nextval, -0.25, 59, 5);</v>
      </c>
    </row>
    <row r="61">
      <c r="A61" s="1" t="s">
        <v>201</v>
      </c>
      <c r="B61" s="2">
        <f>iferror(VLOOKUP(E61,'출결유형'!$A:$C,2,0),"")</f>
        <v>-0.25</v>
      </c>
      <c r="C61" s="2">
        <v>60.0</v>
      </c>
      <c r="D61" s="2">
        <f>iferror(VLOOKUP(E61,'출결유형'!$L:$M,2,0),"")</f>
        <v>5</v>
      </c>
      <c r="E61" s="21" t="s">
        <v>189</v>
      </c>
      <c r="G61" s="2" t="str">
        <f t="shared" si="1"/>
        <v>INSERT INTO tblAttendanceScore VALUES (seqAttendanceScore.nextval, -0.25, 60, 5);</v>
      </c>
    </row>
    <row r="62">
      <c r="A62" s="1" t="s">
        <v>201</v>
      </c>
      <c r="B62" s="2">
        <f>iferror(VLOOKUP(E62,'출결유형'!$A:$C,2,0),"")</f>
        <v>0</v>
      </c>
      <c r="C62" s="2">
        <v>61.0</v>
      </c>
      <c r="D62" s="2">
        <f>iferror(VLOOKUP(E62,'출결유형'!$L:$M,2,0),"")</f>
        <v>1</v>
      </c>
      <c r="E62" s="21" t="s">
        <v>184</v>
      </c>
      <c r="G62" s="2" t="str">
        <f t="shared" si="1"/>
        <v>INSERT INTO tblAttendanceScore VALUES (seqAttendanceScore.nextval, 0, 61, 1);</v>
      </c>
    </row>
    <row r="63">
      <c r="A63" s="1" t="s">
        <v>201</v>
      </c>
      <c r="B63" s="2">
        <f>iferror(VLOOKUP(E63,'출결유형'!$A:$C,2,0),"")</f>
        <v>0</v>
      </c>
      <c r="C63" s="2">
        <v>62.0</v>
      </c>
      <c r="D63" s="2">
        <f>iferror(VLOOKUP(E63,'출결유형'!$L:$M,2,0),"")</f>
        <v>1</v>
      </c>
      <c r="E63" s="21" t="s">
        <v>184</v>
      </c>
      <c r="G63" s="2" t="str">
        <f t="shared" si="1"/>
        <v>INSERT INTO tblAttendanceScore VALUES (seqAttendanceScore.nextval, 0, 62, 1);</v>
      </c>
    </row>
    <row r="64">
      <c r="A64" s="1" t="s">
        <v>201</v>
      </c>
      <c r="B64" s="2">
        <f>iferror(VLOOKUP(E64,'출결유형'!$A:$C,2,0),"")</f>
        <v>0</v>
      </c>
      <c r="C64" s="2">
        <v>63.0</v>
      </c>
      <c r="D64" s="2">
        <f>iferror(VLOOKUP(E64,'출결유형'!$L:$M,2,0),"")</f>
        <v>1</v>
      </c>
      <c r="E64" s="21" t="s">
        <v>184</v>
      </c>
      <c r="G64" s="2" t="str">
        <f t="shared" si="1"/>
        <v>INSERT INTO tblAttendanceScore VALUES (seqAttendanceScore.nextval, 0, 63, 1);</v>
      </c>
    </row>
    <row r="65">
      <c r="A65" s="1" t="s">
        <v>201</v>
      </c>
      <c r="B65" s="2">
        <f>iferror(VLOOKUP(E65,'출결유형'!$A:$C,2,0),"")</f>
        <v>0</v>
      </c>
      <c r="C65" s="2">
        <v>64.0</v>
      </c>
      <c r="D65" s="2">
        <f>iferror(VLOOKUP(E65,'출결유형'!$L:$M,2,0),"")</f>
        <v>1</v>
      </c>
      <c r="E65" s="21" t="s">
        <v>184</v>
      </c>
      <c r="G65" s="2" t="str">
        <f t="shared" si="1"/>
        <v>INSERT INTO tblAttendanceScore VALUES (seqAttendanceScore.nextval, 0, 64, 1);</v>
      </c>
    </row>
    <row r="66">
      <c r="A66" s="1" t="s">
        <v>201</v>
      </c>
      <c r="B66" s="2">
        <f>iferror(VLOOKUP(E66,'출결유형'!$A:$C,2,0),"")</f>
        <v>0</v>
      </c>
      <c r="C66" s="2">
        <v>65.0</v>
      </c>
      <c r="D66" s="2">
        <f>iferror(VLOOKUP(E66,'출결유형'!$L:$M,2,0),"")</f>
        <v>1</v>
      </c>
      <c r="E66" s="21" t="s">
        <v>184</v>
      </c>
      <c r="G66" s="2" t="str">
        <f t="shared" si="1"/>
        <v>INSERT INTO tblAttendanceScore VALUES (seqAttendanceScore.nextval, 0, 65, 1);</v>
      </c>
    </row>
    <row r="67">
      <c r="A67" s="1" t="s">
        <v>201</v>
      </c>
      <c r="B67" s="2">
        <f>iferror(VLOOKUP(E67,'출결유형'!$A:$C,2,0),"")</f>
        <v>-0.25</v>
      </c>
      <c r="C67" s="2">
        <v>66.0</v>
      </c>
      <c r="D67" s="2">
        <f>iferror(VLOOKUP(E67,'출결유형'!$L:$M,2,0),"")</f>
        <v>5</v>
      </c>
      <c r="E67" s="21" t="s">
        <v>189</v>
      </c>
      <c r="G67" s="2" t="str">
        <f t="shared" si="1"/>
        <v>INSERT INTO tblAttendanceScore VALUES (seqAttendanceScore.nextval, -0.25, 66, 5);</v>
      </c>
    </row>
    <row r="68">
      <c r="A68" s="1" t="s">
        <v>201</v>
      </c>
      <c r="B68" s="2">
        <f>iferror(VLOOKUP(E68,'출결유형'!$A:$C,2,0),"")</f>
        <v>0</v>
      </c>
      <c r="C68" s="2">
        <v>67.0</v>
      </c>
      <c r="D68" s="2">
        <f>iferror(VLOOKUP(E68,'출결유형'!$L:$M,2,0),"")</f>
        <v>1</v>
      </c>
      <c r="E68" s="21" t="s">
        <v>184</v>
      </c>
      <c r="G68" s="2" t="str">
        <f t="shared" si="1"/>
        <v>INSERT INTO tblAttendanceScore VALUES (seqAttendanceScore.nextval, 0, 67, 1);</v>
      </c>
    </row>
    <row r="69">
      <c r="A69" s="1" t="s">
        <v>201</v>
      </c>
      <c r="B69" s="2">
        <f>iferror(VLOOKUP(E69,'출결유형'!$A:$C,2,0),"")</f>
        <v>-0.25</v>
      </c>
      <c r="C69" s="2">
        <v>68.0</v>
      </c>
      <c r="D69" s="2">
        <f>iferror(VLOOKUP(E69,'출결유형'!$L:$M,2,0),"")</f>
        <v>5</v>
      </c>
      <c r="E69" s="21" t="s">
        <v>189</v>
      </c>
      <c r="G69" s="2" t="str">
        <f t="shared" si="1"/>
        <v>INSERT INTO tblAttendanceScore VALUES (seqAttendanceScore.nextval, -0.25, 68, 5);</v>
      </c>
    </row>
    <row r="70">
      <c r="A70" s="1" t="s">
        <v>201</v>
      </c>
      <c r="B70" s="2">
        <f>iferror(VLOOKUP(E70,'출결유형'!$A:$C,2,0),"")</f>
        <v>0</v>
      </c>
      <c r="C70" s="2">
        <v>69.0</v>
      </c>
      <c r="D70" s="2">
        <f>iferror(VLOOKUP(E70,'출결유형'!$L:$M,2,0),"")</f>
        <v>1</v>
      </c>
      <c r="E70" s="21" t="s">
        <v>184</v>
      </c>
      <c r="G70" s="2" t="str">
        <f t="shared" si="1"/>
        <v>INSERT INTO tblAttendanceScore VALUES (seqAttendanceScore.nextval, 0, 69, 1);</v>
      </c>
    </row>
    <row r="71">
      <c r="A71" s="1" t="s">
        <v>201</v>
      </c>
      <c r="B71" s="2">
        <f>iferror(VLOOKUP(E71,'출결유형'!$A:$C,2,0),"")</f>
        <v>-0.25</v>
      </c>
      <c r="C71" s="2">
        <v>70.0</v>
      </c>
      <c r="D71" s="2">
        <f>iferror(VLOOKUP(E71,'출결유형'!$L:$M,2,0),"")</f>
        <v>5</v>
      </c>
      <c r="E71" s="21" t="s">
        <v>189</v>
      </c>
      <c r="G71" s="2" t="str">
        <f t="shared" si="1"/>
        <v>INSERT INTO tblAttendanceScore VALUES (seqAttendanceScore.nextval, -0.25, 70, 5);</v>
      </c>
    </row>
    <row r="72">
      <c r="A72" s="1" t="s">
        <v>201</v>
      </c>
      <c r="B72" s="2">
        <f>iferror(VLOOKUP(E72,'출결유형'!$A:$C,2,0),"")</f>
        <v>0</v>
      </c>
      <c r="C72" s="2">
        <v>71.0</v>
      </c>
      <c r="D72" s="2">
        <f>iferror(VLOOKUP(E72,'출결유형'!$L:$M,2,0),"")</f>
        <v>1</v>
      </c>
      <c r="E72" s="21" t="s">
        <v>184</v>
      </c>
      <c r="G72" s="2" t="str">
        <f t="shared" si="1"/>
        <v>INSERT INTO tblAttendanceScore VALUES (seqAttendanceScore.nextval, 0, 71, 1);</v>
      </c>
    </row>
    <row r="73">
      <c r="A73" s="1" t="s">
        <v>201</v>
      </c>
      <c r="B73" s="2">
        <f>iferror(VLOOKUP(E73,'출결유형'!$A:$C,2,0),"")</f>
        <v>0</v>
      </c>
      <c r="C73" s="2">
        <v>72.0</v>
      </c>
      <c r="D73" s="2">
        <f>iferror(VLOOKUP(E73,'출결유형'!$L:$M,2,0),"")</f>
        <v>1</v>
      </c>
      <c r="E73" s="21" t="s">
        <v>184</v>
      </c>
      <c r="G73" s="2" t="str">
        <f t="shared" si="1"/>
        <v>INSERT INTO tblAttendanceScore VALUES (seqAttendanceScore.nextval, 0, 72, 1);</v>
      </c>
    </row>
    <row r="74">
      <c r="A74" s="1" t="s">
        <v>201</v>
      </c>
      <c r="B74" s="2">
        <f>iferror(VLOOKUP(E74,'출결유형'!$A:$C,2,0),"")</f>
        <v>0</v>
      </c>
      <c r="C74" s="2">
        <v>73.0</v>
      </c>
      <c r="D74" s="2">
        <f>iferror(VLOOKUP(E74,'출결유형'!$L:$M,2,0),"")</f>
        <v>1</v>
      </c>
      <c r="E74" s="21" t="s">
        <v>184</v>
      </c>
      <c r="G74" s="2" t="str">
        <f t="shared" si="1"/>
        <v>INSERT INTO tblAttendanceScore VALUES (seqAttendanceScore.nextval, 0, 73, 1);</v>
      </c>
    </row>
    <row r="75">
      <c r="A75" s="1" t="s">
        <v>201</v>
      </c>
      <c r="B75" s="2">
        <f>iferror(VLOOKUP(E75,'출결유형'!$A:$C,2,0),"")</f>
        <v>0</v>
      </c>
      <c r="C75" s="2">
        <v>74.0</v>
      </c>
      <c r="D75" s="2">
        <f>iferror(VLOOKUP(E75,'출결유형'!$L:$M,2,0),"")</f>
        <v>1</v>
      </c>
      <c r="E75" s="21" t="s">
        <v>184</v>
      </c>
      <c r="G75" s="2" t="str">
        <f t="shared" si="1"/>
        <v>INSERT INTO tblAttendanceScore VALUES (seqAttendanceScore.nextval, 0, 74, 1);</v>
      </c>
    </row>
    <row r="76">
      <c r="A76" s="1" t="s">
        <v>201</v>
      </c>
      <c r="B76" s="2">
        <f>iferror(VLOOKUP(E76,'출결유형'!$A:$C,2,0),"")</f>
        <v>-0.25</v>
      </c>
      <c r="C76" s="2">
        <v>75.0</v>
      </c>
      <c r="D76" s="2">
        <f>iferror(VLOOKUP(E76,'출결유형'!$L:$M,2,0),"")</f>
        <v>5</v>
      </c>
      <c r="E76" s="21" t="s">
        <v>189</v>
      </c>
      <c r="G76" s="2" t="str">
        <f t="shared" si="1"/>
        <v>INSERT INTO tblAttendanceScore VALUES (seqAttendanceScore.nextval, -0.25, 75, 5);</v>
      </c>
    </row>
    <row r="77">
      <c r="A77" s="1" t="s">
        <v>201</v>
      </c>
      <c r="B77" s="2">
        <f>iferror(VLOOKUP(E77,'출결유형'!$A:$C,2,0),"")</f>
        <v>-0.25</v>
      </c>
      <c r="C77" s="2">
        <v>76.0</v>
      </c>
      <c r="D77" s="2">
        <f>iferror(VLOOKUP(E77,'출결유형'!$L:$M,2,0),"")</f>
        <v>5</v>
      </c>
      <c r="E77" s="21" t="s">
        <v>189</v>
      </c>
      <c r="G77" s="2" t="str">
        <f t="shared" si="1"/>
        <v>INSERT INTO tblAttendanceScore VALUES (seqAttendanceScore.nextval, -0.25, 76, 5);</v>
      </c>
    </row>
    <row r="78">
      <c r="A78" s="1" t="s">
        <v>201</v>
      </c>
      <c r="B78" s="2">
        <f>iferror(VLOOKUP(E78,'출결유형'!$A:$C,2,0),"")</f>
        <v>0</v>
      </c>
      <c r="C78" s="2">
        <v>77.0</v>
      </c>
      <c r="D78" s="2">
        <f>iferror(VLOOKUP(E78,'출결유형'!$L:$M,2,0),"")</f>
        <v>1</v>
      </c>
      <c r="E78" s="21" t="s">
        <v>184</v>
      </c>
      <c r="G78" s="2" t="str">
        <f t="shared" si="1"/>
        <v>INSERT INTO tblAttendanceScore VALUES (seqAttendanceScore.nextval, 0, 77, 1);</v>
      </c>
    </row>
    <row r="79">
      <c r="A79" s="1" t="s">
        <v>201</v>
      </c>
      <c r="B79" s="2">
        <f>iferror(VLOOKUP(E79,'출결유형'!$A:$C,2,0),"")</f>
        <v>-0.25</v>
      </c>
      <c r="C79" s="2">
        <v>78.0</v>
      </c>
      <c r="D79" s="2">
        <f>iferror(VLOOKUP(E79,'출결유형'!$L:$M,2,0),"")</f>
        <v>5</v>
      </c>
      <c r="E79" s="21" t="s">
        <v>189</v>
      </c>
      <c r="G79" s="2" t="str">
        <f t="shared" si="1"/>
        <v>INSERT INTO tblAttendanceScore VALUES (seqAttendanceScore.nextval, -0.25, 78, 5);</v>
      </c>
    </row>
    <row r="80">
      <c r="A80" s="1" t="s">
        <v>201</v>
      </c>
      <c r="B80" s="2">
        <f>iferror(VLOOKUP(E80,'출결유형'!$A:$C,2,0),"")</f>
        <v>0</v>
      </c>
      <c r="C80" s="2">
        <v>79.0</v>
      </c>
      <c r="D80" s="2">
        <f>iferror(VLOOKUP(E80,'출결유형'!$L:$M,2,0),"")</f>
        <v>1</v>
      </c>
      <c r="E80" s="21" t="s">
        <v>184</v>
      </c>
      <c r="G80" s="2" t="str">
        <f t="shared" si="1"/>
        <v>INSERT INTO tblAttendanceScore VALUES (seqAttendanceScore.nextval, 0, 79, 1);</v>
      </c>
    </row>
    <row r="81">
      <c r="A81" s="1" t="s">
        <v>201</v>
      </c>
      <c r="B81" s="2">
        <f>iferror(VLOOKUP(E81,'출결유형'!$A:$C,2,0),"")</f>
        <v>0</v>
      </c>
      <c r="C81" s="2">
        <v>80.0</v>
      </c>
      <c r="D81" s="2">
        <f>iferror(VLOOKUP(E81,'출결유형'!$L:$M,2,0),"")</f>
        <v>1</v>
      </c>
      <c r="E81" s="21" t="s">
        <v>184</v>
      </c>
      <c r="G81" s="2" t="str">
        <f t="shared" si="1"/>
        <v>INSERT INTO tblAttendanceScore VALUES (seqAttendanceScore.nextval, 0, 80, 1);</v>
      </c>
    </row>
    <row r="82">
      <c r="A82" s="1" t="s">
        <v>201</v>
      </c>
      <c r="B82" s="2">
        <f>iferror(VLOOKUP(E82,'출결유형'!$A:$C,2,0),"")</f>
        <v>-0.25</v>
      </c>
      <c r="C82" s="2">
        <v>81.0</v>
      </c>
      <c r="D82" s="2">
        <f>iferror(VLOOKUP(E82,'출결유형'!$L:$M,2,0),"")</f>
        <v>5</v>
      </c>
      <c r="E82" s="21" t="s">
        <v>189</v>
      </c>
      <c r="G82" s="2" t="str">
        <f t="shared" si="1"/>
        <v>INSERT INTO tblAttendanceScore VALUES (seqAttendanceScore.nextval, -0.25, 81, 5);</v>
      </c>
    </row>
    <row r="83">
      <c r="A83" s="1" t="s">
        <v>201</v>
      </c>
      <c r="B83" s="2">
        <f>iferror(VLOOKUP(E83,'출결유형'!$A:$C,2,0),"")</f>
        <v>0</v>
      </c>
      <c r="C83" s="2">
        <v>82.0</v>
      </c>
      <c r="D83" s="2">
        <f>iferror(VLOOKUP(E83,'출결유형'!$L:$M,2,0),"")</f>
        <v>1</v>
      </c>
      <c r="E83" s="21" t="s">
        <v>184</v>
      </c>
      <c r="G83" s="2" t="str">
        <f t="shared" si="1"/>
        <v>INSERT INTO tblAttendanceScore VALUES (seqAttendanceScore.nextval, 0, 82, 1);</v>
      </c>
    </row>
    <row r="84">
      <c r="A84" s="1" t="s">
        <v>201</v>
      </c>
      <c r="B84" s="2">
        <f>iferror(VLOOKUP(E84,'출결유형'!$A:$C,2,0),"")</f>
        <v>0</v>
      </c>
      <c r="C84" s="2">
        <v>83.0</v>
      </c>
      <c r="D84" s="2">
        <f>iferror(VLOOKUP(E84,'출결유형'!$L:$M,2,0),"")</f>
        <v>1</v>
      </c>
      <c r="E84" s="21" t="s">
        <v>184</v>
      </c>
      <c r="G84" s="2" t="str">
        <f t="shared" si="1"/>
        <v>INSERT INTO tblAttendanceScore VALUES (seqAttendanceScore.nextval, 0, 83, 1);</v>
      </c>
    </row>
    <row r="85">
      <c r="A85" s="1" t="s">
        <v>201</v>
      </c>
      <c r="B85" s="2">
        <f>iferror(VLOOKUP(E85,'출결유형'!$A:$C,2,0),"")</f>
        <v>-0.25</v>
      </c>
      <c r="C85" s="2">
        <v>84.0</v>
      </c>
      <c r="D85" s="2">
        <f>iferror(VLOOKUP(E85,'출결유형'!$L:$M,2,0),"")</f>
        <v>5</v>
      </c>
      <c r="E85" s="21" t="s">
        <v>189</v>
      </c>
      <c r="G85" s="2" t="str">
        <f t="shared" si="1"/>
        <v>INSERT INTO tblAttendanceScore VALUES (seqAttendanceScore.nextval, -0.25, 84, 5);</v>
      </c>
    </row>
    <row r="86">
      <c r="A86" s="1" t="s">
        <v>201</v>
      </c>
      <c r="B86" s="2">
        <f>iferror(VLOOKUP(E86,'출결유형'!$A:$C,2,0),"")</f>
        <v>0</v>
      </c>
      <c r="C86" s="2">
        <v>85.0</v>
      </c>
      <c r="D86" s="2">
        <f>iferror(VLOOKUP(E86,'출결유형'!$L:$M,2,0),"")</f>
        <v>1</v>
      </c>
      <c r="E86" s="21" t="s">
        <v>184</v>
      </c>
      <c r="G86" s="2" t="str">
        <f t="shared" si="1"/>
        <v>INSERT INTO tblAttendanceScore VALUES (seqAttendanceScore.nextval, 0, 85, 1);</v>
      </c>
    </row>
    <row r="87">
      <c r="A87" s="1" t="s">
        <v>201</v>
      </c>
      <c r="B87" s="2">
        <f>iferror(VLOOKUP(E87,'출결유형'!$A:$C,2,0),"")</f>
        <v>-0.25</v>
      </c>
      <c r="C87" s="2">
        <v>86.0</v>
      </c>
      <c r="D87" s="2">
        <f>iferror(VLOOKUP(E87,'출결유형'!$L:$M,2,0),"")</f>
        <v>5</v>
      </c>
      <c r="E87" s="21" t="s">
        <v>189</v>
      </c>
      <c r="G87" s="2" t="str">
        <f t="shared" si="1"/>
        <v>INSERT INTO tblAttendanceScore VALUES (seqAttendanceScore.nextval, -0.25, 86, 5);</v>
      </c>
    </row>
    <row r="88">
      <c r="A88" s="1" t="s">
        <v>201</v>
      </c>
      <c r="B88" s="2">
        <f>iferror(VLOOKUP(E88,'출결유형'!$A:$C,2,0),"")</f>
        <v>-0.25</v>
      </c>
      <c r="C88" s="2">
        <v>87.0</v>
      </c>
      <c r="D88" s="2">
        <f>iferror(VLOOKUP(E88,'출결유형'!$L:$M,2,0),"")</f>
        <v>5</v>
      </c>
      <c r="E88" s="21" t="s">
        <v>189</v>
      </c>
      <c r="G88" s="2" t="str">
        <f t="shared" si="1"/>
        <v>INSERT INTO tblAttendanceScore VALUES (seqAttendanceScore.nextval, -0.25, 87, 5);</v>
      </c>
    </row>
    <row r="89">
      <c r="A89" s="1" t="s">
        <v>201</v>
      </c>
      <c r="B89" s="2">
        <f>iferror(VLOOKUP(E89,'출결유형'!$A:$C,2,0),"")</f>
        <v>0</v>
      </c>
      <c r="C89" s="2">
        <v>88.0</v>
      </c>
      <c r="D89" s="2">
        <f>iferror(VLOOKUP(E89,'출결유형'!$L:$M,2,0),"")</f>
        <v>1</v>
      </c>
      <c r="E89" s="21" t="s">
        <v>184</v>
      </c>
      <c r="G89" s="2" t="str">
        <f t="shared" si="1"/>
        <v>INSERT INTO tblAttendanceScore VALUES (seqAttendanceScore.nextval, 0, 88, 1);</v>
      </c>
    </row>
    <row r="90">
      <c r="A90" s="1" t="s">
        <v>201</v>
      </c>
      <c r="B90" s="2">
        <f>iferror(VLOOKUP(E90,'출결유형'!$A:$C,2,0),"")</f>
        <v>-0.25</v>
      </c>
      <c r="C90" s="2">
        <v>89.0</v>
      </c>
      <c r="D90" s="2">
        <f>iferror(VLOOKUP(E90,'출결유형'!$L:$M,2,0),"")</f>
        <v>5</v>
      </c>
      <c r="E90" s="21" t="s">
        <v>189</v>
      </c>
      <c r="G90" s="2" t="str">
        <f t="shared" si="1"/>
        <v>INSERT INTO tblAttendanceScore VALUES (seqAttendanceScore.nextval, -0.25, 89, 5);</v>
      </c>
    </row>
    <row r="91">
      <c r="A91" s="1" t="s">
        <v>201</v>
      </c>
      <c r="B91" s="2">
        <f>iferror(VLOOKUP(E91,'출결유형'!$A:$C,2,0),"")</f>
        <v>-1</v>
      </c>
      <c r="C91" s="2">
        <v>90.0</v>
      </c>
      <c r="D91" s="2">
        <f>iferror(VLOOKUP(E91,'출결유형'!$L:$M,2,0),"")</f>
        <v>2</v>
      </c>
      <c r="E91" s="21" t="s">
        <v>186</v>
      </c>
      <c r="G91" s="2" t="str">
        <f t="shared" si="1"/>
        <v>INSERT INTO tblAttendanceScore VALUES (seqAttendanceScore.nextval, -1, 90, 2);</v>
      </c>
    </row>
    <row r="92">
      <c r="A92" s="1" t="s">
        <v>201</v>
      </c>
      <c r="B92" s="2">
        <f>iferror(VLOOKUP(E92,'출결유형'!$A:$C,2,0),"")</f>
        <v>-1</v>
      </c>
      <c r="C92" s="2">
        <v>91.0</v>
      </c>
      <c r="D92" s="2">
        <f>iferror(VLOOKUP(E92,'출결유형'!$L:$M,2,0),"")</f>
        <v>2</v>
      </c>
      <c r="E92" s="21" t="s">
        <v>186</v>
      </c>
      <c r="G92" s="2" t="str">
        <f t="shared" si="1"/>
        <v>INSERT INTO tblAttendanceScore VALUES (seqAttendanceScore.nextval, -1, 91, 2);</v>
      </c>
    </row>
    <row r="93">
      <c r="A93" s="1" t="s">
        <v>201</v>
      </c>
      <c r="B93" s="2">
        <f>iferror(VLOOKUP(E93,'출결유형'!$A:$C,2,0),"")</f>
        <v>-0.25</v>
      </c>
      <c r="C93" s="2">
        <v>92.0</v>
      </c>
      <c r="D93" s="2">
        <f>iferror(VLOOKUP(E93,'출결유형'!$L:$M,2,0),"")</f>
        <v>5</v>
      </c>
      <c r="E93" s="21" t="s">
        <v>189</v>
      </c>
      <c r="G93" s="2" t="str">
        <f t="shared" si="1"/>
        <v>INSERT INTO tblAttendanceScore VALUES (seqAttendanceScore.nextval, -0.25, 92, 5);</v>
      </c>
    </row>
    <row r="94">
      <c r="A94" s="1" t="s">
        <v>201</v>
      </c>
      <c r="B94" s="2">
        <f>iferror(VLOOKUP(E94,'출결유형'!$A:$C,2,0),"")</f>
        <v>-0.25</v>
      </c>
      <c r="C94" s="2">
        <v>93.0</v>
      </c>
      <c r="D94" s="2">
        <f>iferror(VLOOKUP(E94,'출결유형'!$L:$M,2,0),"")</f>
        <v>5</v>
      </c>
      <c r="E94" s="21" t="s">
        <v>189</v>
      </c>
      <c r="G94" s="2" t="str">
        <f t="shared" si="1"/>
        <v>INSERT INTO tblAttendanceScore VALUES (seqAttendanceScore.nextval, -0.25, 93, 5);</v>
      </c>
    </row>
    <row r="95">
      <c r="A95" s="1" t="s">
        <v>201</v>
      </c>
      <c r="B95" s="2">
        <f>iferror(VLOOKUP(E95,'출결유형'!$A:$C,2,0),"")</f>
        <v>0</v>
      </c>
      <c r="C95" s="2">
        <v>94.0</v>
      </c>
      <c r="D95" s="2">
        <f>iferror(VLOOKUP(E95,'출결유형'!$L:$M,2,0),"")</f>
        <v>1</v>
      </c>
      <c r="E95" s="21" t="s">
        <v>184</v>
      </c>
      <c r="G95" s="2" t="str">
        <f t="shared" si="1"/>
        <v>INSERT INTO tblAttendanceScore VALUES (seqAttendanceScore.nextval, 0, 94, 1);</v>
      </c>
    </row>
    <row r="96">
      <c r="A96" s="1" t="s">
        <v>201</v>
      </c>
      <c r="B96" s="2">
        <f>iferror(VLOOKUP(E96,'출결유형'!$A:$C,2,0),"")</f>
        <v>-0.25</v>
      </c>
      <c r="C96" s="2">
        <v>95.0</v>
      </c>
      <c r="D96" s="2">
        <f>iferror(VLOOKUP(E96,'출결유형'!$L:$M,2,0),"")</f>
        <v>5</v>
      </c>
      <c r="E96" s="21" t="s">
        <v>189</v>
      </c>
      <c r="G96" s="2" t="str">
        <f t="shared" si="1"/>
        <v>INSERT INTO tblAttendanceScore VALUES (seqAttendanceScore.nextval, -0.25, 95, 5);</v>
      </c>
    </row>
    <row r="97">
      <c r="A97" s="1" t="s">
        <v>201</v>
      </c>
      <c r="B97" s="2">
        <f>iferror(VLOOKUP(E97,'출결유형'!$A:$C,2,0),"")</f>
        <v>-0.25</v>
      </c>
      <c r="C97" s="2">
        <v>96.0</v>
      </c>
      <c r="D97" s="2">
        <f>iferror(VLOOKUP(E97,'출결유형'!$L:$M,2,0),"")</f>
        <v>3</v>
      </c>
      <c r="E97" s="21" t="s">
        <v>187</v>
      </c>
      <c r="G97" s="2" t="str">
        <f t="shared" si="1"/>
        <v>INSERT INTO tblAttendanceScore VALUES (seqAttendanceScore.nextval, -0.25, 96, 3);</v>
      </c>
    </row>
    <row r="98">
      <c r="A98" s="1" t="s">
        <v>201</v>
      </c>
      <c r="B98" s="2">
        <f>iferror(VLOOKUP(E98,'출결유형'!$A:$C,2,0),"")</f>
        <v>0</v>
      </c>
      <c r="C98" s="2">
        <v>97.0</v>
      </c>
      <c r="D98" s="2">
        <f>iferror(VLOOKUP(E98,'출결유형'!$L:$M,2,0),"")</f>
        <v>1</v>
      </c>
      <c r="E98" s="21" t="s">
        <v>184</v>
      </c>
      <c r="G98" s="2" t="str">
        <f t="shared" si="1"/>
        <v>INSERT INTO tblAttendanceScore VALUES (seqAttendanceScore.nextval, 0, 97, 1);</v>
      </c>
    </row>
    <row r="99">
      <c r="A99" s="1" t="s">
        <v>201</v>
      </c>
      <c r="B99" s="2">
        <f>iferror(VLOOKUP(E99,'출결유형'!$A:$C,2,0),"")</f>
        <v>0</v>
      </c>
      <c r="C99" s="2">
        <v>98.0</v>
      </c>
      <c r="D99" s="2">
        <f>iferror(VLOOKUP(E99,'출결유형'!$L:$M,2,0),"")</f>
        <v>1</v>
      </c>
      <c r="E99" s="21" t="s">
        <v>184</v>
      </c>
      <c r="G99" s="2" t="str">
        <f t="shared" si="1"/>
        <v>INSERT INTO tblAttendanceScore VALUES (seqAttendanceScore.nextval, 0, 98, 1);</v>
      </c>
    </row>
    <row r="100">
      <c r="A100" s="1" t="s">
        <v>201</v>
      </c>
      <c r="B100" s="2">
        <f>iferror(VLOOKUP(E100,'출결유형'!$A:$C,2,0),"")</f>
        <v>-0.25</v>
      </c>
      <c r="C100" s="2">
        <v>99.0</v>
      </c>
      <c r="D100" s="2">
        <f>iferror(VLOOKUP(E100,'출결유형'!$L:$M,2,0),"")</f>
        <v>5</v>
      </c>
      <c r="E100" s="21" t="s">
        <v>189</v>
      </c>
      <c r="G100" s="2" t="str">
        <f t="shared" si="1"/>
        <v>INSERT INTO tblAttendanceScore VALUES (seqAttendanceScore.nextval, -0.25, 99, 5);</v>
      </c>
    </row>
    <row r="101">
      <c r="A101" s="1" t="s">
        <v>201</v>
      </c>
      <c r="B101" s="2">
        <f>iferror(VLOOKUP(E101,'출결유형'!$A:$C,2,0),"")</f>
        <v>0</v>
      </c>
      <c r="C101" s="2">
        <v>100.0</v>
      </c>
      <c r="D101" s="2">
        <f>iferror(VLOOKUP(E101,'출결유형'!$L:$M,2,0),"")</f>
        <v>1</v>
      </c>
      <c r="E101" s="21" t="s">
        <v>184</v>
      </c>
      <c r="G101" s="2" t="str">
        <f t="shared" si="1"/>
        <v>INSERT INTO tblAttendanceScore VALUES (seqAttendanceScore.nextval, 0, 100, 1);</v>
      </c>
    </row>
    <row r="102">
      <c r="A102" s="1" t="s">
        <v>201</v>
      </c>
      <c r="B102" s="2">
        <f>iferror(VLOOKUP(E102,'출결유형'!$A:$C,2,0),"")</f>
        <v>0</v>
      </c>
      <c r="C102" s="2">
        <v>101.0</v>
      </c>
      <c r="D102" s="2">
        <f>iferror(VLOOKUP(E102,'출결유형'!$L:$M,2,0),"")</f>
        <v>1</v>
      </c>
      <c r="E102" s="21" t="s">
        <v>184</v>
      </c>
      <c r="G102" s="2" t="str">
        <f t="shared" si="1"/>
        <v>INSERT INTO tblAttendanceScore VALUES (seqAttendanceScore.nextval, 0, 101, 1);</v>
      </c>
    </row>
    <row r="103">
      <c r="A103" s="1" t="s">
        <v>201</v>
      </c>
      <c r="B103" s="2">
        <f>iferror(VLOOKUP(E103,'출결유형'!$A:$C,2,0),"")</f>
        <v>-0.25</v>
      </c>
      <c r="C103" s="2">
        <v>102.0</v>
      </c>
      <c r="D103" s="2">
        <f>iferror(VLOOKUP(E103,'출결유형'!$L:$M,2,0),"")</f>
        <v>5</v>
      </c>
      <c r="E103" s="21" t="s">
        <v>189</v>
      </c>
      <c r="G103" s="2" t="str">
        <f t="shared" si="1"/>
        <v>INSERT INTO tblAttendanceScore VALUES (seqAttendanceScore.nextval, -0.25, 102, 5);</v>
      </c>
    </row>
    <row r="104">
      <c r="A104" s="1" t="s">
        <v>201</v>
      </c>
      <c r="B104" s="2">
        <f>iferror(VLOOKUP(E104,'출결유형'!$A:$C,2,0),"")</f>
        <v>0</v>
      </c>
      <c r="C104" s="2">
        <v>103.0</v>
      </c>
      <c r="D104" s="2">
        <f>iferror(VLOOKUP(E104,'출결유형'!$L:$M,2,0),"")</f>
        <v>1</v>
      </c>
      <c r="E104" s="21" t="s">
        <v>184</v>
      </c>
      <c r="G104" s="2" t="str">
        <f t="shared" si="1"/>
        <v>INSERT INTO tblAttendanceScore VALUES (seqAttendanceScore.nextval, 0, 103, 1);</v>
      </c>
    </row>
    <row r="105">
      <c r="A105" s="1" t="s">
        <v>201</v>
      </c>
      <c r="B105" s="2">
        <f>iferror(VLOOKUP(E105,'출결유형'!$A:$C,2,0),"")</f>
        <v>-0.25</v>
      </c>
      <c r="C105" s="2">
        <v>104.0</v>
      </c>
      <c r="D105" s="2">
        <f>iferror(VLOOKUP(E105,'출결유형'!$L:$M,2,0),"")</f>
        <v>5</v>
      </c>
      <c r="E105" s="21" t="s">
        <v>189</v>
      </c>
      <c r="G105" s="2" t="str">
        <f t="shared" si="1"/>
        <v>INSERT INTO tblAttendanceScore VALUES (seqAttendanceScore.nextval, -0.25, 104, 5);</v>
      </c>
    </row>
    <row r="106">
      <c r="A106" s="1" t="s">
        <v>201</v>
      </c>
      <c r="B106" s="2">
        <f>iferror(VLOOKUP(E106,'출결유형'!$A:$C,2,0),"")</f>
        <v>0</v>
      </c>
      <c r="C106" s="2">
        <v>105.0</v>
      </c>
      <c r="D106" s="2">
        <f>iferror(VLOOKUP(E106,'출결유형'!$L:$M,2,0),"")</f>
        <v>1</v>
      </c>
      <c r="E106" s="21" t="s">
        <v>184</v>
      </c>
      <c r="G106" s="2" t="str">
        <f t="shared" si="1"/>
        <v>INSERT INTO tblAttendanceScore VALUES (seqAttendanceScore.nextval, 0, 105, 1);</v>
      </c>
    </row>
    <row r="107">
      <c r="A107" s="1" t="s">
        <v>201</v>
      </c>
      <c r="B107" s="2">
        <f>iferror(VLOOKUP(E107,'출결유형'!$A:$C,2,0),"")</f>
        <v>0</v>
      </c>
      <c r="C107" s="2">
        <v>106.0</v>
      </c>
      <c r="D107" s="2">
        <f>iferror(VLOOKUP(E107,'출결유형'!$L:$M,2,0),"")</f>
        <v>1</v>
      </c>
      <c r="E107" s="21" t="s">
        <v>184</v>
      </c>
      <c r="G107" s="2" t="str">
        <f t="shared" si="1"/>
        <v>INSERT INTO tblAttendanceScore VALUES (seqAttendanceScore.nextval, 0, 106, 1);</v>
      </c>
    </row>
    <row r="108">
      <c r="A108" s="1" t="s">
        <v>201</v>
      </c>
      <c r="B108" s="2">
        <f>iferror(VLOOKUP(E108,'출결유형'!$A:$C,2,0),"")</f>
        <v>0</v>
      </c>
      <c r="C108" s="2">
        <v>107.0</v>
      </c>
      <c r="D108" s="2">
        <f>iferror(VLOOKUP(E108,'출결유형'!$L:$M,2,0),"")</f>
        <v>1</v>
      </c>
      <c r="E108" s="21" t="s">
        <v>184</v>
      </c>
      <c r="G108" s="2" t="str">
        <f t="shared" si="1"/>
        <v>INSERT INTO tblAttendanceScore VALUES (seqAttendanceScore.nextval, 0, 107, 1);</v>
      </c>
    </row>
    <row r="109">
      <c r="A109" s="1" t="s">
        <v>201</v>
      </c>
      <c r="B109" s="2">
        <f>iferror(VLOOKUP(E109,'출결유형'!$A:$C,2,0),"")</f>
        <v>0</v>
      </c>
      <c r="C109" s="2">
        <v>108.0</v>
      </c>
      <c r="D109" s="2">
        <f>iferror(VLOOKUP(E109,'출결유형'!$L:$M,2,0),"")</f>
        <v>1</v>
      </c>
      <c r="E109" s="21" t="s">
        <v>184</v>
      </c>
      <c r="G109" s="2" t="str">
        <f t="shared" si="1"/>
        <v>INSERT INTO tblAttendanceScore VALUES (seqAttendanceScore.nextval, 0, 108, 1);</v>
      </c>
    </row>
    <row r="110">
      <c r="A110" s="1" t="s">
        <v>201</v>
      </c>
      <c r="B110" s="2">
        <f>iferror(VLOOKUP(E110,'출결유형'!$A:$C,2,0),"")</f>
        <v>-0.25</v>
      </c>
      <c r="C110" s="2">
        <v>109.0</v>
      </c>
      <c r="D110" s="2">
        <f>iferror(VLOOKUP(E110,'출결유형'!$L:$M,2,0),"")</f>
        <v>5</v>
      </c>
      <c r="E110" s="21" t="s">
        <v>189</v>
      </c>
      <c r="G110" s="2" t="str">
        <f t="shared" si="1"/>
        <v>INSERT INTO tblAttendanceScore VALUES (seqAttendanceScore.nextval, -0.25, 109, 5);</v>
      </c>
    </row>
    <row r="111">
      <c r="A111" s="1" t="s">
        <v>201</v>
      </c>
      <c r="B111" s="2">
        <f>iferror(VLOOKUP(E111,'출결유형'!$A:$C,2,0),"")</f>
        <v>-0.25</v>
      </c>
      <c r="C111" s="2">
        <v>110.0</v>
      </c>
      <c r="D111" s="2">
        <f>iferror(VLOOKUP(E111,'출결유형'!$L:$M,2,0),"")</f>
        <v>5</v>
      </c>
      <c r="E111" s="21" t="s">
        <v>189</v>
      </c>
      <c r="G111" s="2" t="str">
        <f t="shared" si="1"/>
        <v>INSERT INTO tblAttendanceScore VALUES (seqAttendanceScore.nextval, -0.25, 110, 5);</v>
      </c>
    </row>
    <row r="112">
      <c r="A112" s="1" t="s">
        <v>201</v>
      </c>
      <c r="B112" s="2">
        <f>iferror(VLOOKUP(E112,'출결유형'!$A:$C,2,0),"")</f>
        <v>-0.25</v>
      </c>
      <c r="C112" s="2">
        <v>111.0</v>
      </c>
      <c r="D112" s="2">
        <f>iferror(VLOOKUP(E112,'출결유형'!$L:$M,2,0),"")</f>
        <v>5</v>
      </c>
      <c r="E112" s="21" t="s">
        <v>189</v>
      </c>
      <c r="G112" s="2" t="str">
        <f t="shared" si="1"/>
        <v>INSERT INTO tblAttendanceScore VALUES (seqAttendanceScore.nextval, -0.25, 111, 5);</v>
      </c>
    </row>
    <row r="113">
      <c r="A113" s="1" t="s">
        <v>201</v>
      </c>
      <c r="B113" s="2">
        <f>iferror(VLOOKUP(E113,'출결유형'!$A:$C,2,0),"")</f>
        <v>-1</v>
      </c>
      <c r="C113" s="2">
        <v>112.0</v>
      </c>
      <c r="D113" s="2">
        <f>iferror(VLOOKUP(E113,'출결유형'!$L:$M,2,0),"")</f>
        <v>2</v>
      </c>
      <c r="E113" s="21" t="s">
        <v>186</v>
      </c>
      <c r="G113" s="2" t="str">
        <f t="shared" si="1"/>
        <v>INSERT INTO tblAttendanceScore VALUES (seqAttendanceScore.nextval, -1, 112, 2);</v>
      </c>
    </row>
    <row r="114">
      <c r="A114" s="1" t="s">
        <v>201</v>
      </c>
      <c r="B114" s="2">
        <f>iferror(VLOOKUP(E114,'출결유형'!$A:$C,2,0),"")</f>
        <v>0</v>
      </c>
      <c r="C114" s="2">
        <v>113.0</v>
      </c>
      <c r="D114" s="2">
        <f>iferror(VLOOKUP(E114,'출결유형'!$L:$M,2,0),"")</f>
        <v>1</v>
      </c>
      <c r="E114" s="21" t="s">
        <v>184</v>
      </c>
      <c r="G114" s="2" t="str">
        <f t="shared" si="1"/>
        <v>INSERT INTO tblAttendanceScore VALUES (seqAttendanceScore.nextval, 0, 113, 1);</v>
      </c>
    </row>
    <row r="115">
      <c r="A115" s="1" t="s">
        <v>201</v>
      </c>
      <c r="B115" s="2">
        <f>iferror(VLOOKUP(E115,'출결유형'!$A:$C,2,0),"")</f>
        <v>-0.25</v>
      </c>
      <c r="C115" s="2">
        <v>114.0</v>
      </c>
      <c r="D115" s="2">
        <f>iferror(VLOOKUP(E115,'출결유형'!$L:$M,2,0),"")</f>
        <v>5</v>
      </c>
      <c r="E115" s="21" t="s">
        <v>189</v>
      </c>
      <c r="G115" s="2" t="str">
        <f t="shared" si="1"/>
        <v>INSERT INTO tblAttendanceScore VALUES (seqAttendanceScore.nextval, -0.25, 114, 5);</v>
      </c>
    </row>
    <row r="116">
      <c r="A116" s="1" t="s">
        <v>201</v>
      </c>
      <c r="B116" s="2">
        <f>iferror(VLOOKUP(E116,'출결유형'!$A:$C,2,0),"")</f>
        <v>0</v>
      </c>
      <c r="C116" s="2">
        <v>115.0</v>
      </c>
      <c r="D116" s="2">
        <f>iferror(VLOOKUP(E116,'출결유형'!$L:$M,2,0),"")</f>
        <v>1</v>
      </c>
      <c r="E116" s="21" t="s">
        <v>184</v>
      </c>
      <c r="G116" s="2" t="str">
        <f t="shared" si="1"/>
        <v>INSERT INTO tblAttendanceScore VALUES (seqAttendanceScore.nextval, 0, 115, 1);</v>
      </c>
    </row>
    <row r="117">
      <c r="A117" s="1" t="s">
        <v>201</v>
      </c>
      <c r="B117" s="2">
        <f>iferror(VLOOKUP(E117,'출결유형'!$A:$C,2,0),"")</f>
        <v>0</v>
      </c>
      <c r="C117" s="2">
        <v>116.0</v>
      </c>
      <c r="D117" s="2">
        <f>iferror(VLOOKUP(E117,'출결유형'!$L:$M,2,0),"")</f>
        <v>1</v>
      </c>
      <c r="E117" s="21" t="s">
        <v>184</v>
      </c>
      <c r="G117" s="2" t="str">
        <f t="shared" si="1"/>
        <v>INSERT INTO tblAttendanceScore VALUES (seqAttendanceScore.nextval, 0, 116, 1);</v>
      </c>
    </row>
    <row r="118">
      <c r="A118" s="1" t="s">
        <v>201</v>
      </c>
      <c r="B118" s="2">
        <f>iferror(VLOOKUP(E118,'출결유형'!$A:$C,2,0),"")</f>
        <v>0</v>
      </c>
      <c r="C118" s="2">
        <v>117.0</v>
      </c>
      <c r="D118" s="2">
        <f>iferror(VLOOKUP(E118,'출결유형'!$L:$M,2,0),"")</f>
        <v>1</v>
      </c>
      <c r="E118" s="21" t="s">
        <v>184</v>
      </c>
      <c r="G118" s="2" t="str">
        <f t="shared" si="1"/>
        <v>INSERT INTO tblAttendanceScore VALUES (seqAttendanceScore.nextval, 0, 117, 1);</v>
      </c>
    </row>
    <row r="119">
      <c r="A119" s="1" t="s">
        <v>201</v>
      </c>
      <c r="B119" s="2">
        <f>iferror(VLOOKUP(E119,'출결유형'!$A:$C,2,0),"")</f>
        <v>-0.25</v>
      </c>
      <c r="C119" s="2">
        <v>118.0</v>
      </c>
      <c r="D119" s="2">
        <f>iferror(VLOOKUP(E119,'출결유형'!$L:$M,2,0),"")</f>
        <v>5</v>
      </c>
      <c r="E119" s="21" t="s">
        <v>189</v>
      </c>
      <c r="G119" s="2" t="str">
        <f t="shared" si="1"/>
        <v>INSERT INTO tblAttendanceScore VALUES (seqAttendanceScore.nextval, -0.25, 118, 5);</v>
      </c>
    </row>
    <row r="120">
      <c r="A120" s="1" t="s">
        <v>201</v>
      </c>
      <c r="B120" s="2">
        <f>iferror(VLOOKUP(E120,'출결유형'!$A:$C,2,0),"")</f>
        <v>-0.25</v>
      </c>
      <c r="C120" s="2">
        <v>119.0</v>
      </c>
      <c r="D120" s="2">
        <f>iferror(VLOOKUP(E120,'출결유형'!$L:$M,2,0),"")</f>
        <v>5</v>
      </c>
      <c r="E120" s="21" t="s">
        <v>189</v>
      </c>
      <c r="G120" s="2" t="str">
        <f t="shared" si="1"/>
        <v>INSERT INTO tblAttendanceScore VALUES (seqAttendanceScore.nextval, -0.25, 119, 5);</v>
      </c>
    </row>
    <row r="121">
      <c r="A121" s="1" t="s">
        <v>201</v>
      </c>
      <c r="B121" s="2">
        <f>iferror(VLOOKUP(E121,'출결유형'!$A:$C,2,0),"")</f>
        <v>-0.25</v>
      </c>
      <c r="C121" s="2">
        <v>120.0</v>
      </c>
      <c r="D121" s="2">
        <f>iferror(VLOOKUP(E121,'출결유형'!$L:$M,2,0),"")</f>
        <v>5</v>
      </c>
      <c r="E121" s="21" t="s">
        <v>189</v>
      </c>
      <c r="G121" s="2" t="str">
        <f t="shared" si="1"/>
        <v>INSERT INTO tblAttendanceScore VALUES (seqAttendanceScore.nextval, -0.25, 120, 5);</v>
      </c>
    </row>
    <row r="122">
      <c r="A122" s="1" t="s">
        <v>201</v>
      </c>
      <c r="B122" s="2">
        <f>iferror(VLOOKUP(E122,'출결유형'!$A:$C,2,0),"")</f>
        <v>-0.25</v>
      </c>
      <c r="C122" s="2">
        <v>121.0</v>
      </c>
      <c r="D122" s="2">
        <f>iferror(VLOOKUP(E122,'출결유형'!$L:$M,2,0),"")</f>
        <v>5</v>
      </c>
      <c r="E122" s="21" t="s">
        <v>189</v>
      </c>
      <c r="G122" s="2" t="str">
        <f t="shared" si="1"/>
        <v>INSERT INTO tblAttendanceScore VALUES (seqAttendanceScore.nextval, -0.25, 121, 5);</v>
      </c>
    </row>
    <row r="123">
      <c r="A123" s="1" t="s">
        <v>201</v>
      </c>
      <c r="B123" s="2">
        <f>iferror(VLOOKUP(E123,'출결유형'!$A:$C,2,0),"")</f>
        <v>0</v>
      </c>
      <c r="C123" s="2">
        <v>122.0</v>
      </c>
      <c r="D123" s="2">
        <f>iferror(VLOOKUP(E123,'출결유형'!$L:$M,2,0),"")</f>
        <v>1</v>
      </c>
      <c r="E123" s="21" t="s">
        <v>184</v>
      </c>
      <c r="G123" s="2" t="str">
        <f t="shared" si="1"/>
        <v>INSERT INTO tblAttendanceScore VALUES (seqAttendanceScore.nextval, 0, 122, 1);</v>
      </c>
    </row>
    <row r="124">
      <c r="A124" s="1" t="s">
        <v>201</v>
      </c>
      <c r="B124" s="2">
        <f>iferror(VLOOKUP(E124,'출결유형'!$A:$C,2,0),"")</f>
        <v>-0.25</v>
      </c>
      <c r="C124" s="2">
        <v>123.0</v>
      </c>
      <c r="D124" s="2">
        <f>iferror(VLOOKUP(E124,'출결유형'!$L:$M,2,0),"")</f>
        <v>5</v>
      </c>
      <c r="E124" s="21" t="s">
        <v>189</v>
      </c>
      <c r="G124" s="2" t="str">
        <f t="shared" si="1"/>
        <v>INSERT INTO tblAttendanceScore VALUES (seqAttendanceScore.nextval, -0.25, 123, 5);</v>
      </c>
    </row>
    <row r="125">
      <c r="A125" s="1" t="s">
        <v>201</v>
      </c>
      <c r="B125" s="2">
        <f>iferror(VLOOKUP(E125,'출결유형'!$A:$C,2,0),"")</f>
        <v>0</v>
      </c>
      <c r="C125" s="2">
        <v>124.0</v>
      </c>
      <c r="D125" s="2">
        <f>iferror(VLOOKUP(E125,'출결유형'!$L:$M,2,0),"")</f>
        <v>1</v>
      </c>
      <c r="E125" s="21" t="s">
        <v>184</v>
      </c>
      <c r="G125" s="2" t="str">
        <f t="shared" si="1"/>
        <v>INSERT INTO tblAttendanceScore VALUES (seqAttendanceScore.nextval, 0, 124, 1);</v>
      </c>
    </row>
    <row r="126">
      <c r="A126" s="1" t="s">
        <v>201</v>
      </c>
      <c r="B126" s="2">
        <f>iferror(VLOOKUP(E126,'출결유형'!$A:$C,2,0),"")</f>
        <v>0</v>
      </c>
      <c r="C126" s="2">
        <v>125.0</v>
      </c>
      <c r="D126" s="2">
        <f>iferror(VLOOKUP(E126,'출결유형'!$L:$M,2,0),"")</f>
        <v>1</v>
      </c>
      <c r="E126" s="21" t="s">
        <v>184</v>
      </c>
      <c r="G126" s="2" t="str">
        <f t="shared" si="1"/>
        <v>INSERT INTO tblAttendanceScore VALUES (seqAttendanceScore.nextval, 0, 125, 1);</v>
      </c>
    </row>
    <row r="127">
      <c r="A127" s="1" t="s">
        <v>201</v>
      </c>
      <c r="B127" s="2">
        <f>iferror(VLOOKUP(E127,'출결유형'!$A:$C,2,0),"")</f>
        <v>0</v>
      </c>
      <c r="C127" s="2">
        <v>126.0</v>
      </c>
      <c r="D127" s="2">
        <f>iferror(VLOOKUP(E127,'출결유형'!$L:$M,2,0),"")</f>
        <v>1</v>
      </c>
      <c r="E127" s="21" t="s">
        <v>184</v>
      </c>
      <c r="G127" s="2" t="str">
        <f t="shared" si="1"/>
        <v>INSERT INTO tblAttendanceScore VALUES (seqAttendanceScore.nextval, 0, 126, 1);</v>
      </c>
    </row>
    <row r="128">
      <c r="A128" s="1" t="s">
        <v>201</v>
      </c>
      <c r="B128" s="2">
        <f>iferror(VLOOKUP(E128,'출결유형'!$A:$C,2,0),"")</f>
        <v>0</v>
      </c>
      <c r="C128" s="2">
        <v>127.0</v>
      </c>
      <c r="D128" s="2">
        <f>iferror(VLOOKUP(E128,'출결유형'!$L:$M,2,0),"")</f>
        <v>1</v>
      </c>
      <c r="E128" s="21" t="s">
        <v>184</v>
      </c>
      <c r="G128" s="2" t="str">
        <f t="shared" si="1"/>
        <v>INSERT INTO tblAttendanceScore VALUES (seqAttendanceScore.nextval, 0, 127, 1);</v>
      </c>
    </row>
    <row r="129">
      <c r="A129" s="1" t="s">
        <v>201</v>
      </c>
      <c r="B129" s="2">
        <f>iferror(VLOOKUP(E129,'출결유형'!$A:$C,2,0),"")</f>
        <v>-0.25</v>
      </c>
      <c r="C129" s="2">
        <v>128.0</v>
      </c>
      <c r="D129" s="2">
        <f>iferror(VLOOKUP(E129,'출결유형'!$L:$M,2,0),"")</f>
        <v>5</v>
      </c>
      <c r="E129" s="21" t="s">
        <v>189</v>
      </c>
      <c r="G129" s="2" t="str">
        <f t="shared" si="1"/>
        <v>INSERT INTO tblAttendanceScore VALUES (seqAttendanceScore.nextval, -0.25, 128, 5);</v>
      </c>
    </row>
    <row r="130">
      <c r="A130" s="1" t="s">
        <v>201</v>
      </c>
      <c r="B130" s="2">
        <f>iferror(VLOOKUP(E130,'출결유형'!$A:$C,2,0),"")</f>
        <v>-0.25</v>
      </c>
      <c r="C130" s="2">
        <v>129.0</v>
      </c>
      <c r="D130" s="2">
        <f>iferror(VLOOKUP(E130,'출결유형'!$L:$M,2,0),"")</f>
        <v>5</v>
      </c>
      <c r="E130" s="21" t="s">
        <v>189</v>
      </c>
      <c r="G130" s="2" t="str">
        <f t="shared" si="1"/>
        <v>INSERT INTO tblAttendanceScore VALUES (seqAttendanceScore.nextval, -0.25, 129, 5);</v>
      </c>
    </row>
    <row r="131">
      <c r="A131" s="1" t="s">
        <v>201</v>
      </c>
      <c r="B131" s="2">
        <f>iferror(VLOOKUP(E131,'출결유형'!$A:$C,2,0),"")</f>
        <v>-0.25</v>
      </c>
      <c r="C131" s="2">
        <v>130.0</v>
      </c>
      <c r="D131" s="2">
        <f>iferror(VLOOKUP(E131,'출결유형'!$L:$M,2,0),"")</f>
        <v>5</v>
      </c>
      <c r="E131" s="21" t="s">
        <v>189</v>
      </c>
      <c r="G131" s="2" t="str">
        <f t="shared" si="1"/>
        <v>INSERT INTO tblAttendanceScore VALUES (seqAttendanceScore.nextval, -0.25, 130, 5);</v>
      </c>
    </row>
    <row r="132">
      <c r="A132" s="1" t="s">
        <v>201</v>
      </c>
      <c r="B132" s="2">
        <f>iferror(VLOOKUP(E132,'출결유형'!$A:$C,2,0),"")</f>
        <v>0</v>
      </c>
      <c r="C132" s="2">
        <v>131.0</v>
      </c>
      <c r="D132" s="2">
        <f>iferror(VLOOKUP(E132,'출결유형'!$L:$M,2,0),"")</f>
        <v>1</v>
      </c>
      <c r="E132" s="21" t="s">
        <v>184</v>
      </c>
      <c r="G132" s="2" t="str">
        <f t="shared" si="1"/>
        <v>INSERT INTO tblAttendanceScore VALUES (seqAttendanceScore.nextval, 0, 131, 1);</v>
      </c>
    </row>
    <row r="133">
      <c r="A133" s="1" t="s">
        <v>201</v>
      </c>
      <c r="B133" s="2">
        <f>iferror(VLOOKUP(E133,'출결유형'!$A:$C,2,0),"")</f>
        <v>0</v>
      </c>
      <c r="C133" s="2">
        <v>132.0</v>
      </c>
      <c r="D133" s="2">
        <f>iferror(VLOOKUP(E133,'출결유형'!$L:$M,2,0),"")</f>
        <v>1</v>
      </c>
      <c r="E133" s="21" t="s">
        <v>184</v>
      </c>
      <c r="G133" s="2" t="str">
        <f t="shared" si="1"/>
        <v>INSERT INTO tblAttendanceScore VALUES (seqAttendanceScore.nextval, 0, 132, 1);</v>
      </c>
    </row>
    <row r="134">
      <c r="A134" s="1" t="s">
        <v>201</v>
      </c>
      <c r="B134" s="2">
        <f>iferror(VLOOKUP(E134,'출결유형'!$A:$C,2,0),"")</f>
        <v>-0.25</v>
      </c>
      <c r="C134" s="2">
        <v>133.0</v>
      </c>
      <c r="D134" s="2">
        <f>iferror(VLOOKUP(E134,'출결유형'!$L:$M,2,0),"")</f>
        <v>5</v>
      </c>
      <c r="E134" s="21" t="s">
        <v>189</v>
      </c>
      <c r="G134" s="2" t="str">
        <f t="shared" si="1"/>
        <v>INSERT INTO tblAttendanceScore VALUES (seqAttendanceScore.nextval, -0.25, 133, 5);</v>
      </c>
    </row>
    <row r="135">
      <c r="A135" s="1" t="s">
        <v>201</v>
      </c>
      <c r="B135" s="2">
        <f>iferror(VLOOKUP(E135,'출결유형'!$A:$C,2,0),"")</f>
        <v>-0.25</v>
      </c>
      <c r="C135" s="2">
        <v>134.0</v>
      </c>
      <c r="D135" s="2">
        <f>iferror(VLOOKUP(E135,'출결유형'!$L:$M,2,0),"")</f>
        <v>5</v>
      </c>
      <c r="E135" s="21" t="s">
        <v>189</v>
      </c>
      <c r="G135" s="2" t="str">
        <f t="shared" si="1"/>
        <v>INSERT INTO tblAttendanceScore VALUES (seqAttendanceScore.nextval, -0.25, 134, 5);</v>
      </c>
    </row>
    <row r="136">
      <c r="A136" s="1" t="s">
        <v>201</v>
      </c>
      <c r="B136" s="2">
        <f>iferror(VLOOKUP(E136,'출결유형'!$A:$C,2,0),"")</f>
        <v>-0.25</v>
      </c>
      <c r="C136" s="2">
        <v>135.0</v>
      </c>
      <c r="D136" s="2">
        <f>iferror(VLOOKUP(E136,'출결유형'!$L:$M,2,0),"")</f>
        <v>5</v>
      </c>
      <c r="E136" s="21" t="s">
        <v>189</v>
      </c>
      <c r="G136" s="2" t="str">
        <f t="shared" si="1"/>
        <v>INSERT INTO tblAttendanceScore VALUES (seqAttendanceScore.nextval, -0.25, 135, 5);</v>
      </c>
    </row>
    <row r="137">
      <c r="A137" s="1" t="s">
        <v>201</v>
      </c>
      <c r="B137" s="2">
        <f>iferror(VLOOKUP(E137,'출결유형'!$A:$C,2,0),"")</f>
        <v>0</v>
      </c>
      <c r="C137" s="2">
        <v>136.0</v>
      </c>
      <c r="D137" s="2">
        <f>iferror(VLOOKUP(E137,'출결유형'!$L:$M,2,0),"")</f>
        <v>1</v>
      </c>
      <c r="E137" s="21" t="s">
        <v>184</v>
      </c>
      <c r="G137" s="2" t="str">
        <f t="shared" si="1"/>
        <v>INSERT INTO tblAttendanceScore VALUES (seqAttendanceScore.nextval, 0, 136, 1);</v>
      </c>
    </row>
    <row r="138">
      <c r="A138" s="1" t="s">
        <v>201</v>
      </c>
      <c r="B138" s="2">
        <f>iferror(VLOOKUP(E138,'출결유형'!$A:$C,2,0),"")</f>
        <v>0</v>
      </c>
      <c r="C138" s="2">
        <v>137.0</v>
      </c>
      <c r="D138" s="2">
        <f>iferror(VLOOKUP(E138,'출결유형'!$L:$M,2,0),"")</f>
        <v>1</v>
      </c>
      <c r="E138" s="21" t="s">
        <v>184</v>
      </c>
      <c r="G138" s="2" t="str">
        <f t="shared" si="1"/>
        <v>INSERT INTO tblAttendanceScore VALUES (seqAttendanceScore.nextval, 0, 137, 1);</v>
      </c>
    </row>
    <row r="139">
      <c r="A139" s="1" t="s">
        <v>201</v>
      </c>
      <c r="B139" s="2">
        <f>iferror(VLOOKUP(E139,'출결유형'!$A:$C,2,0),"")</f>
        <v>0</v>
      </c>
      <c r="C139" s="2">
        <v>138.0</v>
      </c>
      <c r="D139" s="2">
        <f>iferror(VLOOKUP(E139,'출결유형'!$L:$M,2,0),"")</f>
        <v>1</v>
      </c>
      <c r="E139" s="21" t="s">
        <v>184</v>
      </c>
      <c r="G139" s="2" t="str">
        <f t="shared" si="1"/>
        <v>INSERT INTO tblAttendanceScore VALUES (seqAttendanceScore.nextval, 0, 138, 1);</v>
      </c>
    </row>
    <row r="140">
      <c r="A140" s="1" t="s">
        <v>201</v>
      </c>
      <c r="B140" s="2">
        <f>iferror(VLOOKUP(E140,'출결유형'!$A:$C,2,0),"")</f>
        <v>-1</v>
      </c>
      <c r="C140" s="2">
        <v>139.0</v>
      </c>
      <c r="D140" s="2">
        <f>iferror(VLOOKUP(E140,'출결유형'!$L:$M,2,0),"")</f>
        <v>2</v>
      </c>
      <c r="E140" s="21" t="s">
        <v>186</v>
      </c>
      <c r="G140" s="2" t="str">
        <f t="shared" si="1"/>
        <v>INSERT INTO tblAttendanceScore VALUES (seqAttendanceScore.nextval, -1, 139, 2);</v>
      </c>
    </row>
    <row r="141">
      <c r="A141" s="1" t="s">
        <v>201</v>
      </c>
      <c r="B141" s="2">
        <f>iferror(VLOOKUP(E141,'출결유형'!$A:$C,2,0),"")</f>
        <v>0</v>
      </c>
      <c r="C141" s="2">
        <v>140.0</v>
      </c>
      <c r="D141" s="2">
        <f>iferror(VLOOKUP(E141,'출결유형'!$L:$M,2,0),"")</f>
        <v>1</v>
      </c>
      <c r="E141" s="21" t="s">
        <v>184</v>
      </c>
      <c r="G141" s="2" t="str">
        <f t="shared" si="1"/>
        <v>INSERT INTO tblAttendanceScore VALUES (seqAttendanceScore.nextval, 0, 140, 1);</v>
      </c>
    </row>
    <row r="142">
      <c r="A142" s="1" t="s">
        <v>201</v>
      </c>
      <c r="B142" s="2">
        <f>iferror(VLOOKUP(E142,'출결유형'!$A:$C,2,0),"")</f>
        <v>0</v>
      </c>
      <c r="C142" s="2">
        <v>141.0</v>
      </c>
      <c r="D142" s="2">
        <f>iferror(VLOOKUP(E142,'출결유형'!$L:$M,2,0),"")</f>
        <v>1</v>
      </c>
      <c r="E142" s="21" t="s">
        <v>184</v>
      </c>
      <c r="G142" s="2" t="str">
        <f t="shared" si="1"/>
        <v>INSERT INTO tblAttendanceScore VALUES (seqAttendanceScore.nextval, 0, 141, 1);</v>
      </c>
    </row>
    <row r="143">
      <c r="A143" s="1" t="s">
        <v>201</v>
      </c>
      <c r="B143" s="2">
        <f>iferror(VLOOKUP(E143,'출결유형'!$A:$C,2,0),"")</f>
        <v>0</v>
      </c>
      <c r="C143" s="2">
        <v>142.0</v>
      </c>
      <c r="D143" s="2">
        <f>iferror(VLOOKUP(E143,'출결유형'!$L:$M,2,0),"")</f>
        <v>1</v>
      </c>
      <c r="E143" s="21" t="s">
        <v>184</v>
      </c>
      <c r="G143" s="2" t="str">
        <f t="shared" si="1"/>
        <v>INSERT INTO tblAttendanceScore VALUES (seqAttendanceScore.nextval, 0, 142, 1);</v>
      </c>
    </row>
    <row r="144">
      <c r="A144" s="1" t="s">
        <v>201</v>
      </c>
      <c r="B144" s="2">
        <f>iferror(VLOOKUP(E144,'출결유형'!$A:$C,2,0),"")</f>
        <v>-0.25</v>
      </c>
      <c r="C144" s="2">
        <v>143.0</v>
      </c>
      <c r="D144" s="2">
        <f>iferror(VLOOKUP(E144,'출결유형'!$L:$M,2,0),"")</f>
        <v>3</v>
      </c>
      <c r="E144" s="21" t="s">
        <v>187</v>
      </c>
      <c r="G144" s="2" t="str">
        <f t="shared" si="1"/>
        <v>INSERT INTO tblAttendanceScore VALUES (seqAttendanceScore.nextval, -0.25, 143, 3);</v>
      </c>
    </row>
    <row r="145">
      <c r="A145" s="1" t="s">
        <v>201</v>
      </c>
      <c r="B145" s="2">
        <f>iferror(VLOOKUP(E145,'출결유형'!$A:$C,2,0),"")</f>
        <v>0</v>
      </c>
      <c r="C145" s="2">
        <v>144.0</v>
      </c>
      <c r="D145" s="2">
        <f>iferror(VLOOKUP(E145,'출결유형'!$L:$M,2,0),"")</f>
        <v>1</v>
      </c>
      <c r="E145" s="21" t="s">
        <v>184</v>
      </c>
      <c r="G145" s="2" t="str">
        <f t="shared" si="1"/>
        <v>INSERT INTO tblAttendanceScore VALUES (seqAttendanceScore.nextval, 0, 144, 1);</v>
      </c>
    </row>
    <row r="146">
      <c r="A146" s="1" t="s">
        <v>201</v>
      </c>
      <c r="B146" s="2">
        <f>iferror(VLOOKUP(E146,'출결유형'!$A:$C,2,0),"")</f>
        <v>-0.25</v>
      </c>
      <c r="C146" s="2">
        <v>145.0</v>
      </c>
      <c r="D146" s="2">
        <f>iferror(VLOOKUP(E146,'출결유형'!$L:$M,2,0),"")</f>
        <v>5</v>
      </c>
      <c r="E146" s="21" t="s">
        <v>189</v>
      </c>
      <c r="G146" s="2" t="str">
        <f t="shared" si="1"/>
        <v>INSERT INTO tblAttendanceScore VALUES (seqAttendanceScore.nextval, -0.25, 145, 5);</v>
      </c>
    </row>
    <row r="147">
      <c r="A147" s="1" t="s">
        <v>201</v>
      </c>
      <c r="B147" s="2">
        <f>iferror(VLOOKUP(E147,'출결유형'!$A:$C,2,0),"")</f>
        <v>-0.25</v>
      </c>
      <c r="C147" s="2">
        <v>146.0</v>
      </c>
      <c r="D147" s="2">
        <f>iferror(VLOOKUP(E147,'출결유형'!$L:$M,2,0),"")</f>
        <v>5</v>
      </c>
      <c r="E147" s="21" t="s">
        <v>189</v>
      </c>
      <c r="G147" s="2" t="str">
        <f t="shared" si="1"/>
        <v>INSERT INTO tblAttendanceScore VALUES (seqAttendanceScore.nextval, -0.25, 146, 5);</v>
      </c>
    </row>
    <row r="148">
      <c r="A148" s="1" t="s">
        <v>201</v>
      </c>
      <c r="B148" s="2">
        <f>iferror(VLOOKUP(E148,'출결유형'!$A:$C,2,0),"")</f>
        <v>0</v>
      </c>
      <c r="C148" s="2">
        <v>147.0</v>
      </c>
      <c r="D148" s="2">
        <f>iferror(VLOOKUP(E148,'출결유형'!$L:$M,2,0),"")</f>
        <v>1</v>
      </c>
      <c r="E148" s="21" t="s">
        <v>184</v>
      </c>
      <c r="G148" s="2" t="str">
        <f t="shared" si="1"/>
        <v>INSERT INTO tblAttendanceScore VALUES (seqAttendanceScore.nextval, 0, 147, 1);</v>
      </c>
    </row>
    <row r="149">
      <c r="A149" s="1" t="s">
        <v>201</v>
      </c>
      <c r="B149" s="2">
        <f>iferror(VLOOKUP(E149,'출결유형'!$A:$C,2,0),"")</f>
        <v>-0.25</v>
      </c>
      <c r="C149" s="2">
        <v>148.0</v>
      </c>
      <c r="D149" s="2">
        <f>iferror(VLOOKUP(E149,'출결유형'!$L:$M,2,0),"")</f>
        <v>5</v>
      </c>
      <c r="E149" s="21" t="s">
        <v>189</v>
      </c>
      <c r="G149" s="2" t="str">
        <f t="shared" si="1"/>
        <v>INSERT INTO tblAttendanceScore VALUES (seqAttendanceScore.nextval, -0.25, 148, 5);</v>
      </c>
    </row>
    <row r="150">
      <c r="A150" s="1" t="s">
        <v>201</v>
      </c>
      <c r="B150" s="2">
        <f>iferror(VLOOKUP(E150,'출결유형'!$A:$C,2,0),"")</f>
        <v>-0.25</v>
      </c>
      <c r="C150" s="2">
        <v>149.0</v>
      </c>
      <c r="D150" s="2">
        <f>iferror(VLOOKUP(E150,'출결유형'!$L:$M,2,0),"")</f>
        <v>5</v>
      </c>
      <c r="E150" s="21" t="s">
        <v>189</v>
      </c>
      <c r="G150" s="2" t="str">
        <f t="shared" si="1"/>
        <v>INSERT INTO tblAttendanceScore VALUES (seqAttendanceScore.nextval, -0.25, 149, 5);</v>
      </c>
    </row>
    <row r="151">
      <c r="A151" s="1" t="s">
        <v>201</v>
      </c>
      <c r="B151" s="2">
        <f>iferror(VLOOKUP(E151,'출결유형'!$A:$C,2,0),"")</f>
        <v>-0.25</v>
      </c>
      <c r="C151" s="2">
        <v>150.0</v>
      </c>
      <c r="D151" s="2">
        <f>iferror(VLOOKUP(E151,'출결유형'!$L:$M,2,0),"")</f>
        <v>5</v>
      </c>
      <c r="E151" s="21" t="s">
        <v>189</v>
      </c>
      <c r="G151" s="2" t="str">
        <f t="shared" si="1"/>
        <v>INSERT INTO tblAttendanceScore VALUES (seqAttendanceScore.nextval, -0.25, 150, 5);</v>
      </c>
    </row>
    <row r="152">
      <c r="A152" s="1" t="s">
        <v>201</v>
      </c>
      <c r="B152" s="2">
        <f>iferror(VLOOKUP(E152,'출결유형'!$A:$C,2,0),"")</f>
        <v>-0.25</v>
      </c>
      <c r="C152" s="2">
        <v>151.0</v>
      </c>
      <c r="D152" s="2">
        <f>iferror(VLOOKUP(E152,'출결유형'!$L:$M,2,0),"")</f>
        <v>5</v>
      </c>
      <c r="E152" s="21" t="s">
        <v>189</v>
      </c>
      <c r="G152" s="2" t="str">
        <f t="shared" si="1"/>
        <v>INSERT INTO tblAttendanceScore VALUES (seqAttendanceScore.nextval, -0.25, 151, 5);</v>
      </c>
    </row>
    <row r="153">
      <c r="A153" s="1" t="s">
        <v>201</v>
      </c>
      <c r="B153" s="2">
        <f>iferror(VLOOKUP(E153,'출결유형'!$A:$C,2,0),"")</f>
        <v>0</v>
      </c>
      <c r="C153" s="2">
        <v>152.0</v>
      </c>
      <c r="D153" s="2">
        <f>iferror(VLOOKUP(E153,'출결유형'!$L:$M,2,0),"")</f>
        <v>1</v>
      </c>
      <c r="E153" s="21" t="s">
        <v>184</v>
      </c>
      <c r="G153" s="2" t="str">
        <f t="shared" si="1"/>
        <v>INSERT INTO tblAttendanceScore VALUES (seqAttendanceScore.nextval, 0, 152, 1);</v>
      </c>
    </row>
    <row r="154">
      <c r="A154" s="1" t="s">
        <v>201</v>
      </c>
      <c r="B154" s="2">
        <f>iferror(VLOOKUP(E154,'출결유형'!$A:$C,2,0),"")</f>
        <v>-0.25</v>
      </c>
      <c r="C154" s="2">
        <v>153.0</v>
      </c>
      <c r="D154" s="2">
        <f>iferror(VLOOKUP(E154,'출결유형'!$L:$M,2,0),"")</f>
        <v>5</v>
      </c>
      <c r="E154" s="21" t="s">
        <v>189</v>
      </c>
      <c r="G154" s="2" t="str">
        <f t="shared" si="1"/>
        <v>INSERT INTO tblAttendanceScore VALUES (seqAttendanceScore.nextval, -0.25, 153, 5);</v>
      </c>
    </row>
    <row r="155">
      <c r="A155" s="1" t="s">
        <v>201</v>
      </c>
      <c r="B155" s="2">
        <f>iferror(VLOOKUP(E155,'출결유형'!$A:$C,2,0),"")</f>
        <v>0</v>
      </c>
      <c r="C155" s="2">
        <v>154.0</v>
      </c>
      <c r="D155" s="2">
        <f>iferror(VLOOKUP(E155,'출결유형'!$L:$M,2,0),"")</f>
        <v>1</v>
      </c>
      <c r="E155" s="21" t="s">
        <v>184</v>
      </c>
      <c r="G155" s="2" t="str">
        <f t="shared" si="1"/>
        <v>INSERT INTO tblAttendanceScore VALUES (seqAttendanceScore.nextval, 0, 154, 1);</v>
      </c>
    </row>
    <row r="156">
      <c r="A156" s="1" t="s">
        <v>201</v>
      </c>
      <c r="B156" s="2">
        <f>iferror(VLOOKUP(E156,'출결유형'!$A:$C,2,0),"")</f>
        <v>0</v>
      </c>
      <c r="C156" s="2">
        <v>155.0</v>
      </c>
      <c r="D156" s="2">
        <f>iferror(VLOOKUP(E156,'출결유형'!$L:$M,2,0),"")</f>
        <v>1</v>
      </c>
      <c r="E156" s="21" t="s">
        <v>184</v>
      </c>
      <c r="G156" s="2" t="str">
        <f t="shared" si="1"/>
        <v>INSERT INTO tblAttendanceScore VALUES (seqAttendanceScore.nextval, 0, 155, 1);</v>
      </c>
    </row>
    <row r="157">
      <c r="A157" s="1" t="s">
        <v>201</v>
      </c>
      <c r="B157" s="2">
        <f>iferror(VLOOKUP(E157,'출결유형'!$A:$C,2,0),"")</f>
        <v>-0.25</v>
      </c>
      <c r="C157" s="2">
        <v>156.0</v>
      </c>
      <c r="D157" s="2">
        <f>iferror(VLOOKUP(E157,'출결유형'!$L:$M,2,0),"")</f>
        <v>5</v>
      </c>
      <c r="E157" s="21" t="s">
        <v>189</v>
      </c>
      <c r="G157" s="2" t="str">
        <f t="shared" si="1"/>
        <v>INSERT INTO tblAttendanceScore VALUES (seqAttendanceScore.nextval, -0.25, 156, 5);</v>
      </c>
    </row>
    <row r="158">
      <c r="A158" s="1" t="s">
        <v>201</v>
      </c>
      <c r="B158" s="2">
        <f>iferror(VLOOKUP(E158,'출결유형'!$A:$C,2,0),"")</f>
        <v>-0.25</v>
      </c>
      <c r="C158" s="2">
        <v>157.0</v>
      </c>
      <c r="D158" s="2">
        <f>iferror(VLOOKUP(E158,'출결유형'!$L:$M,2,0),"")</f>
        <v>5</v>
      </c>
      <c r="E158" s="21" t="s">
        <v>189</v>
      </c>
      <c r="G158" s="2" t="str">
        <f t="shared" si="1"/>
        <v>INSERT INTO tblAttendanceScore VALUES (seqAttendanceScore.nextval, -0.25, 157, 5);</v>
      </c>
    </row>
    <row r="159">
      <c r="A159" s="1" t="s">
        <v>201</v>
      </c>
      <c r="B159" s="2">
        <f>iferror(VLOOKUP(E159,'출결유형'!$A:$C,2,0),"")</f>
        <v>-0.25</v>
      </c>
      <c r="C159" s="2">
        <v>158.0</v>
      </c>
      <c r="D159" s="2">
        <f>iferror(VLOOKUP(E159,'출결유형'!$L:$M,2,0),"")</f>
        <v>5</v>
      </c>
      <c r="E159" s="21" t="s">
        <v>189</v>
      </c>
      <c r="G159" s="2" t="str">
        <f t="shared" si="1"/>
        <v>INSERT INTO tblAttendanceScore VALUES (seqAttendanceScore.nextval, -0.25, 158, 5);</v>
      </c>
    </row>
    <row r="160">
      <c r="A160" s="1" t="s">
        <v>201</v>
      </c>
      <c r="B160" s="2">
        <f>iferror(VLOOKUP(E160,'출결유형'!$A:$C,2,0),"")</f>
        <v>0</v>
      </c>
      <c r="C160" s="2">
        <v>159.0</v>
      </c>
      <c r="D160" s="2">
        <f>iferror(VLOOKUP(E160,'출결유형'!$L:$M,2,0),"")</f>
        <v>1</v>
      </c>
      <c r="E160" s="21" t="s">
        <v>184</v>
      </c>
      <c r="G160" s="2" t="str">
        <f t="shared" si="1"/>
        <v>INSERT INTO tblAttendanceScore VALUES (seqAttendanceScore.nextval, 0, 159, 1);</v>
      </c>
    </row>
    <row r="161">
      <c r="A161" s="1" t="s">
        <v>201</v>
      </c>
      <c r="B161" s="2">
        <f>iferror(VLOOKUP(E161,'출결유형'!$A:$C,2,0),"")</f>
        <v>-0.25</v>
      </c>
      <c r="C161" s="2">
        <v>160.0</v>
      </c>
      <c r="D161" s="2">
        <f>iferror(VLOOKUP(E161,'출결유형'!$L:$M,2,0),"")</f>
        <v>5</v>
      </c>
      <c r="E161" s="21" t="s">
        <v>189</v>
      </c>
      <c r="G161" s="2" t="str">
        <f t="shared" si="1"/>
        <v>INSERT INTO tblAttendanceScore VALUES (seqAttendanceScore.nextval, -0.25, 160, 5);</v>
      </c>
    </row>
    <row r="162">
      <c r="A162" s="1" t="s">
        <v>201</v>
      </c>
      <c r="B162" s="2">
        <f>iferror(VLOOKUP(E162,'출결유형'!$A:$C,2,0),"")</f>
        <v>0</v>
      </c>
      <c r="C162" s="2">
        <v>161.0</v>
      </c>
      <c r="D162" s="2">
        <f>iferror(VLOOKUP(E162,'출결유형'!$L:$M,2,0),"")</f>
        <v>1</v>
      </c>
      <c r="E162" s="21" t="s">
        <v>184</v>
      </c>
      <c r="G162" s="2" t="str">
        <f t="shared" si="1"/>
        <v>INSERT INTO tblAttendanceScore VALUES (seqAttendanceScore.nextval, 0, 161, 1);</v>
      </c>
    </row>
    <row r="163">
      <c r="A163" s="1" t="s">
        <v>201</v>
      </c>
      <c r="B163" s="2">
        <f>iferror(VLOOKUP(E163,'출결유형'!$A:$C,2,0),"")</f>
        <v>0</v>
      </c>
      <c r="C163" s="2">
        <v>162.0</v>
      </c>
      <c r="D163" s="2">
        <f>iferror(VLOOKUP(E163,'출결유형'!$L:$M,2,0),"")</f>
        <v>1</v>
      </c>
      <c r="E163" s="21" t="s">
        <v>184</v>
      </c>
      <c r="G163" s="2" t="str">
        <f t="shared" si="1"/>
        <v>INSERT INTO tblAttendanceScore VALUES (seqAttendanceScore.nextval, 0, 162, 1);</v>
      </c>
    </row>
    <row r="164">
      <c r="A164" s="1" t="s">
        <v>201</v>
      </c>
      <c r="B164" s="2">
        <f>iferror(VLOOKUP(E164,'출결유형'!$A:$C,2,0),"")</f>
        <v>-0.25</v>
      </c>
      <c r="C164" s="2">
        <v>163.0</v>
      </c>
      <c r="D164" s="2">
        <f>iferror(VLOOKUP(E164,'출결유형'!$L:$M,2,0),"")</f>
        <v>5</v>
      </c>
      <c r="E164" s="21" t="s">
        <v>189</v>
      </c>
      <c r="G164" s="2" t="str">
        <f t="shared" si="1"/>
        <v>INSERT INTO tblAttendanceScore VALUES (seqAttendanceScore.nextval, -0.25, 163, 5);</v>
      </c>
    </row>
    <row r="165">
      <c r="A165" s="1" t="s">
        <v>201</v>
      </c>
      <c r="B165" s="2">
        <f>iferror(VLOOKUP(E165,'출결유형'!$A:$C,2,0),"")</f>
        <v>-0.25</v>
      </c>
      <c r="C165" s="2">
        <v>164.0</v>
      </c>
      <c r="D165" s="2">
        <f>iferror(VLOOKUP(E165,'출결유형'!$L:$M,2,0),"")</f>
        <v>5</v>
      </c>
      <c r="E165" s="21" t="s">
        <v>189</v>
      </c>
      <c r="G165" s="2" t="str">
        <f t="shared" si="1"/>
        <v>INSERT INTO tblAttendanceScore VALUES (seqAttendanceScore.nextval, -0.25, 164, 5);</v>
      </c>
    </row>
    <row r="166">
      <c r="A166" s="1" t="s">
        <v>201</v>
      </c>
      <c r="B166" s="2">
        <f>iferror(VLOOKUP(E166,'출결유형'!$A:$C,2,0),"")</f>
        <v>0</v>
      </c>
      <c r="C166" s="2">
        <v>165.0</v>
      </c>
      <c r="D166" s="2">
        <f>iferror(VLOOKUP(E166,'출결유형'!$L:$M,2,0),"")</f>
        <v>1</v>
      </c>
      <c r="E166" s="21" t="s">
        <v>184</v>
      </c>
      <c r="G166" s="2" t="str">
        <f t="shared" si="1"/>
        <v>INSERT INTO tblAttendanceScore VALUES (seqAttendanceScore.nextval, 0, 165, 1);</v>
      </c>
    </row>
    <row r="167">
      <c r="A167" s="1" t="s">
        <v>201</v>
      </c>
      <c r="B167" s="2">
        <f>iferror(VLOOKUP(E167,'출결유형'!$A:$C,2,0),"")</f>
        <v>0</v>
      </c>
      <c r="C167" s="2">
        <v>166.0</v>
      </c>
      <c r="D167" s="2">
        <f>iferror(VLOOKUP(E167,'출결유형'!$L:$M,2,0),"")</f>
        <v>1</v>
      </c>
      <c r="E167" s="21" t="s">
        <v>184</v>
      </c>
      <c r="G167" s="2" t="str">
        <f t="shared" si="1"/>
        <v>INSERT INTO tblAttendanceScore VALUES (seqAttendanceScore.nextval, 0, 166, 1);</v>
      </c>
    </row>
    <row r="168">
      <c r="A168" s="1" t="s">
        <v>201</v>
      </c>
      <c r="B168" s="2">
        <f>iferror(VLOOKUP(E168,'출결유형'!$A:$C,2,0),"")</f>
        <v>0</v>
      </c>
      <c r="C168" s="2">
        <v>167.0</v>
      </c>
      <c r="D168" s="2">
        <f>iferror(VLOOKUP(E168,'출결유형'!$L:$M,2,0),"")</f>
        <v>1</v>
      </c>
      <c r="E168" s="21" t="s">
        <v>184</v>
      </c>
      <c r="G168" s="2" t="str">
        <f t="shared" si="1"/>
        <v>INSERT INTO tblAttendanceScore VALUES (seqAttendanceScore.nextval, 0, 167, 1);</v>
      </c>
    </row>
    <row r="169">
      <c r="A169" s="1" t="s">
        <v>201</v>
      </c>
      <c r="B169" s="2">
        <f>iferror(VLOOKUP(E169,'출결유형'!$A:$C,2,0),"")</f>
        <v>0</v>
      </c>
      <c r="C169" s="2">
        <v>168.0</v>
      </c>
      <c r="D169" s="2">
        <f>iferror(VLOOKUP(E169,'출결유형'!$L:$M,2,0),"")</f>
        <v>1</v>
      </c>
      <c r="E169" s="21" t="s">
        <v>184</v>
      </c>
      <c r="G169" s="2" t="str">
        <f t="shared" si="1"/>
        <v>INSERT INTO tblAttendanceScore VALUES (seqAttendanceScore.nextval, 0, 168, 1);</v>
      </c>
    </row>
    <row r="170">
      <c r="A170" s="1" t="s">
        <v>201</v>
      </c>
      <c r="B170" s="2">
        <f>iferror(VLOOKUP(E170,'출결유형'!$A:$C,2,0),"")</f>
        <v>-0.25</v>
      </c>
      <c r="C170" s="2">
        <v>169.0</v>
      </c>
      <c r="D170" s="2">
        <f>iferror(VLOOKUP(E170,'출결유형'!$L:$M,2,0),"")</f>
        <v>5</v>
      </c>
      <c r="E170" s="21" t="s">
        <v>189</v>
      </c>
      <c r="G170" s="2" t="str">
        <f t="shared" si="1"/>
        <v>INSERT INTO tblAttendanceScore VALUES (seqAttendanceScore.nextval, -0.25, 169, 5);</v>
      </c>
    </row>
    <row r="171">
      <c r="A171" s="1" t="s">
        <v>201</v>
      </c>
      <c r="B171" s="2">
        <f>iferror(VLOOKUP(E171,'출결유형'!$A:$C,2,0),"")</f>
        <v>-0.25</v>
      </c>
      <c r="C171" s="2">
        <v>170.0</v>
      </c>
      <c r="D171" s="2">
        <f>iferror(VLOOKUP(E171,'출결유형'!$L:$M,2,0),"")</f>
        <v>5</v>
      </c>
      <c r="E171" s="21" t="s">
        <v>189</v>
      </c>
      <c r="G171" s="2" t="str">
        <f t="shared" si="1"/>
        <v>INSERT INTO tblAttendanceScore VALUES (seqAttendanceScore.nextval, -0.25, 170, 5);</v>
      </c>
    </row>
    <row r="172">
      <c r="A172" s="1" t="s">
        <v>201</v>
      </c>
      <c r="B172" s="2">
        <f>iferror(VLOOKUP(E172,'출결유형'!$A:$C,2,0),"")</f>
        <v>-0.25</v>
      </c>
      <c r="C172" s="2">
        <v>171.0</v>
      </c>
      <c r="D172" s="2">
        <f>iferror(VLOOKUP(E172,'출결유형'!$L:$M,2,0),"")</f>
        <v>5</v>
      </c>
      <c r="E172" s="21" t="s">
        <v>189</v>
      </c>
      <c r="G172" s="2" t="str">
        <f t="shared" si="1"/>
        <v>INSERT INTO tblAttendanceScore VALUES (seqAttendanceScore.nextval, -0.25, 171, 5);</v>
      </c>
    </row>
    <row r="173">
      <c r="A173" s="1" t="s">
        <v>201</v>
      </c>
      <c r="B173" s="2">
        <f>iferror(VLOOKUP(E173,'출결유형'!$A:$C,2,0),"")</f>
        <v>0</v>
      </c>
      <c r="C173" s="2">
        <v>172.0</v>
      </c>
      <c r="D173" s="2">
        <f>iferror(VLOOKUP(E173,'출결유형'!$L:$M,2,0),"")</f>
        <v>1</v>
      </c>
      <c r="E173" s="21" t="s">
        <v>184</v>
      </c>
      <c r="G173" s="2" t="str">
        <f t="shared" si="1"/>
        <v>INSERT INTO tblAttendanceScore VALUES (seqAttendanceScore.nextval, 0, 172, 1);</v>
      </c>
    </row>
    <row r="174">
      <c r="A174" s="1" t="s">
        <v>201</v>
      </c>
      <c r="B174" s="2">
        <f>iferror(VLOOKUP(E174,'출결유형'!$A:$C,2,0),"")</f>
        <v>-0.25</v>
      </c>
      <c r="C174" s="2">
        <v>173.0</v>
      </c>
      <c r="D174" s="2">
        <f>iferror(VLOOKUP(E174,'출결유형'!$L:$M,2,0),"")</f>
        <v>5</v>
      </c>
      <c r="E174" s="21" t="s">
        <v>189</v>
      </c>
      <c r="G174" s="2" t="str">
        <f t="shared" si="1"/>
        <v>INSERT INTO tblAttendanceScore VALUES (seqAttendanceScore.nextval, -0.25, 173, 5);</v>
      </c>
    </row>
    <row r="175">
      <c r="A175" s="1" t="s">
        <v>201</v>
      </c>
      <c r="B175" s="2">
        <f>iferror(VLOOKUP(E175,'출결유형'!$A:$C,2,0),"")</f>
        <v>-0.25</v>
      </c>
      <c r="C175" s="2">
        <v>174.0</v>
      </c>
      <c r="D175" s="2">
        <f>iferror(VLOOKUP(E175,'출결유형'!$L:$M,2,0),"")</f>
        <v>5</v>
      </c>
      <c r="E175" s="21" t="s">
        <v>189</v>
      </c>
      <c r="G175" s="2" t="str">
        <f t="shared" si="1"/>
        <v>INSERT INTO tblAttendanceScore VALUES (seqAttendanceScore.nextval, -0.25, 174, 5);</v>
      </c>
    </row>
    <row r="176">
      <c r="A176" s="1" t="s">
        <v>201</v>
      </c>
      <c r="B176" s="2">
        <f>iferror(VLOOKUP(E176,'출결유형'!$A:$C,2,0),"")</f>
        <v>-0.25</v>
      </c>
      <c r="C176" s="2">
        <v>175.0</v>
      </c>
      <c r="D176" s="2">
        <f>iferror(VLOOKUP(E176,'출결유형'!$L:$M,2,0),"")</f>
        <v>5</v>
      </c>
      <c r="E176" s="21" t="s">
        <v>189</v>
      </c>
      <c r="G176" s="2" t="str">
        <f t="shared" si="1"/>
        <v>INSERT INTO tblAttendanceScore VALUES (seqAttendanceScore.nextval, -0.25, 175, 5);</v>
      </c>
    </row>
    <row r="177">
      <c r="A177" s="1" t="s">
        <v>201</v>
      </c>
      <c r="B177" s="2">
        <f>iferror(VLOOKUP(E177,'출결유형'!$A:$C,2,0),"")</f>
        <v>0</v>
      </c>
      <c r="C177" s="2">
        <v>176.0</v>
      </c>
      <c r="D177" s="2">
        <f>iferror(VLOOKUP(E177,'출결유형'!$L:$M,2,0),"")</f>
        <v>1</v>
      </c>
      <c r="E177" s="21" t="s">
        <v>184</v>
      </c>
      <c r="G177" s="2" t="str">
        <f t="shared" si="1"/>
        <v>INSERT INTO tblAttendanceScore VALUES (seqAttendanceScore.nextval, 0, 176, 1);</v>
      </c>
    </row>
    <row r="178">
      <c r="A178" s="1" t="s">
        <v>201</v>
      </c>
      <c r="B178" s="2">
        <f>iferror(VLOOKUP(E178,'출결유형'!$A:$C,2,0),"")</f>
        <v>-0.25</v>
      </c>
      <c r="C178" s="2">
        <v>177.0</v>
      </c>
      <c r="D178" s="2">
        <f>iferror(VLOOKUP(E178,'출결유형'!$L:$M,2,0),"")</f>
        <v>5</v>
      </c>
      <c r="E178" s="21" t="s">
        <v>189</v>
      </c>
      <c r="G178" s="2" t="str">
        <f t="shared" si="1"/>
        <v>INSERT INTO tblAttendanceScore VALUES (seqAttendanceScore.nextval, -0.25, 177, 5);</v>
      </c>
    </row>
    <row r="179">
      <c r="A179" s="1" t="s">
        <v>201</v>
      </c>
      <c r="B179" s="2">
        <f>iferror(VLOOKUP(E179,'출결유형'!$A:$C,2,0),"")</f>
        <v>-0.25</v>
      </c>
      <c r="C179" s="2">
        <v>178.0</v>
      </c>
      <c r="D179" s="2">
        <f>iferror(VLOOKUP(E179,'출결유형'!$L:$M,2,0),"")</f>
        <v>5</v>
      </c>
      <c r="E179" s="21" t="s">
        <v>189</v>
      </c>
      <c r="G179" s="2" t="str">
        <f t="shared" si="1"/>
        <v>INSERT INTO tblAttendanceScore VALUES (seqAttendanceScore.nextval, -0.25, 178, 5);</v>
      </c>
    </row>
    <row r="180">
      <c r="A180" s="1" t="s">
        <v>201</v>
      </c>
      <c r="B180" s="2">
        <f>iferror(VLOOKUP(E180,'출결유형'!$A:$C,2,0),"")</f>
        <v>0</v>
      </c>
      <c r="C180" s="2">
        <v>179.0</v>
      </c>
      <c r="D180" s="2">
        <f>iferror(VLOOKUP(E180,'출결유형'!$L:$M,2,0),"")</f>
        <v>1</v>
      </c>
      <c r="E180" s="21" t="s">
        <v>184</v>
      </c>
      <c r="G180" s="2" t="str">
        <f t="shared" si="1"/>
        <v>INSERT INTO tblAttendanceScore VALUES (seqAttendanceScore.nextval, 0, 179, 1);</v>
      </c>
    </row>
    <row r="181">
      <c r="A181" s="1" t="s">
        <v>201</v>
      </c>
      <c r="B181" s="2">
        <f>iferror(VLOOKUP(E181,'출결유형'!$A:$C,2,0),"")</f>
        <v>0</v>
      </c>
      <c r="C181" s="2">
        <v>180.0</v>
      </c>
      <c r="D181" s="2">
        <f>iferror(VLOOKUP(E181,'출결유형'!$L:$M,2,0),"")</f>
        <v>1</v>
      </c>
      <c r="E181" s="21" t="s">
        <v>184</v>
      </c>
      <c r="G181" s="2" t="str">
        <f t="shared" si="1"/>
        <v>INSERT INTO tblAttendanceScore VALUES (seqAttendanceScore.nextval, 0, 180, 1);</v>
      </c>
    </row>
    <row r="182">
      <c r="A182" s="1" t="s">
        <v>201</v>
      </c>
      <c r="B182" s="2">
        <f>iferror(VLOOKUP(E182,'출결유형'!$A:$C,2,0),"")</f>
        <v>-0.25</v>
      </c>
      <c r="C182" s="2">
        <v>181.0</v>
      </c>
      <c r="D182" s="2">
        <f>iferror(VLOOKUP(E182,'출결유형'!$L:$M,2,0),"")</f>
        <v>5</v>
      </c>
      <c r="E182" s="21" t="s">
        <v>189</v>
      </c>
      <c r="G182" s="2" t="str">
        <f t="shared" si="1"/>
        <v>INSERT INTO tblAttendanceScore VALUES (seqAttendanceScore.nextval, -0.25, 181, 5);</v>
      </c>
    </row>
    <row r="183">
      <c r="A183" s="1" t="s">
        <v>201</v>
      </c>
      <c r="B183" s="2">
        <f>iferror(VLOOKUP(E183,'출결유형'!$A:$C,2,0),"")</f>
        <v>0</v>
      </c>
      <c r="C183" s="2">
        <v>182.0</v>
      </c>
      <c r="D183" s="2">
        <f>iferror(VLOOKUP(E183,'출결유형'!$L:$M,2,0),"")</f>
        <v>1</v>
      </c>
      <c r="E183" s="21" t="s">
        <v>184</v>
      </c>
      <c r="G183" s="2" t="str">
        <f t="shared" si="1"/>
        <v>INSERT INTO tblAttendanceScore VALUES (seqAttendanceScore.nextval, 0, 182, 1);</v>
      </c>
    </row>
    <row r="184">
      <c r="A184" s="1" t="s">
        <v>201</v>
      </c>
      <c r="B184" s="2">
        <f>iferror(VLOOKUP(E184,'출결유형'!$A:$C,2,0),"")</f>
        <v>0</v>
      </c>
      <c r="C184" s="2">
        <v>183.0</v>
      </c>
      <c r="D184" s="2">
        <f>iferror(VLOOKUP(E184,'출결유형'!$L:$M,2,0),"")</f>
        <v>1</v>
      </c>
      <c r="E184" s="21" t="s">
        <v>184</v>
      </c>
      <c r="G184" s="2" t="str">
        <f t="shared" si="1"/>
        <v>INSERT INTO tblAttendanceScore VALUES (seqAttendanceScore.nextval, 0, 183, 1);</v>
      </c>
    </row>
    <row r="185">
      <c r="A185" s="1" t="s">
        <v>201</v>
      </c>
      <c r="B185" s="2">
        <f>iferror(VLOOKUP(E185,'출결유형'!$A:$C,2,0),"")</f>
        <v>-0.25</v>
      </c>
      <c r="C185" s="2">
        <v>184.0</v>
      </c>
      <c r="D185" s="2">
        <f>iferror(VLOOKUP(E185,'출결유형'!$L:$M,2,0),"")</f>
        <v>5</v>
      </c>
      <c r="E185" s="21" t="s">
        <v>189</v>
      </c>
      <c r="G185" s="2" t="str">
        <f t="shared" si="1"/>
        <v>INSERT INTO tblAttendanceScore VALUES (seqAttendanceScore.nextval, -0.25, 184, 5);</v>
      </c>
    </row>
    <row r="186">
      <c r="A186" s="1" t="s">
        <v>201</v>
      </c>
      <c r="B186" s="2">
        <f>iferror(VLOOKUP(E186,'출결유형'!$A:$C,2,0),"")</f>
        <v>-0.25</v>
      </c>
      <c r="C186" s="2">
        <v>185.0</v>
      </c>
      <c r="D186" s="2">
        <f>iferror(VLOOKUP(E186,'출결유형'!$L:$M,2,0),"")</f>
        <v>5</v>
      </c>
      <c r="E186" s="21" t="s">
        <v>189</v>
      </c>
      <c r="G186" s="2" t="str">
        <f t="shared" si="1"/>
        <v>INSERT INTO tblAttendanceScore VALUES (seqAttendanceScore.nextval, -0.25, 185, 5);</v>
      </c>
    </row>
    <row r="187">
      <c r="A187" s="1" t="s">
        <v>201</v>
      </c>
      <c r="B187" s="2">
        <f>iferror(VLOOKUP(E187,'출결유형'!$A:$C,2,0),"")</f>
        <v>-0.25</v>
      </c>
      <c r="C187" s="2">
        <v>186.0</v>
      </c>
      <c r="D187" s="2">
        <f>iferror(VLOOKUP(E187,'출결유형'!$L:$M,2,0),"")</f>
        <v>5</v>
      </c>
      <c r="E187" s="21" t="s">
        <v>189</v>
      </c>
      <c r="G187" s="2" t="str">
        <f t="shared" si="1"/>
        <v>INSERT INTO tblAttendanceScore VALUES (seqAttendanceScore.nextval, -0.25, 186, 5);</v>
      </c>
    </row>
    <row r="188">
      <c r="A188" s="1" t="s">
        <v>201</v>
      </c>
      <c r="B188" s="2">
        <f>iferror(VLOOKUP(E188,'출결유형'!$A:$C,2,0),"")</f>
        <v>-0.25</v>
      </c>
      <c r="C188" s="2">
        <v>187.0</v>
      </c>
      <c r="D188" s="2">
        <f>iferror(VLOOKUP(E188,'출결유형'!$L:$M,2,0),"")</f>
        <v>5</v>
      </c>
      <c r="E188" s="21" t="s">
        <v>189</v>
      </c>
      <c r="G188" s="2" t="str">
        <f t="shared" si="1"/>
        <v>INSERT INTO tblAttendanceScore VALUES (seqAttendanceScore.nextval, -0.25, 187, 5);</v>
      </c>
    </row>
    <row r="189">
      <c r="A189" s="1" t="s">
        <v>201</v>
      </c>
      <c r="B189" s="2">
        <f>iferror(VLOOKUP(E189,'출결유형'!$A:$C,2,0),"")</f>
        <v>0</v>
      </c>
      <c r="C189" s="2">
        <v>188.0</v>
      </c>
      <c r="D189" s="2">
        <f>iferror(VLOOKUP(E189,'출결유형'!$L:$M,2,0),"")</f>
        <v>1</v>
      </c>
      <c r="E189" s="21" t="s">
        <v>184</v>
      </c>
      <c r="G189" s="2" t="str">
        <f t="shared" si="1"/>
        <v>INSERT INTO tblAttendanceScore VALUES (seqAttendanceScore.nextval, 0, 188, 1);</v>
      </c>
    </row>
    <row r="190">
      <c r="A190" s="1" t="s">
        <v>201</v>
      </c>
      <c r="B190" s="2">
        <f>iferror(VLOOKUP(E190,'출결유형'!$A:$C,2,0),"")</f>
        <v>-0.25</v>
      </c>
      <c r="C190" s="2">
        <v>189.0</v>
      </c>
      <c r="D190" s="2">
        <f>iferror(VLOOKUP(E190,'출결유형'!$L:$M,2,0),"")</f>
        <v>5</v>
      </c>
      <c r="E190" s="21" t="s">
        <v>189</v>
      </c>
      <c r="G190" s="2" t="str">
        <f t="shared" si="1"/>
        <v>INSERT INTO tblAttendanceScore VALUES (seqAttendanceScore.nextval, -0.25, 189, 5);</v>
      </c>
    </row>
    <row r="191">
      <c r="A191" s="1" t="s">
        <v>201</v>
      </c>
      <c r="B191" s="2">
        <f>iferror(VLOOKUP(E191,'출결유형'!$A:$C,2,0),"")</f>
        <v>0</v>
      </c>
      <c r="C191" s="2">
        <v>190.0</v>
      </c>
      <c r="D191" s="2">
        <f>iferror(VLOOKUP(E191,'출결유형'!$L:$M,2,0),"")</f>
        <v>1</v>
      </c>
      <c r="E191" s="21" t="s">
        <v>184</v>
      </c>
      <c r="G191" s="2" t="str">
        <f t="shared" si="1"/>
        <v>INSERT INTO tblAttendanceScore VALUES (seqAttendanceScore.nextval, 0, 190, 1);</v>
      </c>
    </row>
    <row r="192">
      <c r="A192" s="1" t="s">
        <v>201</v>
      </c>
      <c r="B192" s="2">
        <f>iferror(VLOOKUP(E192,'출결유형'!$A:$C,2,0),"")</f>
        <v>0</v>
      </c>
      <c r="C192" s="2">
        <v>191.0</v>
      </c>
      <c r="D192" s="2">
        <f>iferror(VLOOKUP(E192,'출결유형'!$L:$M,2,0),"")</f>
        <v>1</v>
      </c>
      <c r="E192" s="21" t="s">
        <v>184</v>
      </c>
      <c r="G192" s="2" t="str">
        <f t="shared" si="1"/>
        <v>INSERT INTO tblAttendanceScore VALUES (seqAttendanceScore.nextval, 0, 191, 1);</v>
      </c>
    </row>
    <row r="193">
      <c r="A193" s="1" t="s">
        <v>201</v>
      </c>
      <c r="B193" s="2">
        <f>iferror(VLOOKUP(E193,'출결유형'!$A:$C,2,0),"")</f>
        <v>0</v>
      </c>
      <c r="C193" s="2">
        <v>192.0</v>
      </c>
      <c r="D193" s="2">
        <f>iferror(VLOOKUP(E193,'출결유형'!$L:$M,2,0),"")</f>
        <v>1</v>
      </c>
      <c r="E193" s="21" t="s">
        <v>184</v>
      </c>
      <c r="G193" s="2" t="str">
        <f t="shared" si="1"/>
        <v>INSERT INTO tblAttendanceScore VALUES (seqAttendanceScore.nextval, 0, 192, 1);</v>
      </c>
    </row>
    <row r="194">
      <c r="A194" s="1" t="s">
        <v>201</v>
      </c>
      <c r="B194" s="2">
        <f>iferror(VLOOKUP(E194,'출결유형'!$A:$C,2,0),"")</f>
        <v>-1</v>
      </c>
      <c r="C194" s="2">
        <v>193.0</v>
      </c>
      <c r="D194" s="2">
        <f>iferror(VLOOKUP(E194,'출결유형'!$L:$M,2,0),"")</f>
        <v>2</v>
      </c>
      <c r="E194" s="21" t="s">
        <v>186</v>
      </c>
      <c r="G194" s="2" t="str">
        <f t="shared" si="1"/>
        <v>INSERT INTO tblAttendanceScore VALUES (seqAttendanceScore.nextval, -1, 193, 2);</v>
      </c>
    </row>
    <row r="195">
      <c r="A195" s="1" t="s">
        <v>201</v>
      </c>
      <c r="B195" s="2">
        <f>iferror(VLOOKUP(E195,'출결유형'!$A:$C,2,0),"")</f>
        <v>0</v>
      </c>
      <c r="C195" s="2">
        <v>194.0</v>
      </c>
      <c r="D195" s="2">
        <f>iferror(VLOOKUP(E195,'출결유형'!$L:$M,2,0),"")</f>
        <v>1</v>
      </c>
      <c r="E195" s="21" t="s">
        <v>184</v>
      </c>
      <c r="G195" s="2" t="str">
        <f t="shared" si="1"/>
        <v>INSERT INTO tblAttendanceScore VALUES (seqAttendanceScore.nextval, 0, 194, 1);</v>
      </c>
    </row>
    <row r="196">
      <c r="A196" s="1" t="s">
        <v>201</v>
      </c>
      <c r="B196" s="2">
        <f>iferror(VLOOKUP(E196,'출결유형'!$A:$C,2,0),"")</f>
        <v>0</v>
      </c>
      <c r="C196" s="2">
        <v>195.0</v>
      </c>
      <c r="D196" s="2">
        <f>iferror(VLOOKUP(E196,'출결유형'!$L:$M,2,0),"")</f>
        <v>1</v>
      </c>
      <c r="E196" s="21" t="s">
        <v>184</v>
      </c>
      <c r="G196" s="2" t="str">
        <f t="shared" si="1"/>
        <v>INSERT INTO tblAttendanceScore VALUES (seqAttendanceScore.nextval, 0, 195, 1);</v>
      </c>
    </row>
    <row r="197">
      <c r="A197" s="1" t="s">
        <v>201</v>
      </c>
      <c r="B197" s="2">
        <f>iferror(VLOOKUP(E197,'출결유형'!$A:$C,2,0),"")</f>
        <v>-0.25</v>
      </c>
      <c r="C197" s="2">
        <v>196.0</v>
      </c>
      <c r="D197" s="2">
        <f>iferror(VLOOKUP(E197,'출결유형'!$L:$M,2,0),"")</f>
        <v>5</v>
      </c>
      <c r="E197" s="21" t="s">
        <v>189</v>
      </c>
      <c r="G197" s="2" t="str">
        <f t="shared" si="1"/>
        <v>INSERT INTO tblAttendanceScore VALUES (seqAttendanceScore.nextval, -0.25, 196, 5);</v>
      </c>
    </row>
    <row r="198">
      <c r="A198" s="1" t="s">
        <v>201</v>
      </c>
      <c r="B198" s="2">
        <f>iferror(VLOOKUP(E198,'출결유형'!$A:$C,2,0),"")</f>
        <v>-0.25</v>
      </c>
      <c r="C198" s="2">
        <v>197.0</v>
      </c>
      <c r="D198" s="2">
        <f>iferror(VLOOKUP(E198,'출결유형'!$L:$M,2,0),"")</f>
        <v>5</v>
      </c>
      <c r="E198" s="21" t="s">
        <v>189</v>
      </c>
      <c r="G198" s="2" t="str">
        <f t="shared" si="1"/>
        <v>INSERT INTO tblAttendanceScore VALUES (seqAttendanceScore.nextval, -0.25, 197, 5);</v>
      </c>
    </row>
    <row r="199">
      <c r="A199" s="1" t="s">
        <v>201</v>
      </c>
      <c r="B199" s="2">
        <f>iferror(VLOOKUP(E199,'출결유형'!$A:$C,2,0),"")</f>
        <v>-0.25</v>
      </c>
      <c r="C199" s="2">
        <v>198.0</v>
      </c>
      <c r="D199" s="2">
        <f>iferror(VLOOKUP(E199,'출결유형'!$L:$M,2,0),"")</f>
        <v>5</v>
      </c>
      <c r="E199" s="21" t="s">
        <v>189</v>
      </c>
      <c r="G199" s="2" t="str">
        <f t="shared" si="1"/>
        <v>INSERT INTO tblAttendanceScore VALUES (seqAttendanceScore.nextval, -0.25, 198, 5);</v>
      </c>
    </row>
    <row r="200">
      <c r="A200" s="1" t="s">
        <v>201</v>
      </c>
      <c r="B200" s="2">
        <f>iferror(VLOOKUP(E200,'출결유형'!$A:$C,2,0),"")</f>
        <v>-0.25</v>
      </c>
      <c r="C200" s="2">
        <v>199.0</v>
      </c>
      <c r="D200" s="2">
        <f>iferror(VLOOKUP(E200,'출결유형'!$L:$M,2,0),"")</f>
        <v>5</v>
      </c>
      <c r="E200" s="21" t="s">
        <v>189</v>
      </c>
      <c r="G200" s="2" t="str">
        <f t="shared" si="1"/>
        <v>INSERT INTO tblAttendanceScore VALUES (seqAttendanceScore.nextval, -0.25, 199, 5);</v>
      </c>
    </row>
    <row r="201">
      <c r="A201" s="1" t="s">
        <v>201</v>
      </c>
      <c r="B201" s="2">
        <f>iferror(VLOOKUP(E201,'출결유형'!$A:$C,2,0),"")</f>
        <v>0</v>
      </c>
      <c r="C201" s="2">
        <v>200.0</v>
      </c>
      <c r="D201" s="2">
        <f>iferror(VLOOKUP(E201,'출결유형'!$L:$M,2,0),"")</f>
        <v>1</v>
      </c>
      <c r="E201" s="21" t="s">
        <v>184</v>
      </c>
      <c r="G201" s="2" t="str">
        <f t="shared" si="1"/>
        <v>INSERT INTO tblAttendanceScore VALUES (seqAttendanceScore.nextval, 0, 200, 1);</v>
      </c>
    </row>
    <row r="202">
      <c r="A202" s="1" t="s">
        <v>201</v>
      </c>
      <c r="B202" s="2">
        <f>iferror(VLOOKUP(E202,'출결유형'!$A:$C,2,0),"")</f>
        <v>-0.25</v>
      </c>
      <c r="C202" s="2">
        <v>201.0</v>
      </c>
      <c r="D202" s="2">
        <f>iferror(VLOOKUP(E202,'출결유형'!$L:$M,2,0),"")</f>
        <v>5</v>
      </c>
      <c r="E202" s="21" t="s">
        <v>189</v>
      </c>
      <c r="G202" s="2" t="str">
        <f t="shared" si="1"/>
        <v>INSERT INTO tblAttendanceScore VALUES (seqAttendanceScore.nextval, -0.25, 201, 5);</v>
      </c>
    </row>
    <row r="203">
      <c r="A203" s="1" t="s">
        <v>201</v>
      </c>
      <c r="B203" s="2">
        <f>iferror(VLOOKUP(E203,'출결유형'!$A:$C,2,0),"")</f>
        <v>0</v>
      </c>
      <c r="C203" s="2">
        <v>202.0</v>
      </c>
      <c r="D203" s="2">
        <f>iferror(VLOOKUP(E203,'출결유형'!$L:$M,2,0),"")</f>
        <v>1</v>
      </c>
      <c r="E203" s="21" t="s">
        <v>184</v>
      </c>
      <c r="G203" s="2" t="str">
        <f t="shared" si="1"/>
        <v>INSERT INTO tblAttendanceScore VALUES (seqAttendanceScore.nextval, 0, 202, 1);</v>
      </c>
    </row>
    <row r="204">
      <c r="A204" s="1" t="s">
        <v>201</v>
      </c>
      <c r="B204" s="2">
        <f>iferror(VLOOKUP(E204,'출결유형'!$A:$C,2,0),"")</f>
        <v>-0.25</v>
      </c>
      <c r="C204" s="2">
        <v>203.0</v>
      </c>
      <c r="D204" s="2">
        <f>iferror(VLOOKUP(E204,'출결유형'!$L:$M,2,0),"")</f>
        <v>5</v>
      </c>
      <c r="E204" s="21" t="s">
        <v>189</v>
      </c>
      <c r="G204" s="2" t="str">
        <f t="shared" si="1"/>
        <v>INSERT INTO tblAttendanceScore VALUES (seqAttendanceScore.nextval, -0.25, 203, 5);</v>
      </c>
    </row>
    <row r="205">
      <c r="A205" s="1" t="s">
        <v>201</v>
      </c>
      <c r="B205" s="2">
        <f>iferror(VLOOKUP(E205,'출결유형'!$A:$C,2,0),"")</f>
        <v>0</v>
      </c>
      <c r="C205" s="2">
        <v>204.0</v>
      </c>
      <c r="D205" s="2">
        <f>iferror(VLOOKUP(E205,'출결유형'!$L:$M,2,0),"")</f>
        <v>1</v>
      </c>
      <c r="E205" s="21" t="s">
        <v>184</v>
      </c>
      <c r="G205" s="2" t="str">
        <f t="shared" si="1"/>
        <v>INSERT INTO tblAttendanceScore VALUES (seqAttendanceScore.nextval, 0, 204, 1);</v>
      </c>
    </row>
    <row r="206">
      <c r="A206" s="1" t="s">
        <v>201</v>
      </c>
      <c r="B206" s="2">
        <f>iferror(VLOOKUP(E206,'출결유형'!$A:$C,2,0),"")</f>
        <v>-0.25</v>
      </c>
      <c r="C206" s="2">
        <v>205.0</v>
      </c>
      <c r="D206" s="2">
        <f>iferror(VLOOKUP(E206,'출결유형'!$L:$M,2,0),"")</f>
        <v>5</v>
      </c>
      <c r="E206" s="21" t="s">
        <v>189</v>
      </c>
      <c r="G206" s="2" t="str">
        <f t="shared" si="1"/>
        <v>INSERT INTO tblAttendanceScore VALUES (seqAttendanceScore.nextval, -0.25, 205, 5);</v>
      </c>
    </row>
    <row r="207">
      <c r="A207" s="1" t="s">
        <v>201</v>
      </c>
      <c r="B207" s="2">
        <f>iferror(VLOOKUP(E207,'출결유형'!$A:$C,2,0),"")</f>
        <v>-0.25</v>
      </c>
      <c r="C207" s="2">
        <v>206.0</v>
      </c>
      <c r="D207" s="2">
        <f>iferror(VLOOKUP(E207,'출결유형'!$L:$M,2,0),"")</f>
        <v>5</v>
      </c>
      <c r="E207" s="21" t="s">
        <v>189</v>
      </c>
      <c r="G207" s="2" t="str">
        <f t="shared" si="1"/>
        <v>INSERT INTO tblAttendanceScore VALUES (seqAttendanceScore.nextval, -0.25, 206, 5);</v>
      </c>
    </row>
    <row r="208">
      <c r="A208" s="1" t="s">
        <v>201</v>
      </c>
      <c r="B208" s="2">
        <f>iferror(VLOOKUP(E208,'출결유형'!$A:$C,2,0),"")</f>
        <v>-1</v>
      </c>
      <c r="C208" s="2">
        <v>207.0</v>
      </c>
      <c r="D208" s="2">
        <f>iferror(VLOOKUP(E208,'출결유형'!$L:$M,2,0),"")</f>
        <v>2</v>
      </c>
      <c r="E208" s="21" t="s">
        <v>186</v>
      </c>
      <c r="G208" s="2" t="str">
        <f t="shared" si="1"/>
        <v>INSERT INTO tblAttendanceScore VALUES (seqAttendanceScore.nextval, -1, 207, 2);</v>
      </c>
    </row>
    <row r="209">
      <c r="A209" s="1" t="s">
        <v>201</v>
      </c>
      <c r="B209" s="2">
        <f>iferror(VLOOKUP(E209,'출결유형'!$A:$C,2,0),"")</f>
        <v>-0.25</v>
      </c>
      <c r="C209" s="2">
        <v>208.0</v>
      </c>
      <c r="D209" s="2">
        <f>iferror(VLOOKUP(E209,'출결유형'!$L:$M,2,0),"")</f>
        <v>5</v>
      </c>
      <c r="E209" s="21" t="s">
        <v>189</v>
      </c>
      <c r="G209" s="2" t="str">
        <f t="shared" si="1"/>
        <v>INSERT INTO tblAttendanceScore VALUES (seqAttendanceScore.nextval, -0.25, 208, 5);</v>
      </c>
    </row>
    <row r="210">
      <c r="A210" s="1" t="s">
        <v>201</v>
      </c>
      <c r="B210" s="2">
        <f>iferror(VLOOKUP(E210,'출결유형'!$A:$C,2,0),"")</f>
        <v>-0.25</v>
      </c>
      <c r="C210" s="2">
        <v>209.0</v>
      </c>
      <c r="D210" s="2">
        <f>iferror(VLOOKUP(E210,'출결유형'!$L:$M,2,0),"")</f>
        <v>5</v>
      </c>
      <c r="E210" s="21" t="s">
        <v>189</v>
      </c>
      <c r="G210" s="2" t="str">
        <f t="shared" si="1"/>
        <v>INSERT INTO tblAttendanceScore VALUES (seqAttendanceScore.nextval, -0.25, 209, 5);</v>
      </c>
    </row>
    <row r="211">
      <c r="A211" s="1" t="s">
        <v>201</v>
      </c>
      <c r="B211" s="2">
        <f>iferror(VLOOKUP(E211,'출결유형'!$A:$C,2,0),"")</f>
        <v>0</v>
      </c>
      <c r="C211" s="2">
        <v>210.0</v>
      </c>
      <c r="D211" s="2">
        <f>iferror(VLOOKUP(E211,'출결유형'!$L:$M,2,0),"")</f>
        <v>1</v>
      </c>
      <c r="E211" s="21" t="s">
        <v>184</v>
      </c>
      <c r="G211" s="2" t="str">
        <f t="shared" si="1"/>
        <v>INSERT INTO tblAttendanceScore VALUES (seqAttendanceScore.nextval, 0, 210, 1);</v>
      </c>
    </row>
    <row r="212">
      <c r="A212" s="1" t="s">
        <v>201</v>
      </c>
      <c r="B212" s="2">
        <f>iferror(VLOOKUP(E212,'출결유형'!$A:$C,2,0),"")</f>
        <v>-0.25</v>
      </c>
      <c r="C212" s="2">
        <v>211.0</v>
      </c>
      <c r="D212" s="2">
        <f>iferror(VLOOKUP(E212,'출결유형'!$L:$M,2,0),"")</f>
        <v>5</v>
      </c>
      <c r="E212" s="21" t="s">
        <v>189</v>
      </c>
      <c r="G212" s="2" t="str">
        <f t="shared" si="1"/>
        <v>INSERT INTO tblAttendanceScore VALUES (seqAttendanceScore.nextval, -0.25, 211, 5);</v>
      </c>
    </row>
    <row r="213">
      <c r="A213" s="1" t="s">
        <v>201</v>
      </c>
      <c r="B213" s="2">
        <f>iferror(VLOOKUP(E213,'출결유형'!$A:$C,2,0),"")</f>
        <v>0</v>
      </c>
      <c r="C213" s="2">
        <v>212.0</v>
      </c>
      <c r="D213" s="2">
        <f>iferror(VLOOKUP(E213,'출결유형'!$L:$M,2,0),"")</f>
        <v>1</v>
      </c>
      <c r="E213" s="21" t="s">
        <v>184</v>
      </c>
      <c r="G213" s="2" t="str">
        <f t="shared" si="1"/>
        <v>INSERT INTO tblAttendanceScore VALUES (seqAttendanceScore.nextval, 0, 212, 1);</v>
      </c>
    </row>
    <row r="214">
      <c r="A214" s="1" t="s">
        <v>201</v>
      </c>
      <c r="B214" s="2">
        <f>iferror(VLOOKUP(E214,'출결유형'!$A:$C,2,0),"")</f>
        <v>-1</v>
      </c>
      <c r="C214" s="2">
        <v>213.0</v>
      </c>
      <c r="D214" s="2">
        <f>iferror(VLOOKUP(E214,'출결유형'!$L:$M,2,0),"")</f>
        <v>2</v>
      </c>
      <c r="E214" s="21" t="s">
        <v>186</v>
      </c>
      <c r="G214" s="2" t="str">
        <f t="shared" si="1"/>
        <v>INSERT INTO tblAttendanceScore VALUES (seqAttendanceScore.nextval, -1, 213, 2);</v>
      </c>
    </row>
    <row r="215">
      <c r="A215" s="1" t="s">
        <v>201</v>
      </c>
      <c r="B215" s="2">
        <f>iferror(VLOOKUP(E215,'출결유형'!$A:$C,2,0),"")</f>
        <v>0</v>
      </c>
      <c r="C215" s="2">
        <v>214.0</v>
      </c>
      <c r="D215" s="2">
        <f>iferror(VLOOKUP(E215,'출결유형'!$L:$M,2,0),"")</f>
        <v>1</v>
      </c>
      <c r="E215" s="21" t="s">
        <v>184</v>
      </c>
      <c r="G215" s="2" t="str">
        <f t="shared" si="1"/>
        <v>INSERT INTO tblAttendanceScore VALUES (seqAttendanceScore.nextval, 0, 214, 1);</v>
      </c>
    </row>
    <row r="216">
      <c r="A216" s="1" t="s">
        <v>201</v>
      </c>
      <c r="B216" s="2">
        <f>iferror(VLOOKUP(E216,'출결유형'!$A:$C,2,0),"")</f>
        <v>0</v>
      </c>
      <c r="C216" s="2">
        <v>215.0</v>
      </c>
      <c r="D216" s="2">
        <f>iferror(VLOOKUP(E216,'출결유형'!$L:$M,2,0),"")</f>
        <v>1</v>
      </c>
      <c r="E216" s="21" t="s">
        <v>184</v>
      </c>
      <c r="G216" s="2" t="str">
        <f t="shared" si="1"/>
        <v>INSERT INTO tblAttendanceScore VALUES (seqAttendanceScore.nextval, 0, 215, 1);</v>
      </c>
    </row>
    <row r="217">
      <c r="A217" s="1" t="s">
        <v>201</v>
      </c>
      <c r="B217" s="2">
        <f>iferror(VLOOKUP(E217,'출결유형'!$A:$C,2,0),"")</f>
        <v>-0.25</v>
      </c>
      <c r="C217" s="2">
        <v>216.0</v>
      </c>
      <c r="D217" s="2">
        <f>iferror(VLOOKUP(E217,'출결유형'!$L:$M,2,0),"")</f>
        <v>3</v>
      </c>
      <c r="E217" s="21" t="s">
        <v>187</v>
      </c>
      <c r="G217" s="2" t="str">
        <f t="shared" si="1"/>
        <v>INSERT INTO tblAttendanceScore VALUES (seqAttendanceScore.nextval, -0.25, 216, 3);</v>
      </c>
    </row>
    <row r="218">
      <c r="A218" s="1" t="s">
        <v>201</v>
      </c>
      <c r="B218" s="2">
        <f>iferror(VLOOKUP(E218,'출결유형'!$A:$C,2,0),"")</f>
        <v>-0.25</v>
      </c>
      <c r="C218" s="2">
        <v>217.0</v>
      </c>
      <c r="D218" s="2">
        <f>iferror(VLOOKUP(E218,'출결유형'!$L:$M,2,0),"")</f>
        <v>5</v>
      </c>
      <c r="E218" s="21" t="s">
        <v>189</v>
      </c>
      <c r="G218" s="2" t="str">
        <f t="shared" si="1"/>
        <v>INSERT INTO tblAttendanceScore VALUES (seqAttendanceScore.nextval, -0.25, 217, 5);</v>
      </c>
    </row>
    <row r="219">
      <c r="A219" s="1" t="s">
        <v>201</v>
      </c>
      <c r="B219" s="2">
        <f>iferror(VLOOKUP(E219,'출결유형'!$A:$C,2,0),"")</f>
        <v>0</v>
      </c>
      <c r="C219" s="2">
        <v>218.0</v>
      </c>
      <c r="D219" s="2">
        <f>iferror(VLOOKUP(E219,'출결유형'!$L:$M,2,0),"")</f>
        <v>1</v>
      </c>
      <c r="E219" s="21" t="s">
        <v>184</v>
      </c>
      <c r="G219" s="2" t="str">
        <f t="shared" si="1"/>
        <v>INSERT INTO tblAttendanceScore VALUES (seqAttendanceScore.nextval, 0, 218, 1);</v>
      </c>
    </row>
    <row r="220">
      <c r="A220" s="1" t="s">
        <v>201</v>
      </c>
      <c r="B220" s="2">
        <f>iferror(VLOOKUP(E220,'출결유형'!$A:$C,2,0),"")</f>
        <v>0</v>
      </c>
      <c r="C220" s="2">
        <v>219.0</v>
      </c>
      <c r="D220" s="2">
        <f>iferror(VLOOKUP(E220,'출결유형'!$L:$M,2,0),"")</f>
        <v>1</v>
      </c>
      <c r="E220" s="21" t="s">
        <v>184</v>
      </c>
      <c r="G220" s="2" t="str">
        <f t="shared" si="1"/>
        <v>INSERT INTO tblAttendanceScore VALUES (seqAttendanceScore.nextval, 0, 219, 1);</v>
      </c>
    </row>
    <row r="221">
      <c r="A221" s="1" t="s">
        <v>201</v>
      </c>
      <c r="B221" s="2">
        <f>iferror(VLOOKUP(E221,'출결유형'!$A:$C,2,0),"")</f>
        <v>-0.25</v>
      </c>
      <c r="C221" s="2">
        <v>220.0</v>
      </c>
      <c r="D221" s="2">
        <f>iferror(VLOOKUP(E221,'출결유형'!$L:$M,2,0),"")</f>
        <v>5</v>
      </c>
      <c r="E221" s="21" t="s">
        <v>189</v>
      </c>
      <c r="G221" s="2" t="str">
        <f t="shared" si="1"/>
        <v>INSERT INTO tblAttendanceScore VALUES (seqAttendanceScore.nextval, -0.25, 220, 5);</v>
      </c>
    </row>
    <row r="222">
      <c r="A222" s="1" t="s">
        <v>201</v>
      </c>
      <c r="B222" s="2">
        <f>iferror(VLOOKUP(E222,'출결유형'!$A:$C,2,0),"")</f>
        <v>-0.25</v>
      </c>
      <c r="C222" s="2">
        <v>221.0</v>
      </c>
      <c r="D222" s="2">
        <f>iferror(VLOOKUP(E222,'출결유형'!$L:$M,2,0),"")</f>
        <v>5</v>
      </c>
      <c r="E222" s="21" t="s">
        <v>189</v>
      </c>
      <c r="G222" s="2" t="str">
        <f t="shared" si="1"/>
        <v>INSERT INTO tblAttendanceScore VALUES (seqAttendanceScore.nextval, -0.25, 221, 5);</v>
      </c>
    </row>
    <row r="223">
      <c r="A223" s="1" t="s">
        <v>201</v>
      </c>
      <c r="B223" s="2">
        <f>iferror(VLOOKUP(E223,'출결유형'!$A:$C,2,0),"")</f>
        <v>-0.25</v>
      </c>
      <c r="C223" s="2">
        <v>222.0</v>
      </c>
      <c r="D223" s="2">
        <f>iferror(VLOOKUP(E223,'출결유형'!$L:$M,2,0),"")</f>
        <v>5</v>
      </c>
      <c r="E223" s="21" t="s">
        <v>189</v>
      </c>
      <c r="G223" s="2" t="str">
        <f t="shared" si="1"/>
        <v>INSERT INTO tblAttendanceScore VALUES (seqAttendanceScore.nextval, -0.25, 222, 5);</v>
      </c>
    </row>
    <row r="224">
      <c r="A224" s="1" t="s">
        <v>201</v>
      </c>
      <c r="B224" s="2">
        <f>iferror(VLOOKUP(E224,'출결유형'!$A:$C,2,0),"")</f>
        <v>0</v>
      </c>
      <c r="C224" s="2">
        <v>223.0</v>
      </c>
      <c r="D224" s="2">
        <f>iferror(VLOOKUP(E224,'출결유형'!$L:$M,2,0),"")</f>
        <v>1</v>
      </c>
      <c r="E224" s="21" t="s">
        <v>184</v>
      </c>
      <c r="G224" s="2" t="str">
        <f t="shared" si="1"/>
        <v>INSERT INTO tblAttendanceScore VALUES (seqAttendanceScore.nextval, 0, 223, 1);</v>
      </c>
    </row>
    <row r="225">
      <c r="A225" s="1" t="s">
        <v>201</v>
      </c>
      <c r="B225" s="2">
        <f>iferror(VLOOKUP(E225,'출결유형'!$A:$C,2,0),"")</f>
        <v>-0.25</v>
      </c>
      <c r="C225" s="2">
        <v>224.0</v>
      </c>
      <c r="D225" s="2">
        <f>iferror(VLOOKUP(E225,'출결유형'!$L:$M,2,0),"")</f>
        <v>5</v>
      </c>
      <c r="E225" s="21" t="s">
        <v>189</v>
      </c>
      <c r="G225" s="2" t="str">
        <f t="shared" si="1"/>
        <v>INSERT INTO tblAttendanceScore VALUES (seqAttendanceScore.nextval, -0.25, 224, 5);</v>
      </c>
    </row>
    <row r="226">
      <c r="A226" s="1" t="s">
        <v>201</v>
      </c>
      <c r="B226" s="2">
        <f>iferror(VLOOKUP(E226,'출결유형'!$A:$C,2,0),"")</f>
        <v>-0.25</v>
      </c>
      <c r="C226" s="2">
        <v>225.0</v>
      </c>
      <c r="D226" s="2">
        <f>iferror(VLOOKUP(E226,'출결유형'!$L:$M,2,0),"")</f>
        <v>5</v>
      </c>
      <c r="E226" s="21" t="s">
        <v>189</v>
      </c>
      <c r="G226" s="2" t="str">
        <f t="shared" si="1"/>
        <v>INSERT INTO tblAttendanceScore VALUES (seqAttendanceScore.nextval, -0.25, 225, 5);</v>
      </c>
    </row>
    <row r="227">
      <c r="A227" s="1" t="s">
        <v>201</v>
      </c>
      <c r="B227" s="2">
        <f>iferror(VLOOKUP(E227,'출결유형'!$A:$C,2,0),"")</f>
        <v>-0.25</v>
      </c>
      <c r="C227" s="2">
        <v>226.0</v>
      </c>
      <c r="D227" s="2">
        <f>iferror(VLOOKUP(E227,'출결유형'!$L:$M,2,0),"")</f>
        <v>5</v>
      </c>
      <c r="E227" s="21" t="s">
        <v>189</v>
      </c>
      <c r="G227" s="2" t="str">
        <f t="shared" si="1"/>
        <v>INSERT INTO tblAttendanceScore VALUES (seqAttendanceScore.nextval, -0.25, 226, 5);</v>
      </c>
    </row>
    <row r="228">
      <c r="A228" s="1" t="s">
        <v>201</v>
      </c>
      <c r="B228" s="2">
        <f>iferror(VLOOKUP(E228,'출결유형'!$A:$C,2,0),"")</f>
        <v>-0.25</v>
      </c>
      <c r="C228" s="2">
        <v>227.0</v>
      </c>
      <c r="D228" s="2">
        <f>iferror(VLOOKUP(E228,'출결유형'!$L:$M,2,0),"")</f>
        <v>3</v>
      </c>
      <c r="E228" s="21" t="s">
        <v>187</v>
      </c>
      <c r="G228" s="2" t="str">
        <f t="shared" si="1"/>
        <v>INSERT INTO tblAttendanceScore VALUES (seqAttendanceScore.nextval, -0.25, 227, 3);</v>
      </c>
    </row>
    <row r="229">
      <c r="A229" s="1" t="s">
        <v>201</v>
      </c>
      <c r="B229" s="2">
        <f>iferror(VLOOKUP(E229,'출결유형'!$A:$C,2,0),"")</f>
        <v>0</v>
      </c>
      <c r="C229" s="2">
        <v>228.0</v>
      </c>
      <c r="D229" s="2">
        <f>iferror(VLOOKUP(E229,'출결유형'!$L:$M,2,0),"")</f>
        <v>1</v>
      </c>
      <c r="E229" s="21" t="s">
        <v>184</v>
      </c>
      <c r="G229" s="2" t="str">
        <f t="shared" si="1"/>
        <v>INSERT INTO tblAttendanceScore VALUES (seqAttendanceScore.nextval, 0, 228, 1);</v>
      </c>
    </row>
    <row r="230">
      <c r="A230" s="1" t="s">
        <v>201</v>
      </c>
      <c r="B230" s="2">
        <f>iferror(VLOOKUP(E230,'출결유형'!$A:$C,2,0),"")</f>
        <v>-0.25</v>
      </c>
      <c r="C230" s="2">
        <v>229.0</v>
      </c>
      <c r="D230" s="2">
        <f>iferror(VLOOKUP(E230,'출결유형'!$L:$M,2,0),"")</f>
        <v>5</v>
      </c>
      <c r="E230" s="21" t="s">
        <v>189</v>
      </c>
      <c r="G230" s="2" t="str">
        <f t="shared" si="1"/>
        <v>INSERT INTO tblAttendanceScore VALUES (seqAttendanceScore.nextval, -0.25, 229, 5);</v>
      </c>
    </row>
    <row r="231">
      <c r="A231" s="1" t="s">
        <v>201</v>
      </c>
      <c r="B231" s="2">
        <f>iferror(VLOOKUP(E231,'출결유형'!$A:$C,2,0),"")</f>
        <v>-0.25</v>
      </c>
      <c r="C231" s="2">
        <v>230.0</v>
      </c>
      <c r="D231" s="2">
        <f>iferror(VLOOKUP(E231,'출결유형'!$L:$M,2,0),"")</f>
        <v>5</v>
      </c>
      <c r="E231" s="21" t="s">
        <v>189</v>
      </c>
      <c r="G231" s="2" t="str">
        <f t="shared" si="1"/>
        <v>INSERT INTO tblAttendanceScore VALUES (seqAttendanceScore.nextval, -0.25, 230, 5);</v>
      </c>
    </row>
    <row r="232">
      <c r="A232" s="1" t="s">
        <v>201</v>
      </c>
      <c r="B232" s="2">
        <f>iferror(VLOOKUP(E232,'출결유형'!$A:$C,2,0),"")</f>
        <v>-1</v>
      </c>
      <c r="C232" s="2">
        <v>231.0</v>
      </c>
      <c r="D232" s="2">
        <f>iferror(VLOOKUP(E232,'출결유형'!$L:$M,2,0),"")</f>
        <v>2</v>
      </c>
      <c r="E232" s="21" t="s">
        <v>186</v>
      </c>
      <c r="G232" s="2" t="str">
        <f t="shared" si="1"/>
        <v>INSERT INTO tblAttendanceScore VALUES (seqAttendanceScore.nextval, -1, 231, 2);</v>
      </c>
    </row>
    <row r="233">
      <c r="A233" s="1" t="s">
        <v>201</v>
      </c>
      <c r="B233" s="2">
        <f>iferror(VLOOKUP(E233,'출결유형'!$A:$C,2,0),"")</f>
        <v>-0.25</v>
      </c>
      <c r="C233" s="2">
        <v>232.0</v>
      </c>
      <c r="D233" s="2">
        <f>iferror(VLOOKUP(E233,'출결유형'!$L:$M,2,0),"")</f>
        <v>5</v>
      </c>
      <c r="E233" s="21" t="s">
        <v>189</v>
      </c>
      <c r="G233" s="2" t="str">
        <f t="shared" si="1"/>
        <v>INSERT INTO tblAttendanceScore VALUES (seqAttendanceScore.nextval, -0.25, 232, 5);</v>
      </c>
    </row>
    <row r="234">
      <c r="A234" s="1" t="s">
        <v>201</v>
      </c>
      <c r="B234" s="2">
        <f>iferror(VLOOKUP(E234,'출결유형'!$A:$C,2,0),"")</f>
        <v>-0.25</v>
      </c>
      <c r="C234" s="2">
        <v>233.0</v>
      </c>
      <c r="D234" s="2">
        <f>iferror(VLOOKUP(E234,'출결유형'!$L:$M,2,0),"")</f>
        <v>5</v>
      </c>
      <c r="E234" s="21" t="s">
        <v>189</v>
      </c>
      <c r="G234" s="2" t="str">
        <f t="shared" si="1"/>
        <v>INSERT INTO tblAttendanceScore VALUES (seqAttendanceScore.nextval, -0.25, 233, 5);</v>
      </c>
    </row>
    <row r="235">
      <c r="A235" s="1" t="s">
        <v>201</v>
      </c>
      <c r="B235" s="2">
        <f>iferror(VLOOKUP(E235,'출결유형'!$A:$C,2,0),"")</f>
        <v>-0.25</v>
      </c>
      <c r="C235" s="2">
        <v>234.0</v>
      </c>
      <c r="D235" s="2">
        <f>iferror(VLOOKUP(E235,'출결유형'!$L:$M,2,0),"")</f>
        <v>5</v>
      </c>
      <c r="E235" s="21" t="s">
        <v>189</v>
      </c>
      <c r="G235" s="2" t="str">
        <f t="shared" si="1"/>
        <v>INSERT INTO tblAttendanceScore VALUES (seqAttendanceScore.nextval, -0.25, 234, 5);</v>
      </c>
    </row>
    <row r="236">
      <c r="A236" s="1" t="s">
        <v>201</v>
      </c>
      <c r="B236" s="2">
        <f>iferror(VLOOKUP(E236,'출결유형'!$A:$C,2,0),"")</f>
        <v>-0.25</v>
      </c>
      <c r="C236" s="2">
        <v>235.0</v>
      </c>
      <c r="D236" s="2">
        <f>iferror(VLOOKUP(E236,'출결유형'!$L:$M,2,0),"")</f>
        <v>5</v>
      </c>
      <c r="E236" s="21" t="s">
        <v>189</v>
      </c>
      <c r="G236" s="2" t="str">
        <f t="shared" si="1"/>
        <v>INSERT INTO tblAttendanceScore VALUES (seqAttendanceScore.nextval, -0.25, 235, 5);</v>
      </c>
    </row>
    <row r="237">
      <c r="A237" s="1" t="s">
        <v>201</v>
      </c>
      <c r="B237" s="2">
        <f>iferror(VLOOKUP(E237,'출결유형'!$A:$C,2,0),"")</f>
        <v>-0.25</v>
      </c>
      <c r="C237" s="2">
        <v>236.0</v>
      </c>
      <c r="D237" s="2">
        <f>iferror(VLOOKUP(E237,'출결유형'!$L:$M,2,0),"")</f>
        <v>5</v>
      </c>
      <c r="E237" s="21" t="s">
        <v>189</v>
      </c>
      <c r="G237" s="2" t="str">
        <f t="shared" si="1"/>
        <v>INSERT INTO tblAttendanceScore VALUES (seqAttendanceScore.nextval, -0.25, 236, 5);</v>
      </c>
    </row>
    <row r="238">
      <c r="A238" s="1" t="s">
        <v>201</v>
      </c>
      <c r="B238" s="2">
        <f>iferror(VLOOKUP(E238,'출결유형'!$A:$C,2,0),"")</f>
        <v>0</v>
      </c>
      <c r="C238" s="2">
        <v>237.0</v>
      </c>
      <c r="D238" s="2">
        <f>iferror(VLOOKUP(E238,'출결유형'!$L:$M,2,0),"")</f>
        <v>1</v>
      </c>
      <c r="E238" s="21" t="s">
        <v>184</v>
      </c>
      <c r="G238" s="2" t="str">
        <f t="shared" si="1"/>
        <v>INSERT INTO tblAttendanceScore VALUES (seqAttendanceScore.nextval, 0, 237, 1);</v>
      </c>
    </row>
    <row r="239">
      <c r="A239" s="1" t="s">
        <v>201</v>
      </c>
      <c r="B239" s="2">
        <f>iferror(VLOOKUP(E239,'출결유형'!$A:$C,2,0),"")</f>
        <v>0</v>
      </c>
      <c r="C239" s="2">
        <v>238.0</v>
      </c>
      <c r="D239" s="2">
        <f>iferror(VLOOKUP(E239,'출결유형'!$L:$M,2,0),"")</f>
        <v>1</v>
      </c>
      <c r="E239" s="21" t="s">
        <v>184</v>
      </c>
      <c r="G239" s="2" t="str">
        <f t="shared" si="1"/>
        <v>INSERT INTO tblAttendanceScore VALUES (seqAttendanceScore.nextval, 0, 238, 1);</v>
      </c>
    </row>
    <row r="240">
      <c r="A240" s="1" t="s">
        <v>201</v>
      </c>
      <c r="B240" s="2">
        <f>iferror(VLOOKUP(E240,'출결유형'!$A:$C,2,0),"")</f>
        <v>-0.25</v>
      </c>
      <c r="C240" s="2">
        <v>239.0</v>
      </c>
      <c r="D240" s="2">
        <f>iferror(VLOOKUP(E240,'출결유형'!$L:$M,2,0),"")</f>
        <v>5</v>
      </c>
      <c r="E240" s="21" t="s">
        <v>189</v>
      </c>
      <c r="G240" s="2" t="str">
        <f t="shared" si="1"/>
        <v>INSERT INTO tblAttendanceScore VALUES (seqAttendanceScore.nextval, -0.25, 239, 5);</v>
      </c>
    </row>
    <row r="241">
      <c r="A241" s="1" t="s">
        <v>201</v>
      </c>
      <c r="B241" s="2">
        <f>iferror(VLOOKUP(E241,'출결유형'!$A:$C,2,0),"")</f>
        <v>-0.25</v>
      </c>
      <c r="C241" s="2">
        <v>240.0</v>
      </c>
      <c r="D241" s="2">
        <f>iferror(VLOOKUP(E241,'출결유형'!$L:$M,2,0),"")</f>
        <v>5</v>
      </c>
      <c r="E241" s="21" t="s">
        <v>189</v>
      </c>
      <c r="G241" s="2" t="str">
        <f t="shared" si="1"/>
        <v>INSERT INTO tblAttendanceScore VALUES (seqAttendanceScore.nextval, -0.25, 240, 5);</v>
      </c>
    </row>
    <row r="242">
      <c r="A242" s="1" t="s">
        <v>201</v>
      </c>
      <c r="B242" s="2">
        <f>iferror(VLOOKUP(E242,'출결유형'!$A:$C,2,0),"")</f>
        <v>-0.25</v>
      </c>
      <c r="C242" s="2">
        <v>241.0</v>
      </c>
      <c r="D242" s="2">
        <f>iferror(VLOOKUP(E242,'출결유형'!$L:$M,2,0),"")</f>
        <v>5</v>
      </c>
      <c r="E242" s="21" t="s">
        <v>189</v>
      </c>
      <c r="G242" s="2" t="str">
        <f t="shared" si="1"/>
        <v>INSERT INTO tblAttendanceScore VALUES (seqAttendanceScore.nextval, -0.25, 241, 5);</v>
      </c>
    </row>
    <row r="243">
      <c r="A243" s="1" t="s">
        <v>201</v>
      </c>
      <c r="B243" s="2">
        <f>iferror(VLOOKUP(E243,'출결유형'!$A:$C,2,0),"")</f>
        <v>-0.25</v>
      </c>
      <c r="C243" s="2">
        <v>242.0</v>
      </c>
      <c r="D243" s="2">
        <f>iferror(VLOOKUP(E243,'출결유형'!$L:$M,2,0),"")</f>
        <v>5</v>
      </c>
      <c r="E243" s="21" t="s">
        <v>189</v>
      </c>
      <c r="G243" s="2" t="str">
        <f t="shared" si="1"/>
        <v>INSERT INTO tblAttendanceScore VALUES (seqAttendanceScore.nextval, -0.25, 242, 5);</v>
      </c>
    </row>
    <row r="244">
      <c r="A244" s="1" t="s">
        <v>201</v>
      </c>
      <c r="B244" s="2">
        <f>iferror(VLOOKUP(E244,'출결유형'!$A:$C,2,0),"")</f>
        <v>-0.25</v>
      </c>
      <c r="C244" s="2">
        <v>243.0</v>
      </c>
      <c r="D244" s="2">
        <f>iferror(VLOOKUP(E244,'출결유형'!$L:$M,2,0),"")</f>
        <v>5</v>
      </c>
      <c r="E244" s="21" t="s">
        <v>189</v>
      </c>
      <c r="G244" s="2" t="str">
        <f t="shared" si="1"/>
        <v>INSERT INTO tblAttendanceScore VALUES (seqAttendanceScore.nextval, -0.25, 243, 5);</v>
      </c>
    </row>
    <row r="245">
      <c r="A245" s="1" t="s">
        <v>201</v>
      </c>
      <c r="B245" s="2">
        <f>iferror(VLOOKUP(E245,'출결유형'!$A:$C,2,0),"")</f>
        <v>0</v>
      </c>
      <c r="C245" s="2">
        <v>244.0</v>
      </c>
      <c r="D245" s="2">
        <f>iferror(VLOOKUP(E245,'출결유형'!$L:$M,2,0),"")</f>
        <v>1</v>
      </c>
      <c r="E245" s="21" t="s">
        <v>184</v>
      </c>
      <c r="G245" s="2" t="str">
        <f t="shared" si="1"/>
        <v>INSERT INTO tblAttendanceScore VALUES (seqAttendanceScore.nextval, 0, 244, 1);</v>
      </c>
    </row>
    <row r="246">
      <c r="A246" s="1" t="s">
        <v>201</v>
      </c>
      <c r="B246" s="2">
        <f>iferror(VLOOKUP(E246,'출결유형'!$A:$C,2,0),"")</f>
        <v>0</v>
      </c>
      <c r="C246" s="2">
        <v>245.0</v>
      </c>
      <c r="D246" s="2">
        <f>iferror(VLOOKUP(E246,'출결유형'!$L:$M,2,0),"")</f>
        <v>1</v>
      </c>
      <c r="E246" s="21" t="s">
        <v>184</v>
      </c>
      <c r="G246" s="2" t="str">
        <f t="shared" si="1"/>
        <v>INSERT INTO tblAttendanceScore VALUES (seqAttendanceScore.nextval, 0, 245, 1);</v>
      </c>
    </row>
    <row r="247">
      <c r="A247" s="1" t="s">
        <v>201</v>
      </c>
      <c r="B247" s="2">
        <f>iferror(VLOOKUP(E247,'출결유형'!$A:$C,2,0),"")</f>
        <v>0</v>
      </c>
      <c r="C247" s="2">
        <v>246.0</v>
      </c>
      <c r="D247" s="2">
        <f>iferror(VLOOKUP(E247,'출결유형'!$L:$M,2,0),"")</f>
        <v>1</v>
      </c>
      <c r="E247" s="21" t="s">
        <v>184</v>
      </c>
      <c r="G247" s="2" t="str">
        <f t="shared" si="1"/>
        <v>INSERT INTO tblAttendanceScore VALUES (seqAttendanceScore.nextval, 0, 246, 1);</v>
      </c>
    </row>
    <row r="248">
      <c r="A248" s="1" t="s">
        <v>201</v>
      </c>
      <c r="B248" s="2">
        <f>iferror(VLOOKUP(E248,'출결유형'!$A:$C,2,0),"")</f>
        <v>-1</v>
      </c>
      <c r="C248" s="2">
        <v>247.0</v>
      </c>
      <c r="D248" s="2">
        <f>iferror(VLOOKUP(E248,'출결유형'!$L:$M,2,0),"")</f>
        <v>2</v>
      </c>
      <c r="E248" s="21" t="s">
        <v>186</v>
      </c>
      <c r="G248" s="2" t="str">
        <f t="shared" si="1"/>
        <v>INSERT INTO tblAttendanceScore VALUES (seqAttendanceScore.nextval, -1, 247, 2);</v>
      </c>
    </row>
    <row r="249">
      <c r="A249" s="1" t="s">
        <v>201</v>
      </c>
      <c r="B249" s="2">
        <f>iferror(VLOOKUP(E249,'출결유형'!$A:$C,2,0),"")</f>
        <v>0</v>
      </c>
      <c r="C249" s="2">
        <v>248.0</v>
      </c>
      <c r="D249" s="2">
        <f>iferror(VLOOKUP(E249,'출결유형'!$L:$M,2,0),"")</f>
        <v>1</v>
      </c>
      <c r="E249" s="21" t="s">
        <v>184</v>
      </c>
      <c r="G249" s="2" t="str">
        <f t="shared" si="1"/>
        <v>INSERT INTO tblAttendanceScore VALUES (seqAttendanceScore.nextval, 0, 248, 1);</v>
      </c>
    </row>
    <row r="250">
      <c r="A250" s="1" t="s">
        <v>201</v>
      </c>
      <c r="B250" s="2">
        <f>iferror(VLOOKUP(E250,'출결유형'!$A:$C,2,0),"")</f>
        <v>0</v>
      </c>
      <c r="C250" s="2">
        <v>249.0</v>
      </c>
      <c r="D250" s="2">
        <f>iferror(VLOOKUP(E250,'출결유형'!$L:$M,2,0),"")</f>
        <v>1</v>
      </c>
      <c r="E250" s="21" t="s">
        <v>184</v>
      </c>
      <c r="G250" s="2" t="str">
        <f t="shared" si="1"/>
        <v>INSERT INTO tblAttendanceScore VALUES (seqAttendanceScore.nextval, 0, 249, 1);</v>
      </c>
    </row>
    <row r="251">
      <c r="A251" s="1" t="s">
        <v>201</v>
      </c>
      <c r="B251" s="2">
        <f>iferror(VLOOKUP(E251,'출결유형'!$A:$C,2,0),"")</f>
        <v>0</v>
      </c>
      <c r="C251" s="2">
        <v>250.0</v>
      </c>
      <c r="D251" s="2">
        <f>iferror(VLOOKUP(E251,'출결유형'!$L:$M,2,0),"")</f>
        <v>1</v>
      </c>
      <c r="E251" s="21" t="s">
        <v>184</v>
      </c>
      <c r="G251" s="2" t="str">
        <f t="shared" si="1"/>
        <v>INSERT INTO tblAttendanceScore VALUES (seqAttendanceScore.nextval, 0, 250, 1);</v>
      </c>
    </row>
    <row r="252">
      <c r="A252" s="1" t="s">
        <v>201</v>
      </c>
      <c r="B252" s="2">
        <f>iferror(VLOOKUP(E252,'출결유형'!$A:$C,2,0),"")</f>
        <v>-0.25</v>
      </c>
      <c r="C252" s="2">
        <v>251.0</v>
      </c>
      <c r="D252" s="2">
        <f>iferror(VLOOKUP(E252,'출결유형'!$L:$M,2,0),"")</f>
        <v>5</v>
      </c>
      <c r="E252" s="21" t="s">
        <v>189</v>
      </c>
      <c r="G252" s="2" t="str">
        <f t="shared" si="1"/>
        <v>INSERT INTO tblAttendanceScore VALUES (seqAttendanceScore.nextval, -0.25, 251, 5);</v>
      </c>
    </row>
    <row r="253">
      <c r="A253" s="1" t="s">
        <v>201</v>
      </c>
      <c r="B253" s="2">
        <f>iferror(VLOOKUP(E253,'출결유형'!$A:$C,2,0),"")</f>
        <v>-0.25</v>
      </c>
      <c r="C253" s="2">
        <v>252.0</v>
      </c>
      <c r="D253" s="2">
        <f>iferror(VLOOKUP(E253,'출결유형'!$L:$M,2,0),"")</f>
        <v>5</v>
      </c>
      <c r="E253" s="21" t="s">
        <v>189</v>
      </c>
      <c r="G253" s="2" t="str">
        <f t="shared" si="1"/>
        <v>INSERT INTO tblAttendanceScore VALUES (seqAttendanceScore.nextval, -0.25, 252, 5);</v>
      </c>
    </row>
    <row r="254">
      <c r="A254" s="1" t="s">
        <v>201</v>
      </c>
      <c r="B254" s="2">
        <f>iferror(VLOOKUP(E254,'출결유형'!$A:$C,2,0),"")</f>
        <v>-0.25</v>
      </c>
      <c r="C254" s="2">
        <v>253.0</v>
      </c>
      <c r="D254" s="2">
        <f>iferror(VLOOKUP(E254,'출결유형'!$L:$M,2,0),"")</f>
        <v>5</v>
      </c>
      <c r="E254" s="21" t="s">
        <v>189</v>
      </c>
      <c r="G254" s="2" t="str">
        <f t="shared" si="1"/>
        <v>INSERT INTO tblAttendanceScore VALUES (seqAttendanceScore.nextval, -0.25, 253, 5);</v>
      </c>
    </row>
    <row r="255">
      <c r="A255" s="1" t="s">
        <v>201</v>
      </c>
      <c r="B255" s="2">
        <f>iferror(VLOOKUP(E255,'출결유형'!$A:$C,2,0),"")</f>
        <v>0</v>
      </c>
      <c r="C255" s="2">
        <v>254.0</v>
      </c>
      <c r="D255" s="2">
        <f>iferror(VLOOKUP(E255,'출결유형'!$L:$M,2,0),"")</f>
        <v>1</v>
      </c>
      <c r="E255" s="21" t="s">
        <v>184</v>
      </c>
      <c r="G255" s="2" t="str">
        <f t="shared" si="1"/>
        <v>INSERT INTO tblAttendanceScore VALUES (seqAttendanceScore.nextval, 0, 254, 1);</v>
      </c>
    </row>
    <row r="256">
      <c r="A256" s="1" t="s">
        <v>201</v>
      </c>
      <c r="B256" s="2">
        <f>iferror(VLOOKUP(E256,'출결유형'!$A:$C,2,0),"")</f>
        <v>0</v>
      </c>
      <c r="C256" s="2">
        <v>255.0</v>
      </c>
      <c r="D256" s="2">
        <f>iferror(VLOOKUP(E256,'출결유형'!$L:$M,2,0),"")</f>
        <v>1</v>
      </c>
      <c r="E256" s="21" t="s">
        <v>184</v>
      </c>
      <c r="G256" s="2" t="str">
        <f t="shared" si="1"/>
        <v>INSERT INTO tblAttendanceScore VALUES (seqAttendanceScore.nextval, 0, 255, 1);</v>
      </c>
    </row>
    <row r="257">
      <c r="A257" s="1" t="s">
        <v>201</v>
      </c>
      <c r="B257" s="2">
        <f>iferror(VLOOKUP(E257,'출결유형'!$A:$C,2,0),"")</f>
        <v>-0.25</v>
      </c>
      <c r="C257" s="2">
        <v>256.0</v>
      </c>
      <c r="D257" s="2">
        <f>iferror(VLOOKUP(E257,'출결유형'!$L:$M,2,0),"")</f>
        <v>5</v>
      </c>
      <c r="E257" s="21" t="s">
        <v>189</v>
      </c>
      <c r="G257" s="2" t="str">
        <f t="shared" si="1"/>
        <v>INSERT INTO tblAttendanceScore VALUES (seqAttendanceScore.nextval, -0.25, 256, 5);</v>
      </c>
    </row>
    <row r="258">
      <c r="A258" s="1" t="s">
        <v>201</v>
      </c>
      <c r="B258" s="2">
        <f>iferror(VLOOKUP(E258,'출결유형'!$A:$C,2,0),"")</f>
        <v>-0.25</v>
      </c>
      <c r="C258" s="2">
        <v>257.0</v>
      </c>
      <c r="D258" s="2">
        <f>iferror(VLOOKUP(E258,'출결유형'!$L:$M,2,0),"")</f>
        <v>5</v>
      </c>
      <c r="E258" s="21" t="s">
        <v>189</v>
      </c>
      <c r="G258" s="2" t="str">
        <f t="shared" si="1"/>
        <v>INSERT INTO tblAttendanceScore VALUES (seqAttendanceScore.nextval, -0.25, 257, 5);</v>
      </c>
    </row>
    <row r="259">
      <c r="A259" s="1" t="s">
        <v>201</v>
      </c>
      <c r="B259" s="2">
        <f>iferror(VLOOKUP(E259,'출결유형'!$A:$C,2,0),"")</f>
        <v>0</v>
      </c>
      <c r="C259" s="2">
        <v>258.0</v>
      </c>
      <c r="D259" s="2">
        <f>iferror(VLOOKUP(E259,'출결유형'!$L:$M,2,0),"")</f>
        <v>1</v>
      </c>
      <c r="E259" s="21" t="s">
        <v>184</v>
      </c>
      <c r="G259" s="2" t="str">
        <f t="shared" si="1"/>
        <v>INSERT INTO tblAttendanceScore VALUES (seqAttendanceScore.nextval, 0, 258, 1);</v>
      </c>
    </row>
    <row r="260">
      <c r="A260" s="1" t="s">
        <v>201</v>
      </c>
      <c r="B260" s="2">
        <f>iferror(VLOOKUP(E260,'출결유형'!$A:$C,2,0),"")</f>
        <v>0</v>
      </c>
      <c r="C260" s="2">
        <v>259.0</v>
      </c>
      <c r="D260" s="2">
        <f>iferror(VLOOKUP(E260,'출결유형'!$L:$M,2,0),"")</f>
        <v>1</v>
      </c>
      <c r="E260" s="21" t="s">
        <v>184</v>
      </c>
      <c r="G260" s="2" t="str">
        <f t="shared" si="1"/>
        <v>INSERT INTO tblAttendanceScore VALUES (seqAttendanceScore.nextval, 0, 259, 1);</v>
      </c>
    </row>
    <row r="261">
      <c r="A261" s="1" t="s">
        <v>201</v>
      </c>
      <c r="B261" s="2">
        <f>iferror(VLOOKUP(E261,'출결유형'!$A:$C,2,0),"")</f>
        <v>0</v>
      </c>
      <c r="C261" s="2">
        <v>260.0</v>
      </c>
      <c r="D261" s="2">
        <f>iferror(VLOOKUP(E261,'출결유형'!$L:$M,2,0),"")</f>
        <v>1</v>
      </c>
      <c r="E261" s="21" t="s">
        <v>184</v>
      </c>
      <c r="G261" s="2" t="str">
        <f t="shared" si="1"/>
        <v>INSERT INTO tblAttendanceScore VALUES (seqAttendanceScore.nextval, 0, 260, 1);</v>
      </c>
    </row>
    <row r="262">
      <c r="A262" s="1" t="s">
        <v>201</v>
      </c>
      <c r="B262" s="2">
        <f>iferror(VLOOKUP(E262,'출결유형'!$A:$C,2,0),"")</f>
        <v>-0.25</v>
      </c>
      <c r="C262" s="2">
        <v>261.0</v>
      </c>
      <c r="D262" s="2">
        <f>iferror(VLOOKUP(E262,'출결유형'!$L:$M,2,0),"")</f>
        <v>5</v>
      </c>
      <c r="E262" s="21" t="s">
        <v>189</v>
      </c>
      <c r="G262" s="2" t="str">
        <f t="shared" si="1"/>
        <v>INSERT INTO tblAttendanceScore VALUES (seqAttendanceScore.nextval, -0.25, 261, 5);</v>
      </c>
    </row>
    <row r="263">
      <c r="A263" s="1" t="s">
        <v>201</v>
      </c>
      <c r="B263" s="2">
        <f>iferror(VLOOKUP(E263,'출결유형'!$A:$C,2,0),"")</f>
        <v>-0.25</v>
      </c>
      <c r="C263" s="2">
        <v>262.0</v>
      </c>
      <c r="D263" s="2">
        <f>iferror(VLOOKUP(E263,'출결유형'!$L:$M,2,0),"")</f>
        <v>5</v>
      </c>
      <c r="E263" s="21" t="s">
        <v>189</v>
      </c>
      <c r="G263" s="2" t="str">
        <f t="shared" si="1"/>
        <v>INSERT INTO tblAttendanceScore VALUES (seqAttendanceScore.nextval, -0.25, 262, 5);</v>
      </c>
    </row>
    <row r="264">
      <c r="A264" s="1" t="s">
        <v>201</v>
      </c>
      <c r="B264" s="2">
        <f>iferror(VLOOKUP(E264,'출결유형'!$A:$C,2,0),"")</f>
        <v>-0.25</v>
      </c>
      <c r="C264" s="2">
        <v>263.0</v>
      </c>
      <c r="D264" s="2">
        <f>iferror(VLOOKUP(E264,'출결유형'!$L:$M,2,0),"")</f>
        <v>5</v>
      </c>
      <c r="E264" s="21" t="s">
        <v>189</v>
      </c>
      <c r="G264" s="2" t="str">
        <f t="shared" si="1"/>
        <v>INSERT INTO tblAttendanceScore VALUES (seqAttendanceScore.nextval, -0.25, 263, 5);</v>
      </c>
    </row>
    <row r="265">
      <c r="A265" s="1" t="s">
        <v>201</v>
      </c>
      <c r="B265" s="2">
        <f>iferror(VLOOKUP(E265,'출결유형'!$A:$C,2,0),"")</f>
        <v>0</v>
      </c>
      <c r="C265" s="2">
        <v>264.0</v>
      </c>
      <c r="D265" s="2">
        <f>iferror(VLOOKUP(E265,'출결유형'!$L:$M,2,0),"")</f>
        <v>1</v>
      </c>
      <c r="E265" s="21" t="s">
        <v>184</v>
      </c>
      <c r="G265" s="2" t="str">
        <f t="shared" si="1"/>
        <v>INSERT INTO tblAttendanceScore VALUES (seqAttendanceScore.nextval, 0, 264, 1);</v>
      </c>
    </row>
    <row r="266">
      <c r="A266" s="1" t="s">
        <v>201</v>
      </c>
      <c r="B266" s="2">
        <f>iferror(VLOOKUP(E266,'출결유형'!$A:$C,2,0),"")</f>
        <v>0</v>
      </c>
      <c r="C266" s="2">
        <v>265.0</v>
      </c>
      <c r="D266" s="2">
        <f>iferror(VLOOKUP(E266,'출결유형'!$L:$M,2,0),"")</f>
        <v>1</v>
      </c>
      <c r="E266" s="21" t="s">
        <v>184</v>
      </c>
      <c r="G266" s="2" t="str">
        <f t="shared" si="1"/>
        <v>INSERT INTO tblAttendanceScore VALUES (seqAttendanceScore.nextval, 0, 265, 1);</v>
      </c>
    </row>
    <row r="267">
      <c r="A267" s="1" t="s">
        <v>201</v>
      </c>
      <c r="B267" s="2">
        <f>iferror(VLOOKUP(E267,'출결유형'!$A:$C,2,0),"")</f>
        <v>-0.25</v>
      </c>
      <c r="C267" s="2">
        <v>266.0</v>
      </c>
      <c r="D267" s="2">
        <f>iferror(VLOOKUP(E267,'출결유형'!$L:$M,2,0),"")</f>
        <v>5</v>
      </c>
      <c r="E267" s="21" t="s">
        <v>189</v>
      </c>
      <c r="G267" s="2" t="str">
        <f t="shared" si="1"/>
        <v>INSERT INTO tblAttendanceScore VALUES (seqAttendanceScore.nextval, -0.25, 266, 5);</v>
      </c>
    </row>
    <row r="268">
      <c r="A268" s="1" t="s">
        <v>201</v>
      </c>
      <c r="B268" s="2">
        <f>iferror(VLOOKUP(E268,'출결유형'!$A:$C,2,0),"")</f>
        <v>0</v>
      </c>
      <c r="C268" s="2">
        <v>267.0</v>
      </c>
      <c r="D268" s="2">
        <f>iferror(VLOOKUP(E268,'출결유형'!$L:$M,2,0),"")</f>
        <v>1</v>
      </c>
      <c r="E268" s="21" t="s">
        <v>184</v>
      </c>
      <c r="G268" s="2" t="str">
        <f t="shared" si="1"/>
        <v>INSERT INTO tblAttendanceScore VALUES (seqAttendanceScore.nextval, 0, 267, 1);</v>
      </c>
    </row>
    <row r="269">
      <c r="A269" s="1" t="s">
        <v>201</v>
      </c>
      <c r="B269" s="2">
        <f>iferror(VLOOKUP(E269,'출결유형'!$A:$C,2,0),"")</f>
        <v>0</v>
      </c>
      <c r="C269" s="2">
        <v>268.0</v>
      </c>
      <c r="D269" s="2">
        <f>iferror(VLOOKUP(E269,'출결유형'!$L:$M,2,0),"")</f>
        <v>1</v>
      </c>
      <c r="E269" s="21" t="s">
        <v>184</v>
      </c>
      <c r="G269" s="2" t="str">
        <f t="shared" si="1"/>
        <v>INSERT INTO tblAttendanceScore VALUES (seqAttendanceScore.nextval, 0, 268, 1);</v>
      </c>
    </row>
    <row r="270">
      <c r="A270" s="1" t="s">
        <v>201</v>
      </c>
      <c r="B270" s="2">
        <f>iferror(VLOOKUP(E270,'출결유형'!$A:$C,2,0),"")</f>
        <v>-0.25</v>
      </c>
      <c r="C270" s="2">
        <v>269.0</v>
      </c>
      <c r="D270" s="2">
        <f>iferror(VLOOKUP(E270,'출결유형'!$L:$M,2,0),"")</f>
        <v>5</v>
      </c>
      <c r="E270" s="21" t="s">
        <v>189</v>
      </c>
      <c r="G270" s="2" t="str">
        <f t="shared" si="1"/>
        <v>INSERT INTO tblAttendanceScore VALUES (seqAttendanceScore.nextval, -0.25, 269, 5);</v>
      </c>
    </row>
    <row r="271">
      <c r="A271" s="1" t="s">
        <v>201</v>
      </c>
      <c r="B271" s="2">
        <f>iferror(VLOOKUP(E271,'출결유형'!$A:$C,2,0),"")</f>
        <v>-0.25</v>
      </c>
      <c r="C271" s="2">
        <v>270.0</v>
      </c>
      <c r="D271" s="2">
        <f>iferror(VLOOKUP(E271,'출결유형'!$L:$M,2,0),"")</f>
        <v>5</v>
      </c>
      <c r="E271" s="21" t="s">
        <v>189</v>
      </c>
      <c r="G271" s="2" t="str">
        <f t="shared" si="1"/>
        <v>INSERT INTO tblAttendanceScore VALUES (seqAttendanceScore.nextval, -0.25, 270, 5);</v>
      </c>
    </row>
    <row r="272">
      <c r="A272" s="1" t="s">
        <v>201</v>
      </c>
      <c r="B272" s="2">
        <f>iferror(VLOOKUP(E272,'출결유형'!$A:$C,2,0),"")</f>
        <v>-0.25</v>
      </c>
      <c r="C272" s="2">
        <v>271.0</v>
      </c>
      <c r="D272" s="2">
        <f>iferror(VLOOKUP(E272,'출결유형'!$L:$M,2,0),"")</f>
        <v>5</v>
      </c>
      <c r="E272" s="21" t="s">
        <v>189</v>
      </c>
      <c r="G272" s="2" t="str">
        <f t="shared" si="1"/>
        <v>INSERT INTO tblAttendanceScore VALUES (seqAttendanceScore.nextval, -0.25, 271, 5);</v>
      </c>
    </row>
    <row r="273">
      <c r="A273" s="1" t="s">
        <v>201</v>
      </c>
      <c r="B273" s="2">
        <f>iferror(VLOOKUP(E273,'출결유형'!$A:$C,2,0),"")</f>
        <v>-0.25</v>
      </c>
      <c r="C273" s="2">
        <v>272.0</v>
      </c>
      <c r="D273" s="2">
        <f>iferror(VLOOKUP(E273,'출결유형'!$L:$M,2,0),"")</f>
        <v>5</v>
      </c>
      <c r="E273" s="21" t="s">
        <v>189</v>
      </c>
      <c r="G273" s="2" t="str">
        <f t="shared" si="1"/>
        <v>INSERT INTO tblAttendanceScore VALUES (seqAttendanceScore.nextval, -0.25, 272, 5);</v>
      </c>
    </row>
    <row r="274">
      <c r="A274" s="1" t="s">
        <v>201</v>
      </c>
      <c r="B274" s="2">
        <f>iferror(VLOOKUP(E274,'출결유형'!$A:$C,2,0),"")</f>
        <v>-0.25</v>
      </c>
      <c r="C274" s="2">
        <v>273.0</v>
      </c>
      <c r="D274" s="2">
        <f>iferror(VLOOKUP(E274,'출결유형'!$L:$M,2,0),"")</f>
        <v>5</v>
      </c>
      <c r="E274" s="21" t="s">
        <v>189</v>
      </c>
      <c r="G274" s="2" t="str">
        <f t="shared" si="1"/>
        <v>INSERT INTO tblAttendanceScore VALUES (seqAttendanceScore.nextval, -0.25, 273, 5);</v>
      </c>
    </row>
    <row r="275">
      <c r="A275" s="1" t="s">
        <v>201</v>
      </c>
      <c r="B275" s="2">
        <f>iferror(VLOOKUP(E275,'출결유형'!$A:$C,2,0),"")</f>
        <v>-0.25</v>
      </c>
      <c r="C275" s="2">
        <v>274.0</v>
      </c>
      <c r="D275" s="2">
        <f>iferror(VLOOKUP(E275,'출결유형'!$L:$M,2,0),"")</f>
        <v>5</v>
      </c>
      <c r="E275" s="21" t="s">
        <v>189</v>
      </c>
      <c r="G275" s="2" t="str">
        <f t="shared" si="1"/>
        <v>INSERT INTO tblAttendanceScore VALUES (seqAttendanceScore.nextval, -0.25, 274, 5);</v>
      </c>
    </row>
    <row r="276">
      <c r="A276" s="1" t="s">
        <v>201</v>
      </c>
      <c r="B276" s="2">
        <f>iferror(VLOOKUP(E276,'출결유형'!$A:$C,2,0),"")</f>
        <v>-0.25</v>
      </c>
      <c r="C276" s="2">
        <v>275.0</v>
      </c>
      <c r="D276" s="2">
        <f>iferror(VLOOKUP(E276,'출결유형'!$L:$M,2,0),"")</f>
        <v>5</v>
      </c>
      <c r="E276" s="21" t="s">
        <v>189</v>
      </c>
      <c r="G276" s="2" t="str">
        <f t="shared" si="1"/>
        <v>INSERT INTO tblAttendanceScore VALUES (seqAttendanceScore.nextval, -0.25, 275, 5);</v>
      </c>
    </row>
    <row r="277">
      <c r="A277" s="1" t="s">
        <v>201</v>
      </c>
      <c r="B277" s="2">
        <f>iferror(VLOOKUP(E277,'출결유형'!$A:$C,2,0),"")</f>
        <v>-0.25</v>
      </c>
      <c r="C277" s="2">
        <v>276.0</v>
      </c>
      <c r="D277" s="2">
        <f>iferror(VLOOKUP(E277,'출결유형'!$L:$M,2,0),"")</f>
        <v>5</v>
      </c>
      <c r="E277" s="21" t="s">
        <v>189</v>
      </c>
      <c r="G277" s="2" t="str">
        <f t="shared" si="1"/>
        <v>INSERT INTO tblAttendanceScore VALUES (seqAttendanceScore.nextval, -0.25, 276, 5);</v>
      </c>
    </row>
    <row r="278">
      <c r="A278" s="1" t="s">
        <v>201</v>
      </c>
      <c r="B278" s="2">
        <f>iferror(VLOOKUP(E278,'출결유형'!$A:$C,2,0),"")</f>
        <v>0</v>
      </c>
      <c r="C278" s="2">
        <v>277.0</v>
      </c>
      <c r="D278" s="2">
        <f>iferror(VLOOKUP(E278,'출결유형'!$L:$M,2,0),"")</f>
        <v>1</v>
      </c>
      <c r="E278" s="21" t="s">
        <v>184</v>
      </c>
      <c r="G278" s="2" t="str">
        <f t="shared" si="1"/>
        <v>INSERT INTO tblAttendanceScore VALUES (seqAttendanceScore.nextval, 0, 277, 1);</v>
      </c>
    </row>
    <row r="279">
      <c r="A279" s="1" t="s">
        <v>201</v>
      </c>
      <c r="B279" s="2">
        <f>iferror(VLOOKUP(E279,'출결유형'!$A:$C,2,0),"")</f>
        <v>0</v>
      </c>
      <c r="C279" s="2">
        <v>278.0</v>
      </c>
      <c r="D279" s="2">
        <f>iferror(VLOOKUP(E279,'출결유형'!$L:$M,2,0),"")</f>
        <v>1</v>
      </c>
      <c r="E279" s="21" t="s">
        <v>184</v>
      </c>
      <c r="G279" s="2" t="str">
        <f t="shared" si="1"/>
        <v>INSERT INTO tblAttendanceScore VALUES (seqAttendanceScore.nextval, 0, 278, 1);</v>
      </c>
    </row>
    <row r="280">
      <c r="A280" s="1" t="s">
        <v>201</v>
      </c>
      <c r="B280" s="2">
        <f>iferror(VLOOKUP(E280,'출결유형'!$A:$C,2,0),"")</f>
        <v>-0.25</v>
      </c>
      <c r="C280" s="2">
        <v>279.0</v>
      </c>
      <c r="D280" s="2">
        <f>iferror(VLOOKUP(E280,'출결유형'!$L:$M,2,0),"")</f>
        <v>5</v>
      </c>
      <c r="E280" s="21" t="s">
        <v>189</v>
      </c>
      <c r="G280" s="2" t="str">
        <f t="shared" si="1"/>
        <v>INSERT INTO tblAttendanceScore VALUES (seqAttendanceScore.nextval, -0.25, 279, 5);</v>
      </c>
    </row>
    <row r="281">
      <c r="A281" s="1" t="s">
        <v>201</v>
      </c>
      <c r="B281" s="2">
        <f>iferror(VLOOKUP(E281,'출결유형'!$A:$C,2,0),"")</f>
        <v>0</v>
      </c>
      <c r="C281" s="2">
        <v>280.0</v>
      </c>
      <c r="D281" s="2">
        <f>iferror(VLOOKUP(E281,'출결유형'!$L:$M,2,0),"")</f>
        <v>1</v>
      </c>
      <c r="E281" s="21" t="s">
        <v>184</v>
      </c>
      <c r="G281" s="2" t="str">
        <f t="shared" si="1"/>
        <v>INSERT INTO tblAttendanceScore VALUES (seqAttendanceScore.nextval, 0, 280, 1);</v>
      </c>
    </row>
    <row r="282">
      <c r="A282" s="1" t="s">
        <v>201</v>
      </c>
      <c r="B282" s="2">
        <f>iferror(VLOOKUP(E282,'출결유형'!$A:$C,2,0),"")</f>
        <v>-0.25</v>
      </c>
      <c r="C282" s="2">
        <v>281.0</v>
      </c>
      <c r="D282" s="2">
        <f>iferror(VLOOKUP(E282,'출결유형'!$L:$M,2,0),"")</f>
        <v>5</v>
      </c>
      <c r="E282" s="21" t="s">
        <v>189</v>
      </c>
      <c r="G282" s="2" t="str">
        <f t="shared" si="1"/>
        <v>INSERT INTO tblAttendanceScore VALUES (seqAttendanceScore.nextval, -0.25, 281, 5);</v>
      </c>
    </row>
    <row r="283">
      <c r="A283" s="1" t="s">
        <v>201</v>
      </c>
      <c r="B283" s="2">
        <f>iferror(VLOOKUP(E283,'출결유형'!$A:$C,2,0),"")</f>
        <v>-0.25</v>
      </c>
      <c r="C283" s="2">
        <v>282.0</v>
      </c>
      <c r="D283" s="2">
        <f>iferror(VLOOKUP(E283,'출결유형'!$L:$M,2,0),"")</f>
        <v>5</v>
      </c>
      <c r="E283" s="21" t="s">
        <v>189</v>
      </c>
      <c r="G283" s="2" t="str">
        <f t="shared" si="1"/>
        <v>INSERT INTO tblAttendanceScore VALUES (seqAttendanceScore.nextval, -0.25, 282, 5);</v>
      </c>
    </row>
    <row r="284">
      <c r="A284" s="1" t="s">
        <v>201</v>
      </c>
      <c r="B284" s="2">
        <f>iferror(VLOOKUP(E284,'출결유형'!$A:$C,2,0),"")</f>
        <v>0</v>
      </c>
      <c r="C284" s="2">
        <v>283.0</v>
      </c>
      <c r="D284" s="2">
        <f>iferror(VLOOKUP(E284,'출결유형'!$L:$M,2,0),"")</f>
        <v>1</v>
      </c>
      <c r="E284" s="21" t="s">
        <v>184</v>
      </c>
      <c r="G284" s="2" t="str">
        <f t="shared" si="1"/>
        <v>INSERT INTO tblAttendanceScore VALUES (seqAttendanceScore.nextval, 0, 283, 1);</v>
      </c>
    </row>
    <row r="285">
      <c r="A285" s="1" t="s">
        <v>201</v>
      </c>
      <c r="B285" s="2">
        <f>iferror(VLOOKUP(E285,'출결유형'!$A:$C,2,0),"")</f>
        <v>0</v>
      </c>
      <c r="C285" s="2">
        <v>284.0</v>
      </c>
      <c r="D285" s="2">
        <f>iferror(VLOOKUP(E285,'출결유형'!$L:$M,2,0),"")</f>
        <v>1</v>
      </c>
      <c r="E285" s="21" t="s">
        <v>184</v>
      </c>
      <c r="G285" s="2" t="str">
        <f t="shared" si="1"/>
        <v>INSERT INTO tblAttendanceScore VALUES (seqAttendanceScore.nextval, 0, 284, 1);</v>
      </c>
    </row>
    <row r="286">
      <c r="A286" s="1" t="s">
        <v>201</v>
      </c>
      <c r="B286" s="2">
        <f>iferror(VLOOKUP(E286,'출결유형'!$A:$C,2,0),"")</f>
        <v>0</v>
      </c>
      <c r="C286" s="2">
        <v>285.0</v>
      </c>
      <c r="D286" s="2">
        <f>iferror(VLOOKUP(E286,'출결유형'!$L:$M,2,0),"")</f>
        <v>1</v>
      </c>
      <c r="E286" s="21" t="s">
        <v>184</v>
      </c>
      <c r="G286" s="2" t="str">
        <f t="shared" si="1"/>
        <v>INSERT INTO tblAttendanceScore VALUES (seqAttendanceScore.nextval, 0, 285, 1);</v>
      </c>
    </row>
    <row r="287">
      <c r="A287" s="1" t="s">
        <v>201</v>
      </c>
      <c r="B287" s="2">
        <f>iferror(VLOOKUP(E287,'출결유형'!$A:$C,2,0),"")</f>
        <v>-0.25</v>
      </c>
      <c r="C287" s="2">
        <v>286.0</v>
      </c>
      <c r="D287" s="2">
        <f>iferror(VLOOKUP(E287,'출결유형'!$L:$M,2,0),"")</f>
        <v>5</v>
      </c>
      <c r="E287" s="21" t="s">
        <v>189</v>
      </c>
      <c r="G287" s="2" t="str">
        <f t="shared" si="1"/>
        <v>INSERT INTO tblAttendanceScore VALUES (seqAttendanceScore.nextval, -0.25, 286, 5);</v>
      </c>
    </row>
    <row r="288">
      <c r="A288" s="1" t="s">
        <v>201</v>
      </c>
      <c r="B288" s="2">
        <f>iferror(VLOOKUP(E288,'출결유형'!$A:$C,2,0),"")</f>
        <v>0</v>
      </c>
      <c r="C288" s="2">
        <v>287.0</v>
      </c>
      <c r="D288" s="2">
        <f>iferror(VLOOKUP(E288,'출결유형'!$L:$M,2,0),"")</f>
        <v>1</v>
      </c>
      <c r="E288" s="21" t="s">
        <v>184</v>
      </c>
      <c r="G288" s="2" t="str">
        <f t="shared" si="1"/>
        <v>INSERT INTO tblAttendanceScore VALUES (seqAttendanceScore.nextval, 0, 287, 1);</v>
      </c>
    </row>
    <row r="289">
      <c r="A289" s="1" t="s">
        <v>201</v>
      </c>
      <c r="B289" s="2">
        <f>iferror(VLOOKUP(E289,'출결유형'!$A:$C,2,0),"")</f>
        <v>0</v>
      </c>
      <c r="C289" s="2">
        <v>288.0</v>
      </c>
      <c r="D289" s="2">
        <f>iferror(VLOOKUP(E289,'출결유형'!$L:$M,2,0),"")</f>
        <v>1</v>
      </c>
      <c r="E289" s="21" t="s">
        <v>184</v>
      </c>
      <c r="G289" s="2" t="str">
        <f t="shared" si="1"/>
        <v>INSERT INTO tblAttendanceScore VALUES (seqAttendanceScore.nextval, 0, 288, 1);</v>
      </c>
    </row>
    <row r="290">
      <c r="A290" s="1" t="s">
        <v>201</v>
      </c>
      <c r="B290" s="2">
        <f>iferror(VLOOKUP(E290,'출결유형'!$A:$C,2,0),"")</f>
        <v>-0.25</v>
      </c>
      <c r="C290" s="2">
        <v>289.0</v>
      </c>
      <c r="D290" s="2">
        <f>iferror(VLOOKUP(E290,'출결유형'!$L:$M,2,0),"")</f>
        <v>5</v>
      </c>
      <c r="E290" s="21" t="s">
        <v>189</v>
      </c>
      <c r="G290" s="2" t="str">
        <f t="shared" si="1"/>
        <v>INSERT INTO tblAttendanceScore VALUES (seqAttendanceScore.nextval, -0.25, 289, 5);</v>
      </c>
    </row>
    <row r="291">
      <c r="A291" s="1" t="s">
        <v>201</v>
      </c>
      <c r="B291" s="2">
        <f>iferror(VLOOKUP(E291,'출결유형'!$A:$C,2,0),"")</f>
        <v>0</v>
      </c>
      <c r="C291" s="2">
        <v>290.0</v>
      </c>
      <c r="D291" s="2">
        <f>iferror(VLOOKUP(E291,'출결유형'!$L:$M,2,0),"")</f>
        <v>1</v>
      </c>
      <c r="E291" s="21" t="s">
        <v>184</v>
      </c>
      <c r="G291" s="2" t="str">
        <f t="shared" si="1"/>
        <v>INSERT INTO tblAttendanceScore VALUES (seqAttendanceScore.nextval, 0, 290, 1);</v>
      </c>
    </row>
    <row r="292">
      <c r="A292" s="1" t="s">
        <v>201</v>
      </c>
      <c r="B292" s="2">
        <f>iferror(VLOOKUP(E292,'출결유형'!$A:$C,2,0),"")</f>
        <v>0</v>
      </c>
      <c r="C292" s="2">
        <v>291.0</v>
      </c>
      <c r="D292" s="2">
        <f>iferror(VLOOKUP(E292,'출결유형'!$L:$M,2,0),"")</f>
        <v>1</v>
      </c>
      <c r="E292" s="21" t="s">
        <v>184</v>
      </c>
      <c r="G292" s="2" t="str">
        <f t="shared" si="1"/>
        <v>INSERT INTO tblAttendanceScore VALUES (seqAttendanceScore.nextval, 0, 291, 1);</v>
      </c>
    </row>
    <row r="293">
      <c r="A293" s="1" t="s">
        <v>201</v>
      </c>
      <c r="B293" s="2">
        <f>iferror(VLOOKUP(E293,'출결유형'!$A:$C,2,0),"")</f>
        <v>0</v>
      </c>
      <c r="C293" s="2">
        <v>292.0</v>
      </c>
      <c r="D293" s="2">
        <f>iferror(VLOOKUP(E293,'출결유형'!$L:$M,2,0),"")</f>
        <v>1</v>
      </c>
      <c r="E293" s="21" t="s">
        <v>184</v>
      </c>
      <c r="G293" s="2" t="str">
        <f t="shared" si="1"/>
        <v>INSERT INTO tblAttendanceScore VALUES (seqAttendanceScore.nextval, 0, 292, 1);</v>
      </c>
    </row>
    <row r="294">
      <c r="A294" s="1" t="s">
        <v>201</v>
      </c>
      <c r="B294" s="2">
        <f>iferror(VLOOKUP(E294,'출결유형'!$A:$C,2,0),"")</f>
        <v>0</v>
      </c>
      <c r="C294" s="2">
        <v>293.0</v>
      </c>
      <c r="D294" s="2">
        <f>iferror(VLOOKUP(E294,'출결유형'!$L:$M,2,0),"")</f>
        <v>1</v>
      </c>
      <c r="E294" s="21" t="s">
        <v>184</v>
      </c>
      <c r="G294" s="2" t="str">
        <f t="shared" si="1"/>
        <v>INSERT INTO tblAttendanceScore VALUES (seqAttendanceScore.nextval, 0, 293, 1);</v>
      </c>
    </row>
    <row r="295">
      <c r="A295" s="1" t="s">
        <v>201</v>
      </c>
      <c r="B295" s="2">
        <f>iferror(VLOOKUP(E295,'출결유형'!$A:$C,2,0),"")</f>
        <v>-0.25</v>
      </c>
      <c r="C295" s="2">
        <v>294.0</v>
      </c>
      <c r="D295" s="2">
        <f>iferror(VLOOKUP(E295,'출결유형'!$L:$M,2,0),"")</f>
        <v>5</v>
      </c>
      <c r="E295" s="21" t="s">
        <v>189</v>
      </c>
      <c r="G295" s="2" t="str">
        <f t="shared" si="1"/>
        <v>INSERT INTO tblAttendanceScore VALUES (seqAttendanceScore.nextval, -0.25, 294, 5);</v>
      </c>
    </row>
    <row r="296">
      <c r="A296" s="1" t="s">
        <v>201</v>
      </c>
      <c r="B296" s="2">
        <f>iferror(VLOOKUP(E296,'출결유형'!$A:$C,2,0),"")</f>
        <v>-0.25</v>
      </c>
      <c r="C296" s="2">
        <v>295.0</v>
      </c>
      <c r="D296" s="2">
        <f>iferror(VLOOKUP(E296,'출결유형'!$L:$M,2,0),"")</f>
        <v>5</v>
      </c>
      <c r="E296" s="21" t="s">
        <v>189</v>
      </c>
      <c r="G296" s="2" t="str">
        <f t="shared" si="1"/>
        <v>INSERT INTO tblAttendanceScore VALUES (seqAttendanceScore.nextval, -0.25, 295, 5);</v>
      </c>
    </row>
    <row r="297">
      <c r="A297" s="1" t="s">
        <v>201</v>
      </c>
      <c r="B297" s="2">
        <f>iferror(VLOOKUP(E297,'출결유형'!$A:$C,2,0),"")</f>
        <v>0</v>
      </c>
      <c r="C297" s="2">
        <v>296.0</v>
      </c>
      <c r="D297" s="2">
        <f>iferror(VLOOKUP(E297,'출결유형'!$L:$M,2,0),"")</f>
        <v>1</v>
      </c>
      <c r="E297" s="21" t="s">
        <v>184</v>
      </c>
      <c r="G297" s="2" t="str">
        <f t="shared" si="1"/>
        <v>INSERT INTO tblAttendanceScore VALUES (seqAttendanceScore.nextval, 0, 296, 1);</v>
      </c>
    </row>
    <row r="298">
      <c r="A298" s="1" t="s">
        <v>201</v>
      </c>
      <c r="B298" s="2">
        <f>iferror(VLOOKUP(E298,'출결유형'!$A:$C,2,0),"")</f>
        <v>-0.25</v>
      </c>
      <c r="C298" s="2">
        <v>297.0</v>
      </c>
      <c r="D298" s="2">
        <f>iferror(VLOOKUP(E298,'출결유형'!$L:$M,2,0),"")</f>
        <v>5</v>
      </c>
      <c r="E298" s="21" t="s">
        <v>189</v>
      </c>
      <c r="G298" s="2" t="str">
        <f t="shared" si="1"/>
        <v>INSERT INTO tblAttendanceScore VALUES (seqAttendanceScore.nextval, -0.25, 297, 5);</v>
      </c>
    </row>
    <row r="299">
      <c r="A299" s="1" t="s">
        <v>201</v>
      </c>
      <c r="B299" s="2">
        <f>iferror(VLOOKUP(E299,'출결유형'!$A:$C,2,0),"")</f>
        <v>-0.25</v>
      </c>
      <c r="C299" s="2">
        <v>298.0</v>
      </c>
      <c r="D299" s="2">
        <f>iferror(VLOOKUP(E299,'출결유형'!$L:$M,2,0),"")</f>
        <v>5</v>
      </c>
      <c r="E299" s="21" t="s">
        <v>189</v>
      </c>
      <c r="G299" s="2" t="str">
        <f t="shared" si="1"/>
        <v>INSERT INTO tblAttendanceScore VALUES (seqAttendanceScore.nextval, -0.25, 298, 5);</v>
      </c>
    </row>
    <row r="300">
      <c r="A300" s="1" t="s">
        <v>201</v>
      </c>
      <c r="B300" s="2">
        <f>iferror(VLOOKUP(E300,'출결유형'!$A:$C,2,0),"")</f>
        <v>0</v>
      </c>
      <c r="C300" s="2">
        <v>299.0</v>
      </c>
      <c r="D300" s="2">
        <f>iferror(VLOOKUP(E300,'출결유형'!$L:$M,2,0),"")</f>
        <v>1</v>
      </c>
      <c r="E300" s="21" t="s">
        <v>184</v>
      </c>
      <c r="G300" s="2" t="str">
        <f t="shared" si="1"/>
        <v>INSERT INTO tblAttendanceScore VALUES (seqAttendanceScore.nextval, 0, 299, 1);</v>
      </c>
    </row>
    <row r="301">
      <c r="A301" s="1" t="s">
        <v>201</v>
      </c>
      <c r="B301" s="2">
        <f>iferror(VLOOKUP(E301,'출결유형'!$A:$C,2,0),"")</f>
        <v>0</v>
      </c>
      <c r="C301" s="2">
        <v>300.0</v>
      </c>
      <c r="D301" s="2">
        <f>iferror(VLOOKUP(E301,'출결유형'!$L:$M,2,0),"")</f>
        <v>1</v>
      </c>
      <c r="E301" s="21" t="s">
        <v>184</v>
      </c>
      <c r="G301" s="2" t="str">
        <f t="shared" si="1"/>
        <v>INSERT INTO tblAttendanceScore VALUES (seqAttendanceScore.nextval, 0, 300, 1);</v>
      </c>
    </row>
    <row r="302">
      <c r="A302" s="1" t="s">
        <v>201</v>
      </c>
      <c r="B302" s="2">
        <f>iferror(VLOOKUP(E302,'출결유형'!$A:$C,2,0),"")</f>
        <v>0</v>
      </c>
      <c r="C302" s="2">
        <v>301.0</v>
      </c>
      <c r="D302" s="2">
        <f>iferror(VLOOKUP(E302,'출결유형'!$L:$M,2,0),"")</f>
        <v>1</v>
      </c>
      <c r="E302" s="21" t="s">
        <v>184</v>
      </c>
      <c r="G302" s="2" t="str">
        <f t="shared" si="1"/>
        <v>INSERT INTO tblAttendanceScore VALUES (seqAttendanceScore.nextval, 0, 301, 1);</v>
      </c>
    </row>
    <row r="303">
      <c r="A303" s="1" t="s">
        <v>201</v>
      </c>
      <c r="B303" s="2">
        <f>iferror(VLOOKUP(E303,'출결유형'!$A:$C,2,0),"")</f>
        <v>0</v>
      </c>
      <c r="C303" s="2">
        <v>302.0</v>
      </c>
      <c r="D303" s="2">
        <f>iferror(VLOOKUP(E303,'출결유형'!$L:$M,2,0),"")</f>
        <v>1</v>
      </c>
      <c r="E303" s="21" t="s">
        <v>184</v>
      </c>
      <c r="G303" s="2" t="str">
        <f t="shared" si="1"/>
        <v>INSERT INTO tblAttendanceScore VALUES (seqAttendanceScore.nextval, 0, 302, 1);</v>
      </c>
    </row>
    <row r="304">
      <c r="A304" s="1" t="s">
        <v>201</v>
      </c>
      <c r="B304" s="2">
        <f>iferror(VLOOKUP(E304,'출결유형'!$A:$C,2,0),"")</f>
        <v>-0.25</v>
      </c>
      <c r="C304" s="2">
        <v>303.0</v>
      </c>
      <c r="D304" s="2">
        <f>iferror(VLOOKUP(E304,'출결유형'!$L:$M,2,0),"")</f>
        <v>5</v>
      </c>
      <c r="E304" s="21" t="s">
        <v>189</v>
      </c>
      <c r="G304" s="2" t="str">
        <f t="shared" si="1"/>
        <v>INSERT INTO tblAttendanceScore VALUES (seqAttendanceScore.nextval, -0.25, 303, 5);</v>
      </c>
    </row>
    <row r="305">
      <c r="A305" s="1" t="s">
        <v>201</v>
      </c>
      <c r="B305" s="2">
        <f>iferror(VLOOKUP(E305,'출결유형'!$A:$C,2,0),"")</f>
        <v>-0.25</v>
      </c>
      <c r="C305" s="2">
        <v>304.0</v>
      </c>
      <c r="D305" s="2">
        <f>iferror(VLOOKUP(E305,'출결유형'!$L:$M,2,0),"")</f>
        <v>5</v>
      </c>
      <c r="E305" s="21" t="s">
        <v>189</v>
      </c>
      <c r="G305" s="2" t="str">
        <f t="shared" si="1"/>
        <v>INSERT INTO tblAttendanceScore VALUES (seqAttendanceScore.nextval, -0.25, 304, 5);</v>
      </c>
    </row>
    <row r="306">
      <c r="A306" s="1" t="s">
        <v>201</v>
      </c>
      <c r="B306" s="2">
        <f>iferror(VLOOKUP(E306,'출결유형'!$A:$C,2,0),"")</f>
        <v>-0.25</v>
      </c>
      <c r="C306" s="2">
        <v>305.0</v>
      </c>
      <c r="D306" s="2">
        <f>iferror(VLOOKUP(E306,'출결유형'!$L:$M,2,0),"")</f>
        <v>5</v>
      </c>
      <c r="E306" s="21" t="s">
        <v>189</v>
      </c>
      <c r="G306" s="2" t="str">
        <f t="shared" si="1"/>
        <v>INSERT INTO tblAttendanceScore VALUES (seqAttendanceScore.nextval, -0.25, 305, 5);</v>
      </c>
    </row>
    <row r="307">
      <c r="A307" s="1" t="s">
        <v>201</v>
      </c>
      <c r="B307" s="2">
        <f>iferror(VLOOKUP(E307,'출결유형'!$A:$C,2,0),"")</f>
        <v>-0.25</v>
      </c>
      <c r="C307" s="2">
        <v>306.0</v>
      </c>
      <c r="D307" s="2">
        <f>iferror(VLOOKUP(E307,'출결유형'!$L:$M,2,0),"")</f>
        <v>5</v>
      </c>
      <c r="E307" s="21" t="s">
        <v>189</v>
      </c>
      <c r="G307" s="2" t="str">
        <f t="shared" si="1"/>
        <v>INSERT INTO tblAttendanceScore VALUES (seqAttendanceScore.nextval, -0.25, 306, 5);</v>
      </c>
    </row>
    <row r="308">
      <c r="A308" s="1" t="s">
        <v>201</v>
      </c>
      <c r="B308" s="2">
        <f>iferror(VLOOKUP(E308,'출결유형'!$A:$C,2,0),"")</f>
        <v>0</v>
      </c>
      <c r="C308" s="2">
        <v>307.0</v>
      </c>
      <c r="D308" s="2">
        <f>iferror(VLOOKUP(E308,'출결유형'!$L:$M,2,0),"")</f>
        <v>1</v>
      </c>
      <c r="E308" s="21" t="s">
        <v>184</v>
      </c>
      <c r="G308" s="2" t="str">
        <f t="shared" si="1"/>
        <v>INSERT INTO tblAttendanceScore VALUES (seqAttendanceScore.nextval, 0, 307, 1);</v>
      </c>
    </row>
    <row r="309">
      <c r="A309" s="1" t="s">
        <v>201</v>
      </c>
      <c r="B309" s="2">
        <f>iferror(VLOOKUP(E309,'출결유형'!$A:$C,2,0),"")</f>
        <v>0</v>
      </c>
      <c r="C309" s="2">
        <v>308.0</v>
      </c>
      <c r="D309" s="2">
        <f>iferror(VLOOKUP(E309,'출결유형'!$L:$M,2,0),"")</f>
        <v>1</v>
      </c>
      <c r="E309" s="21" t="s">
        <v>184</v>
      </c>
      <c r="G309" s="2" t="str">
        <f t="shared" si="1"/>
        <v>INSERT INTO tblAttendanceScore VALUES (seqAttendanceScore.nextval, 0, 308, 1);</v>
      </c>
    </row>
    <row r="310">
      <c r="A310" s="1" t="s">
        <v>201</v>
      </c>
      <c r="B310" s="2">
        <f>iferror(VLOOKUP(E310,'출결유형'!$A:$C,2,0),"")</f>
        <v>-1</v>
      </c>
      <c r="C310" s="2">
        <v>309.0</v>
      </c>
      <c r="D310" s="2">
        <f>iferror(VLOOKUP(E310,'출결유형'!$L:$M,2,0),"")</f>
        <v>2</v>
      </c>
      <c r="E310" s="21" t="s">
        <v>186</v>
      </c>
      <c r="G310" s="2" t="str">
        <f t="shared" si="1"/>
        <v>INSERT INTO tblAttendanceScore VALUES (seqAttendanceScore.nextval, -1, 309, 2);</v>
      </c>
    </row>
    <row r="311">
      <c r="A311" s="1" t="s">
        <v>201</v>
      </c>
      <c r="B311" s="2">
        <f>iferror(VLOOKUP(E311,'출결유형'!$A:$C,2,0),"")</f>
        <v>-0.25</v>
      </c>
      <c r="C311" s="2">
        <v>310.0</v>
      </c>
      <c r="D311" s="2">
        <f>iferror(VLOOKUP(E311,'출결유형'!$L:$M,2,0),"")</f>
        <v>5</v>
      </c>
      <c r="E311" s="21" t="s">
        <v>189</v>
      </c>
      <c r="G311" s="2" t="str">
        <f t="shared" si="1"/>
        <v>INSERT INTO tblAttendanceScore VALUES (seqAttendanceScore.nextval, -0.25, 310, 5);</v>
      </c>
    </row>
    <row r="312">
      <c r="A312" s="1" t="s">
        <v>201</v>
      </c>
      <c r="B312" s="2">
        <f>iferror(VLOOKUP(E312,'출결유형'!$A:$C,2,0),"")</f>
        <v>0</v>
      </c>
      <c r="C312" s="2">
        <v>311.0</v>
      </c>
      <c r="D312" s="2">
        <f>iferror(VLOOKUP(E312,'출결유형'!$L:$M,2,0),"")</f>
        <v>1</v>
      </c>
      <c r="E312" s="21" t="s">
        <v>184</v>
      </c>
      <c r="G312" s="2" t="str">
        <f t="shared" si="1"/>
        <v>INSERT INTO tblAttendanceScore VALUES (seqAttendanceScore.nextval, 0, 311, 1);</v>
      </c>
    </row>
    <row r="313">
      <c r="A313" s="1" t="s">
        <v>201</v>
      </c>
      <c r="B313" s="2">
        <f>iferror(VLOOKUP(E313,'출결유형'!$A:$C,2,0),"")</f>
        <v>0</v>
      </c>
      <c r="C313" s="2">
        <v>312.0</v>
      </c>
      <c r="D313" s="2">
        <f>iferror(VLOOKUP(E313,'출결유형'!$L:$M,2,0),"")</f>
        <v>1</v>
      </c>
      <c r="E313" s="21" t="s">
        <v>184</v>
      </c>
      <c r="G313" s="2" t="str">
        <f t="shared" si="1"/>
        <v>INSERT INTO tblAttendanceScore VALUES (seqAttendanceScore.nextval, 0, 312, 1);</v>
      </c>
    </row>
    <row r="314">
      <c r="A314" s="1" t="s">
        <v>201</v>
      </c>
      <c r="B314" s="2">
        <f>iferror(VLOOKUP(E314,'출결유형'!$A:$C,2,0),"")</f>
        <v>-0.25</v>
      </c>
      <c r="C314" s="2">
        <v>313.0</v>
      </c>
      <c r="D314" s="2">
        <f>iferror(VLOOKUP(E314,'출결유형'!$L:$M,2,0),"")</f>
        <v>5</v>
      </c>
      <c r="E314" s="21" t="s">
        <v>189</v>
      </c>
      <c r="G314" s="2" t="str">
        <f t="shared" si="1"/>
        <v>INSERT INTO tblAttendanceScore VALUES (seqAttendanceScore.nextval, -0.25, 313, 5);</v>
      </c>
    </row>
    <row r="315">
      <c r="A315" s="1" t="s">
        <v>201</v>
      </c>
      <c r="B315" s="2">
        <f>iferror(VLOOKUP(E315,'출결유형'!$A:$C,2,0),"")</f>
        <v>-0.25</v>
      </c>
      <c r="C315" s="2">
        <v>314.0</v>
      </c>
      <c r="D315" s="2">
        <f>iferror(VLOOKUP(E315,'출결유형'!$L:$M,2,0),"")</f>
        <v>5</v>
      </c>
      <c r="E315" s="21" t="s">
        <v>189</v>
      </c>
      <c r="G315" s="2" t="str">
        <f t="shared" si="1"/>
        <v>INSERT INTO tblAttendanceScore VALUES (seqAttendanceScore.nextval, -0.25, 314, 5);</v>
      </c>
    </row>
    <row r="316">
      <c r="A316" s="1" t="s">
        <v>201</v>
      </c>
      <c r="B316" s="2">
        <f>iferror(VLOOKUP(E316,'출결유형'!$A:$C,2,0),"")</f>
        <v>0</v>
      </c>
      <c r="C316" s="2">
        <v>315.0</v>
      </c>
      <c r="D316" s="2">
        <f>iferror(VLOOKUP(E316,'출결유형'!$L:$M,2,0),"")</f>
        <v>1</v>
      </c>
      <c r="E316" s="21" t="s">
        <v>184</v>
      </c>
      <c r="G316" s="2" t="str">
        <f t="shared" si="1"/>
        <v>INSERT INTO tblAttendanceScore VALUES (seqAttendanceScore.nextval, 0, 315, 1);</v>
      </c>
    </row>
    <row r="317">
      <c r="A317" s="1" t="s">
        <v>201</v>
      </c>
      <c r="B317" s="2">
        <f>iferror(VLOOKUP(E317,'출결유형'!$A:$C,2,0),"")</f>
        <v>0</v>
      </c>
      <c r="C317" s="2">
        <v>316.0</v>
      </c>
      <c r="D317" s="2">
        <f>iferror(VLOOKUP(E317,'출결유형'!$L:$M,2,0),"")</f>
        <v>1</v>
      </c>
      <c r="E317" s="21" t="s">
        <v>184</v>
      </c>
      <c r="G317" s="2" t="str">
        <f t="shared" si="1"/>
        <v>INSERT INTO tblAttendanceScore VALUES (seqAttendanceScore.nextval, 0, 316, 1);</v>
      </c>
    </row>
    <row r="318">
      <c r="A318" s="1" t="s">
        <v>201</v>
      </c>
      <c r="B318" s="2">
        <f>iferror(VLOOKUP(E318,'출결유형'!$A:$C,2,0),"")</f>
        <v>0</v>
      </c>
      <c r="C318" s="2">
        <v>317.0</v>
      </c>
      <c r="D318" s="2">
        <f>iferror(VLOOKUP(E318,'출결유형'!$L:$M,2,0),"")</f>
        <v>1</v>
      </c>
      <c r="E318" s="21" t="s">
        <v>184</v>
      </c>
      <c r="G318" s="2" t="str">
        <f t="shared" si="1"/>
        <v>INSERT INTO tblAttendanceScore VALUES (seqAttendanceScore.nextval, 0, 317, 1);</v>
      </c>
    </row>
    <row r="319">
      <c r="A319" s="1" t="s">
        <v>201</v>
      </c>
      <c r="B319" s="2">
        <f>iferror(VLOOKUP(E319,'출결유형'!$A:$C,2,0),"")</f>
        <v>-0.25</v>
      </c>
      <c r="C319" s="2">
        <v>318.0</v>
      </c>
      <c r="D319" s="2">
        <f>iferror(VLOOKUP(E319,'출결유형'!$L:$M,2,0),"")</f>
        <v>5</v>
      </c>
      <c r="E319" s="21" t="s">
        <v>189</v>
      </c>
      <c r="G319" s="2" t="str">
        <f t="shared" si="1"/>
        <v>INSERT INTO tblAttendanceScore VALUES (seqAttendanceScore.nextval, -0.25, 318, 5);</v>
      </c>
    </row>
    <row r="320">
      <c r="A320" s="1" t="s">
        <v>201</v>
      </c>
      <c r="B320" s="2">
        <f>iferror(VLOOKUP(E320,'출결유형'!$A:$C,2,0),"")</f>
        <v>-0.25</v>
      </c>
      <c r="C320" s="2">
        <v>319.0</v>
      </c>
      <c r="D320" s="2">
        <f>iferror(VLOOKUP(E320,'출결유형'!$L:$M,2,0),"")</f>
        <v>5</v>
      </c>
      <c r="E320" s="21" t="s">
        <v>189</v>
      </c>
      <c r="G320" s="2" t="str">
        <f t="shared" si="1"/>
        <v>INSERT INTO tblAttendanceScore VALUES (seqAttendanceScore.nextval, -0.25, 319, 5);</v>
      </c>
    </row>
    <row r="321">
      <c r="A321" s="1" t="s">
        <v>201</v>
      </c>
      <c r="B321" s="2">
        <f>iferror(VLOOKUP(E321,'출결유형'!$A:$C,2,0),"")</f>
        <v>-0.25</v>
      </c>
      <c r="C321" s="2">
        <v>320.0</v>
      </c>
      <c r="D321" s="2">
        <f>iferror(VLOOKUP(E321,'출결유형'!$L:$M,2,0),"")</f>
        <v>5</v>
      </c>
      <c r="E321" s="21" t="s">
        <v>189</v>
      </c>
      <c r="G321" s="2" t="str">
        <f t="shared" si="1"/>
        <v>INSERT INTO tblAttendanceScore VALUES (seqAttendanceScore.nextval, -0.25, 320, 5);</v>
      </c>
    </row>
    <row r="322">
      <c r="A322" s="1" t="s">
        <v>201</v>
      </c>
      <c r="B322" s="2">
        <f>iferror(VLOOKUP(E322,'출결유형'!$A:$C,2,0),"")</f>
        <v>-0.25</v>
      </c>
      <c r="C322" s="2">
        <v>321.0</v>
      </c>
      <c r="D322" s="2">
        <f>iferror(VLOOKUP(E322,'출결유형'!$L:$M,2,0),"")</f>
        <v>5</v>
      </c>
      <c r="E322" s="21" t="s">
        <v>189</v>
      </c>
      <c r="G322" s="2" t="str">
        <f t="shared" si="1"/>
        <v>INSERT INTO tblAttendanceScore VALUES (seqAttendanceScore.nextval, -0.25, 321, 5);</v>
      </c>
    </row>
    <row r="323">
      <c r="A323" s="1" t="s">
        <v>201</v>
      </c>
      <c r="B323" s="2">
        <f>iferror(VLOOKUP(E323,'출결유형'!$A:$C,2,0),"")</f>
        <v>0</v>
      </c>
      <c r="C323" s="2">
        <v>322.0</v>
      </c>
      <c r="D323" s="2">
        <f>iferror(VLOOKUP(E323,'출결유형'!$L:$M,2,0),"")</f>
        <v>1</v>
      </c>
      <c r="E323" s="21" t="s">
        <v>184</v>
      </c>
      <c r="G323" s="2" t="str">
        <f t="shared" si="1"/>
        <v>INSERT INTO tblAttendanceScore VALUES (seqAttendanceScore.nextval, 0, 322, 1);</v>
      </c>
    </row>
    <row r="324">
      <c r="A324" s="1" t="s">
        <v>201</v>
      </c>
      <c r="B324" s="2">
        <f>iferror(VLOOKUP(E324,'출결유형'!$A:$C,2,0),"")</f>
        <v>0</v>
      </c>
      <c r="C324" s="2">
        <v>323.0</v>
      </c>
      <c r="D324" s="2">
        <f>iferror(VLOOKUP(E324,'출결유형'!$L:$M,2,0),"")</f>
        <v>1</v>
      </c>
      <c r="E324" s="21" t="s">
        <v>184</v>
      </c>
      <c r="G324" s="2" t="str">
        <f t="shared" si="1"/>
        <v>INSERT INTO tblAttendanceScore VALUES (seqAttendanceScore.nextval, 0, 323, 1);</v>
      </c>
    </row>
    <row r="325">
      <c r="A325" s="1" t="s">
        <v>201</v>
      </c>
      <c r="B325" s="2">
        <f>iferror(VLOOKUP(E325,'출결유형'!$A:$C,2,0),"")</f>
        <v>0</v>
      </c>
      <c r="C325" s="2">
        <v>324.0</v>
      </c>
      <c r="D325" s="2">
        <f>iferror(VLOOKUP(E325,'출결유형'!$L:$M,2,0),"")</f>
        <v>1</v>
      </c>
      <c r="E325" s="21" t="s">
        <v>184</v>
      </c>
      <c r="G325" s="2" t="str">
        <f t="shared" si="1"/>
        <v>INSERT INTO tblAttendanceScore VALUES (seqAttendanceScore.nextval, 0, 324, 1);</v>
      </c>
    </row>
    <row r="326">
      <c r="A326" s="1" t="s">
        <v>201</v>
      </c>
      <c r="B326" s="2">
        <f>iferror(VLOOKUP(E326,'출결유형'!$A:$C,2,0),"")</f>
        <v>-1</v>
      </c>
      <c r="C326" s="2">
        <v>325.0</v>
      </c>
      <c r="D326" s="2">
        <f>iferror(VLOOKUP(E326,'출결유형'!$L:$M,2,0),"")</f>
        <v>2</v>
      </c>
      <c r="E326" s="21" t="s">
        <v>186</v>
      </c>
      <c r="G326" s="2" t="str">
        <f t="shared" si="1"/>
        <v>INSERT INTO tblAttendanceScore VALUES (seqAttendanceScore.nextval, -1, 325, 2);</v>
      </c>
    </row>
    <row r="327">
      <c r="A327" s="1" t="s">
        <v>201</v>
      </c>
      <c r="B327" s="2">
        <f>iferror(VLOOKUP(E327,'출결유형'!$A:$C,2,0),"")</f>
        <v>-0.25</v>
      </c>
      <c r="C327" s="2">
        <v>326.0</v>
      </c>
      <c r="D327" s="2">
        <f>iferror(VLOOKUP(E327,'출결유형'!$L:$M,2,0),"")</f>
        <v>5</v>
      </c>
      <c r="E327" s="21" t="s">
        <v>189</v>
      </c>
      <c r="G327" s="2" t="str">
        <f t="shared" si="1"/>
        <v>INSERT INTO tblAttendanceScore VALUES (seqAttendanceScore.nextval, -0.25, 326, 5);</v>
      </c>
    </row>
    <row r="328">
      <c r="A328" s="1" t="s">
        <v>201</v>
      </c>
      <c r="B328" s="2">
        <f>iferror(VLOOKUP(E328,'출결유형'!$A:$C,2,0),"")</f>
        <v>-0.25</v>
      </c>
      <c r="C328" s="2">
        <v>327.0</v>
      </c>
      <c r="D328" s="2">
        <f>iferror(VLOOKUP(E328,'출결유형'!$L:$M,2,0),"")</f>
        <v>5</v>
      </c>
      <c r="E328" s="21" t="s">
        <v>189</v>
      </c>
      <c r="G328" s="2" t="str">
        <f t="shared" si="1"/>
        <v>INSERT INTO tblAttendanceScore VALUES (seqAttendanceScore.nextval, -0.25, 327, 5);</v>
      </c>
    </row>
    <row r="329">
      <c r="A329" s="1" t="s">
        <v>201</v>
      </c>
      <c r="B329" s="2">
        <f>iferror(VLOOKUP(E329,'출결유형'!$A:$C,2,0),"")</f>
        <v>-0.25</v>
      </c>
      <c r="C329" s="2">
        <v>328.0</v>
      </c>
      <c r="D329" s="2">
        <f>iferror(VLOOKUP(E329,'출결유형'!$L:$M,2,0),"")</f>
        <v>5</v>
      </c>
      <c r="E329" s="21" t="s">
        <v>189</v>
      </c>
      <c r="G329" s="2" t="str">
        <f t="shared" si="1"/>
        <v>INSERT INTO tblAttendanceScore VALUES (seqAttendanceScore.nextval, -0.25, 328, 5);</v>
      </c>
    </row>
    <row r="330">
      <c r="A330" s="1" t="s">
        <v>201</v>
      </c>
      <c r="B330" s="2">
        <f>iferror(VLOOKUP(E330,'출결유형'!$A:$C,2,0),"")</f>
        <v>0</v>
      </c>
      <c r="C330" s="2">
        <v>329.0</v>
      </c>
      <c r="D330" s="2">
        <f>iferror(VLOOKUP(E330,'출결유형'!$L:$M,2,0),"")</f>
        <v>1</v>
      </c>
      <c r="E330" s="21" t="s">
        <v>184</v>
      </c>
      <c r="G330" s="2" t="str">
        <f t="shared" si="1"/>
        <v>INSERT INTO tblAttendanceScore VALUES (seqAttendanceScore.nextval, 0, 329, 1);</v>
      </c>
    </row>
    <row r="331">
      <c r="A331" s="1" t="s">
        <v>201</v>
      </c>
      <c r="B331" s="2">
        <f>iferror(VLOOKUP(E331,'출결유형'!$A:$C,2,0),"")</f>
        <v>-0.25</v>
      </c>
      <c r="C331" s="2">
        <v>330.0</v>
      </c>
      <c r="D331" s="2">
        <f>iferror(VLOOKUP(E331,'출결유형'!$L:$M,2,0),"")</f>
        <v>5</v>
      </c>
      <c r="E331" s="21" t="s">
        <v>189</v>
      </c>
      <c r="G331" s="2" t="str">
        <f t="shared" si="1"/>
        <v>INSERT INTO tblAttendanceScore VALUES (seqAttendanceScore.nextval, -0.25, 330, 5);</v>
      </c>
    </row>
    <row r="332">
      <c r="A332" s="1" t="s">
        <v>201</v>
      </c>
      <c r="B332" s="2">
        <f>iferror(VLOOKUP(E332,'출결유형'!$A:$C,2,0),"")</f>
        <v>0</v>
      </c>
      <c r="C332" s="2">
        <v>331.0</v>
      </c>
      <c r="D332" s="2">
        <f>iferror(VLOOKUP(E332,'출결유형'!$L:$M,2,0),"")</f>
        <v>1</v>
      </c>
      <c r="E332" s="21" t="s">
        <v>184</v>
      </c>
      <c r="G332" s="2" t="str">
        <f t="shared" si="1"/>
        <v>INSERT INTO tblAttendanceScore VALUES (seqAttendanceScore.nextval, 0, 331, 1);</v>
      </c>
    </row>
    <row r="333">
      <c r="A333" s="1" t="s">
        <v>201</v>
      </c>
      <c r="B333" s="2">
        <f>iferror(VLOOKUP(E333,'출결유형'!$A:$C,2,0),"")</f>
        <v>-0.25</v>
      </c>
      <c r="C333" s="2">
        <v>332.0</v>
      </c>
      <c r="D333" s="2">
        <f>iferror(VLOOKUP(E333,'출결유형'!$L:$M,2,0),"")</f>
        <v>5</v>
      </c>
      <c r="E333" s="21" t="s">
        <v>189</v>
      </c>
      <c r="G333" s="2" t="str">
        <f t="shared" si="1"/>
        <v>INSERT INTO tblAttendanceScore VALUES (seqAttendanceScore.nextval, -0.25, 332, 5);</v>
      </c>
    </row>
    <row r="334">
      <c r="A334" s="1" t="s">
        <v>201</v>
      </c>
      <c r="B334" s="2">
        <f>iferror(VLOOKUP(E334,'출결유형'!$A:$C,2,0),"")</f>
        <v>0</v>
      </c>
      <c r="C334" s="2">
        <v>333.0</v>
      </c>
      <c r="D334" s="2">
        <f>iferror(VLOOKUP(E334,'출결유형'!$L:$M,2,0),"")</f>
        <v>1</v>
      </c>
      <c r="E334" s="21" t="s">
        <v>184</v>
      </c>
      <c r="G334" s="2" t="str">
        <f t="shared" si="1"/>
        <v>INSERT INTO tblAttendanceScore VALUES (seqAttendanceScore.nextval, 0, 333, 1);</v>
      </c>
    </row>
    <row r="335">
      <c r="A335" s="1" t="s">
        <v>201</v>
      </c>
      <c r="B335" s="2">
        <f>iferror(VLOOKUP(E335,'출결유형'!$A:$C,2,0),"")</f>
        <v>0</v>
      </c>
      <c r="C335" s="2">
        <v>334.0</v>
      </c>
      <c r="D335" s="2">
        <f>iferror(VLOOKUP(E335,'출결유형'!$L:$M,2,0),"")</f>
        <v>1</v>
      </c>
      <c r="E335" s="21" t="s">
        <v>184</v>
      </c>
      <c r="G335" s="2" t="str">
        <f t="shared" si="1"/>
        <v>INSERT INTO tblAttendanceScore VALUES (seqAttendanceScore.nextval, 0, 334, 1);</v>
      </c>
    </row>
    <row r="336">
      <c r="A336" s="1" t="s">
        <v>201</v>
      </c>
      <c r="B336" s="2">
        <f>iferror(VLOOKUP(E336,'출결유형'!$A:$C,2,0),"")</f>
        <v>-0.25</v>
      </c>
      <c r="C336" s="2">
        <v>335.0</v>
      </c>
      <c r="D336" s="2">
        <f>iferror(VLOOKUP(E336,'출결유형'!$L:$M,2,0),"")</f>
        <v>5</v>
      </c>
      <c r="E336" s="21" t="s">
        <v>189</v>
      </c>
      <c r="G336" s="2" t="str">
        <f t="shared" si="1"/>
        <v>INSERT INTO tblAttendanceScore VALUES (seqAttendanceScore.nextval, -0.25, 335, 5);</v>
      </c>
    </row>
    <row r="337">
      <c r="A337" s="1" t="s">
        <v>201</v>
      </c>
      <c r="B337" s="2">
        <f>iferror(VLOOKUP(E337,'출결유형'!$A:$C,2,0),"")</f>
        <v>-0.25</v>
      </c>
      <c r="C337" s="2">
        <v>336.0</v>
      </c>
      <c r="D337" s="2">
        <f>iferror(VLOOKUP(E337,'출결유형'!$L:$M,2,0),"")</f>
        <v>5</v>
      </c>
      <c r="E337" s="21" t="s">
        <v>189</v>
      </c>
      <c r="G337" s="2" t="str">
        <f t="shared" si="1"/>
        <v>INSERT INTO tblAttendanceScore VALUES (seqAttendanceScore.nextval, -0.25, 336, 5);</v>
      </c>
    </row>
    <row r="338">
      <c r="A338" s="1" t="s">
        <v>201</v>
      </c>
      <c r="B338" s="2">
        <f>iferror(VLOOKUP(E338,'출결유형'!$A:$C,2,0),"")</f>
        <v>-0.25</v>
      </c>
      <c r="C338" s="2">
        <v>337.0</v>
      </c>
      <c r="D338" s="2">
        <f>iferror(VLOOKUP(E338,'출결유형'!$L:$M,2,0),"")</f>
        <v>5</v>
      </c>
      <c r="E338" s="21" t="s">
        <v>189</v>
      </c>
      <c r="G338" s="2" t="str">
        <f t="shared" si="1"/>
        <v>INSERT INTO tblAttendanceScore VALUES (seqAttendanceScore.nextval, -0.25, 337, 5);</v>
      </c>
    </row>
    <row r="339">
      <c r="A339" s="1" t="s">
        <v>201</v>
      </c>
      <c r="B339" s="2">
        <f>iferror(VLOOKUP(E339,'출결유형'!$A:$C,2,0),"")</f>
        <v>-0.25</v>
      </c>
      <c r="C339" s="2">
        <v>338.0</v>
      </c>
      <c r="D339" s="2">
        <f>iferror(VLOOKUP(E339,'출결유형'!$L:$M,2,0),"")</f>
        <v>5</v>
      </c>
      <c r="E339" s="21" t="s">
        <v>189</v>
      </c>
      <c r="G339" s="2" t="str">
        <f t="shared" si="1"/>
        <v>INSERT INTO tblAttendanceScore VALUES (seqAttendanceScore.nextval, -0.25, 338, 5);</v>
      </c>
    </row>
    <row r="340">
      <c r="A340" s="1" t="s">
        <v>201</v>
      </c>
      <c r="B340" s="2">
        <f>iferror(VLOOKUP(E340,'출결유형'!$A:$C,2,0),"")</f>
        <v>-0.25</v>
      </c>
      <c r="C340" s="2">
        <v>339.0</v>
      </c>
      <c r="D340" s="2">
        <f>iferror(VLOOKUP(E340,'출결유형'!$L:$M,2,0),"")</f>
        <v>5</v>
      </c>
      <c r="E340" s="21" t="s">
        <v>189</v>
      </c>
      <c r="G340" s="2" t="str">
        <f t="shared" si="1"/>
        <v>INSERT INTO tblAttendanceScore VALUES (seqAttendanceScore.nextval, -0.25, 339, 5);</v>
      </c>
    </row>
    <row r="341">
      <c r="A341" s="1" t="s">
        <v>201</v>
      </c>
      <c r="B341" s="2">
        <f>iferror(VLOOKUP(E341,'출결유형'!$A:$C,2,0),"")</f>
        <v>-0.25</v>
      </c>
      <c r="C341" s="2">
        <v>340.0</v>
      </c>
      <c r="D341" s="2">
        <f>iferror(VLOOKUP(E341,'출결유형'!$L:$M,2,0),"")</f>
        <v>3</v>
      </c>
      <c r="E341" s="21" t="s">
        <v>187</v>
      </c>
      <c r="G341" s="2" t="str">
        <f t="shared" si="1"/>
        <v>INSERT INTO tblAttendanceScore VALUES (seqAttendanceScore.nextval, -0.25, 340, 3);</v>
      </c>
    </row>
    <row r="342">
      <c r="A342" s="1" t="s">
        <v>201</v>
      </c>
      <c r="B342" s="2">
        <f>iferror(VLOOKUP(E342,'출결유형'!$A:$C,2,0),"")</f>
        <v>-0.25</v>
      </c>
      <c r="C342" s="2">
        <v>341.0</v>
      </c>
      <c r="D342" s="2">
        <f>iferror(VLOOKUP(E342,'출결유형'!$L:$M,2,0),"")</f>
        <v>5</v>
      </c>
      <c r="E342" s="21" t="s">
        <v>189</v>
      </c>
      <c r="G342" s="2" t="str">
        <f t="shared" si="1"/>
        <v>INSERT INTO tblAttendanceScore VALUES (seqAttendanceScore.nextval, -0.25, 341, 5);</v>
      </c>
    </row>
    <row r="343">
      <c r="A343" s="1" t="s">
        <v>201</v>
      </c>
      <c r="B343" s="2">
        <f>iferror(VLOOKUP(E343,'출결유형'!$A:$C,2,0),"")</f>
        <v>0</v>
      </c>
      <c r="C343" s="2">
        <v>342.0</v>
      </c>
      <c r="D343" s="2">
        <f>iferror(VLOOKUP(E343,'출결유형'!$L:$M,2,0),"")</f>
        <v>1</v>
      </c>
      <c r="E343" s="21" t="s">
        <v>184</v>
      </c>
      <c r="G343" s="2" t="str">
        <f t="shared" si="1"/>
        <v>INSERT INTO tblAttendanceScore VALUES (seqAttendanceScore.nextval, 0, 342, 1);</v>
      </c>
    </row>
    <row r="344">
      <c r="A344" s="1" t="s">
        <v>201</v>
      </c>
      <c r="B344" s="2">
        <f>iferror(VLOOKUP(E344,'출결유형'!$A:$C,2,0),"")</f>
        <v>-0.25</v>
      </c>
      <c r="C344" s="2">
        <v>343.0</v>
      </c>
      <c r="D344" s="2">
        <f>iferror(VLOOKUP(E344,'출결유형'!$L:$M,2,0),"")</f>
        <v>5</v>
      </c>
      <c r="E344" s="21" t="s">
        <v>189</v>
      </c>
      <c r="G344" s="2" t="str">
        <f t="shared" si="1"/>
        <v>INSERT INTO tblAttendanceScore VALUES (seqAttendanceScore.nextval, -0.25, 343, 5);</v>
      </c>
    </row>
    <row r="345">
      <c r="A345" s="1" t="s">
        <v>201</v>
      </c>
      <c r="B345" s="2">
        <f>iferror(VLOOKUP(E345,'출결유형'!$A:$C,2,0),"")</f>
        <v>-0.25</v>
      </c>
      <c r="C345" s="2">
        <v>344.0</v>
      </c>
      <c r="D345" s="2">
        <f>iferror(VLOOKUP(E345,'출결유형'!$L:$M,2,0),"")</f>
        <v>5</v>
      </c>
      <c r="E345" s="21" t="s">
        <v>189</v>
      </c>
      <c r="G345" s="2" t="str">
        <f t="shared" si="1"/>
        <v>INSERT INTO tblAttendanceScore VALUES (seqAttendanceScore.nextval, -0.25, 344, 5);</v>
      </c>
    </row>
    <row r="346">
      <c r="A346" s="1" t="s">
        <v>201</v>
      </c>
      <c r="B346" s="2">
        <f>iferror(VLOOKUP(E346,'출결유형'!$A:$C,2,0),"")</f>
        <v>-0.25</v>
      </c>
      <c r="C346" s="2">
        <v>345.0</v>
      </c>
      <c r="D346" s="2">
        <f>iferror(VLOOKUP(E346,'출결유형'!$L:$M,2,0),"")</f>
        <v>5</v>
      </c>
      <c r="E346" s="21" t="s">
        <v>189</v>
      </c>
      <c r="G346" s="2" t="str">
        <f t="shared" si="1"/>
        <v>INSERT INTO tblAttendanceScore VALUES (seqAttendanceScore.nextval, -0.25, 345, 5);</v>
      </c>
    </row>
    <row r="347">
      <c r="A347" s="1" t="s">
        <v>201</v>
      </c>
      <c r="B347" s="2">
        <f>iferror(VLOOKUP(E347,'출결유형'!$A:$C,2,0),"")</f>
        <v>-0.25</v>
      </c>
      <c r="C347" s="2">
        <v>346.0</v>
      </c>
      <c r="D347" s="2">
        <f>iferror(VLOOKUP(E347,'출결유형'!$L:$M,2,0),"")</f>
        <v>5</v>
      </c>
      <c r="E347" s="21" t="s">
        <v>189</v>
      </c>
      <c r="G347" s="2" t="str">
        <f t="shared" si="1"/>
        <v>INSERT INTO tblAttendanceScore VALUES (seqAttendanceScore.nextval, -0.25, 346, 5);</v>
      </c>
    </row>
    <row r="348">
      <c r="A348" s="1" t="s">
        <v>201</v>
      </c>
      <c r="B348" s="2">
        <f>iferror(VLOOKUP(E348,'출결유형'!$A:$C,2,0),"")</f>
        <v>-0.25</v>
      </c>
      <c r="C348" s="2">
        <v>347.0</v>
      </c>
      <c r="D348" s="2">
        <f>iferror(VLOOKUP(E348,'출결유형'!$L:$M,2,0),"")</f>
        <v>5</v>
      </c>
      <c r="E348" s="21" t="s">
        <v>189</v>
      </c>
      <c r="G348" s="2" t="str">
        <f t="shared" si="1"/>
        <v>INSERT INTO tblAttendanceScore VALUES (seqAttendanceScore.nextval, -0.25, 347, 5);</v>
      </c>
    </row>
    <row r="349">
      <c r="A349" s="1" t="s">
        <v>201</v>
      </c>
      <c r="B349" s="2">
        <f>iferror(VLOOKUP(E349,'출결유형'!$A:$C,2,0),"")</f>
        <v>0</v>
      </c>
      <c r="C349" s="2">
        <v>348.0</v>
      </c>
      <c r="D349" s="2">
        <f>iferror(VLOOKUP(E349,'출결유형'!$L:$M,2,0),"")</f>
        <v>1</v>
      </c>
      <c r="E349" s="21" t="s">
        <v>184</v>
      </c>
      <c r="G349" s="2" t="str">
        <f t="shared" si="1"/>
        <v>INSERT INTO tblAttendanceScore VALUES (seqAttendanceScore.nextval, 0, 348, 1);</v>
      </c>
    </row>
    <row r="350">
      <c r="A350" s="1" t="s">
        <v>201</v>
      </c>
      <c r="B350" s="2">
        <f>iferror(VLOOKUP(E350,'출결유형'!$A:$C,2,0),"")</f>
        <v>-0.25</v>
      </c>
      <c r="C350" s="2">
        <v>349.0</v>
      </c>
      <c r="D350" s="2">
        <f>iferror(VLOOKUP(E350,'출결유형'!$L:$M,2,0),"")</f>
        <v>5</v>
      </c>
      <c r="E350" s="21" t="s">
        <v>189</v>
      </c>
      <c r="G350" s="2" t="str">
        <f t="shared" si="1"/>
        <v>INSERT INTO tblAttendanceScore VALUES (seqAttendanceScore.nextval, -0.25, 349, 5);</v>
      </c>
    </row>
    <row r="351">
      <c r="A351" s="1" t="s">
        <v>201</v>
      </c>
      <c r="B351" s="2">
        <f>iferror(VLOOKUP(E351,'출결유형'!$A:$C,2,0),"")</f>
        <v>-0.25</v>
      </c>
      <c r="C351" s="2">
        <v>350.0</v>
      </c>
      <c r="D351" s="2">
        <f>iferror(VLOOKUP(E351,'출결유형'!$L:$M,2,0),"")</f>
        <v>5</v>
      </c>
      <c r="E351" s="21" t="s">
        <v>189</v>
      </c>
      <c r="G351" s="2" t="str">
        <f t="shared" si="1"/>
        <v>INSERT INTO tblAttendanceScore VALUES (seqAttendanceScore.nextval, -0.25, 350, 5);</v>
      </c>
    </row>
    <row r="352">
      <c r="A352" s="1" t="s">
        <v>201</v>
      </c>
      <c r="B352" s="2">
        <f>iferror(VLOOKUP(E352,'출결유형'!$A:$C,2,0),"")</f>
        <v>-0.25</v>
      </c>
      <c r="C352" s="2">
        <v>351.0</v>
      </c>
      <c r="D352" s="2">
        <f>iferror(VLOOKUP(E352,'출결유형'!$L:$M,2,0),"")</f>
        <v>5</v>
      </c>
      <c r="E352" s="21" t="s">
        <v>189</v>
      </c>
      <c r="G352" s="2" t="str">
        <f t="shared" si="1"/>
        <v>INSERT INTO tblAttendanceScore VALUES (seqAttendanceScore.nextval, -0.25, 351, 5);</v>
      </c>
    </row>
    <row r="353">
      <c r="A353" s="1" t="s">
        <v>201</v>
      </c>
      <c r="B353" s="2">
        <f>iferror(VLOOKUP(E353,'출결유형'!$A:$C,2,0),"")</f>
        <v>-0.25</v>
      </c>
      <c r="C353" s="2">
        <v>352.0</v>
      </c>
      <c r="D353" s="2">
        <f>iferror(VLOOKUP(E353,'출결유형'!$L:$M,2,0),"")</f>
        <v>5</v>
      </c>
      <c r="E353" s="21" t="s">
        <v>189</v>
      </c>
      <c r="G353" s="2" t="str">
        <f t="shared" si="1"/>
        <v>INSERT INTO tblAttendanceScore VALUES (seqAttendanceScore.nextval, -0.25, 352, 5);</v>
      </c>
    </row>
    <row r="354">
      <c r="A354" s="1" t="s">
        <v>201</v>
      </c>
      <c r="B354" s="2">
        <f>iferror(VLOOKUP(E354,'출결유형'!$A:$C,2,0),"")</f>
        <v>-0.25</v>
      </c>
      <c r="C354" s="2">
        <v>353.0</v>
      </c>
      <c r="D354" s="2">
        <f>iferror(VLOOKUP(E354,'출결유형'!$L:$M,2,0),"")</f>
        <v>5</v>
      </c>
      <c r="E354" s="21" t="s">
        <v>189</v>
      </c>
      <c r="G354" s="2" t="str">
        <f t="shared" si="1"/>
        <v>INSERT INTO tblAttendanceScore VALUES (seqAttendanceScore.nextval, -0.25, 353, 5);</v>
      </c>
    </row>
    <row r="355">
      <c r="A355" s="1" t="s">
        <v>201</v>
      </c>
      <c r="B355" s="2">
        <f>iferror(VLOOKUP(E355,'출결유형'!$A:$C,2,0),"")</f>
        <v>-0.25</v>
      </c>
      <c r="C355" s="2">
        <v>354.0</v>
      </c>
      <c r="D355" s="2">
        <f>iferror(VLOOKUP(E355,'출결유형'!$L:$M,2,0),"")</f>
        <v>5</v>
      </c>
      <c r="E355" s="21" t="s">
        <v>189</v>
      </c>
      <c r="G355" s="2" t="str">
        <f t="shared" si="1"/>
        <v>INSERT INTO tblAttendanceScore VALUES (seqAttendanceScore.nextval, -0.25, 354, 5);</v>
      </c>
    </row>
    <row r="356">
      <c r="A356" s="1" t="s">
        <v>201</v>
      </c>
      <c r="B356" s="2">
        <f>iferror(VLOOKUP(E356,'출결유형'!$A:$C,2,0),"")</f>
        <v>-0.25</v>
      </c>
      <c r="C356" s="2">
        <v>355.0</v>
      </c>
      <c r="D356" s="2">
        <f>iferror(VLOOKUP(E356,'출결유형'!$L:$M,2,0),"")</f>
        <v>5</v>
      </c>
      <c r="E356" s="21" t="s">
        <v>189</v>
      </c>
      <c r="G356" s="2" t="str">
        <f t="shared" si="1"/>
        <v>INSERT INTO tblAttendanceScore VALUES (seqAttendanceScore.nextval, -0.25, 355, 5);</v>
      </c>
    </row>
    <row r="357">
      <c r="A357" s="1" t="s">
        <v>201</v>
      </c>
      <c r="B357" s="2">
        <f>iferror(VLOOKUP(E357,'출결유형'!$A:$C,2,0),"")</f>
        <v>0</v>
      </c>
      <c r="C357" s="2">
        <v>356.0</v>
      </c>
      <c r="D357" s="2">
        <f>iferror(VLOOKUP(E357,'출결유형'!$L:$M,2,0),"")</f>
        <v>1</v>
      </c>
      <c r="E357" s="21" t="s">
        <v>184</v>
      </c>
      <c r="G357" s="2" t="str">
        <f t="shared" si="1"/>
        <v>INSERT INTO tblAttendanceScore VALUES (seqAttendanceScore.nextval, 0, 356, 1);</v>
      </c>
    </row>
    <row r="358">
      <c r="A358" s="1" t="s">
        <v>201</v>
      </c>
      <c r="B358" s="2">
        <f>iferror(VLOOKUP(E358,'출결유형'!$A:$C,2,0),"")</f>
        <v>0</v>
      </c>
      <c r="C358" s="2">
        <v>357.0</v>
      </c>
      <c r="D358" s="2">
        <f>iferror(VLOOKUP(E358,'출결유형'!$L:$M,2,0),"")</f>
        <v>1</v>
      </c>
      <c r="E358" s="21" t="s">
        <v>184</v>
      </c>
      <c r="G358" s="2" t="str">
        <f t="shared" si="1"/>
        <v>INSERT INTO tblAttendanceScore VALUES (seqAttendanceScore.nextval, 0, 357, 1);</v>
      </c>
    </row>
    <row r="359">
      <c r="A359" s="1" t="s">
        <v>201</v>
      </c>
      <c r="B359" s="2">
        <f>iferror(VLOOKUP(E359,'출결유형'!$A:$C,2,0),"")</f>
        <v>0</v>
      </c>
      <c r="C359" s="2">
        <v>358.0</v>
      </c>
      <c r="D359" s="2">
        <f>iferror(VLOOKUP(E359,'출결유형'!$L:$M,2,0),"")</f>
        <v>1</v>
      </c>
      <c r="E359" s="21" t="s">
        <v>184</v>
      </c>
      <c r="G359" s="2" t="str">
        <f t="shared" si="1"/>
        <v>INSERT INTO tblAttendanceScore VALUES (seqAttendanceScore.nextval, 0, 358, 1);</v>
      </c>
    </row>
    <row r="360">
      <c r="A360" s="1" t="s">
        <v>201</v>
      </c>
      <c r="B360" s="2">
        <f>iferror(VLOOKUP(E360,'출결유형'!$A:$C,2,0),"")</f>
        <v>-0.25</v>
      </c>
      <c r="C360" s="2">
        <v>359.0</v>
      </c>
      <c r="D360" s="2">
        <f>iferror(VLOOKUP(E360,'출결유형'!$L:$M,2,0),"")</f>
        <v>5</v>
      </c>
      <c r="E360" s="21" t="s">
        <v>189</v>
      </c>
      <c r="G360" s="2" t="str">
        <f t="shared" si="1"/>
        <v>INSERT INTO tblAttendanceScore VALUES (seqAttendanceScore.nextval, -0.25, 359, 5);</v>
      </c>
    </row>
    <row r="361">
      <c r="A361" s="1" t="s">
        <v>201</v>
      </c>
      <c r="B361" s="2">
        <f>iferror(VLOOKUP(E361,'출결유형'!$A:$C,2,0),"")</f>
        <v>-0.25</v>
      </c>
      <c r="C361" s="2">
        <v>360.0</v>
      </c>
      <c r="D361" s="2">
        <f>iferror(VLOOKUP(E361,'출결유형'!$L:$M,2,0),"")</f>
        <v>5</v>
      </c>
      <c r="E361" s="21" t="s">
        <v>189</v>
      </c>
      <c r="G361" s="2" t="str">
        <f t="shared" si="1"/>
        <v>INSERT INTO tblAttendanceScore VALUES (seqAttendanceScore.nextval, -0.25, 360, 5);</v>
      </c>
    </row>
    <row r="362">
      <c r="A362" s="1" t="s">
        <v>201</v>
      </c>
      <c r="B362" s="2">
        <f>iferror(VLOOKUP(E362,'출결유형'!$A:$C,2,0),"")</f>
        <v>0</v>
      </c>
      <c r="C362" s="2">
        <v>361.0</v>
      </c>
      <c r="D362" s="2">
        <f>iferror(VLOOKUP(E362,'출결유형'!$L:$M,2,0),"")</f>
        <v>1</v>
      </c>
      <c r="E362" s="21" t="s">
        <v>184</v>
      </c>
      <c r="G362" s="2" t="str">
        <f t="shared" si="1"/>
        <v>INSERT INTO tblAttendanceScore VALUES (seqAttendanceScore.nextval, 0, 361, 1);</v>
      </c>
    </row>
    <row r="363">
      <c r="A363" s="1" t="s">
        <v>201</v>
      </c>
      <c r="B363" s="2">
        <f>iferror(VLOOKUP(E363,'출결유형'!$A:$C,2,0),"")</f>
        <v>0</v>
      </c>
      <c r="C363" s="2">
        <v>362.0</v>
      </c>
      <c r="D363" s="2">
        <f>iferror(VLOOKUP(E363,'출결유형'!$L:$M,2,0),"")</f>
        <v>1</v>
      </c>
      <c r="E363" s="21" t="s">
        <v>184</v>
      </c>
      <c r="G363" s="2" t="str">
        <f t="shared" si="1"/>
        <v>INSERT INTO tblAttendanceScore VALUES (seqAttendanceScore.nextval, 0, 362, 1);</v>
      </c>
    </row>
    <row r="364">
      <c r="A364" s="1" t="s">
        <v>201</v>
      </c>
      <c r="B364" s="2">
        <f>iferror(VLOOKUP(E364,'출결유형'!$A:$C,2,0),"")</f>
        <v>0</v>
      </c>
      <c r="C364" s="2">
        <v>363.0</v>
      </c>
      <c r="D364" s="2">
        <f>iferror(VLOOKUP(E364,'출결유형'!$L:$M,2,0),"")</f>
        <v>1</v>
      </c>
      <c r="E364" s="21" t="s">
        <v>184</v>
      </c>
      <c r="G364" s="2" t="str">
        <f t="shared" si="1"/>
        <v>INSERT INTO tblAttendanceScore VALUES (seqAttendanceScore.nextval, 0, 363, 1);</v>
      </c>
    </row>
    <row r="365">
      <c r="A365" s="1" t="s">
        <v>201</v>
      </c>
      <c r="B365" s="2">
        <f>iferror(VLOOKUP(E365,'출결유형'!$A:$C,2,0),"")</f>
        <v>0</v>
      </c>
      <c r="C365" s="2">
        <v>364.0</v>
      </c>
      <c r="D365" s="2">
        <f>iferror(VLOOKUP(E365,'출결유형'!$L:$M,2,0),"")</f>
        <v>1</v>
      </c>
      <c r="E365" s="21" t="s">
        <v>184</v>
      </c>
      <c r="G365" s="2" t="str">
        <f t="shared" si="1"/>
        <v>INSERT INTO tblAttendanceScore VALUES (seqAttendanceScore.nextval, 0, 364, 1);</v>
      </c>
    </row>
    <row r="366">
      <c r="A366" s="1" t="s">
        <v>201</v>
      </c>
      <c r="B366" s="2">
        <f>iferror(VLOOKUP(E366,'출결유형'!$A:$C,2,0),"")</f>
        <v>-0.25</v>
      </c>
      <c r="C366" s="2">
        <v>365.0</v>
      </c>
      <c r="D366" s="2">
        <f>iferror(VLOOKUP(E366,'출결유형'!$L:$M,2,0),"")</f>
        <v>5</v>
      </c>
      <c r="E366" s="21" t="s">
        <v>189</v>
      </c>
      <c r="G366" s="2" t="str">
        <f t="shared" si="1"/>
        <v>INSERT INTO tblAttendanceScore VALUES (seqAttendanceScore.nextval, -0.25, 365, 5);</v>
      </c>
    </row>
    <row r="367">
      <c r="A367" s="1" t="s">
        <v>201</v>
      </c>
      <c r="B367" s="2">
        <f>iferror(VLOOKUP(E367,'출결유형'!$A:$C,2,0),"")</f>
        <v>0</v>
      </c>
      <c r="C367" s="2">
        <v>366.0</v>
      </c>
      <c r="D367" s="2">
        <f>iferror(VLOOKUP(E367,'출결유형'!$L:$M,2,0),"")</f>
        <v>1</v>
      </c>
      <c r="E367" s="21" t="s">
        <v>184</v>
      </c>
      <c r="G367" s="2" t="str">
        <f t="shared" si="1"/>
        <v>INSERT INTO tblAttendanceScore VALUES (seqAttendanceScore.nextval, 0, 366, 1);</v>
      </c>
    </row>
    <row r="368">
      <c r="A368" s="1" t="s">
        <v>201</v>
      </c>
      <c r="B368" s="2">
        <f>iferror(VLOOKUP(E368,'출결유형'!$A:$C,2,0),"")</f>
        <v>-0.25</v>
      </c>
      <c r="C368" s="2">
        <v>367.0</v>
      </c>
      <c r="D368" s="2">
        <f>iferror(VLOOKUP(E368,'출결유형'!$L:$M,2,0),"")</f>
        <v>5</v>
      </c>
      <c r="E368" s="21" t="s">
        <v>189</v>
      </c>
      <c r="G368" s="2" t="str">
        <f t="shared" si="1"/>
        <v>INSERT INTO tblAttendanceScore VALUES (seqAttendanceScore.nextval, -0.25, 367, 5);</v>
      </c>
    </row>
    <row r="369">
      <c r="A369" s="1" t="s">
        <v>201</v>
      </c>
      <c r="B369" s="2">
        <f>iferror(VLOOKUP(E369,'출결유형'!$A:$C,2,0),"")</f>
        <v>-0.25</v>
      </c>
      <c r="C369" s="2">
        <v>368.0</v>
      </c>
      <c r="D369" s="2">
        <f>iferror(VLOOKUP(E369,'출결유형'!$L:$M,2,0),"")</f>
        <v>5</v>
      </c>
      <c r="E369" s="21" t="s">
        <v>189</v>
      </c>
      <c r="G369" s="2" t="str">
        <f t="shared" si="1"/>
        <v>INSERT INTO tblAttendanceScore VALUES (seqAttendanceScore.nextval, -0.25, 368, 5);</v>
      </c>
    </row>
    <row r="370">
      <c r="A370" s="1" t="s">
        <v>201</v>
      </c>
      <c r="B370" s="2">
        <f>iferror(VLOOKUP(E370,'출결유형'!$A:$C,2,0),"")</f>
        <v>0</v>
      </c>
      <c r="C370" s="2">
        <v>369.0</v>
      </c>
      <c r="D370" s="2">
        <f>iferror(VLOOKUP(E370,'출결유형'!$L:$M,2,0),"")</f>
        <v>1</v>
      </c>
      <c r="E370" s="21" t="s">
        <v>184</v>
      </c>
      <c r="G370" s="2" t="str">
        <f t="shared" si="1"/>
        <v>INSERT INTO tblAttendanceScore VALUES (seqAttendanceScore.nextval, 0, 369, 1);</v>
      </c>
    </row>
    <row r="371">
      <c r="A371" s="1" t="s">
        <v>201</v>
      </c>
      <c r="B371" s="2">
        <f>iferror(VLOOKUP(E371,'출결유형'!$A:$C,2,0),"")</f>
        <v>-0.25</v>
      </c>
      <c r="C371" s="2">
        <v>370.0</v>
      </c>
      <c r="D371" s="2">
        <f>iferror(VLOOKUP(E371,'출결유형'!$L:$M,2,0),"")</f>
        <v>5</v>
      </c>
      <c r="E371" s="21" t="s">
        <v>189</v>
      </c>
      <c r="G371" s="2" t="str">
        <f t="shared" si="1"/>
        <v>INSERT INTO tblAttendanceScore VALUES (seqAttendanceScore.nextval, -0.25, 370, 5);</v>
      </c>
    </row>
    <row r="372">
      <c r="A372" s="1" t="s">
        <v>201</v>
      </c>
      <c r="B372" s="2">
        <f>iferror(VLOOKUP(E372,'출결유형'!$A:$C,2,0),"")</f>
        <v>-0.25</v>
      </c>
      <c r="C372" s="2">
        <v>371.0</v>
      </c>
      <c r="D372" s="2">
        <f>iferror(VLOOKUP(E372,'출결유형'!$L:$M,2,0),"")</f>
        <v>5</v>
      </c>
      <c r="E372" s="21" t="s">
        <v>189</v>
      </c>
      <c r="G372" s="2" t="str">
        <f t="shared" si="1"/>
        <v>INSERT INTO tblAttendanceScore VALUES (seqAttendanceScore.nextval, -0.25, 371, 5);</v>
      </c>
    </row>
    <row r="373">
      <c r="A373" s="1" t="s">
        <v>201</v>
      </c>
      <c r="B373" s="2">
        <f>iferror(VLOOKUP(E373,'출결유형'!$A:$C,2,0),"")</f>
        <v>-0.25</v>
      </c>
      <c r="C373" s="2">
        <v>372.0</v>
      </c>
      <c r="D373" s="2">
        <f>iferror(VLOOKUP(E373,'출결유형'!$L:$M,2,0),"")</f>
        <v>5</v>
      </c>
      <c r="E373" s="21" t="s">
        <v>189</v>
      </c>
      <c r="G373" s="2" t="str">
        <f t="shared" si="1"/>
        <v>INSERT INTO tblAttendanceScore VALUES (seqAttendanceScore.nextval, -0.25, 372, 5);</v>
      </c>
    </row>
    <row r="374">
      <c r="A374" s="1" t="s">
        <v>201</v>
      </c>
      <c r="B374" s="2">
        <f>iferror(VLOOKUP(E374,'출결유형'!$A:$C,2,0),"")</f>
        <v>0</v>
      </c>
      <c r="C374" s="2">
        <v>373.0</v>
      </c>
      <c r="D374" s="2">
        <f>iferror(VLOOKUP(E374,'출결유형'!$L:$M,2,0),"")</f>
        <v>1</v>
      </c>
      <c r="E374" s="21" t="s">
        <v>184</v>
      </c>
      <c r="G374" s="2" t="str">
        <f t="shared" si="1"/>
        <v>INSERT INTO tblAttendanceScore VALUES (seqAttendanceScore.nextval, 0, 373, 1);</v>
      </c>
    </row>
    <row r="375">
      <c r="A375" s="1" t="s">
        <v>201</v>
      </c>
      <c r="B375" s="2">
        <f>iferror(VLOOKUP(E375,'출결유형'!$A:$C,2,0),"")</f>
        <v>-0.25</v>
      </c>
      <c r="C375" s="2">
        <v>374.0</v>
      </c>
      <c r="D375" s="2">
        <f>iferror(VLOOKUP(E375,'출결유형'!$L:$M,2,0),"")</f>
        <v>5</v>
      </c>
      <c r="E375" s="21" t="s">
        <v>189</v>
      </c>
      <c r="G375" s="2" t="str">
        <f t="shared" si="1"/>
        <v>INSERT INTO tblAttendanceScore VALUES (seqAttendanceScore.nextval, -0.25, 374, 5);</v>
      </c>
    </row>
    <row r="376">
      <c r="A376" s="1" t="s">
        <v>201</v>
      </c>
      <c r="B376" s="2">
        <f>iferror(VLOOKUP(E376,'출결유형'!$A:$C,2,0),"")</f>
        <v>-0.25</v>
      </c>
      <c r="C376" s="2">
        <v>375.0</v>
      </c>
      <c r="D376" s="2">
        <f>iferror(VLOOKUP(E376,'출결유형'!$L:$M,2,0),"")</f>
        <v>5</v>
      </c>
      <c r="E376" s="21" t="s">
        <v>189</v>
      </c>
      <c r="G376" s="2" t="str">
        <f t="shared" si="1"/>
        <v>INSERT INTO tblAttendanceScore VALUES (seqAttendanceScore.nextval, -0.25, 375, 5);</v>
      </c>
    </row>
    <row r="377">
      <c r="A377" s="1" t="s">
        <v>201</v>
      </c>
      <c r="B377" s="2">
        <f>iferror(VLOOKUP(E377,'출결유형'!$A:$C,2,0),"")</f>
        <v>0</v>
      </c>
      <c r="C377" s="2">
        <v>376.0</v>
      </c>
      <c r="D377" s="2">
        <f>iferror(VLOOKUP(E377,'출결유형'!$L:$M,2,0),"")</f>
        <v>1</v>
      </c>
      <c r="E377" s="21" t="s">
        <v>184</v>
      </c>
      <c r="G377" s="2" t="str">
        <f t="shared" si="1"/>
        <v>INSERT INTO tblAttendanceScore VALUES (seqAttendanceScore.nextval, 0, 376, 1);</v>
      </c>
    </row>
    <row r="378">
      <c r="A378" s="1" t="s">
        <v>201</v>
      </c>
      <c r="B378" s="2">
        <f>iferror(VLOOKUP(E378,'출결유형'!$A:$C,2,0),"")</f>
        <v>0</v>
      </c>
      <c r="C378" s="2">
        <v>377.0</v>
      </c>
      <c r="D378" s="2">
        <f>iferror(VLOOKUP(E378,'출결유형'!$L:$M,2,0),"")</f>
        <v>1</v>
      </c>
      <c r="E378" s="21" t="s">
        <v>184</v>
      </c>
      <c r="G378" s="2" t="str">
        <f t="shared" si="1"/>
        <v>INSERT INTO tblAttendanceScore VALUES (seqAttendanceScore.nextval, 0, 377, 1);</v>
      </c>
    </row>
    <row r="379">
      <c r="A379" s="1" t="s">
        <v>201</v>
      </c>
      <c r="B379" s="2">
        <f>iferror(VLOOKUP(E379,'출결유형'!$A:$C,2,0),"")</f>
        <v>-0.25</v>
      </c>
      <c r="C379" s="2">
        <v>378.0</v>
      </c>
      <c r="D379" s="2">
        <f>iferror(VLOOKUP(E379,'출결유형'!$L:$M,2,0),"")</f>
        <v>5</v>
      </c>
      <c r="E379" s="21" t="s">
        <v>189</v>
      </c>
      <c r="G379" s="2" t="str">
        <f t="shared" si="1"/>
        <v>INSERT INTO tblAttendanceScore VALUES (seqAttendanceScore.nextval, -0.25, 378, 5);</v>
      </c>
    </row>
    <row r="380">
      <c r="A380" s="1" t="s">
        <v>201</v>
      </c>
      <c r="B380" s="2">
        <f>iferror(VLOOKUP(E380,'출결유형'!$A:$C,2,0),"")</f>
        <v>0</v>
      </c>
      <c r="C380" s="2">
        <v>379.0</v>
      </c>
      <c r="D380" s="2">
        <f>iferror(VLOOKUP(E380,'출결유형'!$L:$M,2,0),"")</f>
        <v>1</v>
      </c>
      <c r="E380" s="21" t="s">
        <v>184</v>
      </c>
      <c r="G380" s="2" t="str">
        <f t="shared" si="1"/>
        <v>INSERT INTO tblAttendanceScore VALUES (seqAttendanceScore.nextval, 0, 379, 1);</v>
      </c>
    </row>
    <row r="381">
      <c r="A381" s="1" t="s">
        <v>201</v>
      </c>
      <c r="B381" s="2">
        <f>iferror(VLOOKUP(E381,'출결유형'!$A:$C,2,0),"")</f>
        <v>-0.25</v>
      </c>
      <c r="C381" s="2">
        <v>380.0</v>
      </c>
      <c r="D381" s="2">
        <f>iferror(VLOOKUP(E381,'출결유형'!$L:$M,2,0),"")</f>
        <v>5</v>
      </c>
      <c r="E381" s="21" t="s">
        <v>189</v>
      </c>
      <c r="G381" s="2" t="str">
        <f t="shared" si="1"/>
        <v>INSERT INTO tblAttendanceScore VALUES (seqAttendanceScore.nextval, -0.25, 380, 5);</v>
      </c>
    </row>
    <row r="382">
      <c r="A382" s="1" t="s">
        <v>201</v>
      </c>
      <c r="B382" s="2">
        <f>iferror(VLOOKUP(E382,'출결유형'!$A:$C,2,0),"")</f>
        <v>-0.25</v>
      </c>
      <c r="C382" s="2">
        <v>381.0</v>
      </c>
      <c r="D382" s="2">
        <f>iferror(VLOOKUP(E382,'출결유형'!$L:$M,2,0),"")</f>
        <v>5</v>
      </c>
      <c r="E382" s="21" t="s">
        <v>189</v>
      </c>
      <c r="G382" s="2" t="str">
        <f t="shared" si="1"/>
        <v>INSERT INTO tblAttendanceScore VALUES (seqAttendanceScore.nextval, -0.25, 381, 5);</v>
      </c>
    </row>
    <row r="383">
      <c r="A383" s="1" t="s">
        <v>201</v>
      </c>
      <c r="B383" s="2">
        <f>iferror(VLOOKUP(E383,'출결유형'!$A:$C,2,0),"")</f>
        <v>0</v>
      </c>
      <c r="C383" s="2">
        <v>382.0</v>
      </c>
      <c r="D383" s="2">
        <f>iferror(VLOOKUP(E383,'출결유형'!$L:$M,2,0),"")</f>
        <v>1</v>
      </c>
      <c r="E383" s="21" t="s">
        <v>184</v>
      </c>
      <c r="G383" s="2" t="str">
        <f t="shared" si="1"/>
        <v>INSERT INTO tblAttendanceScore VALUES (seqAttendanceScore.nextval, 0, 382, 1);</v>
      </c>
    </row>
    <row r="384">
      <c r="A384" s="1" t="s">
        <v>201</v>
      </c>
      <c r="B384" s="2">
        <f>iferror(VLOOKUP(E384,'출결유형'!$A:$C,2,0),"")</f>
        <v>-0.25</v>
      </c>
      <c r="C384" s="2">
        <v>383.0</v>
      </c>
      <c r="D384" s="2">
        <f>iferror(VLOOKUP(E384,'출결유형'!$L:$M,2,0),"")</f>
        <v>5</v>
      </c>
      <c r="E384" s="21" t="s">
        <v>189</v>
      </c>
      <c r="G384" s="2" t="str">
        <f t="shared" si="1"/>
        <v>INSERT INTO tblAttendanceScore VALUES (seqAttendanceScore.nextval, -0.25, 383, 5);</v>
      </c>
    </row>
    <row r="385">
      <c r="A385" s="1" t="s">
        <v>201</v>
      </c>
      <c r="B385" s="2">
        <f>iferror(VLOOKUP(E385,'출결유형'!$A:$C,2,0),"")</f>
        <v>-0.25</v>
      </c>
      <c r="C385" s="2">
        <v>384.0</v>
      </c>
      <c r="D385" s="2">
        <f>iferror(VLOOKUP(E385,'출결유형'!$L:$M,2,0),"")</f>
        <v>5</v>
      </c>
      <c r="E385" s="21" t="s">
        <v>189</v>
      </c>
      <c r="G385" s="2" t="str">
        <f t="shared" si="1"/>
        <v>INSERT INTO tblAttendanceScore VALUES (seqAttendanceScore.nextval, -0.25, 384, 5);</v>
      </c>
    </row>
    <row r="386">
      <c r="A386" s="1" t="s">
        <v>201</v>
      </c>
      <c r="B386" s="2">
        <f>iferror(VLOOKUP(E386,'출결유형'!$A:$C,2,0),"")</f>
        <v>0</v>
      </c>
      <c r="C386" s="2">
        <v>385.0</v>
      </c>
      <c r="D386" s="2">
        <f>iferror(VLOOKUP(E386,'출결유형'!$L:$M,2,0),"")</f>
        <v>1</v>
      </c>
      <c r="E386" s="21" t="s">
        <v>184</v>
      </c>
      <c r="G386" s="2" t="str">
        <f t="shared" si="1"/>
        <v>INSERT INTO tblAttendanceScore VALUES (seqAttendanceScore.nextval, 0, 385, 1);</v>
      </c>
    </row>
    <row r="387">
      <c r="A387" s="1" t="s">
        <v>201</v>
      </c>
      <c r="B387" s="2">
        <f>iferror(VLOOKUP(E387,'출결유형'!$A:$C,2,0),"")</f>
        <v>-0.25</v>
      </c>
      <c r="C387" s="2">
        <v>386.0</v>
      </c>
      <c r="D387" s="2">
        <f>iferror(VLOOKUP(E387,'출결유형'!$L:$M,2,0),"")</f>
        <v>5</v>
      </c>
      <c r="E387" s="21" t="s">
        <v>189</v>
      </c>
      <c r="G387" s="2" t="str">
        <f t="shared" si="1"/>
        <v>INSERT INTO tblAttendanceScore VALUES (seqAttendanceScore.nextval, -0.25, 386, 5);</v>
      </c>
    </row>
    <row r="388">
      <c r="A388" s="1" t="s">
        <v>201</v>
      </c>
      <c r="B388" s="2">
        <f>iferror(VLOOKUP(E388,'출결유형'!$A:$C,2,0),"")</f>
        <v>-0.25</v>
      </c>
      <c r="C388" s="2">
        <v>387.0</v>
      </c>
      <c r="D388" s="2">
        <f>iferror(VLOOKUP(E388,'출결유형'!$L:$M,2,0),"")</f>
        <v>5</v>
      </c>
      <c r="E388" s="21" t="s">
        <v>189</v>
      </c>
      <c r="G388" s="2" t="str">
        <f t="shared" si="1"/>
        <v>INSERT INTO tblAttendanceScore VALUES (seqAttendanceScore.nextval, -0.25, 387, 5);</v>
      </c>
    </row>
    <row r="389">
      <c r="A389" s="1" t="s">
        <v>201</v>
      </c>
      <c r="B389" s="2">
        <f>iferror(VLOOKUP(E389,'출결유형'!$A:$C,2,0),"")</f>
        <v>-0.25</v>
      </c>
      <c r="C389" s="2">
        <v>388.0</v>
      </c>
      <c r="D389" s="2">
        <f>iferror(VLOOKUP(E389,'출결유형'!$L:$M,2,0),"")</f>
        <v>5</v>
      </c>
      <c r="E389" s="21" t="s">
        <v>189</v>
      </c>
      <c r="G389" s="2" t="str">
        <f t="shared" si="1"/>
        <v>INSERT INTO tblAttendanceScore VALUES (seqAttendanceScore.nextval, -0.25, 388, 5);</v>
      </c>
    </row>
    <row r="390">
      <c r="A390" s="1" t="s">
        <v>201</v>
      </c>
      <c r="B390" s="2">
        <f>iferror(VLOOKUP(E390,'출결유형'!$A:$C,2,0),"")</f>
        <v>-1</v>
      </c>
      <c r="C390" s="2">
        <v>389.0</v>
      </c>
      <c r="D390" s="2">
        <f>iferror(VLOOKUP(E390,'출결유형'!$L:$M,2,0),"")</f>
        <v>2</v>
      </c>
      <c r="E390" s="21" t="s">
        <v>186</v>
      </c>
      <c r="G390" s="2" t="str">
        <f t="shared" si="1"/>
        <v>INSERT INTO tblAttendanceScore VALUES (seqAttendanceScore.nextval, -1, 389, 2);</v>
      </c>
    </row>
    <row r="391">
      <c r="A391" s="1" t="s">
        <v>201</v>
      </c>
      <c r="B391" s="2">
        <f>iferror(VLOOKUP(E391,'출결유형'!$A:$C,2,0),"")</f>
        <v>0</v>
      </c>
      <c r="C391" s="2">
        <v>390.0</v>
      </c>
      <c r="D391" s="2">
        <f>iferror(VLOOKUP(E391,'출결유형'!$L:$M,2,0),"")</f>
        <v>1</v>
      </c>
      <c r="E391" s="21" t="s">
        <v>184</v>
      </c>
      <c r="G391" s="2" t="str">
        <f t="shared" si="1"/>
        <v>INSERT INTO tblAttendanceScore VALUES (seqAttendanceScore.nextval, 0, 390, 1);</v>
      </c>
    </row>
    <row r="392">
      <c r="A392" s="1" t="s">
        <v>201</v>
      </c>
      <c r="B392" s="2">
        <f>iferror(VLOOKUP(E392,'출결유형'!$A:$C,2,0),"")</f>
        <v>0</v>
      </c>
      <c r="C392" s="2">
        <v>391.0</v>
      </c>
      <c r="D392" s="2">
        <f>iferror(VLOOKUP(E392,'출결유형'!$L:$M,2,0),"")</f>
        <v>1</v>
      </c>
      <c r="E392" s="21" t="s">
        <v>184</v>
      </c>
      <c r="G392" s="2" t="str">
        <f t="shared" si="1"/>
        <v>INSERT INTO tblAttendanceScore VALUES (seqAttendanceScore.nextval, 0, 391, 1);</v>
      </c>
    </row>
    <row r="393">
      <c r="A393" s="1" t="s">
        <v>201</v>
      </c>
      <c r="B393" s="2">
        <f>iferror(VLOOKUP(E393,'출결유형'!$A:$C,2,0),"")</f>
        <v>0</v>
      </c>
      <c r="C393" s="2">
        <v>392.0</v>
      </c>
      <c r="D393" s="2">
        <f>iferror(VLOOKUP(E393,'출결유형'!$L:$M,2,0),"")</f>
        <v>1</v>
      </c>
      <c r="E393" s="21" t="s">
        <v>184</v>
      </c>
      <c r="G393" s="2" t="str">
        <f t="shared" si="1"/>
        <v>INSERT INTO tblAttendanceScore VALUES (seqAttendanceScore.nextval, 0, 392, 1);</v>
      </c>
    </row>
    <row r="394">
      <c r="A394" s="1" t="s">
        <v>201</v>
      </c>
      <c r="B394" s="2">
        <f>iferror(VLOOKUP(E394,'출결유형'!$A:$C,2,0),"")</f>
        <v>-0.25</v>
      </c>
      <c r="C394" s="2">
        <v>393.0</v>
      </c>
      <c r="D394" s="2">
        <f>iferror(VLOOKUP(E394,'출결유형'!$L:$M,2,0),"")</f>
        <v>5</v>
      </c>
      <c r="E394" s="21" t="s">
        <v>189</v>
      </c>
      <c r="G394" s="2" t="str">
        <f t="shared" si="1"/>
        <v>INSERT INTO tblAttendanceScore VALUES (seqAttendanceScore.nextval, -0.25, 393, 5);</v>
      </c>
    </row>
    <row r="395">
      <c r="A395" s="1" t="s">
        <v>201</v>
      </c>
      <c r="B395" s="2">
        <f>iferror(VLOOKUP(E395,'출결유형'!$A:$C,2,0),"")</f>
        <v>-0.25</v>
      </c>
      <c r="C395" s="2">
        <v>394.0</v>
      </c>
      <c r="D395" s="2">
        <f>iferror(VLOOKUP(E395,'출결유형'!$L:$M,2,0),"")</f>
        <v>5</v>
      </c>
      <c r="E395" s="21" t="s">
        <v>189</v>
      </c>
      <c r="G395" s="2" t="str">
        <f t="shared" si="1"/>
        <v>INSERT INTO tblAttendanceScore VALUES (seqAttendanceScore.nextval, -0.25, 394, 5);</v>
      </c>
    </row>
    <row r="396">
      <c r="A396" s="1" t="s">
        <v>201</v>
      </c>
      <c r="B396" s="2">
        <f>iferror(VLOOKUP(E396,'출결유형'!$A:$C,2,0),"")</f>
        <v>-0.25</v>
      </c>
      <c r="C396" s="2">
        <v>395.0</v>
      </c>
      <c r="D396" s="2">
        <f>iferror(VLOOKUP(E396,'출결유형'!$L:$M,2,0),"")</f>
        <v>5</v>
      </c>
      <c r="E396" s="21" t="s">
        <v>189</v>
      </c>
      <c r="G396" s="2" t="str">
        <f t="shared" si="1"/>
        <v>INSERT INTO tblAttendanceScore VALUES (seqAttendanceScore.nextval, -0.25, 395, 5);</v>
      </c>
    </row>
    <row r="397">
      <c r="A397" s="1" t="s">
        <v>201</v>
      </c>
      <c r="B397" s="2">
        <f>iferror(VLOOKUP(E397,'출결유형'!$A:$C,2,0),"")</f>
        <v>-0.25</v>
      </c>
      <c r="C397" s="2">
        <v>396.0</v>
      </c>
      <c r="D397" s="2">
        <f>iferror(VLOOKUP(E397,'출결유형'!$L:$M,2,0),"")</f>
        <v>5</v>
      </c>
      <c r="E397" s="21" t="s">
        <v>189</v>
      </c>
      <c r="G397" s="2" t="str">
        <f t="shared" si="1"/>
        <v>INSERT INTO tblAttendanceScore VALUES (seqAttendanceScore.nextval, -0.25, 396, 5);</v>
      </c>
    </row>
    <row r="398">
      <c r="A398" s="1" t="s">
        <v>201</v>
      </c>
      <c r="B398" s="2">
        <f>iferror(VLOOKUP(E398,'출결유형'!$A:$C,2,0),"")</f>
        <v>0</v>
      </c>
      <c r="C398" s="2">
        <v>397.0</v>
      </c>
      <c r="D398" s="2">
        <f>iferror(VLOOKUP(E398,'출결유형'!$L:$M,2,0),"")</f>
        <v>1</v>
      </c>
      <c r="E398" s="21" t="s">
        <v>184</v>
      </c>
      <c r="G398" s="2" t="str">
        <f t="shared" si="1"/>
        <v>INSERT INTO tblAttendanceScore VALUES (seqAttendanceScore.nextval, 0, 397, 1);</v>
      </c>
    </row>
    <row r="399">
      <c r="A399" s="1" t="s">
        <v>201</v>
      </c>
      <c r="B399" s="2">
        <f>iferror(VLOOKUP(E399,'출결유형'!$A:$C,2,0),"")</f>
        <v>0</v>
      </c>
      <c r="C399" s="2">
        <v>398.0</v>
      </c>
      <c r="D399" s="2">
        <f>iferror(VLOOKUP(E399,'출결유형'!$L:$M,2,0),"")</f>
        <v>1</v>
      </c>
      <c r="E399" s="21" t="s">
        <v>184</v>
      </c>
      <c r="G399" s="2" t="str">
        <f t="shared" si="1"/>
        <v>INSERT INTO tblAttendanceScore VALUES (seqAttendanceScore.nextval, 0, 398, 1);</v>
      </c>
    </row>
    <row r="400">
      <c r="A400" s="1" t="s">
        <v>201</v>
      </c>
      <c r="B400" s="2">
        <f>iferror(VLOOKUP(E400,'출결유형'!$A:$C,2,0),"")</f>
        <v>0</v>
      </c>
      <c r="C400" s="2">
        <v>399.0</v>
      </c>
      <c r="D400" s="2">
        <f>iferror(VLOOKUP(E400,'출결유형'!$L:$M,2,0),"")</f>
        <v>1</v>
      </c>
      <c r="E400" s="21" t="s">
        <v>184</v>
      </c>
      <c r="G400" s="2" t="str">
        <f t="shared" si="1"/>
        <v>INSERT INTO tblAttendanceScore VALUES (seqAttendanceScore.nextval, 0, 399, 1);</v>
      </c>
    </row>
    <row r="401">
      <c r="A401" s="1" t="s">
        <v>201</v>
      </c>
      <c r="B401" s="2">
        <f>iferror(VLOOKUP(E401,'출결유형'!$A:$C,2,0),"")</f>
        <v>-0.25</v>
      </c>
      <c r="C401" s="2">
        <v>400.0</v>
      </c>
      <c r="D401" s="2">
        <f>iferror(VLOOKUP(E401,'출결유형'!$L:$M,2,0),"")</f>
        <v>5</v>
      </c>
      <c r="E401" s="21" t="s">
        <v>189</v>
      </c>
      <c r="G401" s="2" t="str">
        <f t="shared" si="1"/>
        <v>INSERT INTO tblAttendanceScore VALUES (seqAttendanceScore.nextval, -0.25, 400, 5);</v>
      </c>
    </row>
    <row r="402">
      <c r="A402" s="1" t="s">
        <v>201</v>
      </c>
      <c r="B402" s="2">
        <f>iferror(VLOOKUP(E402,'출결유형'!$A:$C,2,0),"")</f>
        <v>-0.25</v>
      </c>
      <c r="C402" s="2">
        <v>401.0</v>
      </c>
      <c r="D402" s="2">
        <f>iferror(VLOOKUP(E402,'출결유형'!$L:$M,2,0),"")</f>
        <v>5</v>
      </c>
      <c r="E402" s="21" t="s">
        <v>189</v>
      </c>
      <c r="G402" s="2" t="str">
        <f t="shared" si="1"/>
        <v>INSERT INTO tblAttendanceScore VALUES (seqAttendanceScore.nextval, -0.25, 401, 5);</v>
      </c>
    </row>
    <row r="403">
      <c r="A403" s="1" t="s">
        <v>201</v>
      </c>
      <c r="B403" s="2">
        <f>iferror(VLOOKUP(E403,'출결유형'!$A:$C,2,0),"")</f>
        <v>0</v>
      </c>
      <c r="C403" s="2">
        <v>402.0</v>
      </c>
      <c r="D403" s="2">
        <f>iferror(VLOOKUP(E403,'출결유형'!$L:$M,2,0),"")</f>
        <v>1</v>
      </c>
      <c r="E403" s="21" t="s">
        <v>184</v>
      </c>
      <c r="G403" s="2" t="str">
        <f t="shared" si="1"/>
        <v>INSERT INTO tblAttendanceScore VALUES (seqAttendanceScore.nextval, 0, 402, 1);</v>
      </c>
    </row>
    <row r="404">
      <c r="A404" s="1" t="s">
        <v>201</v>
      </c>
      <c r="B404" s="2">
        <f>iferror(VLOOKUP(E404,'출결유형'!$A:$C,2,0),"")</f>
        <v>0</v>
      </c>
      <c r="C404" s="2">
        <v>403.0</v>
      </c>
      <c r="D404" s="2">
        <f>iferror(VLOOKUP(E404,'출결유형'!$L:$M,2,0),"")</f>
        <v>1</v>
      </c>
      <c r="E404" s="21" t="s">
        <v>184</v>
      </c>
      <c r="G404" s="2" t="str">
        <f t="shared" si="1"/>
        <v>INSERT INTO tblAttendanceScore VALUES (seqAttendanceScore.nextval, 0, 403, 1);</v>
      </c>
    </row>
    <row r="405">
      <c r="A405" s="1" t="s">
        <v>201</v>
      </c>
      <c r="B405" s="2">
        <f>iferror(VLOOKUP(E405,'출결유형'!$A:$C,2,0),"")</f>
        <v>-0.25</v>
      </c>
      <c r="C405" s="2">
        <v>404.0</v>
      </c>
      <c r="D405" s="2">
        <f>iferror(VLOOKUP(E405,'출결유형'!$L:$M,2,0),"")</f>
        <v>5</v>
      </c>
      <c r="E405" s="21" t="s">
        <v>189</v>
      </c>
      <c r="G405" s="2" t="str">
        <f t="shared" si="1"/>
        <v>INSERT INTO tblAttendanceScore VALUES (seqAttendanceScore.nextval, -0.25, 404, 5);</v>
      </c>
    </row>
    <row r="406">
      <c r="A406" s="1" t="s">
        <v>201</v>
      </c>
      <c r="B406" s="2">
        <f>iferror(VLOOKUP(E406,'출결유형'!$A:$C,2,0),"")</f>
        <v>0</v>
      </c>
      <c r="C406" s="2">
        <v>405.0</v>
      </c>
      <c r="D406" s="2">
        <f>iferror(VLOOKUP(E406,'출결유형'!$L:$M,2,0),"")</f>
        <v>1</v>
      </c>
      <c r="E406" s="21" t="s">
        <v>184</v>
      </c>
      <c r="G406" s="2" t="str">
        <f t="shared" si="1"/>
        <v>INSERT INTO tblAttendanceScore VALUES (seqAttendanceScore.nextval, 0, 405, 1);</v>
      </c>
    </row>
    <row r="407">
      <c r="A407" s="1" t="s">
        <v>201</v>
      </c>
      <c r="B407" s="2">
        <f>iferror(VLOOKUP(E407,'출결유형'!$A:$C,2,0),"")</f>
        <v>0</v>
      </c>
      <c r="C407" s="2">
        <v>406.0</v>
      </c>
      <c r="D407" s="2">
        <f>iferror(VLOOKUP(E407,'출결유형'!$L:$M,2,0),"")</f>
        <v>1</v>
      </c>
      <c r="E407" s="21" t="s">
        <v>184</v>
      </c>
      <c r="G407" s="2" t="str">
        <f t="shared" si="1"/>
        <v>INSERT INTO tblAttendanceScore VALUES (seqAttendanceScore.nextval, 0, 406, 1);</v>
      </c>
    </row>
    <row r="408">
      <c r="A408" s="1" t="s">
        <v>201</v>
      </c>
      <c r="B408" s="2">
        <f>iferror(VLOOKUP(E408,'출결유형'!$A:$C,2,0),"")</f>
        <v>0</v>
      </c>
      <c r="C408" s="2">
        <v>407.0</v>
      </c>
      <c r="D408" s="2">
        <f>iferror(VLOOKUP(E408,'출결유형'!$L:$M,2,0),"")</f>
        <v>1</v>
      </c>
      <c r="E408" s="21" t="s">
        <v>184</v>
      </c>
      <c r="G408" s="2" t="str">
        <f t="shared" si="1"/>
        <v>INSERT INTO tblAttendanceScore VALUES (seqAttendanceScore.nextval, 0, 407, 1);</v>
      </c>
    </row>
    <row r="409">
      <c r="A409" s="1" t="s">
        <v>201</v>
      </c>
      <c r="B409" s="2">
        <f>iferror(VLOOKUP(E409,'출결유형'!$A:$C,2,0),"")</f>
        <v>-0.25</v>
      </c>
      <c r="C409" s="2">
        <v>408.0</v>
      </c>
      <c r="D409" s="2">
        <f>iferror(VLOOKUP(E409,'출결유형'!$L:$M,2,0),"")</f>
        <v>5</v>
      </c>
      <c r="E409" s="21" t="s">
        <v>189</v>
      </c>
      <c r="G409" s="2" t="str">
        <f t="shared" si="1"/>
        <v>INSERT INTO tblAttendanceScore VALUES (seqAttendanceScore.nextval, -0.25, 408, 5);</v>
      </c>
    </row>
    <row r="410">
      <c r="A410" s="1" t="s">
        <v>201</v>
      </c>
      <c r="B410" s="2">
        <f>iferror(VLOOKUP(E410,'출결유형'!$A:$C,2,0),"")</f>
        <v>0</v>
      </c>
      <c r="C410" s="2">
        <v>409.0</v>
      </c>
      <c r="D410" s="2">
        <f>iferror(VLOOKUP(E410,'출결유형'!$L:$M,2,0),"")</f>
        <v>1</v>
      </c>
      <c r="E410" s="21" t="s">
        <v>184</v>
      </c>
      <c r="G410" s="2" t="str">
        <f t="shared" si="1"/>
        <v>INSERT INTO tblAttendanceScore VALUES (seqAttendanceScore.nextval, 0, 409, 1);</v>
      </c>
    </row>
    <row r="411">
      <c r="A411" s="1" t="s">
        <v>201</v>
      </c>
      <c r="B411" s="2">
        <f>iferror(VLOOKUP(E411,'출결유형'!$A:$C,2,0),"")</f>
        <v>0</v>
      </c>
      <c r="C411" s="2">
        <v>410.0</v>
      </c>
      <c r="D411" s="2">
        <f>iferror(VLOOKUP(E411,'출결유형'!$L:$M,2,0),"")</f>
        <v>1</v>
      </c>
      <c r="E411" s="21" t="s">
        <v>184</v>
      </c>
      <c r="G411" s="2" t="str">
        <f t="shared" si="1"/>
        <v>INSERT INTO tblAttendanceScore VALUES (seqAttendanceScore.nextval, 0, 410, 1);</v>
      </c>
    </row>
    <row r="412">
      <c r="A412" s="1" t="s">
        <v>201</v>
      </c>
      <c r="B412" s="2">
        <f>iferror(VLOOKUP(E412,'출결유형'!$A:$C,2,0),"")</f>
        <v>0</v>
      </c>
      <c r="C412" s="2">
        <v>411.0</v>
      </c>
      <c r="D412" s="2">
        <f>iferror(VLOOKUP(E412,'출결유형'!$L:$M,2,0),"")</f>
        <v>1</v>
      </c>
      <c r="E412" s="21" t="s">
        <v>184</v>
      </c>
      <c r="G412" s="2" t="str">
        <f t="shared" si="1"/>
        <v>INSERT INTO tblAttendanceScore VALUES (seqAttendanceScore.nextval, 0, 411, 1);</v>
      </c>
    </row>
    <row r="413">
      <c r="A413" s="1" t="s">
        <v>201</v>
      </c>
      <c r="B413" s="2">
        <f>iferror(VLOOKUP(E413,'출결유형'!$A:$C,2,0),"")</f>
        <v>-0.25</v>
      </c>
      <c r="C413" s="2">
        <v>412.0</v>
      </c>
      <c r="D413" s="2">
        <f>iferror(VLOOKUP(E413,'출결유형'!$L:$M,2,0),"")</f>
        <v>5</v>
      </c>
      <c r="E413" s="21" t="s">
        <v>189</v>
      </c>
      <c r="G413" s="2" t="str">
        <f t="shared" si="1"/>
        <v>INSERT INTO tblAttendanceScore VALUES (seqAttendanceScore.nextval, -0.25, 412, 5);</v>
      </c>
    </row>
    <row r="414">
      <c r="A414" s="1" t="s">
        <v>201</v>
      </c>
      <c r="B414" s="2">
        <f>iferror(VLOOKUP(E414,'출결유형'!$A:$C,2,0),"")</f>
        <v>0</v>
      </c>
      <c r="C414" s="2">
        <v>413.0</v>
      </c>
      <c r="D414" s="2">
        <f>iferror(VLOOKUP(E414,'출결유형'!$L:$M,2,0),"")</f>
        <v>1</v>
      </c>
      <c r="E414" s="21" t="s">
        <v>184</v>
      </c>
      <c r="G414" s="2" t="str">
        <f t="shared" si="1"/>
        <v>INSERT INTO tblAttendanceScore VALUES (seqAttendanceScore.nextval, 0, 413, 1);</v>
      </c>
    </row>
    <row r="415">
      <c r="A415" s="1" t="s">
        <v>201</v>
      </c>
      <c r="B415" s="2">
        <f>iferror(VLOOKUP(E415,'출결유형'!$A:$C,2,0),"")</f>
        <v>0</v>
      </c>
      <c r="C415" s="2">
        <v>414.0</v>
      </c>
      <c r="D415" s="2">
        <f>iferror(VLOOKUP(E415,'출결유형'!$L:$M,2,0),"")</f>
        <v>1</v>
      </c>
      <c r="E415" s="21" t="s">
        <v>184</v>
      </c>
      <c r="G415" s="2" t="str">
        <f t="shared" si="1"/>
        <v>INSERT INTO tblAttendanceScore VALUES (seqAttendanceScore.nextval, 0, 414, 1);</v>
      </c>
    </row>
    <row r="416">
      <c r="A416" s="1" t="s">
        <v>201</v>
      </c>
      <c r="B416" s="2">
        <f>iferror(VLOOKUP(E416,'출결유형'!$A:$C,2,0),"")</f>
        <v>0</v>
      </c>
      <c r="C416" s="2">
        <v>415.0</v>
      </c>
      <c r="D416" s="2">
        <f>iferror(VLOOKUP(E416,'출결유형'!$L:$M,2,0),"")</f>
        <v>1</v>
      </c>
      <c r="E416" s="21" t="s">
        <v>184</v>
      </c>
      <c r="G416" s="2" t="str">
        <f t="shared" si="1"/>
        <v>INSERT INTO tblAttendanceScore VALUES (seqAttendanceScore.nextval, 0, 415, 1);</v>
      </c>
    </row>
    <row r="417">
      <c r="A417" s="1" t="s">
        <v>201</v>
      </c>
      <c r="B417" s="2">
        <f>iferror(VLOOKUP(E417,'출결유형'!$A:$C,2,0),"")</f>
        <v>-0.25</v>
      </c>
      <c r="C417" s="2">
        <v>416.0</v>
      </c>
      <c r="D417" s="2">
        <f>iferror(VLOOKUP(E417,'출결유형'!$L:$M,2,0),"")</f>
        <v>5</v>
      </c>
      <c r="E417" s="21" t="s">
        <v>189</v>
      </c>
      <c r="G417" s="2" t="str">
        <f t="shared" si="1"/>
        <v>INSERT INTO tblAttendanceScore VALUES (seqAttendanceScore.nextval, -0.25, 416, 5);</v>
      </c>
    </row>
    <row r="418">
      <c r="A418" s="1" t="s">
        <v>201</v>
      </c>
      <c r="B418" s="2">
        <f>iferror(VLOOKUP(E418,'출결유형'!$A:$C,2,0),"")</f>
        <v>0</v>
      </c>
      <c r="C418" s="2">
        <v>417.0</v>
      </c>
      <c r="D418" s="2">
        <f>iferror(VLOOKUP(E418,'출결유형'!$L:$M,2,0),"")</f>
        <v>1</v>
      </c>
      <c r="E418" s="21" t="s">
        <v>184</v>
      </c>
      <c r="G418" s="2" t="str">
        <f t="shared" si="1"/>
        <v>INSERT INTO tblAttendanceScore VALUES (seqAttendanceScore.nextval, 0, 417, 1);</v>
      </c>
    </row>
    <row r="419">
      <c r="A419" s="1" t="s">
        <v>201</v>
      </c>
      <c r="B419" s="2">
        <f>iferror(VLOOKUP(E419,'출결유형'!$A:$C,2,0),"")</f>
        <v>-0.25</v>
      </c>
      <c r="C419" s="2">
        <v>418.0</v>
      </c>
      <c r="D419" s="2">
        <f>iferror(VLOOKUP(E419,'출결유형'!$L:$M,2,0),"")</f>
        <v>5</v>
      </c>
      <c r="E419" s="21" t="s">
        <v>189</v>
      </c>
      <c r="G419" s="2" t="str">
        <f t="shared" si="1"/>
        <v>INSERT INTO tblAttendanceScore VALUES (seqAttendanceScore.nextval, -0.25, 418, 5);</v>
      </c>
    </row>
    <row r="420">
      <c r="A420" s="1" t="s">
        <v>201</v>
      </c>
      <c r="B420" s="2">
        <f>iferror(VLOOKUP(E420,'출결유형'!$A:$C,2,0),"")</f>
        <v>0</v>
      </c>
      <c r="C420" s="2">
        <v>419.0</v>
      </c>
      <c r="D420" s="2">
        <f>iferror(VLOOKUP(E420,'출결유형'!$L:$M,2,0),"")</f>
        <v>1</v>
      </c>
      <c r="E420" s="21" t="s">
        <v>184</v>
      </c>
      <c r="G420" s="2" t="str">
        <f t="shared" si="1"/>
        <v>INSERT INTO tblAttendanceScore VALUES (seqAttendanceScore.nextval, 0, 419, 1);</v>
      </c>
    </row>
    <row r="421">
      <c r="A421" s="1" t="s">
        <v>201</v>
      </c>
      <c r="B421" s="2">
        <f>iferror(VLOOKUP(E421,'출결유형'!$A:$C,2,0),"")</f>
        <v>0</v>
      </c>
      <c r="C421" s="2">
        <v>420.0</v>
      </c>
      <c r="D421" s="2">
        <f>iferror(VLOOKUP(E421,'출결유형'!$L:$M,2,0),"")</f>
        <v>1</v>
      </c>
      <c r="E421" s="21" t="s">
        <v>184</v>
      </c>
      <c r="G421" s="2" t="str">
        <f t="shared" si="1"/>
        <v>INSERT INTO tblAttendanceScore VALUES (seqAttendanceScore.nextval, 0, 420, 1);</v>
      </c>
    </row>
    <row r="422">
      <c r="A422" s="1" t="s">
        <v>201</v>
      </c>
      <c r="B422" s="2">
        <f>iferror(VLOOKUP(E422,'출결유형'!$A:$C,2,0),"")</f>
        <v>0</v>
      </c>
      <c r="C422" s="2">
        <v>421.0</v>
      </c>
      <c r="D422" s="2">
        <f>iferror(VLOOKUP(E422,'출결유형'!$L:$M,2,0),"")</f>
        <v>1</v>
      </c>
      <c r="E422" s="21" t="s">
        <v>184</v>
      </c>
      <c r="G422" s="2" t="str">
        <f t="shared" si="1"/>
        <v>INSERT INTO tblAttendanceScore VALUES (seqAttendanceScore.nextval, 0, 421, 1);</v>
      </c>
    </row>
    <row r="423">
      <c r="A423" s="1" t="s">
        <v>201</v>
      </c>
      <c r="B423" s="2">
        <f>iferror(VLOOKUP(E423,'출결유형'!$A:$C,2,0),"")</f>
        <v>0</v>
      </c>
      <c r="C423" s="2">
        <v>422.0</v>
      </c>
      <c r="D423" s="2">
        <f>iferror(VLOOKUP(E423,'출결유형'!$L:$M,2,0),"")</f>
        <v>1</v>
      </c>
      <c r="E423" s="21" t="s">
        <v>184</v>
      </c>
      <c r="G423" s="2" t="str">
        <f t="shared" si="1"/>
        <v>INSERT INTO tblAttendanceScore VALUES (seqAttendanceScore.nextval, 0, 422, 1);</v>
      </c>
    </row>
    <row r="424">
      <c r="A424" s="1" t="s">
        <v>201</v>
      </c>
      <c r="B424" s="2">
        <f>iferror(VLOOKUP(E424,'출결유형'!$A:$C,2,0),"")</f>
        <v>0</v>
      </c>
      <c r="C424" s="2">
        <v>423.0</v>
      </c>
      <c r="D424" s="2">
        <f>iferror(VLOOKUP(E424,'출결유형'!$L:$M,2,0),"")</f>
        <v>1</v>
      </c>
      <c r="E424" s="21" t="s">
        <v>184</v>
      </c>
      <c r="G424" s="2" t="str">
        <f t="shared" si="1"/>
        <v>INSERT INTO tblAttendanceScore VALUES (seqAttendanceScore.nextval, 0, 423, 1);</v>
      </c>
    </row>
    <row r="425">
      <c r="A425" s="1" t="s">
        <v>201</v>
      </c>
      <c r="B425" s="2">
        <f>iferror(VLOOKUP(E425,'출결유형'!$A:$C,2,0),"")</f>
        <v>-0.25</v>
      </c>
      <c r="C425" s="2">
        <v>424.0</v>
      </c>
      <c r="D425" s="2">
        <f>iferror(VLOOKUP(E425,'출결유형'!$L:$M,2,0),"")</f>
        <v>3</v>
      </c>
      <c r="E425" s="21" t="s">
        <v>187</v>
      </c>
      <c r="G425" s="2" t="str">
        <f t="shared" si="1"/>
        <v>INSERT INTO tblAttendanceScore VALUES (seqAttendanceScore.nextval, -0.25, 424, 3);</v>
      </c>
    </row>
    <row r="426">
      <c r="A426" s="1" t="s">
        <v>201</v>
      </c>
      <c r="B426" s="2">
        <f>iferror(VLOOKUP(E426,'출결유형'!$A:$C,2,0),"")</f>
        <v>0</v>
      </c>
      <c r="C426" s="2">
        <v>425.0</v>
      </c>
      <c r="D426" s="2">
        <f>iferror(VLOOKUP(E426,'출결유형'!$L:$M,2,0),"")</f>
        <v>1</v>
      </c>
      <c r="E426" s="21" t="s">
        <v>184</v>
      </c>
      <c r="G426" s="2" t="str">
        <f t="shared" si="1"/>
        <v>INSERT INTO tblAttendanceScore VALUES (seqAttendanceScore.nextval, 0, 425, 1);</v>
      </c>
    </row>
    <row r="427">
      <c r="A427" s="1" t="s">
        <v>201</v>
      </c>
      <c r="B427" s="2">
        <f>iferror(VLOOKUP(E427,'출결유형'!$A:$C,2,0),"")</f>
        <v>0</v>
      </c>
      <c r="C427" s="2">
        <v>426.0</v>
      </c>
      <c r="D427" s="2">
        <f>iferror(VLOOKUP(E427,'출결유형'!$L:$M,2,0),"")</f>
        <v>1</v>
      </c>
      <c r="E427" s="21" t="s">
        <v>184</v>
      </c>
      <c r="G427" s="2" t="str">
        <f t="shared" si="1"/>
        <v>INSERT INTO tblAttendanceScore VALUES (seqAttendanceScore.nextval, 0, 426, 1);</v>
      </c>
    </row>
    <row r="428">
      <c r="A428" s="1" t="s">
        <v>201</v>
      </c>
      <c r="B428" s="2">
        <f>iferror(VLOOKUP(E428,'출결유형'!$A:$C,2,0),"")</f>
        <v>-0.25</v>
      </c>
      <c r="C428" s="2">
        <v>427.0</v>
      </c>
      <c r="D428" s="2">
        <f>iferror(VLOOKUP(E428,'출결유형'!$L:$M,2,0),"")</f>
        <v>5</v>
      </c>
      <c r="E428" s="21" t="s">
        <v>189</v>
      </c>
      <c r="G428" s="2" t="str">
        <f t="shared" si="1"/>
        <v>INSERT INTO tblAttendanceScore VALUES (seqAttendanceScore.nextval, -0.25, 427, 5);</v>
      </c>
    </row>
    <row r="429">
      <c r="A429" s="1" t="s">
        <v>201</v>
      </c>
      <c r="B429" s="2">
        <f>iferror(VLOOKUP(E429,'출결유형'!$A:$C,2,0),"")</f>
        <v>0</v>
      </c>
      <c r="C429" s="2">
        <v>428.0</v>
      </c>
      <c r="D429" s="2">
        <f>iferror(VLOOKUP(E429,'출결유형'!$L:$M,2,0),"")</f>
        <v>1</v>
      </c>
      <c r="E429" s="21" t="s">
        <v>184</v>
      </c>
      <c r="G429" s="2" t="str">
        <f t="shared" si="1"/>
        <v>INSERT INTO tblAttendanceScore VALUES (seqAttendanceScore.nextval, 0, 428, 1);</v>
      </c>
    </row>
    <row r="430">
      <c r="A430" s="1" t="s">
        <v>201</v>
      </c>
      <c r="B430" s="2">
        <f>iferror(VLOOKUP(E430,'출결유형'!$A:$C,2,0),"")</f>
        <v>0</v>
      </c>
      <c r="C430" s="2">
        <v>429.0</v>
      </c>
      <c r="D430" s="2">
        <f>iferror(VLOOKUP(E430,'출결유형'!$L:$M,2,0),"")</f>
        <v>1</v>
      </c>
      <c r="E430" s="21" t="s">
        <v>184</v>
      </c>
      <c r="G430" s="2" t="str">
        <f t="shared" si="1"/>
        <v>INSERT INTO tblAttendanceScore VALUES (seqAttendanceScore.nextval, 0, 429, 1);</v>
      </c>
    </row>
    <row r="431">
      <c r="A431" s="1" t="s">
        <v>201</v>
      </c>
      <c r="B431" s="2">
        <f>iferror(VLOOKUP(E431,'출결유형'!$A:$C,2,0),"")</f>
        <v>0</v>
      </c>
      <c r="C431" s="2">
        <v>430.0</v>
      </c>
      <c r="D431" s="2">
        <f>iferror(VLOOKUP(E431,'출결유형'!$L:$M,2,0),"")</f>
        <v>1</v>
      </c>
      <c r="E431" s="21" t="s">
        <v>184</v>
      </c>
      <c r="G431" s="2" t="str">
        <f t="shared" si="1"/>
        <v>INSERT INTO tblAttendanceScore VALUES (seqAttendanceScore.nextval, 0, 430, 1);</v>
      </c>
    </row>
    <row r="432">
      <c r="A432" s="1" t="s">
        <v>201</v>
      </c>
      <c r="B432" s="2">
        <f>iferror(VLOOKUP(E432,'출결유형'!$A:$C,2,0),"")</f>
        <v>-0.25</v>
      </c>
      <c r="C432" s="2">
        <v>431.0</v>
      </c>
      <c r="D432" s="2">
        <f>iferror(VLOOKUP(E432,'출결유형'!$L:$M,2,0),"")</f>
        <v>5</v>
      </c>
      <c r="E432" s="21" t="s">
        <v>189</v>
      </c>
      <c r="G432" s="2" t="str">
        <f t="shared" si="1"/>
        <v>INSERT INTO tblAttendanceScore VALUES (seqAttendanceScore.nextval, -0.25, 431, 5);</v>
      </c>
    </row>
    <row r="433">
      <c r="A433" s="1" t="s">
        <v>201</v>
      </c>
      <c r="B433" s="2">
        <f>iferror(VLOOKUP(E433,'출결유형'!$A:$C,2,0),"")</f>
        <v>-0.25</v>
      </c>
      <c r="C433" s="2">
        <v>432.0</v>
      </c>
      <c r="D433" s="2">
        <f>iferror(VLOOKUP(E433,'출결유형'!$L:$M,2,0),"")</f>
        <v>5</v>
      </c>
      <c r="E433" s="21" t="s">
        <v>189</v>
      </c>
      <c r="G433" s="2" t="str">
        <f t="shared" si="1"/>
        <v>INSERT INTO tblAttendanceScore VALUES (seqAttendanceScore.nextval, -0.25, 432, 5);</v>
      </c>
    </row>
    <row r="434">
      <c r="A434" s="1" t="s">
        <v>201</v>
      </c>
      <c r="B434" s="2">
        <f>iferror(VLOOKUP(E434,'출결유형'!$A:$C,2,0),"")</f>
        <v>0</v>
      </c>
      <c r="C434" s="2">
        <v>433.0</v>
      </c>
      <c r="D434" s="2">
        <f>iferror(VLOOKUP(E434,'출결유형'!$L:$M,2,0),"")</f>
        <v>1</v>
      </c>
      <c r="E434" s="21" t="s">
        <v>184</v>
      </c>
      <c r="G434" s="2" t="str">
        <f t="shared" si="1"/>
        <v>INSERT INTO tblAttendanceScore VALUES (seqAttendanceScore.nextval, 0, 433, 1);</v>
      </c>
    </row>
    <row r="435">
      <c r="A435" s="1" t="s">
        <v>201</v>
      </c>
      <c r="B435" s="2">
        <f>iferror(VLOOKUP(E435,'출결유형'!$A:$C,2,0),"")</f>
        <v>-0.25</v>
      </c>
      <c r="C435" s="2">
        <v>434.0</v>
      </c>
      <c r="D435" s="2">
        <f>iferror(VLOOKUP(E435,'출결유형'!$L:$M,2,0),"")</f>
        <v>5</v>
      </c>
      <c r="E435" s="21" t="s">
        <v>189</v>
      </c>
      <c r="G435" s="2" t="str">
        <f t="shared" si="1"/>
        <v>INSERT INTO tblAttendanceScore VALUES (seqAttendanceScore.nextval, -0.25, 434, 5);</v>
      </c>
    </row>
    <row r="436">
      <c r="A436" s="1" t="s">
        <v>201</v>
      </c>
      <c r="B436" s="2">
        <f>iferror(VLOOKUP(E436,'출결유형'!$A:$C,2,0),"")</f>
        <v>0</v>
      </c>
      <c r="C436" s="2">
        <v>435.0</v>
      </c>
      <c r="D436" s="2">
        <f>iferror(VLOOKUP(E436,'출결유형'!$L:$M,2,0),"")</f>
        <v>1</v>
      </c>
      <c r="E436" s="21" t="s">
        <v>184</v>
      </c>
      <c r="G436" s="2" t="str">
        <f t="shared" si="1"/>
        <v>INSERT INTO tblAttendanceScore VALUES (seqAttendanceScore.nextval, 0, 435, 1);</v>
      </c>
    </row>
    <row r="437">
      <c r="A437" s="1" t="s">
        <v>201</v>
      </c>
      <c r="B437" s="2">
        <f>iferror(VLOOKUP(E437,'출결유형'!$A:$C,2,0),"")</f>
        <v>-0.25</v>
      </c>
      <c r="C437" s="2">
        <v>436.0</v>
      </c>
      <c r="D437" s="2">
        <f>iferror(VLOOKUP(E437,'출결유형'!$L:$M,2,0),"")</f>
        <v>5</v>
      </c>
      <c r="E437" s="21" t="s">
        <v>189</v>
      </c>
      <c r="G437" s="2" t="str">
        <f t="shared" si="1"/>
        <v>INSERT INTO tblAttendanceScore VALUES (seqAttendanceScore.nextval, -0.25, 436, 5);</v>
      </c>
    </row>
    <row r="438">
      <c r="A438" s="1" t="s">
        <v>201</v>
      </c>
      <c r="B438" s="2">
        <f>iferror(VLOOKUP(E438,'출결유형'!$A:$C,2,0),"")</f>
        <v>-0.25</v>
      </c>
      <c r="C438" s="2">
        <v>437.0</v>
      </c>
      <c r="D438" s="2">
        <f>iferror(VLOOKUP(E438,'출결유형'!$L:$M,2,0),"")</f>
        <v>5</v>
      </c>
      <c r="E438" s="21" t="s">
        <v>189</v>
      </c>
      <c r="G438" s="2" t="str">
        <f t="shared" si="1"/>
        <v>INSERT INTO tblAttendanceScore VALUES (seqAttendanceScore.nextval, -0.25, 437, 5);</v>
      </c>
    </row>
    <row r="439">
      <c r="A439" s="1" t="s">
        <v>201</v>
      </c>
      <c r="B439" s="2">
        <f>iferror(VLOOKUP(E439,'출결유형'!$A:$C,2,0),"")</f>
        <v>0</v>
      </c>
      <c r="C439" s="2">
        <v>438.0</v>
      </c>
      <c r="D439" s="2">
        <f>iferror(VLOOKUP(E439,'출결유형'!$L:$M,2,0),"")</f>
        <v>1</v>
      </c>
      <c r="E439" s="21" t="s">
        <v>184</v>
      </c>
      <c r="G439" s="2" t="str">
        <f t="shared" si="1"/>
        <v>INSERT INTO tblAttendanceScore VALUES (seqAttendanceScore.nextval, 0, 438, 1);</v>
      </c>
    </row>
    <row r="440">
      <c r="A440" s="1" t="s">
        <v>201</v>
      </c>
      <c r="B440" s="2">
        <f>iferror(VLOOKUP(E440,'출결유형'!$A:$C,2,0),"")</f>
        <v>-1</v>
      </c>
      <c r="C440" s="2">
        <v>439.0</v>
      </c>
      <c r="D440" s="2">
        <f>iferror(VLOOKUP(E440,'출결유형'!$L:$M,2,0),"")</f>
        <v>2</v>
      </c>
      <c r="E440" s="21" t="s">
        <v>186</v>
      </c>
      <c r="G440" s="2" t="str">
        <f t="shared" si="1"/>
        <v>INSERT INTO tblAttendanceScore VALUES (seqAttendanceScore.nextval, -1, 439, 2);</v>
      </c>
    </row>
    <row r="441">
      <c r="A441" s="1" t="s">
        <v>201</v>
      </c>
      <c r="B441" s="2">
        <f>iferror(VLOOKUP(E441,'출결유형'!$A:$C,2,0),"")</f>
        <v>0</v>
      </c>
      <c r="C441" s="2">
        <v>440.0</v>
      </c>
      <c r="D441" s="2">
        <f>iferror(VLOOKUP(E441,'출결유형'!$L:$M,2,0),"")</f>
        <v>1</v>
      </c>
      <c r="E441" s="21" t="s">
        <v>184</v>
      </c>
      <c r="G441" s="2" t="str">
        <f t="shared" si="1"/>
        <v>INSERT INTO tblAttendanceScore VALUES (seqAttendanceScore.nextval, 0, 440, 1);</v>
      </c>
    </row>
    <row r="442">
      <c r="A442" s="1" t="s">
        <v>201</v>
      </c>
      <c r="B442" s="2">
        <f>iferror(VLOOKUP(E442,'출결유형'!$A:$C,2,0),"")</f>
        <v>-0.25</v>
      </c>
      <c r="C442" s="2">
        <v>441.0</v>
      </c>
      <c r="D442" s="2">
        <f>iferror(VLOOKUP(E442,'출결유형'!$L:$M,2,0),"")</f>
        <v>5</v>
      </c>
      <c r="E442" s="21" t="s">
        <v>189</v>
      </c>
      <c r="G442" s="2" t="str">
        <f t="shared" si="1"/>
        <v>INSERT INTO tblAttendanceScore VALUES (seqAttendanceScore.nextval, -0.25, 441, 5);</v>
      </c>
    </row>
    <row r="443">
      <c r="A443" s="1" t="s">
        <v>201</v>
      </c>
      <c r="B443" s="2">
        <f>iferror(VLOOKUP(E443,'출결유형'!$A:$C,2,0),"")</f>
        <v>0</v>
      </c>
      <c r="C443" s="2">
        <v>442.0</v>
      </c>
      <c r="D443" s="2">
        <f>iferror(VLOOKUP(E443,'출결유형'!$L:$M,2,0),"")</f>
        <v>1</v>
      </c>
      <c r="E443" s="21" t="s">
        <v>184</v>
      </c>
      <c r="G443" s="2" t="str">
        <f t="shared" si="1"/>
        <v>INSERT INTO tblAttendanceScore VALUES (seqAttendanceScore.nextval, 0, 442, 1);</v>
      </c>
    </row>
    <row r="444">
      <c r="A444" s="1" t="s">
        <v>201</v>
      </c>
      <c r="B444" s="2">
        <f>iferror(VLOOKUP(E444,'출결유형'!$A:$C,2,0),"")</f>
        <v>0</v>
      </c>
      <c r="C444" s="2">
        <v>443.0</v>
      </c>
      <c r="D444" s="2">
        <f>iferror(VLOOKUP(E444,'출결유형'!$L:$M,2,0),"")</f>
        <v>1</v>
      </c>
      <c r="E444" s="21" t="s">
        <v>184</v>
      </c>
      <c r="G444" s="2" t="str">
        <f t="shared" si="1"/>
        <v>INSERT INTO tblAttendanceScore VALUES (seqAttendanceScore.nextval, 0, 443, 1);</v>
      </c>
    </row>
    <row r="445">
      <c r="A445" s="1" t="s">
        <v>201</v>
      </c>
      <c r="B445" s="2">
        <f>iferror(VLOOKUP(E445,'출결유형'!$A:$C,2,0),"")</f>
        <v>-0.25</v>
      </c>
      <c r="C445" s="2">
        <v>444.0</v>
      </c>
      <c r="D445" s="2">
        <f>iferror(VLOOKUP(E445,'출결유형'!$L:$M,2,0),"")</f>
        <v>5</v>
      </c>
      <c r="E445" s="21" t="s">
        <v>189</v>
      </c>
      <c r="G445" s="2" t="str">
        <f t="shared" si="1"/>
        <v>INSERT INTO tblAttendanceScore VALUES (seqAttendanceScore.nextval, -0.25, 444, 5);</v>
      </c>
    </row>
    <row r="446">
      <c r="A446" s="1" t="s">
        <v>201</v>
      </c>
      <c r="B446" s="2">
        <f>iferror(VLOOKUP(E446,'출결유형'!$A:$C,2,0),"")</f>
        <v>-0.25</v>
      </c>
      <c r="C446" s="2">
        <v>445.0</v>
      </c>
      <c r="D446" s="2">
        <f>iferror(VLOOKUP(E446,'출결유형'!$L:$M,2,0),"")</f>
        <v>5</v>
      </c>
      <c r="E446" s="21" t="s">
        <v>189</v>
      </c>
      <c r="G446" s="2" t="str">
        <f t="shared" si="1"/>
        <v>INSERT INTO tblAttendanceScore VALUES (seqAttendanceScore.nextval, -0.25, 445, 5);</v>
      </c>
    </row>
    <row r="447">
      <c r="A447" s="1" t="s">
        <v>201</v>
      </c>
      <c r="B447" s="2">
        <f>iferror(VLOOKUP(E447,'출결유형'!$A:$C,2,0),"")</f>
        <v>0</v>
      </c>
      <c r="C447" s="2">
        <v>446.0</v>
      </c>
      <c r="D447" s="2">
        <f>iferror(VLOOKUP(E447,'출결유형'!$L:$M,2,0),"")</f>
        <v>1</v>
      </c>
      <c r="E447" s="21" t="s">
        <v>184</v>
      </c>
      <c r="G447" s="2" t="str">
        <f t="shared" si="1"/>
        <v>INSERT INTO tblAttendanceScore VALUES (seqAttendanceScore.nextval, 0, 446, 1);</v>
      </c>
    </row>
    <row r="448">
      <c r="A448" s="1" t="s">
        <v>201</v>
      </c>
      <c r="B448" s="2">
        <f>iferror(VLOOKUP(E448,'출결유형'!$A:$C,2,0),"")</f>
        <v>0</v>
      </c>
      <c r="C448" s="2">
        <v>447.0</v>
      </c>
      <c r="D448" s="2">
        <f>iferror(VLOOKUP(E448,'출결유형'!$L:$M,2,0),"")</f>
        <v>1</v>
      </c>
      <c r="E448" s="21" t="s">
        <v>184</v>
      </c>
      <c r="G448" s="2" t="str">
        <f t="shared" si="1"/>
        <v>INSERT INTO tblAttendanceScore VALUES (seqAttendanceScore.nextval, 0, 447, 1);</v>
      </c>
    </row>
    <row r="449">
      <c r="A449" s="1" t="s">
        <v>201</v>
      </c>
      <c r="B449" s="2">
        <f>iferror(VLOOKUP(E449,'출결유형'!$A:$C,2,0),"")</f>
        <v>-0.25</v>
      </c>
      <c r="C449" s="2">
        <v>448.0</v>
      </c>
      <c r="D449" s="2">
        <f>iferror(VLOOKUP(E449,'출결유형'!$L:$M,2,0),"")</f>
        <v>5</v>
      </c>
      <c r="E449" s="21" t="s">
        <v>189</v>
      </c>
      <c r="G449" s="2" t="str">
        <f t="shared" si="1"/>
        <v>INSERT INTO tblAttendanceScore VALUES (seqAttendanceScore.nextval, -0.25, 448, 5);</v>
      </c>
    </row>
    <row r="450">
      <c r="A450" s="1" t="s">
        <v>201</v>
      </c>
      <c r="B450" s="2">
        <f>iferror(VLOOKUP(E450,'출결유형'!$A:$C,2,0),"")</f>
        <v>-0.25</v>
      </c>
      <c r="C450" s="2">
        <v>449.0</v>
      </c>
      <c r="D450" s="2">
        <f>iferror(VLOOKUP(E450,'출결유형'!$L:$M,2,0),"")</f>
        <v>5</v>
      </c>
      <c r="E450" s="21" t="s">
        <v>189</v>
      </c>
      <c r="G450" s="2" t="str">
        <f t="shared" si="1"/>
        <v>INSERT INTO tblAttendanceScore VALUES (seqAttendanceScore.nextval, -0.25, 449, 5);</v>
      </c>
    </row>
    <row r="451">
      <c r="A451" s="1" t="s">
        <v>201</v>
      </c>
      <c r="B451" s="2">
        <f>iferror(VLOOKUP(E451,'출결유형'!$A:$C,2,0),"")</f>
        <v>-0.25</v>
      </c>
      <c r="C451" s="2">
        <v>450.0</v>
      </c>
      <c r="D451" s="2">
        <f>iferror(VLOOKUP(E451,'출결유형'!$L:$M,2,0),"")</f>
        <v>5</v>
      </c>
      <c r="E451" s="21" t="s">
        <v>189</v>
      </c>
      <c r="G451" s="2" t="str">
        <f t="shared" si="1"/>
        <v>INSERT INTO tblAttendanceScore VALUES (seqAttendanceScore.nextval, -0.25, 450, 5);</v>
      </c>
    </row>
    <row r="452">
      <c r="A452" s="1" t="s">
        <v>201</v>
      </c>
      <c r="B452" s="2">
        <f>iferror(VLOOKUP(E452,'출결유형'!$A:$C,2,0),"")</f>
        <v>0</v>
      </c>
      <c r="C452" s="2">
        <v>451.0</v>
      </c>
      <c r="D452" s="2">
        <f>iferror(VLOOKUP(E452,'출결유형'!$L:$M,2,0),"")</f>
        <v>1</v>
      </c>
      <c r="E452" s="21" t="s">
        <v>184</v>
      </c>
      <c r="G452" s="2" t="str">
        <f t="shared" si="1"/>
        <v>INSERT INTO tblAttendanceScore VALUES (seqAttendanceScore.nextval, 0, 451, 1);</v>
      </c>
    </row>
    <row r="453">
      <c r="A453" s="1" t="s">
        <v>201</v>
      </c>
      <c r="B453" s="2">
        <f>iferror(VLOOKUP(E453,'출결유형'!$A:$C,2,0),"")</f>
        <v>0</v>
      </c>
      <c r="C453" s="2">
        <v>452.0</v>
      </c>
      <c r="D453" s="2">
        <f>iferror(VLOOKUP(E453,'출결유형'!$L:$M,2,0),"")</f>
        <v>1</v>
      </c>
      <c r="E453" s="21" t="s">
        <v>184</v>
      </c>
      <c r="G453" s="2" t="str">
        <f t="shared" si="1"/>
        <v>INSERT INTO tblAttendanceScore VALUES (seqAttendanceScore.nextval, 0, 452, 1);</v>
      </c>
    </row>
    <row r="454">
      <c r="A454" s="1" t="s">
        <v>201</v>
      </c>
      <c r="B454" s="2">
        <f>iferror(VLOOKUP(E454,'출결유형'!$A:$C,2,0),"")</f>
        <v>-1</v>
      </c>
      <c r="C454" s="2">
        <v>453.0</v>
      </c>
      <c r="D454" s="2">
        <f>iferror(VLOOKUP(E454,'출결유형'!$L:$M,2,0),"")</f>
        <v>2</v>
      </c>
      <c r="E454" s="21" t="s">
        <v>186</v>
      </c>
      <c r="G454" s="2" t="str">
        <f t="shared" si="1"/>
        <v>INSERT INTO tblAttendanceScore VALUES (seqAttendanceScore.nextval, -1, 453, 2);</v>
      </c>
    </row>
    <row r="455">
      <c r="A455" s="1" t="s">
        <v>201</v>
      </c>
      <c r="B455" s="2">
        <f>iferror(VLOOKUP(E455,'출결유형'!$A:$C,2,0),"")</f>
        <v>0</v>
      </c>
      <c r="C455" s="2">
        <v>454.0</v>
      </c>
      <c r="D455" s="2">
        <f>iferror(VLOOKUP(E455,'출결유형'!$L:$M,2,0),"")</f>
        <v>1</v>
      </c>
      <c r="E455" s="21" t="s">
        <v>184</v>
      </c>
      <c r="G455" s="2" t="str">
        <f t="shared" si="1"/>
        <v>INSERT INTO tblAttendanceScore VALUES (seqAttendanceScore.nextval, 0, 454, 1);</v>
      </c>
    </row>
    <row r="456">
      <c r="A456" s="1" t="s">
        <v>201</v>
      </c>
      <c r="B456" s="2">
        <f>iferror(VLOOKUP(E456,'출결유형'!$A:$C,2,0),"")</f>
        <v>0</v>
      </c>
      <c r="C456" s="2">
        <v>455.0</v>
      </c>
      <c r="D456" s="2">
        <f>iferror(VLOOKUP(E456,'출결유형'!$L:$M,2,0),"")</f>
        <v>1</v>
      </c>
      <c r="E456" s="21" t="s">
        <v>184</v>
      </c>
      <c r="G456" s="2" t="str">
        <f t="shared" si="1"/>
        <v>INSERT INTO tblAttendanceScore VALUES (seqAttendanceScore.nextval, 0, 455, 1);</v>
      </c>
    </row>
    <row r="457">
      <c r="A457" s="1" t="s">
        <v>201</v>
      </c>
      <c r="B457" s="2">
        <f>iferror(VLOOKUP(E457,'출결유형'!$A:$C,2,0),"")</f>
        <v>0</v>
      </c>
      <c r="C457" s="2">
        <v>456.0</v>
      </c>
      <c r="D457" s="2">
        <f>iferror(VLOOKUP(E457,'출결유형'!$L:$M,2,0),"")</f>
        <v>1</v>
      </c>
      <c r="E457" s="21" t="s">
        <v>184</v>
      </c>
      <c r="G457" s="2" t="str">
        <f t="shared" si="1"/>
        <v>INSERT INTO tblAttendanceScore VALUES (seqAttendanceScore.nextval, 0, 456, 1);</v>
      </c>
    </row>
    <row r="458">
      <c r="A458" s="1" t="s">
        <v>201</v>
      </c>
      <c r="B458" s="2">
        <f>iferror(VLOOKUP(E458,'출결유형'!$A:$C,2,0),"")</f>
        <v>-0.25</v>
      </c>
      <c r="C458" s="2">
        <v>457.0</v>
      </c>
      <c r="D458" s="2">
        <f>iferror(VLOOKUP(E458,'출결유형'!$L:$M,2,0),"")</f>
        <v>5</v>
      </c>
      <c r="E458" s="21" t="s">
        <v>189</v>
      </c>
      <c r="G458" s="2" t="str">
        <f t="shared" si="1"/>
        <v>INSERT INTO tblAttendanceScore VALUES (seqAttendanceScore.nextval, -0.25, 457, 5);</v>
      </c>
    </row>
    <row r="459">
      <c r="A459" s="1" t="s">
        <v>201</v>
      </c>
      <c r="B459" s="2">
        <f>iferror(VLOOKUP(E459,'출결유형'!$A:$C,2,0),"")</f>
        <v>-0.25</v>
      </c>
      <c r="C459" s="2">
        <v>458.0</v>
      </c>
      <c r="D459" s="2">
        <f>iferror(VLOOKUP(E459,'출결유형'!$L:$M,2,0),"")</f>
        <v>5</v>
      </c>
      <c r="E459" s="21" t="s">
        <v>189</v>
      </c>
      <c r="G459" s="2" t="str">
        <f t="shared" si="1"/>
        <v>INSERT INTO tblAttendanceScore VALUES (seqAttendanceScore.nextval, -0.25, 458, 5);</v>
      </c>
    </row>
    <row r="460">
      <c r="A460" s="1" t="s">
        <v>201</v>
      </c>
      <c r="B460" s="2">
        <f>iferror(VLOOKUP(E460,'출결유형'!$A:$C,2,0),"")</f>
        <v>0</v>
      </c>
      <c r="C460" s="2">
        <v>459.0</v>
      </c>
      <c r="D460" s="2">
        <f>iferror(VLOOKUP(E460,'출결유형'!$L:$M,2,0),"")</f>
        <v>1</v>
      </c>
      <c r="E460" s="21" t="s">
        <v>184</v>
      </c>
      <c r="G460" s="2" t="str">
        <f t="shared" si="1"/>
        <v>INSERT INTO tblAttendanceScore VALUES (seqAttendanceScore.nextval, 0, 459, 1);</v>
      </c>
    </row>
    <row r="461">
      <c r="A461" s="1" t="s">
        <v>201</v>
      </c>
      <c r="B461" s="2">
        <f>iferror(VLOOKUP(E461,'출결유형'!$A:$C,2,0),"")</f>
        <v>-0.25</v>
      </c>
      <c r="C461" s="2">
        <v>460.0</v>
      </c>
      <c r="D461" s="2">
        <f>iferror(VLOOKUP(E461,'출결유형'!$L:$M,2,0),"")</f>
        <v>5</v>
      </c>
      <c r="E461" s="21" t="s">
        <v>189</v>
      </c>
      <c r="G461" s="2" t="str">
        <f t="shared" si="1"/>
        <v>INSERT INTO tblAttendanceScore VALUES (seqAttendanceScore.nextval, -0.25, 460, 5);</v>
      </c>
    </row>
    <row r="462">
      <c r="A462" s="1" t="s">
        <v>201</v>
      </c>
      <c r="B462" s="2">
        <f>iferror(VLOOKUP(E462,'출결유형'!$A:$C,2,0),"")</f>
        <v>-0.25</v>
      </c>
      <c r="C462" s="2">
        <v>461.0</v>
      </c>
      <c r="D462" s="2">
        <f>iferror(VLOOKUP(E462,'출결유형'!$L:$M,2,0),"")</f>
        <v>5</v>
      </c>
      <c r="E462" s="21" t="s">
        <v>189</v>
      </c>
      <c r="G462" s="2" t="str">
        <f t="shared" si="1"/>
        <v>INSERT INTO tblAttendanceScore VALUES (seqAttendanceScore.nextval, -0.25, 461, 5);</v>
      </c>
    </row>
    <row r="463">
      <c r="A463" s="1" t="s">
        <v>201</v>
      </c>
      <c r="B463" s="2">
        <f>iferror(VLOOKUP(E463,'출결유형'!$A:$C,2,0),"")</f>
        <v>-0.25</v>
      </c>
      <c r="C463" s="2">
        <v>462.0</v>
      </c>
      <c r="D463" s="2">
        <f>iferror(VLOOKUP(E463,'출결유형'!$L:$M,2,0),"")</f>
        <v>5</v>
      </c>
      <c r="E463" s="21" t="s">
        <v>189</v>
      </c>
      <c r="G463" s="2" t="str">
        <f t="shared" si="1"/>
        <v>INSERT INTO tblAttendanceScore VALUES (seqAttendanceScore.nextval, -0.25, 462, 5);</v>
      </c>
    </row>
    <row r="464">
      <c r="A464" s="1" t="s">
        <v>201</v>
      </c>
      <c r="B464" s="2">
        <f>iferror(VLOOKUP(E464,'출결유형'!$A:$C,2,0),"")</f>
        <v>0</v>
      </c>
      <c r="C464" s="2">
        <v>463.0</v>
      </c>
      <c r="D464" s="2">
        <f>iferror(VLOOKUP(E464,'출결유형'!$L:$M,2,0),"")</f>
        <v>1</v>
      </c>
      <c r="E464" s="21" t="s">
        <v>184</v>
      </c>
      <c r="G464" s="2" t="str">
        <f t="shared" si="1"/>
        <v>INSERT INTO tblAttendanceScore VALUES (seqAttendanceScore.nextval, 0, 463, 1);</v>
      </c>
    </row>
    <row r="465">
      <c r="A465" s="1" t="s">
        <v>201</v>
      </c>
      <c r="B465" s="2">
        <f>iferror(VLOOKUP(E465,'출결유형'!$A:$C,2,0),"")</f>
        <v>0</v>
      </c>
      <c r="C465" s="2">
        <v>464.0</v>
      </c>
      <c r="D465" s="2">
        <f>iferror(VLOOKUP(E465,'출결유형'!$L:$M,2,0),"")</f>
        <v>1</v>
      </c>
      <c r="E465" s="21" t="s">
        <v>184</v>
      </c>
      <c r="G465" s="2" t="str">
        <f t="shared" si="1"/>
        <v>INSERT INTO tblAttendanceScore VALUES (seqAttendanceScore.nextval, 0, 464, 1);</v>
      </c>
    </row>
    <row r="466">
      <c r="A466" s="1" t="s">
        <v>201</v>
      </c>
      <c r="B466" s="2">
        <f>iferror(VLOOKUP(E466,'출결유형'!$A:$C,2,0),"")</f>
        <v>-0.25</v>
      </c>
      <c r="C466" s="2">
        <v>465.0</v>
      </c>
      <c r="D466" s="2">
        <f>iferror(VLOOKUP(E466,'출결유형'!$L:$M,2,0),"")</f>
        <v>5</v>
      </c>
      <c r="E466" s="21" t="s">
        <v>189</v>
      </c>
      <c r="G466" s="2" t="str">
        <f t="shared" si="1"/>
        <v>INSERT INTO tblAttendanceScore VALUES (seqAttendanceScore.nextval, -0.25, 465, 5);</v>
      </c>
    </row>
    <row r="467">
      <c r="A467" s="1" t="s">
        <v>201</v>
      </c>
      <c r="B467" s="2">
        <f>iferror(VLOOKUP(E467,'출결유형'!$A:$C,2,0),"")</f>
        <v>-0.25</v>
      </c>
      <c r="C467" s="2">
        <v>466.0</v>
      </c>
      <c r="D467" s="2">
        <f>iferror(VLOOKUP(E467,'출결유형'!$L:$M,2,0),"")</f>
        <v>5</v>
      </c>
      <c r="E467" s="21" t="s">
        <v>189</v>
      </c>
      <c r="G467" s="2" t="str">
        <f t="shared" si="1"/>
        <v>INSERT INTO tblAttendanceScore VALUES (seqAttendanceScore.nextval, -0.25, 466, 5);</v>
      </c>
    </row>
    <row r="468">
      <c r="A468" s="1" t="s">
        <v>201</v>
      </c>
      <c r="B468" s="2">
        <f>iferror(VLOOKUP(E468,'출결유형'!$A:$C,2,0),"")</f>
        <v>-0.25</v>
      </c>
      <c r="C468" s="2">
        <v>467.0</v>
      </c>
      <c r="D468" s="2">
        <f>iferror(VLOOKUP(E468,'출결유형'!$L:$M,2,0),"")</f>
        <v>5</v>
      </c>
      <c r="E468" s="21" t="s">
        <v>189</v>
      </c>
      <c r="G468" s="2" t="str">
        <f t="shared" si="1"/>
        <v>INSERT INTO tblAttendanceScore VALUES (seqAttendanceScore.nextval, -0.25, 467, 5);</v>
      </c>
    </row>
    <row r="469">
      <c r="A469" s="1" t="s">
        <v>201</v>
      </c>
      <c r="B469" s="2">
        <f>iferror(VLOOKUP(E469,'출결유형'!$A:$C,2,0),"")</f>
        <v>0</v>
      </c>
      <c r="C469" s="2">
        <v>468.0</v>
      </c>
      <c r="D469" s="2">
        <f>iferror(VLOOKUP(E469,'출결유형'!$L:$M,2,0),"")</f>
        <v>1</v>
      </c>
      <c r="E469" s="21" t="s">
        <v>184</v>
      </c>
      <c r="G469" s="2" t="str">
        <f t="shared" si="1"/>
        <v>INSERT INTO tblAttendanceScore VALUES (seqAttendanceScore.nextval, 0, 468, 1);</v>
      </c>
    </row>
    <row r="470">
      <c r="A470" s="1" t="s">
        <v>201</v>
      </c>
      <c r="B470" s="2">
        <f>iferror(VLOOKUP(E470,'출결유형'!$A:$C,2,0),"")</f>
        <v>0</v>
      </c>
      <c r="C470" s="2">
        <v>469.0</v>
      </c>
      <c r="D470" s="2">
        <f>iferror(VLOOKUP(E470,'출결유형'!$L:$M,2,0),"")</f>
        <v>1</v>
      </c>
      <c r="E470" s="21" t="s">
        <v>184</v>
      </c>
      <c r="G470" s="2" t="str">
        <f t="shared" si="1"/>
        <v>INSERT INTO tblAttendanceScore VALUES (seqAttendanceScore.nextval, 0, 469, 1);</v>
      </c>
    </row>
    <row r="471">
      <c r="A471" s="1" t="s">
        <v>201</v>
      </c>
      <c r="B471" s="2">
        <f>iferror(VLOOKUP(E471,'출결유형'!$A:$C,2,0),"")</f>
        <v>0</v>
      </c>
      <c r="C471" s="2">
        <v>470.0</v>
      </c>
      <c r="D471" s="2">
        <f>iferror(VLOOKUP(E471,'출결유형'!$L:$M,2,0),"")</f>
        <v>1</v>
      </c>
      <c r="E471" s="21" t="s">
        <v>184</v>
      </c>
      <c r="G471" s="2" t="str">
        <f t="shared" si="1"/>
        <v>INSERT INTO tblAttendanceScore VALUES (seqAttendanceScore.nextval, 0, 470, 1);</v>
      </c>
    </row>
    <row r="472">
      <c r="A472" s="1" t="s">
        <v>201</v>
      </c>
      <c r="B472" s="2">
        <f>iferror(VLOOKUP(E472,'출결유형'!$A:$C,2,0),"")</f>
        <v>0</v>
      </c>
      <c r="C472" s="2">
        <v>471.0</v>
      </c>
      <c r="D472" s="2">
        <f>iferror(VLOOKUP(E472,'출결유형'!$L:$M,2,0),"")</f>
        <v>1</v>
      </c>
      <c r="E472" s="21" t="s">
        <v>184</v>
      </c>
      <c r="G472" s="2" t="str">
        <f t="shared" si="1"/>
        <v>INSERT INTO tblAttendanceScore VALUES (seqAttendanceScore.nextval, 0, 471, 1);</v>
      </c>
    </row>
    <row r="473">
      <c r="A473" s="1" t="s">
        <v>201</v>
      </c>
      <c r="B473" s="2">
        <f>iferror(VLOOKUP(E473,'출결유형'!$A:$C,2,0),"")</f>
        <v>-0.25</v>
      </c>
      <c r="C473" s="2">
        <v>472.0</v>
      </c>
      <c r="D473" s="2">
        <f>iferror(VLOOKUP(E473,'출결유형'!$L:$M,2,0),"")</f>
        <v>5</v>
      </c>
      <c r="E473" s="21" t="s">
        <v>189</v>
      </c>
      <c r="G473" s="2" t="str">
        <f t="shared" si="1"/>
        <v>INSERT INTO tblAttendanceScore VALUES (seqAttendanceScore.nextval, -0.25, 472, 5);</v>
      </c>
    </row>
    <row r="474">
      <c r="A474" s="1" t="s">
        <v>201</v>
      </c>
      <c r="B474" s="2">
        <f>iferror(VLOOKUP(E474,'출결유형'!$A:$C,2,0),"")</f>
        <v>0</v>
      </c>
      <c r="C474" s="2">
        <v>473.0</v>
      </c>
      <c r="D474" s="2">
        <f>iferror(VLOOKUP(E474,'출결유형'!$L:$M,2,0),"")</f>
        <v>1</v>
      </c>
      <c r="E474" s="21" t="s">
        <v>184</v>
      </c>
      <c r="G474" s="2" t="str">
        <f t="shared" si="1"/>
        <v>INSERT INTO tblAttendanceScore VALUES (seqAttendanceScore.nextval, 0, 473, 1);</v>
      </c>
    </row>
    <row r="475">
      <c r="A475" s="1" t="s">
        <v>201</v>
      </c>
      <c r="B475" s="2">
        <f>iferror(VLOOKUP(E475,'출결유형'!$A:$C,2,0),"")</f>
        <v>0</v>
      </c>
      <c r="C475" s="2">
        <v>474.0</v>
      </c>
      <c r="D475" s="2">
        <f>iferror(VLOOKUP(E475,'출결유형'!$L:$M,2,0),"")</f>
        <v>1</v>
      </c>
      <c r="E475" s="21" t="s">
        <v>184</v>
      </c>
      <c r="G475" s="2" t="str">
        <f t="shared" si="1"/>
        <v>INSERT INTO tblAttendanceScore VALUES (seqAttendanceScore.nextval, 0, 474, 1);</v>
      </c>
    </row>
    <row r="476">
      <c r="A476" s="1" t="s">
        <v>201</v>
      </c>
      <c r="B476" s="2">
        <f>iferror(VLOOKUP(E476,'출결유형'!$A:$C,2,0),"")</f>
        <v>-0.25</v>
      </c>
      <c r="C476" s="2">
        <v>475.0</v>
      </c>
      <c r="D476" s="2">
        <f>iferror(VLOOKUP(E476,'출결유형'!$L:$M,2,0),"")</f>
        <v>5</v>
      </c>
      <c r="E476" s="21" t="s">
        <v>189</v>
      </c>
      <c r="G476" s="2" t="str">
        <f t="shared" si="1"/>
        <v>INSERT INTO tblAttendanceScore VALUES (seqAttendanceScore.nextval, -0.25, 475, 5);</v>
      </c>
    </row>
    <row r="477">
      <c r="A477" s="1" t="s">
        <v>201</v>
      </c>
      <c r="B477" s="2">
        <f>iferror(VLOOKUP(E477,'출결유형'!$A:$C,2,0),"")</f>
        <v>0</v>
      </c>
      <c r="C477" s="2">
        <v>476.0</v>
      </c>
      <c r="D477" s="2">
        <f>iferror(VLOOKUP(E477,'출결유형'!$L:$M,2,0),"")</f>
        <v>1</v>
      </c>
      <c r="E477" s="21" t="s">
        <v>184</v>
      </c>
      <c r="G477" s="2" t="str">
        <f t="shared" si="1"/>
        <v>INSERT INTO tblAttendanceScore VALUES (seqAttendanceScore.nextval, 0, 476, 1);</v>
      </c>
    </row>
    <row r="478">
      <c r="A478" s="1" t="s">
        <v>201</v>
      </c>
      <c r="B478" s="2">
        <f>iferror(VLOOKUP(E478,'출결유형'!$A:$C,2,0),"")</f>
        <v>-0.25</v>
      </c>
      <c r="C478" s="2">
        <v>477.0</v>
      </c>
      <c r="D478" s="2">
        <f>iferror(VLOOKUP(E478,'출결유형'!$L:$M,2,0),"")</f>
        <v>5</v>
      </c>
      <c r="E478" s="21" t="s">
        <v>189</v>
      </c>
      <c r="G478" s="2" t="str">
        <f t="shared" si="1"/>
        <v>INSERT INTO tblAttendanceScore VALUES (seqAttendanceScore.nextval, -0.25, 477, 5);</v>
      </c>
    </row>
    <row r="479">
      <c r="A479" s="1" t="s">
        <v>201</v>
      </c>
      <c r="B479" s="2">
        <f>iferror(VLOOKUP(E479,'출결유형'!$A:$C,2,0),"")</f>
        <v>-0.25</v>
      </c>
      <c r="C479" s="2">
        <v>478.0</v>
      </c>
      <c r="D479" s="2">
        <f>iferror(VLOOKUP(E479,'출결유형'!$L:$M,2,0),"")</f>
        <v>5</v>
      </c>
      <c r="E479" s="21" t="s">
        <v>189</v>
      </c>
      <c r="G479" s="2" t="str">
        <f t="shared" si="1"/>
        <v>INSERT INTO tblAttendanceScore VALUES (seqAttendanceScore.nextval, -0.25, 478, 5);</v>
      </c>
    </row>
    <row r="480">
      <c r="A480" s="1" t="s">
        <v>201</v>
      </c>
      <c r="B480" s="2">
        <f>iferror(VLOOKUP(E480,'출결유형'!$A:$C,2,0),"")</f>
        <v>-0.25</v>
      </c>
      <c r="C480" s="2">
        <v>479.0</v>
      </c>
      <c r="D480" s="2">
        <f>iferror(VLOOKUP(E480,'출결유형'!$L:$M,2,0),"")</f>
        <v>5</v>
      </c>
      <c r="E480" s="21" t="s">
        <v>189</v>
      </c>
      <c r="G480" s="2" t="str">
        <f t="shared" si="1"/>
        <v>INSERT INTO tblAttendanceScore VALUES (seqAttendanceScore.nextval, -0.25, 479, 5);</v>
      </c>
    </row>
    <row r="481">
      <c r="A481" s="1" t="s">
        <v>201</v>
      </c>
      <c r="B481" s="2">
        <f>iferror(VLOOKUP(E481,'출결유형'!$A:$C,2,0),"")</f>
        <v>-0.25</v>
      </c>
      <c r="C481" s="2">
        <v>480.0</v>
      </c>
      <c r="D481" s="2">
        <f>iferror(VLOOKUP(E481,'출결유형'!$L:$M,2,0),"")</f>
        <v>5</v>
      </c>
      <c r="E481" s="21" t="s">
        <v>189</v>
      </c>
      <c r="G481" s="2" t="str">
        <f t="shared" si="1"/>
        <v>INSERT INTO tblAttendanceScore VALUES (seqAttendanceScore.nextval, -0.25, 480, 5);</v>
      </c>
    </row>
    <row r="482">
      <c r="A482" s="1" t="s">
        <v>201</v>
      </c>
      <c r="B482" s="2">
        <f>iferror(VLOOKUP(E482,'출결유형'!$A:$C,2,0),"")</f>
        <v>-0.25</v>
      </c>
      <c r="C482" s="2">
        <v>481.0</v>
      </c>
      <c r="D482" s="2">
        <f>iferror(VLOOKUP(E482,'출결유형'!$L:$M,2,0),"")</f>
        <v>5</v>
      </c>
      <c r="E482" s="21" t="s">
        <v>189</v>
      </c>
      <c r="G482" s="2" t="str">
        <f t="shared" si="1"/>
        <v>INSERT INTO tblAttendanceScore VALUES (seqAttendanceScore.nextval, -0.25, 481, 5);</v>
      </c>
    </row>
    <row r="483">
      <c r="A483" s="1" t="s">
        <v>201</v>
      </c>
      <c r="B483" s="2">
        <f>iferror(VLOOKUP(E483,'출결유형'!$A:$C,2,0),"")</f>
        <v>-0.25</v>
      </c>
      <c r="C483" s="2">
        <v>482.0</v>
      </c>
      <c r="D483" s="2">
        <f>iferror(VLOOKUP(E483,'출결유형'!$L:$M,2,0),"")</f>
        <v>5</v>
      </c>
      <c r="E483" s="21" t="s">
        <v>189</v>
      </c>
      <c r="G483" s="2" t="str">
        <f t="shared" si="1"/>
        <v>INSERT INTO tblAttendanceScore VALUES (seqAttendanceScore.nextval, -0.25, 482, 5);</v>
      </c>
    </row>
    <row r="484">
      <c r="A484" s="1" t="s">
        <v>201</v>
      </c>
      <c r="B484" s="2">
        <f>iferror(VLOOKUP(E484,'출결유형'!$A:$C,2,0),"")</f>
        <v>0</v>
      </c>
      <c r="C484" s="2">
        <v>483.0</v>
      </c>
      <c r="D484" s="2">
        <f>iferror(VLOOKUP(E484,'출결유형'!$L:$M,2,0),"")</f>
        <v>1</v>
      </c>
      <c r="E484" s="21" t="s">
        <v>184</v>
      </c>
      <c r="G484" s="2" t="str">
        <f t="shared" si="1"/>
        <v>INSERT INTO tblAttendanceScore VALUES (seqAttendanceScore.nextval, 0, 483, 1);</v>
      </c>
    </row>
    <row r="485">
      <c r="A485" s="1" t="s">
        <v>201</v>
      </c>
      <c r="B485" s="2">
        <f>iferror(VLOOKUP(E485,'출결유형'!$A:$C,2,0),"")</f>
        <v>-0.25</v>
      </c>
      <c r="C485" s="2">
        <v>484.0</v>
      </c>
      <c r="D485" s="2">
        <f>iferror(VLOOKUP(E485,'출결유형'!$L:$M,2,0),"")</f>
        <v>5</v>
      </c>
      <c r="E485" s="21" t="s">
        <v>189</v>
      </c>
      <c r="G485" s="2" t="str">
        <f t="shared" si="1"/>
        <v>INSERT INTO tblAttendanceScore VALUES (seqAttendanceScore.nextval, -0.25, 484, 5);</v>
      </c>
    </row>
    <row r="486">
      <c r="A486" s="1" t="s">
        <v>201</v>
      </c>
      <c r="B486" s="2">
        <f>iferror(VLOOKUP(E486,'출결유형'!$A:$C,2,0),"")</f>
        <v>0</v>
      </c>
      <c r="C486" s="2">
        <v>485.0</v>
      </c>
      <c r="D486" s="2">
        <f>iferror(VLOOKUP(E486,'출결유형'!$L:$M,2,0),"")</f>
        <v>1</v>
      </c>
      <c r="E486" s="21" t="s">
        <v>184</v>
      </c>
      <c r="G486" s="2" t="str">
        <f t="shared" si="1"/>
        <v>INSERT INTO tblAttendanceScore VALUES (seqAttendanceScore.nextval, 0, 485, 1);</v>
      </c>
    </row>
    <row r="487">
      <c r="A487" s="1" t="s">
        <v>201</v>
      </c>
      <c r="B487" s="2">
        <f>iferror(VLOOKUP(E487,'출결유형'!$A:$C,2,0),"")</f>
        <v>0</v>
      </c>
      <c r="C487" s="2">
        <v>486.0</v>
      </c>
      <c r="D487" s="2">
        <f>iferror(VLOOKUP(E487,'출결유형'!$L:$M,2,0),"")</f>
        <v>1</v>
      </c>
      <c r="E487" s="21" t="s">
        <v>184</v>
      </c>
      <c r="G487" s="2" t="str">
        <f t="shared" si="1"/>
        <v>INSERT INTO tblAttendanceScore VALUES (seqAttendanceScore.nextval, 0, 486, 1);</v>
      </c>
    </row>
    <row r="488">
      <c r="A488" s="1" t="s">
        <v>201</v>
      </c>
      <c r="B488" s="2">
        <f>iferror(VLOOKUP(E488,'출결유형'!$A:$C,2,0),"")</f>
        <v>-0.25</v>
      </c>
      <c r="C488" s="2">
        <v>487.0</v>
      </c>
      <c r="D488" s="2">
        <f>iferror(VLOOKUP(E488,'출결유형'!$L:$M,2,0),"")</f>
        <v>5</v>
      </c>
      <c r="E488" s="21" t="s">
        <v>189</v>
      </c>
      <c r="G488" s="2" t="str">
        <f t="shared" si="1"/>
        <v>INSERT INTO tblAttendanceScore VALUES (seqAttendanceScore.nextval, -0.25, 487, 5);</v>
      </c>
    </row>
    <row r="489">
      <c r="A489" s="1" t="s">
        <v>201</v>
      </c>
      <c r="B489" s="2">
        <f>iferror(VLOOKUP(E489,'출결유형'!$A:$C,2,0),"")</f>
        <v>-0.25</v>
      </c>
      <c r="C489" s="2">
        <v>488.0</v>
      </c>
      <c r="D489" s="2">
        <f>iferror(VLOOKUP(E489,'출결유형'!$L:$M,2,0),"")</f>
        <v>5</v>
      </c>
      <c r="E489" s="21" t="s">
        <v>189</v>
      </c>
      <c r="G489" s="2" t="str">
        <f t="shared" si="1"/>
        <v>INSERT INTO tblAttendanceScore VALUES (seqAttendanceScore.nextval, -0.25, 488, 5);</v>
      </c>
    </row>
    <row r="490">
      <c r="A490" s="1" t="s">
        <v>201</v>
      </c>
      <c r="B490" s="2">
        <f>iferror(VLOOKUP(E490,'출결유형'!$A:$C,2,0),"")</f>
        <v>0</v>
      </c>
      <c r="C490" s="2">
        <v>489.0</v>
      </c>
      <c r="D490" s="2">
        <f>iferror(VLOOKUP(E490,'출결유형'!$L:$M,2,0),"")</f>
        <v>1</v>
      </c>
      <c r="E490" s="21" t="s">
        <v>184</v>
      </c>
      <c r="G490" s="2" t="str">
        <f t="shared" si="1"/>
        <v>INSERT INTO tblAttendanceScore VALUES (seqAttendanceScore.nextval, 0, 489, 1);</v>
      </c>
    </row>
    <row r="491">
      <c r="A491" s="1" t="s">
        <v>201</v>
      </c>
      <c r="B491" s="2">
        <f>iferror(VLOOKUP(E491,'출결유형'!$A:$C,2,0),"")</f>
        <v>-0.25</v>
      </c>
      <c r="C491" s="2">
        <v>490.0</v>
      </c>
      <c r="D491" s="2">
        <f>iferror(VLOOKUP(E491,'출결유형'!$L:$M,2,0),"")</f>
        <v>5</v>
      </c>
      <c r="E491" s="21" t="s">
        <v>189</v>
      </c>
      <c r="G491" s="2" t="str">
        <f t="shared" si="1"/>
        <v>INSERT INTO tblAttendanceScore VALUES (seqAttendanceScore.nextval, -0.25, 490, 5);</v>
      </c>
    </row>
    <row r="492">
      <c r="A492" s="1" t="s">
        <v>201</v>
      </c>
      <c r="B492" s="2">
        <f>iferror(VLOOKUP(E492,'출결유형'!$A:$C,2,0),"")</f>
        <v>0</v>
      </c>
      <c r="C492" s="2">
        <v>491.0</v>
      </c>
      <c r="D492" s="2">
        <f>iferror(VLOOKUP(E492,'출결유형'!$L:$M,2,0),"")</f>
        <v>1</v>
      </c>
      <c r="E492" s="21" t="s">
        <v>184</v>
      </c>
      <c r="G492" s="2" t="str">
        <f t="shared" si="1"/>
        <v>INSERT INTO tblAttendanceScore VALUES (seqAttendanceScore.nextval, 0, 491, 1);</v>
      </c>
    </row>
    <row r="493">
      <c r="A493" s="1" t="s">
        <v>201</v>
      </c>
      <c r="B493" s="2">
        <f>iferror(VLOOKUP(E493,'출결유형'!$A:$C,2,0),"")</f>
        <v>-0.25</v>
      </c>
      <c r="C493" s="2">
        <v>492.0</v>
      </c>
      <c r="D493" s="2">
        <f>iferror(VLOOKUP(E493,'출결유형'!$L:$M,2,0),"")</f>
        <v>5</v>
      </c>
      <c r="E493" s="21" t="s">
        <v>189</v>
      </c>
      <c r="G493" s="2" t="str">
        <f t="shared" si="1"/>
        <v>INSERT INTO tblAttendanceScore VALUES (seqAttendanceScore.nextval, -0.25, 492, 5);</v>
      </c>
    </row>
    <row r="494">
      <c r="A494" s="1" t="s">
        <v>201</v>
      </c>
      <c r="B494" s="2">
        <f>iferror(VLOOKUP(E494,'출결유형'!$A:$C,2,0),"")</f>
        <v>-0.25</v>
      </c>
      <c r="C494" s="2">
        <v>493.0</v>
      </c>
      <c r="D494" s="2">
        <f>iferror(VLOOKUP(E494,'출결유형'!$L:$M,2,0),"")</f>
        <v>5</v>
      </c>
      <c r="E494" s="21" t="s">
        <v>189</v>
      </c>
      <c r="G494" s="2" t="str">
        <f t="shared" si="1"/>
        <v>INSERT INTO tblAttendanceScore VALUES (seqAttendanceScore.nextval, -0.25, 493, 5);</v>
      </c>
    </row>
    <row r="495">
      <c r="A495" s="1" t="s">
        <v>201</v>
      </c>
      <c r="B495" s="2">
        <f>iferror(VLOOKUP(E495,'출결유형'!$A:$C,2,0),"")</f>
        <v>-0.25</v>
      </c>
      <c r="C495" s="2">
        <v>494.0</v>
      </c>
      <c r="D495" s="2">
        <f>iferror(VLOOKUP(E495,'출결유형'!$L:$M,2,0),"")</f>
        <v>5</v>
      </c>
      <c r="E495" s="21" t="s">
        <v>189</v>
      </c>
      <c r="G495" s="2" t="str">
        <f t="shared" si="1"/>
        <v>INSERT INTO tblAttendanceScore VALUES (seqAttendanceScore.nextval, -0.25, 494, 5);</v>
      </c>
    </row>
    <row r="496">
      <c r="A496" s="1" t="s">
        <v>201</v>
      </c>
      <c r="B496" s="2">
        <f>iferror(VLOOKUP(E496,'출결유형'!$A:$C,2,0),"")</f>
        <v>-0.25</v>
      </c>
      <c r="C496" s="2">
        <v>495.0</v>
      </c>
      <c r="D496" s="2">
        <f>iferror(VLOOKUP(E496,'출결유형'!$L:$M,2,0),"")</f>
        <v>5</v>
      </c>
      <c r="E496" s="21" t="s">
        <v>189</v>
      </c>
      <c r="G496" s="2" t="str">
        <f t="shared" si="1"/>
        <v>INSERT INTO tblAttendanceScore VALUES (seqAttendanceScore.nextval, -0.25, 495, 5);</v>
      </c>
    </row>
    <row r="497">
      <c r="A497" s="1" t="s">
        <v>201</v>
      </c>
      <c r="B497" s="2">
        <f>iferror(VLOOKUP(E497,'출결유형'!$A:$C,2,0),"")</f>
        <v>0</v>
      </c>
      <c r="C497" s="2">
        <v>496.0</v>
      </c>
      <c r="D497" s="2">
        <f>iferror(VLOOKUP(E497,'출결유형'!$L:$M,2,0),"")</f>
        <v>1</v>
      </c>
      <c r="E497" s="21" t="s">
        <v>184</v>
      </c>
      <c r="G497" s="2" t="str">
        <f t="shared" si="1"/>
        <v>INSERT INTO tblAttendanceScore VALUES (seqAttendanceScore.nextval, 0, 496, 1);</v>
      </c>
    </row>
    <row r="498">
      <c r="A498" s="1" t="s">
        <v>201</v>
      </c>
      <c r="B498" s="2">
        <f>iferror(VLOOKUP(E498,'출결유형'!$A:$C,2,0),"")</f>
        <v>-0.25</v>
      </c>
      <c r="C498" s="2">
        <v>497.0</v>
      </c>
      <c r="D498" s="2">
        <f>iferror(VLOOKUP(E498,'출결유형'!$L:$M,2,0),"")</f>
        <v>5</v>
      </c>
      <c r="E498" s="21" t="s">
        <v>189</v>
      </c>
      <c r="G498" s="2" t="str">
        <f t="shared" si="1"/>
        <v>INSERT INTO tblAttendanceScore VALUES (seqAttendanceScore.nextval, -0.25, 497, 5);</v>
      </c>
    </row>
    <row r="499">
      <c r="A499" s="1" t="s">
        <v>201</v>
      </c>
      <c r="B499" s="2">
        <f>iferror(VLOOKUP(E499,'출결유형'!$A:$C,2,0),"")</f>
        <v>0</v>
      </c>
      <c r="C499" s="2">
        <v>498.0</v>
      </c>
      <c r="D499" s="2">
        <f>iferror(VLOOKUP(E499,'출결유형'!$L:$M,2,0),"")</f>
        <v>1</v>
      </c>
      <c r="E499" s="21" t="s">
        <v>184</v>
      </c>
      <c r="G499" s="2" t="str">
        <f t="shared" si="1"/>
        <v>INSERT INTO tblAttendanceScore VALUES (seqAttendanceScore.nextval, 0, 498, 1);</v>
      </c>
    </row>
    <row r="500">
      <c r="A500" s="1" t="s">
        <v>201</v>
      </c>
      <c r="B500" s="2">
        <f>iferror(VLOOKUP(E500,'출결유형'!$A:$C,2,0),"")</f>
        <v>-0.25</v>
      </c>
      <c r="C500" s="2">
        <v>499.0</v>
      </c>
      <c r="D500" s="2">
        <f>iferror(VLOOKUP(E500,'출결유형'!$L:$M,2,0),"")</f>
        <v>5</v>
      </c>
      <c r="E500" s="21" t="s">
        <v>189</v>
      </c>
      <c r="G500" s="2" t="str">
        <f t="shared" si="1"/>
        <v>INSERT INTO tblAttendanceScore VALUES (seqAttendanceScore.nextval, -0.25, 499, 5);</v>
      </c>
    </row>
    <row r="501">
      <c r="A501" s="1" t="s">
        <v>201</v>
      </c>
      <c r="B501" s="2">
        <f>iferror(VLOOKUP(E501,'출결유형'!$A:$C,2,0),"")</f>
        <v>0</v>
      </c>
      <c r="C501" s="2">
        <v>500.0</v>
      </c>
      <c r="D501" s="2">
        <f>iferror(VLOOKUP(E501,'출결유형'!$L:$M,2,0),"")</f>
        <v>1</v>
      </c>
      <c r="E501" s="21" t="s">
        <v>184</v>
      </c>
      <c r="G501" s="2" t="str">
        <f t="shared" si="1"/>
        <v>INSERT INTO tblAttendanceScore VALUES (seqAttendanceScore.nextval, 0, 500, 1);</v>
      </c>
    </row>
    <row r="502">
      <c r="A502" s="1" t="s">
        <v>201</v>
      </c>
      <c r="B502" s="2">
        <f>iferror(VLOOKUP(E502,'출결유형'!$A:$C,2,0),"")</f>
        <v>-0.25</v>
      </c>
      <c r="C502" s="2">
        <v>501.0</v>
      </c>
      <c r="D502" s="2">
        <f>iferror(VLOOKUP(E502,'출결유형'!$L:$M,2,0),"")</f>
        <v>5</v>
      </c>
      <c r="E502" s="21" t="s">
        <v>189</v>
      </c>
      <c r="G502" s="2" t="str">
        <f t="shared" si="1"/>
        <v>INSERT INTO tblAttendanceScore VALUES (seqAttendanceScore.nextval, -0.25, 501, 5);</v>
      </c>
    </row>
    <row r="503">
      <c r="A503" s="1" t="s">
        <v>201</v>
      </c>
      <c r="B503" s="2">
        <f>iferror(VLOOKUP(E503,'출결유형'!$A:$C,2,0),"")</f>
        <v>-0.25</v>
      </c>
      <c r="C503" s="2">
        <v>502.0</v>
      </c>
      <c r="D503" s="2">
        <f>iferror(VLOOKUP(E503,'출결유형'!$L:$M,2,0),"")</f>
        <v>5</v>
      </c>
      <c r="E503" s="21" t="s">
        <v>189</v>
      </c>
      <c r="G503" s="2" t="str">
        <f t="shared" si="1"/>
        <v>INSERT INTO tblAttendanceScore VALUES (seqAttendanceScore.nextval, -0.25, 502, 5);</v>
      </c>
    </row>
    <row r="504">
      <c r="A504" s="1" t="s">
        <v>201</v>
      </c>
      <c r="B504" s="2">
        <f>iferror(VLOOKUP(E504,'출결유형'!$A:$C,2,0),"")</f>
        <v>-0.25</v>
      </c>
      <c r="C504" s="2">
        <v>503.0</v>
      </c>
      <c r="D504" s="2">
        <f>iferror(VLOOKUP(E504,'출결유형'!$L:$M,2,0),"")</f>
        <v>5</v>
      </c>
      <c r="E504" s="21" t="s">
        <v>189</v>
      </c>
      <c r="G504" s="2" t="str">
        <f t="shared" si="1"/>
        <v>INSERT INTO tblAttendanceScore VALUES (seqAttendanceScore.nextval, -0.25, 503, 5);</v>
      </c>
    </row>
    <row r="505">
      <c r="A505" s="1" t="s">
        <v>201</v>
      </c>
      <c r="B505" s="2">
        <f>iferror(VLOOKUP(E505,'출결유형'!$A:$C,2,0),"")</f>
        <v>0</v>
      </c>
      <c r="C505" s="2">
        <v>504.0</v>
      </c>
      <c r="D505" s="2">
        <f>iferror(VLOOKUP(E505,'출결유형'!$L:$M,2,0),"")</f>
        <v>1</v>
      </c>
      <c r="E505" s="21" t="s">
        <v>184</v>
      </c>
      <c r="G505" s="2" t="str">
        <f t="shared" si="1"/>
        <v>INSERT INTO tblAttendanceScore VALUES (seqAttendanceScore.nextval, 0, 504, 1);</v>
      </c>
    </row>
    <row r="506">
      <c r="A506" s="1" t="s">
        <v>201</v>
      </c>
      <c r="B506" s="2">
        <f>iferror(VLOOKUP(E506,'출결유형'!$A:$C,2,0),"")</f>
        <v>0</v>
      </c>
      <c r="C506" s="2">
        <v>505.0</v>
      </c>
      <c r="D506" s="2">
        <f>iferror(VLOOKUP(E506,'출결유형'!$L:$M,2,0),"")</f>
        <v>1</v>
      </c>
      <c r="E506" s="21" t="s">
        <v>184</v>
      </c>
      <c r="G506" s="2" t="str">
        <f t="shared" si="1"/>
        <v>INSERT INTO tblAttendanceScore VALUES (seqAttendanceScore.nextval, 0, 505, 1);</v>
      </c>
    </row>
    <row r="507">
      <c r="A507" s="1" t="s">
        <v>201</v>
      </c>
      <c r="B507" s="2">
        <f>iferror(VLOOKUP(E507,'출결유형'!$A:$C,2,0),"")</f>
        <v>0</v>
      </c>
      <c r="C507" s="2">
        <v>506.0</v>
      </c>
      <c r="D507" s="2">
        <f>iferror(VLOOKUP(E507,'출결유형'!$L:$M,2,0),"")</f>
        <v>1</v>
      </c>
      <c r="E507" s="21" t="s">
        <v>184</v>
      </c>
      <c r="G507" s="2" t="str">
        <f t="shared" si="1"/>
        <v>INSERT INTO tblAttendanceScore VALUES (seqAttendanceScore.nextval, 0, 506, 1);</v>
      </c>
    </row>
    <row r="508">
      <c r="A508" s="1" t="s">
        <v>201</v>
      </c>
      <c r="B508" s="2">
        <f>iferror(VLOOKUP(E508,'출결유형'!$A:$C,2,0),"")</f>
        <v>-0.25</v>
      </c>
      <c r="C508" s="2">
        <v>507.0</v>
      </c>
      <c r="D508" s="2">
        <f>iferror(VLOOKUP(E508,'출결유형'!$L:$M,2,0),"")</f>
        <v>5</v>
      </c>
      <c r="E508" s="21" t="s">
        <v>189</v>
      </c>
      <c r="G508" s="2" t="str">
        <f t="shared" si="1"/>
        <v>INSERT INTO tblAttendanceScore VALUES (seqAttendanceScore.nextval, -0.25, 507, 5);</v>
      </c>
    </row>
    <row r="509">
      <c r="A509" s="1" t="s">
        <v>201</v>
      </c>
      <c r="B509" s="2">
        <f>iferror(VLOOKUP(E509,'출결유형'!$A:$C,2,0),"")</f>
        <v>-0.25</v>
      </c>
      <c r="C509" s="2">
        <v>508.0</v>
      </c>
      <c r="D509" s="2">
        <f>iferror(VLOOKUP(E509,'출결유형'!$L:$M,2,0),"")</f>
        <v>5</v>
      </c>
      <c r="E509" s="21" t="s">
        <v>189</v>
      </c>
      <c r="G509" s="2" t="str">
        <f t="shared" si="1"/>
        <v>INSERT INTO tblAttendanceScore VALUES (seqAttendanceScore.nextval, -0.25, 508, 5);</v>
      </c>
    </row>
    <row r="510">
      <c r="A510" s="1" t="s">
        <v>201</v>
      </c>
      <c r="B510" s="2">
        <f>iferror(VLOOKUP(E510,'출결유형'!$A:$C,2,0),"")</f>
        <v>-0.25</v>
      </c>
      <c r="C510" s="2">
        <v>509.0</v>
      </c>
      <c r="D510" s="2">
        <f>iferror(VLOOKUP(E510,'출결유형'!$L:$M,2,0),"")</f>
        <v>5</v>
      </c>
      <c r="E510" s="21" t="s">
        <v>189</v>
      </c>
      <c r="G510" s="2" t="str">
        <f t="shared" si="1"/>
        <v>INSERT INTO tblAttendanceScore VALUES (seqAttendanceScore.nextval, -0.25, 509, 5);</v>
      </c>
    </row>
    <row r="511">
      <c r="A511" s="1" t="s">
        <v>201</v>
      </c>
      <c r="B511" s="2">
        <f>iferror(VLOOKUP(E511,'출결유형'!$A:$C,2,0),"")</f>
        <v>-0.25</v>
      </c>
      <c r="C511" s="2">
        <v>510.0</v>
      </c>
      <c r="D511" s="2">
        <f>iferror(VLOOKUP(E511,'출결유형'!$L:$M,2,0),"")</f>
        <v>5</v>
      </c>
      <c r="E511" s="21" t="s">
        <v>189</v>
      </c>
      <c r="G511" s="2" t="str">
        <f t="shared" si="1"/>
        <v>INSERT INTO tblAttendanceScore VALUES (seqAttendanceScore.nextval, -0.25, 510, 5);</v>
      </c>
    </row>
    <row r="512">
      <c r="A512" s="1" t="s">
        <v>201</v>
      </c>
      <c r="B512" s="2">
        <f>iferror(VLOOKUP(E512,'출결유형'!$A:$C,2,0),"")</f>
        <v>0</v>
      </c>
      <c r="C512" s="2">
        <v>511.0</v>
      </c>
      <c r="D512" s="2">
        <f>iferror(VLOOKUP(E512,'출결유형'!$L:$M,2,0),"")</f>
        <v>1</v>
      </c>
      <c r="E512" s="21" t="s">
        <v>184</v>
      </c>
      <c r="G512" s="2" t="str">
        <f t="shared" si="1"/>
        <v>INSERT INTO tblAttendanceScore VALUES (seqAttendanceScore.nextval, 0, 511, 1);</v>
      </c>
    </row>
    <row r="513">
      <c r="A513" s="1" t="s">
        <v>201</v>
      </c>
      <c r="B513" s="2">
        <f>iferror(VLOOKUP(E513,'출결유형'!$A:$C,2,0),"")</f>
        <v>-0.25</v>
      </c>
      <c r="C513" s="2">
        <v>512.0</v>
      </c>
      <c r="D513" s="2">
        <f>iferror(VLOOKUP(E513,'출결유형'!$L:$M,2,0),"")</f>
        <v>5</v>
      </c>
      <c r="E513" s="21" t="s">
        <v>189</v>
      </c>
      <c r="G513" s="2" t="str">
        <f t="shared" si="1"/>
        <v>INSERT INTO tblAttendanceScore VALUES (seqAttendanceScore.nextval, -0.25, 512, 5);</v>
      </c>
    </row>
    <row r="514">
      <c r="A514" s="1" t="s">
        <v>201</v>
      </c>
      <c r="B514" s="2">
        <f>iferror(VLOOKUP(E514,'출결유형'!$A:$C,2,0),"")</f>
        <v>0</v>
      </c>
      <c r="C514" s="2">
        <v>513.0</v>
      </c>
      <c r="D514" s="2">
        <f>iferror(VLOOKUP(E514,'출결유형'!$L:$M,2,0),"")</f>
        <v>1</v>
      </c>
      <c r="E514" s="21" t="s">
        <v>184</v>
      </c>
      <c r="G514" s="2" t="str">
        <f t="shared" si="1"/>
        <v>INSERT INTO tblAttendanceScore VALUES (seqAttendanceScore.nextval, 0, 513, 1);</v>
      </c>
    </row>
    <row r="515">
      <c r="A515" s="1" t="s">
        <v>201</v>
      </c>
      <c r="B515" s="2">
        <f>iferror(VLOOKUP(E515,'출결유형'!$A:$C,2,0),"")</f>
        <v>0</v>
      </c>
      <c r="C515" s="2">
        <v>514.0</v>
      </c>
      <c r="D515" s="2">
        <f>iferror(VLOOKUP(E515,'출결유형'!$L:$M,2,0),"")</f>
        <v>1</v>
      </c>
      <c r="E515" s="21" t="s">
        <v>184</v>
      </c>
      <c r="G515" s="2" t="str">
        <f t="shared" si="1"/>
        <v>INSERT INTO tblAttendanceScore VALUES (seqAttendanceScore.nextval, 0, 514, 1);</v>
      </c>
    </row>
    <row r="516">
      <c r="A516" s="1" t="s">
        <v>201</v>
      </c>
      <c r="B516" s="2">
        <f>iferror(VLOOKUP(E516,'출결유형'!$A:$C,2,0),"")</f>
        <v>0</v>
      </c>
      <c r="C516" s="2">
        <v>515.0</v>
      </c>
      <c r="D516" s="2">
        <f>iferror(VLOOKUP(E516,'출결유형'!$L:$M,2,0),"")</f>
        <v>1</v>
      </c>
      <c r="E516" s="21" t="s">
        <v>184</v>
      </c>
      <c r="G516" s="2" t="str">
        <f t="shared" si="1"/>
        <v>INSERT INTO tblAttendanceScore VALUES (seqAttendanceScore.nextval, 0, 515, 1);</v>
      </c>
    </row>
    <row r="517">
      <c r="A517" s="1" t="s">
        <v>201</v>
      </c>
      <c r="B517" s="2">
        <f>iferror(VLOOKUP(E517,'출결유형'!$A:$C,2,0),"")</f>
        <v>0</v>
      </c>
      <c r="C517" s="2">
        <v>516.0</v>
      </c>
      <c r="D517" s="2">
        <f>iferror(VLOOKUP(E517,'출결유형'!$L:$M,2,0),"")</f>
        <v>1</v>
      </c>
      <c r="E517" s="21" t="s">
        <v>184</v>
      </c>
      <c r="G517" s="2" t="str">
        <f t="shared" si="1"/>
        <v>INSERT INTO tblAttendanceScore VALUES (seqAttendanceScore.nextval, 0, 516, 1);</v>
      </c>
    </row>
    <row r="518">
      <c r="A518" s="1" t="s">
        <v>201</v>
      </c>
      <c r="B518" s="2">
        <f>iferror(VLOOKUP(E518,'출결유형'!$A:$C,2,0),"")</f>
        <v>-0.25</v>
      </c>
      <c r="C518" s="2">
        <v>517.0</v>
      </c>
      <c r="D518" s="2">
        <f>iferror(VLOOKUP(E518,'출결유형'!$L:$M,2,0),"")</f>
        <v>5</v>
      </c>
      <c r="E518" s="21" t="s">
        <v>189</v>
      </c>
      <c r="G518" s="2" t="str">
        <f t="shared" si="1"/>
        <v>INSERT INTO tblAttendanceScore VALUES (seqAttendanceScore.nextval, -0.25, 517, 5);</v>
      </c>
    </row>
    <row r="519">
      <c r="A519" s="1" t="s">
        <v>201</v>
      </c>
      <c r="B519" s="2">
        <f>iferror(VLOOKUP(E519,'출결유형'!$A:$C,2,0),"")</f>
        <v>-0.25</v>
      </c>
      <c r="C519" s="2">
        <v>518.0</v>
      </c>
      <c r="D519" s="2">
        <f>iferror(VLOOKUP(E519,'출결유형'!$L:$M,2,0),"")</f>
        <v>5</v>
      </c>
      <c r="E519" s="21" t="s">
        <v>189</v>
      </c>
      <c r="G519" s="2" t="str">
        <f t="shared" si="1"/>
        <v>INSERT INTO tblAttendanceScore VALUES (seqAttendanceScore.nextval, -0.25, 518, 5);</v>
      </c>
    </row>
    <row r="520">
      <c r="A520" s="1" t="s">
        <v>201</v>
      </c>
      <c r="B520" s="2">
        <f>iferror(VLOOKUP(E520,'출결유형'!$A:$C,2,0),"")</f>
        <v>0</v>
      </c>
      <c r="C520" s="2">
        <v>519.0</v>
      </c>
      <c r="D520" s="2">
        <f>iferror(VLOOKUP(E520,'출결유형'!$L:$M,2,0),"")</f>
        <v>1</v>
      </c>
      <c r="E520" s="21" t="s">
        <v>184</v>
      </c>
      <c r="G520" s="2" t="str">
        <f t="shared" si="1"/>
        <v>INSERT INTO tblAttendanceScore VALUES (seqAttendanceScore.nextval, 0, 519, 1);</v>
      </c>
    </row>
    <row r="521">
      <c r="A521" s="1" t="s">
        <v>201</v>
      </c>
      <c r="B521" s="2">
        <f>iferror(VLOOKUP(E521,'출결유형'!$A:$C,2,0),"")</f>
        <v>-0.25</v>
      </c>
      <c r="C521" s="2">
        <v>520.0</v>
      </c>
      <c r="D521" s="2">
        <f>iferror(VLOOKUP(E521,'출결유형'!$L:$M,2,0),"")</f>
        <v>5</v>
      </c>
      <c r="E521" s="21" t="s">
        <v>189</v>
      </c>
      <c r="G521" s="2" t="str">
        <f t="shared" si="1"/>
        <v>INSERT INTO tblAttendanceScore VALUES (seqAttendanceScore.nextval, -0.25, 520, 5);</v>
      </c>
    </row>
    <row r="522">
      <c r="A522" s="1" t="s">
        <v>201</v>
      </c>
      <c r="B522" s="2">
        <f>iferror(VLOOKUP(E522,'출결유형'!$A:$C,2,0),"")</f>
        <v>0</v>
      </c>
      <c r="C522" s="2">
        <v>521.0</v>
      </c>
      <c r="D522" s="2">
        <f>iferror(VLOOKUP(E522,'출결유형'!$L:$M,2,0),"")</f>
        <v>1</v>
      </c>
      <c r="E522" s="21" t="s">
        <v>184</v>
      </c>
      <c r="G522" s="2" t="str">
        <f t="shared" si="1"/>
        <v>INSERT INTO tblAttendanceScore VALUES (seqAttendanceScore.nextval, 0, 521, 1);</v>
      </c>
    </row>
    <row r="523">
      <c r="A523" s="1" t="s">
        <v>201</v>
      </c>
      <c r="B523" s="2">
        <f>iferror(VLOOKUP(E523,'출결유형'!$A:$C,2,0),"")</f>
        <v>0</v>
      </c>
      <c r="C523" s="2">
        <v>522.0</v>
      </c>
      <c r="D523" s="2">
        <f>iferror(VLOOKUP(E523,'출결유형'!$L:$M,2,0),"")</f>
        <v>1</v>
      </c>
      <c r="E523" s="21" t="s">
        <v>184</v>
      </c>
      <c r="G523" s="2" t="str">
        <f t="shared" si="1"/>
        <v>INSERT INTO tblAttendanceScore VALUES (seqAttendanceScore.nextval, 0, 522, 1);</v>
      </c>
    </row>
    <row r="524">
      <c r="A524" s="1" t="s">
        <v>201</v>
      </c>
      <c r="B524" s="2">
        <f>iferror(VLOOKUP(E524,'출결유형'!$A:$C,2,0),"")</f>
        <v>-0.25</v>
      </c>
      <c r="C524" s="2">
        <v>523.0</v>
      </c>
      <c r="D524" s="2">
        <f>iferror(VLOOKUP(E524,'출결유형'!$L:$M,2,0),"")</f>
        <v>5</v>
      </c>
      <c r="E524" s="21" t="s">
        <v>189</v>
      </c>
      <c r="G524" s="2" t="str">
        <f t="shared" si="1"/>
        <v>INSERT INTO tblAttendanceScore VALUES (seqAttendanceScore.nextval, -0.25, 523, 5);</v>
      </c>
    </row>
    <row r="525">
      <c r="A525" s="1" t="s">
        <v>201</v>
      </c>
      <c r="B525" s="2">
        <f>iferror(VLOOKUP(E525,'출결유형'!$A:$C,2,0),"")</f>
        <v>-0.25</v>
      </c>
      <c r="C525" s="2">
        <v>524.0</v>
      </c>
      <c r="D525" s="2">
        <f>iferror(VLOOKUP(E525,'출결유형'!$L:$M,2,0),"")</f>
        <v>5</v>
      </c>
      <c r="E525" s="21" t="s">
        <v>189</v>
      </c>
      <c r="G525" s="2" t="str">
        <f t="shared" si="1"/>
        <v>INSERT INTO tblAttendanceScore VALUES (seqAttendanceScore.nextval, -0.25, 524, 5);</v>
      </c>
    </row>
    <row r="526">
      <c r="A526" s="1" t="s">
        <v>201</v>
      </c>
      <c r="B526" s="2">
        <f>iferror(VLOOKUP(E526,'출결유형'!$A:$C,2,0),"")</f>
        <v>-0.25</v>
      </c>
      <c r="C526" s="2">
        <v>525.0</v>
      </c>
      <c r="D526" s="2">
        <f>iferror(VLOOKUP(E526,'출결유형'!$L:$M,2,0),"")</f>
        <v>5</v>
      </c>
      <c r="E526" s="21" t="s">
        <v>189</v>
      </c>
      <c r="G526" s="2" t="str">
        <f t="shared" si="1"/>
        <v>INSERT INTO tblAttendanceScore VALUES (seqAttendanceScore.nextval, -0.25, 525, 5);</v>
      </c>
    </row>
    <row r="527">
      <c r="A527" s="1" t="s">
        <v>201</v>
      </c>
      <c r="B527" s="2">
        <f>iferror(VLOOKUP(E527,'출결유형'!$A:$C,2,0),"")</f>
        <v>0</v>
      </c>
      <c r="C527" s="2">
        <v>526.0</v>
      </c>
      <c r="D527" s="2">
        <f>iferror(VLOOKUP(E527,'출결유형'!$L:$M,2,0),"")</f>
        <v>1</v>
      </c>
      <c r="E527" s="21" t="s">
        <v>184</v>
      </c>
      <c r="G527" s="2" t="str">
        <f t="shared" si="1"/>
        <v>INSERT INTO tblAttendanceScore VALUES (seqAttendanceScore.nextval, 0, 526, 1);</v>
      </c>
    </row>
    <row r="528">
      <c r="A528" s="1" t="s">
        <v>201</v>
      </c>
      <c r="B528" s="2">
        <f>iferror(VLOOKUP(E528,'출결유형'!$A:$C,2,0),"")</f>
        <v>0</v>
      </c>
      <c r="C528" s="2">
        <v>527.0</v>
      </c>
      <c r="D528" s="2">
        <f>iferror(VLOOKUP(E528,'출결유형'!$L:$M,2,0),"")</f>
        <v>1</v>
      </c>
      <c r="E528" s="21" t="s">
        <v>184</v>
      </c>
      <c r="G528" s="2" t="str">
        <f t="shared" si="1"/>
        <v>INSERT INTO tblAttendanceScore VALUES (seqAttendanceScore.nextval, 0, 527, 1);</v>
      </c>
    </row>
    <row r="529">
      <c r="A529" s="1" t="s">
        <v>201</v>
      </c>
      <c r="B529" s="2">
        <f>iferror(VLOOKUP(E529,'출결유형'!$A:$C,2,0),"")</f>
        <v>-0.25</v>
      </c>
      <c r="C529" s="2">
        <v>528.0</v>
      </c>
      <c r="D529" s="2">
        <f>iferror(VLOOKUP(E529,'출결유형'!$L:$M,2,0),"")</f>
        <v>5</v>
      </c>
      <c r="E529" s="21" t="s">
        <v>189</v>
      </c>
      <c r="G529" s="2" t="str">
        <f t="shared" si="1"/>
        <v>INSERT INTO tblAttendanceScore VALUES (seqAttendanceScore.nextval, -0.25, 528, 5);</v>
      </c>
    </row>
    <row r="530">
      <c r="A530" s="1" t="s">
        <v>201</v>
      </c>
      <c r="B530" s="2">
        <f>iferror(VLOOKUP(E530,'출결유형'!$A:$C,2,0),"")</f>
        <v>-0.25</v>
      </c>
      <c r="C530" s="2">
        <v>529.0</v>
      </c>
      <c r="D530" s="2">
        <f>iferror(VLOOKUP(E530,'출결유형'!$L:$M,2,0),"")</f>
        <v>5</v>
      </c>
      <c r="E530" s="21" t="s">
        <v>189</v>
      </c>
      <c r="G530" s="2" t="str">
        <f t="shared" si="1"/>
        <v>INSERT INTO tblAttendanceScore VALUES (seqAttendanceScore.nextval, -0.25, 529, 5);</v>
      </c>
    </row>
    <row r="531">
      <c r="A531" s="1" t="s">
        <v>201</v>
      </c>
      <c r="B531" s="2">
        <f>iferror(VLOOKUP(E531,'출결유형'!$A:$C,2,0),"")</f>
        <v>0</v>
      </c>
      <c r="C531" s="2">
        <v>530.0</v>
      </c>
      <c r="D531" s="2">
        <f>iferror(VLOOKUP(E531,'출결유형'!$L:$M,2,0),"")</f>
        <v>1</v>
      </c>
      <c r="E531" s="21" t="s">
        <v>184</v>
      </c>
      <c r="G531" s="2" t="str">
        <f t="shared" si="1"/>
        <v>INSERT INTO tblAttendanceScore VALUES (seqAttendanceScore.nextval, 0, 530, 1);</v>
      </c>
    </row>
    <row r="532">
      <c r="A532" s="1" t="s">
        <v>201</v>
      </c>
      <c r="B532" s="2">
        <f>iferror(VLOOKUP(E532,'출결유형'!$A:$C,2,0),"")</f>
        <v>-0.25</v>
      </c>
      <c r="C532" s="2">
        <v>531.0</v>
      </c>
      <c r="D532" s="2">
        <f>iferror(VLOOKUP(E532,'출결유형'!$L:$M,2,0),"")</f>
        <v>5</v>
      </c>
      <c r="E532" s="21" t="s">
        <v>189</v>
      </c>
      <c r="G532" s="2" t="str">
        <f t="shared" si="1"/>
        <v>INSERT INTO tblAttendanceScore VALUES (seqAttendanceScore.nextval, -0.25, 531, 5);</v>
      </c>
    </row>
    <row r="533">
      <c r="A533" s="1" t="s">
        <v>201</v>
      </c>
      <c r="B533" s="2">
        <f>iferror(VLOOKUP(E533,'출결유형'!$A:$C,2,0),"")</f>
        <v>-0.25</v>
      </c>
      <c r="C533" s="2">
        <v>532.0</v>
      </c>
      <c r="D533" s="2">
        <f>iferror(VLOOKUP(E533,'출결유형'!$L:$M,2,0),"")</f>
        <v>5</v>
      </c>
      <c r="E533" s="21" t="s">
        <v>189</v>
      </c>
      <c r="G533" s="2" t="str">
        <f t="shared" si="1"/>
        <v>INSERT INTO tblAttendanceScore VALUES (seqAttendanceScore.nextval, -0.25, 532, 5);</v>
      </c>
    </row>
    <row r="534">
      <c r="A534" s="1" t="s">
        <v>201</v>
      </c>
      <c r="B534" s="2">
        <f>iferror(VLOOKUP(E534,'출결유형'!$A:$C,2,0),"")</f>
        <v>-1</v>
      </c>
      <c r="C534" s="2">
        <v>533.0</v>
      </c>
      <c r="D534" s="2">
        <f>iferror(VLOOKUP(E534,'출결유형'!$L:$M,2,0),"")</f>
        <v>2</v>
      </c>
      <c r="E534" s="21" t="s">
        <v>186</v>
      </c>
      <c r="G534" s="2" t="str">
        <f t="shared" si="1"/>
        <v>INSERT INTO tblAttendanceScore VALUES (seqAttendanceScore.nextval, -1, 533, 2);</v>
      </c>
    </row>
    <row r="535">
      <c r="A535" s="1" t="s">
        <v>201</v>
      </c>
      <c r="B535" s="2">
        <f>iferror(VLOOKUP(E535,'출결유형'!$A:$C,2,0),"")</f>
        <v>0</v>
      </c>
      <c r="C535" s="2">
        <v>534.0</v>
      </c>
      <c r="D535" s="2">
        <f>iferror(VLOOKUP(E535,'출결유형'!$L:$M,2,0),"")</f>
        <v>1</v>
      </c>
      <c r="E535" s="21" t="s">
        <v>184</v>
      </c>
      <c r="G535" s="2" t="str">
        <f t="shared" si="1"/>
        <v>INSERT INTO tblAttendanceScore VALUES (seqAttendanceScore.nextval, 0, 534, 1);</v>
      </c>
    </row>
    <row r="536">
      <c r="A536" s="1" t="s">
        <v>201</v>
      </c>
      <c r="B536" s="2">
        <f>iferror(VLOOKUP(E536,'출결유형'!$A:$C,2,0),"")</f>
        <v>-0.25</v>
      </c>
      <c r="C536" s="2">
        <v>535.0</v>
      </c>
      <c r="D536" s="2">
        <f>iferror(VLOOKUP(E536,'출결유형'!$L:$M,2,0),"")</f>
        <v>5</v>
      </c>
      <c r="E536" s="21" t="s">
        <v>189</v>
      </c>
      <c r="G536" s="2" t="str">
        <f t="shared" si="1"/>
        <v>INSERT INTO tblAttendanceScore VALUES (seqAttendanceScore.nextval, -0.25, 535, 5);</v>
      </c>
    </row>
    <row r="537">
      <c r="A537" s="1" t="s">
        <v>201</v>
      </c>
      <c r="B537" s="2">
        <f>iferror(VLOOKUP(E537,'출결유형'!$A:$C,2,0),"")</f>
        <v>-0.25</v>
      </c>
      <c r="C537" s="2">
        <v>536.0</v>
      </c>
      <c r="D537" s="2">
        <f>iferror(VLOOKUP(E537,'출결유형'!$L:$M,2,0),"")</f>
        <v>5</v>
      </c>
      <c r="E537" s="21" t="s">
        <v>189</v>
      </c>
      <c r="G537" s="2" t="str">
        <f t="shared" si="1"/>
        <v>INSERT INTO tblAttendanceScore VALUES (seqAttendanceScore.nextval, -0.25, 536, 5);</v>
      </c>
    </row>
    <row r="538">
      <c r="A538" s="1" t="s">
        <v>201</v>
      </c>
      <c r="B538" s="2">
        <f>iferror(VLOOKUP(E538,'출결유형'!$A:$C,2,0),"")</f>
        <v>-0.25</v>
      </c>
      <c r="C538" s="2">
        <v>537.0</v>
      </c>
      <c r="D538" s="2">
        <f>iferror(VLOOKUP(E538,'출결유형'!$L:$M,2,0),"")</f>
        <v>5</v>
      </c>
      <c r="E538" s="21" t="s">
        <v>189</v>
      </c>
      <c r="G538" s="2" t="str">
        <f t="shared" si="1"/>
        <v>INSERT INTO tblAttendanceScore VALUES (seqAttendanceScore.nextval, -0.25, 537, 5);</v>
      </c>
    </row>
    <row r="539">
      <c r="A539" s="1" t="s">
        <v>201</v>
      </c>
      <c r="B539" s="2">
        <f>iferror(VLOOKUP(E539,'출결유형'!$A:$C,2,0),"")</f>
        <v>-0.25</v>
      </c>
      <c r="C539" s="2">
        <v>538.0</v>
      </c>
      <c r="D539" s="2">
        <f>iferror(VLOOKUP(E539,'출결유형'!$L:$M,2,0),"")</f>
        <v>5</v>
      </c>
      <c r="E539" s="21" t="s">
        <v>189</v>
      </c>
      <c r="G539" s="2" t="str">
        <f t="shared" si="1"/>
        <v>INSERT INTO tblAttendanceScore VALUES (seqAttendanceScore.nextval, -0.25, 538, 5);</v>
      </c>
    </row>
    <row r="540">
      <c r="A540" s="1" t="s">
        <v>201</v>
      </c>
      <c r="B540" s="2">
        <f>iferror(VLOOKUP(E540,'출결유형'!$A:$C,2,0),"")</f>
        <v>0</v>
      </c>
      <c r="C540" s="2">
        <v>539.0</v>
      </c>
      <c r="D540" s="2">
        <f>iferror(VLOOKUP(E540,'출결유형'!$L:$M,2,0),"")</f>
        <v>1</v>
      </c>
      <c r="E540" s="21" t="s">
        <v>184</v>
      </c>
      <c r="G540" s="2" t="str">
        <f t="shared" si="1"/>
        <v>INSERT INTO tblAttendanceScore VALUES (seqAttendanceScore.nextval, 0, 539, 1);</v>
      </c>
    </row>
    <row r="541">
      <c r="A541" s="1" t="s">
        <v>201</v>
      </c>
      <c r="B541" s="2">
        <f>iferror(VLOOKUP(E541,'출결유형'!$A:$C,2,0),"")</f>
        <v>0</v>
      </c>
      <c r="C541" s="2">
        <v>540.0</v>
      </c>
      <c r="D541" s="2">
        <f>iferror(VLOOKUP(E541,'출결유형'!$L:$M,2,0),"")</f>
        <v>1</v>
      </c>
      <c r="E541" s="21" t="s">
        <v>184</v>
      </c>
      <c r="G541" s="2" t="str">
        <f t="shared" si="1"/>
        <v>INSERT INTO tblAttendanceScore VALUES (seqAttendanceScore.nextval, 0, 540, 1);</v>
      </c>
    </row>
    <row r="542">
      <c r="A542" s="1" t="s">
        <v>201</v>
      </c>
      <c r="B542" s="2">
        <f>iferror(VLOOKUP(E542,'출결유형'!$A:$C,2,0),"")</f>
        <v>-0.25</v>
      </c>
      <c r="C542" s="2">
        <v>541.0</v>
      </c>
      <c r="D542" s="2">
        <f>iferror(VLOOKUP(E542,'출결유형'!$L:$M,2,0),"")</f>
        <v>5</v>
      </c>
      <c r="E542" s="21" t="s">
        <v>189</v>
      </c>
      <c r="G542" s="2" t="str">
        <f t="shared" si="1"/>
        <v>INSERT INTO tblAttendanceScore VALUES (seqAttendanceScore.nextval, -0.25, 541, 5);</v>
      </c>
    </row>
    <row r="543">
      <c r="A543" s="1" t="s">
        <v>201</v>
      </c>
      <c r="B543" s="2">
        <f>iferror(VLOOKUP(E543,'출결유형'!$A:$C,2,0),"")</f>
        <v>-0.25</v>
      </c>
      <c r="C543" s="2">
        <v>542.0</v>
      </c>
      <c r="D543" s="2">
        <f>iferror(VLOOKUP(E543,'출결유형'!$L:$M,2,0),"")</f>
        <v>5</v>
      </c>
      <c r="E543" s="21" t="s">
        <v>189</v>
      </c>
      <c r="G543" s="2" t="str">
        <f t="shared" si="1"/>
        <v>INSERT INTO tblAttendanceScore VALUES (seqAttendanceScore.nextval, -0.25, 542, 5);</v>
      </c>
    </row>
    <row r="544">
      <c r="A544" s="1" t="s">
        <v>201</v>
      </c>
      <c r="B544" s="2">
        <f>iferror(VLOOKUP(E544,'출결유형'!$A:$C,2,0),"")</f>
        <v>0</v>
      </c>
      <c r="C544" s="2">
        <v>543.0</v>
      </c>
      <c r="D544" s="2">
        <f>iferror(VLOOKUP(E544,'출결유형'!$L:$M,2,0),"")</f>
        <v>1</v>
      </c>
      <c r="E544" s="21" t="s">
        <v>184</v>
      </c>
      <c r="G544" s="2" t="str">
        <f t="shared" si="1"/>
        <v>INSERT INTO tblAttendanceScore VALUES (seqAttendanceScore.nextval, 0, 543, 1);</v>
      </c>
    </row>
    <row r="545">
      <c r="A545" s="1" t="s">
        <v>201</v>
      </c>
      <c r="B545" s="2">
        <f>iferror(VLOOKUP(E545,'출결유형'!$A:$C,2,0),"")</f>
        <v>-0.25</v>
      </c>
      <c r="C545" s="2">
        <v>544.0</v>
      </c>
      <c r="D545" s="2">
        <f>iferror(VLOOKUP(E545,'출결유형'!$L:$M,2,0),"")</f>
        <v>5</v>
      </c>
      <c r="E545" s="21" t="s">
        <v>189</v>
      </c>
      <c r="G545" s="2" t="str">
        <f t="shared" si="1"/>
        <v>INSERT INTO tblAttendanceScore VALUES (seqAttendanceScore.nextval, -0.25, 544, 5);</v>
      </c>
    </row>
    <row r="546">
      <c r="A546" s="1" t="s">
        <v>201</v>
      </c>
      <c r="B546" s="2">
        <f>iferror(VLOOKUP(E546,'출결유형'!$A:$C,2,0),"")</f>
        <v>-0.25</v>
      </c>
      <c r="C546" s="2">
        <v>545.0</v>
      </c>
      <c r="D546" s="2">
        <f>iferror(VLOOKUP(E546,'출결유형'!$L:$M,2,0),"")</f>
        <v>5</v>
      </c>
      <c r="E546" s="21" t="s">
        <v>189</v>
      </c>
      <c r="G546" s="2" t="str">
        <f t="shared" si="1"/>
        <v>INSERT INTO tblAttendanceScore VALUES (seqAttendanceScore.nextval, -0.25, 545, 5);</v>
      </c>
    </row>
    <row r="547">
      <c r="A547" s="1" t="s">
        <v>201</v>
      </c>
      <c r="B547" s="2">
        <f>iferror(VLOOKUP(E547,'출결유형'!$A:$C,2,0),"")</f>
        <v>0</v>
      </c>
      <c r="C547" s="2">
        <v>546.0</v>
      </c>
      <c r="D547" s="2">
        <f>iferror(VLOOKUP(E547,'출결유형'!$L:$M,2,0),"")</f>
        <v>1</v>
      </c>
      <c r="E547" s="21" t="s">
        <v>184</v>
      </c>
      <c r="G547" s="2" t="str">
        <f t="shared" si="1"/>
        <v>INSERT INTO tblAttendanceScore VALUES (seqAttendanceScore.nextval, 0, 546, 1);</v>
      </c>
    </row>
    <row r="548">
      <c r="A548" s="1" t="s">
        <v>201</v>
      </c>
      <c r="B548" s="2">
        <f>iferror(VLOOKUP(E548,'출결유형'!$A:$C,2,0),"")</f>
        <v>0</v>
      </c>
      <c r="C548" s="2">
        <v>547.0</v>
      </c>
      <c r="D548" s="2">
        <f>iferror(VLOOKUP(E548,'출결유형'!$L:$M,2,0),"")</f>
        <v>1</v>
      </c>
      <c r="E548" s="21" t="s">
        <v>184</v>
      </c>
      <c r="G548" s="2" t="str">
        <f t="shared" si="1"/>
        <v>INSERT INTO tblAttendanceScore VALUES (seqAttendanceScore.nextval, 0, 547, 1);</v>
      </c>
    </row>
    <row r="549">
      <c r="A549" s="1" t="s">
        <v>201</v>
      </c>
      <c r="B549" s="2">
        <f>iferror(VLOOKUP(E549,'출결유형'!$A:$C,2,0),"")</f>
        <v>-0.25</v>
      </c>
      <c r="C549" s="2">
        <v>548.0</v>
      </c>
      <c r="D549" s="2">
        <f>iferror(VLOOKUP(E549,'출결유형'!$L:$M,2,0),"")</f>
        <v>5</v>
      </c>
      <c r="E549" s="21" t="s">
        <v>189</v>
      </c>
      <c r="G549" s="2" t="str">
        <f t="shared" si="1"/>
        <v>INSERT INTO tblAttendanceScore VALUES (seqAttendanceScore.nextval, -0.25, 548, 5);</v>
      </c>
    </row>
    <row r="550">
      <c r="A550" s="1" t="s">
        <v>201</v>
      </c>
      <c r="B550" s="2">
        <f>iferror(VLOOKUP(E550,'출결유형'!$A:$C,2,0),"")</f>
        <v>0</v>
      </c>
      <c r="C550" s="2">
        <v>549.0</v>
      </c>
      <c r="D550" s="2">
        <f>iferror(VLOOKUP(E550,'출결유형'!$L:$M,2,0),"")</f>
        <v>1</v>
      </c>
      <c r="E550" s="21" t="s">
        <v>184</v>
      </c>
      <c r="G550" s="2" t="str">
        <f t="shared" si="1"/>
        <v>INSERT INTO tblAttendanceScore VALUES (seqAttendanceScore.nextval, 0, 549, 1);</v>
      </c>
    </row>
    <row r="551">
      <c r="A551" s="1" t="s">
        <v>201</v>
      </c>
      <c r="B551" s="2">
        <f>iferror(VLOOKUP(E551,'출결유형'!$A:$C,2,0),"")</f>
        <v>-0.25</v>
      </c>
      <c r="C551" s="2">
        <v>550.0</v>
      </c>
      <c r="D551" s="2">
        <f>iferror(VLOOKUP(E551,'출결유형'!$L:$M,2,0),"")</f>
        <v>5</v>
      </c>
      <c r="E551" s="21" t="s">
        <v>189</v>
      </c>
      <c r="G551" s="2" t="str">
        <f t="shared" si="1"/>
        <v>INSERT INTO tblAttendanceScore VALUES (seqAttendanceScore.nextval, -0.25, 550, 5);</v>
      </c>
    </row>
    <row r="552">
      <c r="A552" s="1" t="s">
        <v>201</v>
      </c>
      <c r="B552" s="2">
        <f>iferror(VLOOKUP(E552,'출결유형'!$A:$C,2,0),"")</f>
        <v>0</v>
      </c>
      <c r="C552" s="2">
        <v>551.0</v>
      </c>
      <c r="D552" s="2">
        <f>iferror(VLOOKUP(E552,'출결유형'!$L:$M,2,0),"")</f>
        <v>1</v>
      </c>
      <c r="E552" s="21" t="s">
        <v>184</v>
      </c>
      <c r="G552" s="2" t="str">
        <f t="shared" si="1"/>
        <v>INSERT INTO tblAttendanceScore VALUES (seqAttendanceScore.nextval, 0, 551, 1);</v>
      </c>
    </row>
    <row r="553">
      <c r="A553" s="1" t="s">
        <v>201</v>
      </c>
      <c r="B553" s="2">
        <f>iferror(VLOOKUP(E553,'출결유형'!$A:$C,2,0),"")</f>
        <v>0</v>
      </c>
      <c r="C553" s="2">
        <v>552.0</v>
      </c>
      <c r="D553" s="2">
        <f>iferror(VLOOKUP(E553,'출결유형'!$L:$M,2,0),"")</f>
        <v>1</v>
      </c>
      <c r="E553" s="21" t="s">
        <v>184</v>
      </c>
      <c r="G553" s="2" t="str">
        <f t="shared" si="1"/>
        <v>INSERT INTO tblAttendanceScore VALUES (seqAttendanceScore.nextval, 0, 552, 1);</v>
      </c>
    </row>
    <row r="554">
      <c r="A554" s="1" t="s">
        <v>201</v>
      </c>
      <c r="B554" s="2">
        <f>iferror(VLOOKUP(E554,'출결유형'!$A:$C,2,0),"")</f>
        <v>0</v>
      </c>
      <c r="C554" s="2">
        <v>553.0</v>
      </c>
      <c r="D554" s="2">
        <f>iferror(VLOOKUP(E554,'출결유형'!$L:$M,2,0),"")</f>
        <v>1</v>
      </c>
      <c r="E554" s="21" t="s">
        <v>184</v>
      </c>
      <c r="G554" s="2" t="str">
        <f t="shared" si="1"/>
        <v>INSERT INTO tblAttendanceScore VALUES (seqAttendanceScore.nextval, 0, 553, 1);</v>
      </c>
    </row>
    <row r="555">
      <c r="A555" s="1" t="s">
        <v>201</v>
      </c>
      <c r="B555" s="2">
        <f>iferror(VLOOKUP(E555,'출결유형'!$A:$C,2,0),"")</f>
        <v>0</v>
      </c>
      <c r="C555" s="2">
        <v>554.0</v>
      </c>
      <c r="D555" s="2">
        <f>iferror(VLOOKUP(E555,'출결유형'!$L:$M,2,0),"")</f>
        <v>1</v>
      </c>
      <c r="E555" s="21" t="s">
        <v>184</v>
      </c>
      <c r="G555" s="2" t="str">
        <f t="shared" si="1"/>
        <v>INSERT INTO tblAttendanceScore VALUES (seqAttendanceScore.nextval, 0, 554, 1);</v>
      </c>
    </row>
    <row r="556">
      <c r="A556" s="1" t="s">
        <v>201</v>
      </c>
      <c r="B556" s="2">
        <f>iferror(VLOOKUP(E556,'출결유형'!$A:$C,2,0),"")</f>
        <v>0</v>
      </c>
      <c r="C556" s="2">
        <v>555.0</v>
      </c>
      <c r="D556" s="2">
        <f>iferror(VLOOKUP(E556,'출결유형'!$L:$M,2,0),"")</f>
        <v>1</v>
      </c>
      <c r="E556" s="21" t="s">
        <v>184</v>
      </c>
      <c r="G556" s="2" t="str">
        <f t="shared" si="1"/>
        <v>INSERT INTO tblAttendanceScore VALUES (seqAttendanceScore.nextval, 0, 555, 1);</v>
      </c>
    </row>
    <row r="557">
      <c r="A557" s="1" t="s">
        <v>201</v>
      </c>
      <c r="B557" s="2">
        <f>iferror(VLOOKUP(E557,'출결유형'!$A:$C,2,0),"")</f>
        <v>0</v>
      </c>
      <c r="C557" s="2">
        <v>556.0</v>
      </c>
      <c r="D557" s="2">
        <f>iferror(VLOOKUP(E557,'출결유형'!$L:$M,2,0),"")</f>
        <v>1</v>
      </c>
      <c r="E557" s="21" t="s">
        <v>184</v>
      </c>
      <c r="G557" s="2" t="str">
        <f t="shared" si="1"/>
        <v>INSERT INTO tblAttendanceScore VALUES (seqAttendanceScore.nextval, 0, 556, 1);</v>
      </c>
    </row>
    <row r="558">
      <c r="A558" s="1" t="s">
        <v>201</v>
      </c>
      <c r="B558" s="2">
        <f>iferror(VLOOKUP(E558,'출결유형'!$A:$C,2,0),"")</f>
        <v>-0.25</v>
      </c>
      <c r="C558" s="2">
        <v>557.0</v>
      </c>
      <c r="D558" s="2">
        <f>iferror(VLOOKUP(E558,'출결유형'!$L:$M,2,0),"")</f>
        <v>5</v>
      </c>
      <c r="E558" s="21" t="s">
        <v>189</v>
      </c>
      <c r="G558" s="2" t="str">
        <f t="shared" si="1"/>
        <v>INSERT INTO tblAttendanceScore VALUES (seqAttendanceScore.nextval, -0.25, 557, 5);</v>
      </c>
    </row>
    <row r="559">
      <c r="A559" s="1" t="s">
        <v>201</v>
      </c>
      <c r="B559" s="2">
        <f>iferror(VLOOKUP(E559,'출결유형'!$A:$C,2,0),"")</f>
        <v>-0.25</v>
      </c>
      <c r="C559" s="2">
        <v>558.0</v>
      </c>
      <c r="D559" s="2">
        <f>iferror(VLOOKUP(E559,'출결유형'!$L:$M,2,0),"")</f>
        <v>5</v>
      </c>
      <c r="E559" s="21" t="s">
        <v>189</v>
      </c>
      <c r="G559" s="2" t="str">
        <f t="shared" si="1"/>
        <v>INSERT INTO tblAttendanceScore VALUES (seqAttendanceScore.nextval, -0.25, 558, 5);</v>
      </c>
    </row>
    <row r="560">
      <c r="A560" s="1" t="s">
        <v>201</v>
      </c>
      <c r="B560" s="2">
        <f>iferror(VLOOKUP(E560,'출결유형'!$A:$C,2,0),"")</f>
        <v>-0.25</v>
      </c>
      <c r="C560" s="2">
        <v>559.0</v>
      </c>
      <c r="D560" s="2">
        <f>iferror(VLOOKUP(E560,'출결유형'!$L:$M,2,0),"")</f>
        <v>5</v>
      </c>
      <c r="E560" s="21" t="s">
        <v>189</v>
      </c>
      <c r="G560" s="2" t="str">
        <f t="shared" si="1"/>
        <v>INSERT INTO tblAttendanceScore VALUES (seqAttendanceScore.nextval, -0.25, 559, 5);</v>
      </c>
    </row>
    <row r="561">
      <c r="A561" s="1" t="s">
        <v>201</v>
      </c>
      <c r="B561" s="2">
        <f>iferror(VLOOKUP(E561,'출결유형'!$A:$C,2,0),"")</f>
        <v>0</v>
      </c>
      <c r="C561" s="2">
        <v>560.0</v>
      </c>
      <c r="D561" s="2">
        <f>iferror(VLOOKUP(E561,'출결유형'!$L:$M,2,0),"")</f>
        <v>1</v>
      </c>
      <c r="E561" s="21" t="s">
        <v>184</v>
      </c>
      <c r="G561" s="2" t="str">
        <f t="shared" si="1"/>
        <v>INSERT INTO tblAttendanceScore VALUES (seqAttendanceScore.nextval, 0, 560, 1);</v>
      </c>
    </row>
    <row r="562">
      <c r="A562" s="1" t="s">
        <v>201</v>
      </c>
      <c r="B562" s="2">
        <f>iferror(VLOOKUP(E562,'출결유형'!$A:$C,2,0),"")</f>
        <v>0</v>
      </c>
      <c r="C562" s="2">
        <v>561.0</v>
      </c>
      <c r="D562" s="2">
        <f>iferror(VLOOKUP(E562,'출결유형'!$L:$M,2,0),"")</f>
        <v>1</v>
      </c>
      <c r="E562" s="21" t="s">
        <v>184</v>
      </c>
      <c r="G562" s="2" t="str">
        <f t="shared" si="1"/>
        <v>INSERT INTO tblAttendanceScore VALUES (seqAttendanceScore.nextval, 0, 561, 1);</v>
      </c>
    </row>
    <row r="563">
      <c r="A563" s="1" t="s">
        <v>201</v>
      </c>
      <c r="B563" s="2">
        <f>iferror(VLOOKUP(E563,'출결유형'!$A:$C,2,0),"")</f>
        <v>-0.25</v>
      </c>
      <c r="C563" s="2">
        <v>562.0</v>
      </c>
      <c r="D563" s="2">
        <f>iferror(VLOOKUP(E563,'출결유형'!$L:$M,2,0),"")</f>
        <v>5</v>
      </c>
      <c r="E563" s="21" t="s">
        <v>189</v>
      </c>
      <c r="G563" s="2" t="str">
        <f t="shared" si="1"/>
        <v>INSERT INTO tblAttendanceScore VALUES (seqAttendanceScore.nextval, -0.25, 562, 5);</v>
      </c>
    </row>
    <row r="564">
      <c r="A564" s="1" t="s">
        <v>201</v>
      </c>
      <c r="B564" s="2">
        <f>iferror(VLOOKUP(E564,'출결유형'!$A:$C,2,0),"")</f>
        <v>0</v>
      </c>
      <c r="C564" s="2">
        <v>563.0</v>
      </c>
      <c r="D564" s="2">
        <f>iferror(VLOOKUP(E564,'출결유형'!$L:$M,2,0),"")</f>
        <v>1</v>
      </c>
      <c r="E564" s="21" t="s">
        <v>184</v>
      </c>
      <c r="G564" s="2" t="str">
        <f t="shared" si="1"/>
        <v>INSERT INTO tblAttendanceScore VALUES (seqAttendanceScore.nextval, 0, 563, 1);</v>
      </c>
    </row>
    <row r="565">
      <c r="A565" s="1" t="s">
        <v>201</v>
      </c>
      <c r="B565" s="2">
        <f>iferror(VLOOKUP(E565,'출결유형'!$A:$C,2,0),"")</f>
        <v>0</v>
      </c>
      <c r="C565" s="2">
        <v>564.0</v>
      </c>
      <c r="D565" s="2">
        <f>iferror(VLOOKUP(E565,'출결유형'!$L:$M,2,0),"")</f>
        <v>1</v>
      </c>
      <c r="E565" s="21" t="s">
        <v>184</v>
      </c>
      <c r="G565" s="2" t="str">
        <f t="shared" si="1"/>
        <v>INSERT INTO tblAttendanceScore VALUES (seqAttendanceScore.nextval, 0, 564, 1);</v>
      </c>
    </row>
    <row r="566">
      <c r="A566" s="1" t="s">
        <v>201</v>
      </c>
      <c r="B566" s="2">
        <f>iferror(VLOOKUP(E566,'출결유형'!$A:$C,2,0),"")</f>
        <v>-0.25</v>
      </c>
      <c r="C566" s="2">
        <v>565.0</v>
      </c>
      <c r="D566" s="2">
        <f>iferror(VLOOKUP(E566,'출결유형'!$L:$M,2,0),"")</f>
        <v>5</v>
      </c>
      <c r="E566" s="21" t="s">
        <v>189</v>
      </c>
      <c r="G566" s="2" t="str">
        <f t="shared" si="1"/>
        <v>INSERT INTO tblAttendanceScore VALUES (seqAttendanceScore.nextval, -0.25, 565, 5);</v>
      </c>
    </row>
    <row r="567">
      <c r="A567" s="1" t="s">
        <v>201</v>
      </c>
      <c r="B567" s="2">
        <f>iferror(VLOOKUP(E567,'출결유형'!$A:$C,2,0),"")</f>
        <v>-0.25</v>
      </c>
      <c r="C567" s="2">
        <v>566.0</v>
      </c>
      <c r="D567" s="2">
        <f>iferror(VLOOKUP(E567,'출결유형'!$L:$M,2,0),"")</f>
        <v>5</v>
      </c>
      <c r="E567" s="21" t="s">
        <v>189</v>
      </c>
      <c r="G567" s="2" t="str">
        <f t="shared" si="1"/>
        <v>INSERT INTO tblAttendanceScore VALUES (seqAttendanceScore.nextval, -0.25, 566, 5);</v>
      </c>
    </row>
    <row r="568">
      <c r="A568" s="1" t="s">
        <v>201</v>
      </c>
      <c r="B568" s="2">
        <f>iferror(VLOOKUP(E568,'출결유형'!$A:$C,2,0),"")</f>
        <v>-0.25</v>
      </c>
      <c r="C568" s="2">
        <v>567.0</v>
      </c>
      <c r="D568" s="2">
        <f>iferror(VLOOKUP(E568,'출결유형'!$L:$M,2,0),"")</f>
        <v>5</v>
      </c>
      <c r="E568" s="21" t="s">
        <v>189</v>
      </c>
      <c r="G568" s="2" t="str">
        <f t="shared" si="1"/>
        <v>INSERT INTO tblAttendanceScore VALUES (seqAttendanceScore.nextval, -0.25, 567, 5);</v>
      </c>
    </row>
    <row r="569">
      <c r="A569" s="1" t="s">
        <v>201</v>
      </c>
      <c r="B569" s="2">
        <f>iferror(VLOOKUP(E569,'출결유형'!$A:$C,2,0),"")</f>
        <v>-0.25</v>
      </c>
      <c r="C569" s="2">
        <v>568.0</v>
      </c>
      <c r="D569" s="2">
        <f>iferror(VLOOKUP(E569,'출결유형'!$L:$M,2,0),"")</f>
        <v>5</v>
      </c>
      <c r="E569" s="21" t="s">
        <v>189</v>
      </c>
      <c r="G569" s="2" t="str">
        <f t="shared" si="1"/>
        <v>INSERT INTO tblAttendanceScore VALUES (seqAttendanceScore.nextval, -0.25, 568, 5);</v>
      </c>
    </row>
    <row r="570">
      <c r="A570" s="1" t="s">
        <v>201</v>
      </c>
      <c r="B570" s="2">
        <f>iferror(VLOOKUP(E570,'출결유형'!$A:$C,2,0),"")</f>
        <v>-1</v>
      </c>
      <c r="C570" s="2">
        <v>569.0</v>
      </c>
      <c r="D570" s="2">
        <f>iferror(VLOOKUP(E570,'출결유형'!$L:$M,2,0),"")</f>
        <v>2</v>
      </c>
      <c r="E570" s="21" t="s">
        <v>186</v>
      </c>
      <c r="G570" s="2" t="str">
        <f t="shared" si="1"/>
        <v>INSERT INTO tblAttendanceScore VALUES (seqAttendanceScore.nextval, -1, 569, 2);</v>
      </c>
    </row>
    <row r="571">
      <c r="A571" s="1" t="s">
        <v>201</v>
      </c>
      <c r="B571" s="2">
        <f>iferror(VLOOKUP(E571,'출결유형'!$A:$C,2,0),"")</f>
        <v>0</v>
      </c>
      <c r="C571" s="2">
        <v>570.0</v>
      </c>
      <c r="D571" s="2">
        <f>iferror(VLOOKUP(E571,'출결유형'!$L:$M,2,0),"")</f>
        <v>1</v>
      </c>
      <c r="E571" s="21" t="s">
        <v>184</v>
      </c>
      <c r="G571" s="2" t="str">
        <f t="shared" si="1"/>
        <v>INSERT INTO tblAttendanceScore VALUES (seqAttendanceScore.nextval, 0, 570, 1);</v>
      </c>
    </row>
    <row r="572">
      <c r="A572" s="1" t="s">
        <v>201</v>
      </c>
      <c r="B572" s="2">
        <f>iferror(VLOOKUP(E572,'출결유형'!$A:$C,2,0),"")</f>
        <v>0</v>
      </c>
      <c r="C572" s="2">
        <v>571.0</v>
      </c>
      <c r="D572" s="2">
        <f>iferror(VLOOKUP(E572,'출결유형'!$L:$M,2,0),"")</f>
        <v>1</v>
      </c>
      <c r="E572" s="21" t="s">
        <v>184</v>
      </c>
      <c r="G572" s="2" t="str">
        <f t="shared" si="1"/>
        <v>INSERT INTO tblAttendanceScore VALUES (seqAttendanceScore.nextval, 0, 571, 1);</v>
      </c>
    </row>
    <row r="573">
      <c r="A573" s="1" t="s">
        <v>201</v>
      </c>
      <c r="B573" s="2">
        <f>iferror(VLOOKUP(E573,'출결유형'!$A:$C,2,0),"")</f>
        <v>0</v>
      </c>
      <c r="C573" s="2">
        <v>572.0</v>
      </c>
      <c r="D573" s="2">
        <f>iferror(VLOOKUP(E573,'출결유형'!$L:$M,2,0),"")</f>
        <v>1</v>
      </c>
      <c r="E573" s="21" t="s">
        <v>184</v>
      </c>
      <c r="G573" s="2" t="str">
        <f t="shared" si="1"/>
        <v>INSERT INTO tblAttendanceScore VALUES (seqAttendanceScore.nextval, 0, 572, 1);</v>
      </c>
    </row>
    <row r="574">
      <c r="A574" s="1" t="s">
        <v>201</v>
      </c>
      <c r="B574" s="2">
        <f>iferror(VLOOKUP(E574,'출결유형'!$A:$C,2,0),"")</f>
        <v>0</v>
      </c>
      <c r="C574" s="2">
        <v>573.0</v>
      </c>
      <c r="D574" s="2">
        <f>iferror(VLOOKUP(E574,'출결유형'!$L:$M,2,0),"")</f>
        <v>1</v>
      </c>
      <c r="E574" s="21" t="s">
        <v>184</v>
      </c>
      <c r="G574" s="2" t="str">
        <f t="shared" si="1"/>
        <v>INSERT INTO tblAttendanceScore VALUES (seqAttendanceScore.nextval, 0, 573, 1);</v>
      </c>
    </row>
    <row r="575">
      <c r="A575" s="1" t="s">
        <v>201</v>
      </c>
      <c r="B575" s="2">
        <f>iferror(VLOOKUP(E575,'출결유형'!$A:$C,2,0),"")</f>
        <v>0</v>
      </c>
      <c r="C575" s="2">
        <v>574.0</v>
      </c>
      <c r="D575" s="2">
        <f>iferror(VLOOKUP(E575,'출결유형'!$L:$M,2,0),"")</f>
        <v>1</v>
      </c>
      <c r="E575" s="21" t="s">
        <v>184</v>
      </c>
      <c r="G575" s="2" t="str">
        <f t="shared" si="1"/>
        <v>INSERT INTO tblAttendanceScore VALUES (seqAttendanceScore.nextval, 0, 574, 1);</v>
      </c>
    </row>
    <row r="576">
      <c r="A576" s="1" t="s">
        <v>201</v>
      </c>
      <c r="B576" s="2">
        <f>iferror(VLOOKUP(E576,'출결유형'!$A:$C,2,0),"")</f>
        <v>0</v>
      </c>
      <c r="C576" s="2">
        <v>575.0</v>
      </c>
      <c r="D576" s="2">
        <f>iferror(VLOOKUP(E576,'출결유형'!$L:$M,2,0),"")</f>
        <v>1</v>
      </c>
      <c r="E576" s="21" t="s">
        <v>184</v>
      </c>
      <c r="G576" s="2" t="str">
        <f t="shared" si="1"/>
        <v>INSERT INTO tblAttendanceScore VALUES (seqAttendanceScore.nextval, 0, 575, 1);</v>
      </c>
    </row>
    <row r="577">
      <c r="A577" s="1" t="s">
        <v>201</v>
      </c>
      <c r="B577" s="2">
        <f>iferror(VLOOKUP(E577,'출결유형'!$A:$C,2,0),"")</f>
        <v>-0.25</v>
      </c>
      <c r="C577" s="2">
        <v>576.0</v>
      </c>
      <c r="D577" s="2">
        <f>iferror(VLOOKUP(E577,'출결유형'!$L:$M,2,0),"")</f>
        <v>5</v>
      </c>
      <c r="E577" s="21" t="s">
        <v>189</v>
      </c>
      <c r="G577" s="2" t="str">
        <f t="shared" si="1"/>
        <v>INSERT INTO tblAttendanceScore VALUES (seqAttendanceScore.nextval, -0.25, 576, 5);</v>
      </c>
    </row>
    <row r="578">
      <c r="A578" s="1" t="s">
        <v>201</v>
      </c>
      <c r="B578" s="2">
        <f>iferror(VLOOKUP(E578,'출결유형'!$A:$C,2,0),"")</f>
        <v>-1</v>
      </c>
      <c r="C578" s="2">
        <v>577.0</v>
      </c>
      <c r="D578" s="2">
        <f>iferror(VLOOKUP(E578,'출결유형'!$L:$M,2,0),"")</f>
        <v>2</v>
      </c>
      <c r="E578" s="21" t="s">
        <v>186</v>
      </c>
      <c r="G578" s="2" t="str">
        <f t="shared" si="1"/>
        <v>INSERT INTO tblAttendanceScore VALUES (seqAttendanceScore.nextval, -1, 577, 2);</v>
      </c>
    </row>
    <row r="579">
      <c r="A579" s="1" t="s">
        <v>201</v>
      </c>
      <c r="B579" s="2">
        <f>iferror(VLOOKUP(E579,'출결유형'!$A:$C,2,0),"")</f>
        <v>0</v>
      </c>
      <c r="C579" s="2">
        <v>578.0</v>
      </c>
      <c r="D579" s="2">
        <f>iferror(VLOOKUP(E579,'출결유형'!$L:$M,2,0),"")</f>
        <v>1</v>
      </c>
      <c r="E579" s="21" t="s">
        <v>184</v>
      </c>
      <c r="G579" s="2" t="str">
        <f t="shared" si="1"/>
        <v>INSERT INTO tblAttendanceScore VALUES (seqAttendanceScore.nextval, 0, 578, 1);</v>
      </c>
    </row>
    <row r="580">
      <c r="A580" s="1" t="s">
        <v>201</v>
      </c>
      <c r="B580" s="2">
        <f>iferror(VLOOKUP(E580,'출결유형'!$A:$C,2,0),"")</f>
        <v>0</v>
      </c>
      <c r="C580" s="2">
        <v>579.0</v>
      </c>
      <c r="D580" s="2">
        <f>iferror(VLOOKUP(E580,'출결유형'!$L:$M,2,0),"")</f>
        <v>1</v>
      </c>
      <c r="E580" s="21" t="s">
        <v>184</v>
      </c>
      <c r="G580" s="2" t="str">
        <f t="shared" si="1"/>
        <v>INSERT INTO tblAttendanceScore VALUES (seqAttendanceScore.nextval, 0, 579, 1);</v>
      </c>
    </row>
    <row r="581">
      <c r="A581" s="1" t="s">
        <v>201</v>
      </c>
      <c r="B581" s="2">
        <f>iferror(VLOOKUP(E581,'출결유형'!$A:$C,2,0),"")</f>
        <v>0</v>
      </c>
      <c r="C581" s="2">
        <v>580.0</v>
      </c>
      <c r="D581" s="2">
        <f>iferror(VLOOKUP(E581,'출결유형'!$L:$M,2,0),"")</f>
        <v>1</v>
      </c>
      <c r="E581" s="21" t="s">
        <v>184</v>
      </c>
      <c r="G581" s="2" t="str">
        <f t="shared" si="1"/>
        <v>INSERT INTO tblAttendanceScore VALUES (seqAttendanceScore.nextval, 0, 580, 1);</v>
      </c>
    </row>
    <row r="582">
      <c r="A582" s="1" t="s">
        <v>201</v>
      </c>
      <c r="B582" s="2">
        <f>iferror(VLOOKUP(E582,'출결유형'!$A:$C,2,0),"")</f>
        <v>0</v>
      </c>
      <c r="C582" s="2">
        <v>581.0</v>
      </c>
      <c r="D582" s="2">
        <f>iferror(VLOOKUP(E582,'출결유형'!$L:$M,2,0),"")</f>
        <v>1</v>
      </c>
      <c r="E582" s="21" t="s">
        <v>184</v>
      </c>
      <c r="G582" s="2" t="str">
        <f t="shared" si="1"/>
        <v>INSERT INTO tblAttendanceScore VALUES (seqAttendanceScore.nextval, 0, 581, 1);</v>
      </c>
    </row>
    <row r="583">
      <c r="A583" s="1" t="s">
        <v>201</v>
      </c>
      <c r="B583" s="2">
        <f>iferror(VLOOKUP(E583,'출결유형'!$A:$C,2,0),"")</f>
        <v>-0.25</v>
      </c>
      <c r="C583" s="2">
        <v>582.0</v>
      </c>
      <c r="D583" s="2">
        <f>iferror(VLOOKUP(E583,'출결유형'!$L:$M,2,0),"")</f>
        <v>5</v>
      </c>
      <c r="E583" s="21" t="s">
        <v>189</v>
      </c>
      <c r="G583" s="2" t="str">
        <f t="shared" si="1"/>
        <v>INSERT INTO tblAttendanceScore VALUES (seqAttendanceScore.nextval, -0.25, 582, 5);</v>
      </c>
    </row>
    <row r="584">
      <c r="A584" s="1" t="s">
        <v>201</v>
      </c>
      <c r="B584" s="2">
        <f>iferror(VLOOKUP(E584,'출결유형'!$A:$C,2,0),"")</f>
        <v>-1</v>
      </c>
      <c r="C584" s="2">
        <v>583.0</v>
      </c>
      <c r="D584" s="2">
        <f>iferror(VLOOKUP(E584,'출결유형'!$L:$M,2,0),"")</f>
        <v>2</v>
      </c>
      <c r="E584" s="21" t="s">
        <v>186</v>
      </c>
      <c r="G584" s="2" t="str">
        <f t="shared" si="1"/>
        <v>INSERT INTO tblAttendanceScore VALUES (seqAttendanceScore.nextval, -1, 583, 2);</v>
      </c>
    </row>
    <row r="585">
      <c r="A585" s="1" t="s">
        <v>201</v>
      </c>
      <c r="B585" s="2">
        <f>iferror(VLOOKUP(E585,'출결유형'!$A:$C,2,0),"")</f>
        <v>0</v>
      </c>
      <c r="C585" s="2">
        <v>584.0</v>
      </c>
      <c r="D585" s="2">
        <f>iferror(VLOOKUP(E585,'출결유형'!$L:$M,2,0),"")</f>
        <v>1</v>
      </c>
      <c r="E585" s="21" t="s">
        <v>184</v>
      </c>
      <c r="G585" s="2" t="str">
        <f t="shared" si="1"/>
        <v>INSERT INTO tblAttendanceScore VALUES (seqAttendanceScore.nextval, 0, 584, 1);</v>
      </c>
    </row>
    <row r="586">
      <c r="A586" s="1" t="s">
        <v>201</v>
      </c>
      <c r="B586" s="2">
        <f>iferror(VLOOKUP(E586,'출결유형'!$A:$C,2,0),"")</f>
        <v>0</v>
      </c>
      <c r="C586" s="2">
        <v>585.0</v>
      </c>
      <c r="D586" s="2">
        <f>iferror(VLOOKUP(E586,'출결유형'!$L:$M,2,0),"")</f>
        <v>1</v>
      </c>
      <c r="E586" s="21" t="s">
        <v>184</v>
      </c>
      <c r="G586" s="2" t="str">
        <f t="shared" si="1"/>
        <v>INSERT INTO tblAttendanceScore VALUES (seqAttendanceScore.nextval, 0, 585, 1);</v>
      </c>
    </row>
    <row r="587">
      <c r="A587" s="1" t="s">
        <v>201</v>
      </c>
      <c r="B587" s="2">
        <f>iferror(VLOOKUP(E587,'출결유형'!$A:$C,2,0),"")</f>
        <v>-0.25</v>
      </c>
      <c r="C587" s="2">
        <v>586.0</v>
      </c>
      <c r="D587" s="2">
        <f>iferror(VLOOKUP(E587,'출결유형'!$L:$M,2,0),"")</f>
        <v>5</v>
      </c>
      <c r="E587" s="21" t="s">
        <v>189</v>
      </c>
      <c r="G587" s="2" t="str">
        <f t="shared" si="1"/>
        <v>INSERT INTO tblAttendanceScore VALUES (seqAttendanceScore.nextval, -0.25, 586, 5);</v>
      </c>
    </row>
    <row r="588">
      <c r="A588" s="1" t="s">
        <v>201</v>
      </c>
      <c r="B588" s="2">
        <f>iferror(VLOOKUP(E588,'출결유형'!$A:$C,2,0),"")</f>
        <v>-0.25</v>
      </c>
      <c r="C588" s="2">
        <v>587.0</v>
      </c>
      <c r="D588" s="2">
        <f>iferror(VLOOKUP(E588,'출결유형'!$L:$M,2,0),"")</f>
        <v>5</v>
      </c>
      <c r="E588" s="21" t="s">
        <v>189</v>
      </c>
      <c r="G588" s="2" t="str">
        <f t="shared" si="1"/>
        <v>INSERT INTO tblAttendanceScore VALUES (seqAttendanceScore.nextval, -0.25, 587, 5);</v>
      </c>
    </row>
    <row r="589">
      <c r="A589" s="1" t="s">
        <v>201</v>
      </c>
      <c r="B589" s="2">
        <f>iferror(VLOOKUP(E589,'출결유형'!$A:$C,2,0),"")</f>
        <v>-0.25</v>
      </c>
      <c r="C589" s="2">
        <v>588.0</v>
      </c>
      <c r="D589" s="2">
        <f>iferror(VLOOKUP(E589,'출결유형'!$L:$M,2,0),"")</f>
        <v>5</v>
      </c>
      <c r="E589" s="21" t="s">
        <v>189</v>
      </c>
      <c r="G589" s="2" t="str">
        <f t="shared" si="1"/>
        <v>INSERT INTO tblAttendanceScore VALUES (seqAttendanceScore.nextval, -0.25, 588, 5);</v>
      </c>
    </row>
    <row r="590">
      <c r="A590" s="1" t="s">
        <v>201</v>
      </c>
      <c r="B590" s="2">
        <f>iferror(VLOOKUP(E590,'출결유형'!$A:$C,2,0),"")</f>
        <v>0</v>
      </c>
      <c r="C590" s="2">
        <v>589.0</v>
      </c>
      <c r="D590" s="2">
        <f>iferror(VLOOKUP(E590,'출결유형'!$L:$M,2,0),"")</f>
        <v>1</v>
      </c>
      <c r="E590" s="21" t="s">
        <v>184</v>
      </c>
      <c r="G590" s="2" t="str">
        <f t="shared" si="1"/>
        <v>INSERT INTO tblAttendanceScore VALUES (seqAttendanceScore.nextval, 0, 589, 1);</v>
      </c>
    </row>
    <row r="591">
      <c r="A591" s="1" t="s">
        <v>201</v>
      </c>
      <c r="B591" s="2">
        <f>iferror(VLOOKUP(E591,'출결유형'!$A:$C,2,0),"")</f>
        <v>-0.25</v>
      </c>
      <c r="C591" s="2">
        <v>590.0</v>
      </c>
      <c r="D591" s="2">
        <f>iferror(VLOOKUP(E591,'출결유형'!$L:$M,2,0),"")</f>
        <v>5</v>
      </c>
      <c r="E591" s="21" t="s">
        <v>189</v>
      </c>
      <c r="G591" s="2" t="str">
        <f t="shared" si="1"/>
        <v>INSERT INTO tblAttendanceScore VALUES (seqAttendanceScore.nextval, -0.25, 590, 5);</v>
      </c>
    </row>
    <row r="592">
      <c r="A592" s="1" t="s">
        <v>201</v>
      </c>
      <c r="B592" s="2">
        <f>iferror(VLOOKUP(E592,'출결유형'!$A:$C,2,0),"")</f>
        <v>-1</v>
      </c>
      <c r="C592" s="2">
        <v>591.0</v>
      </c>
      <c r="D592" s="2">
        <f>iferror(VLOOKUP(E592,'출결유형'!$L:$M,2,0),"")</f>
        <v>2</v>
      </c>
      <c r="E592" s="21" t="s">
        <v>186</v>
      </c>
      <c r="G592" s="2" t="str">
        <f t="shared" si="1"/>
        <v>INSERT INTO tblAttendanceScore VALUES (seqAttendanceScore.nextval, -1, 591, 2);</v>
      </c>
    </row>
    <row r="593">
      <c r="A593" s="1" t="s">
        <v>201</v>
      </c>
      <c r="B593" s="2">
        <f>iferror(VLOOKUP(E593,'출결유형'!$A:$C,2,0),"")</f>
        <v>-0.25</v>
      </c>
      <c r="C593" s="2">
        <v>592.0</v>
      </c>
      <c r="D593" s="2">
        <f>iferror(VLOOKUP(E593,'출결유형'!$L:$M,2,0),"")</f>
        <v>5</v>
      </c>
      <c r="E593" s="21" t="s">
        <v>189</v>
      </c>
      <c r="G593" s="2" t="str">
        <f t="shared" si="1"/>
        <v>INSERT INTO tblAttendanceScore VALUES (seqAttendanceScore.nextval, -0.25, 592, 5);</v>
      </c>
    </row>
    <row r="594">
      <c r="A594" s="1" t="s">
        <v>201</v>
      </c>
      <c r="B594" s="2">
        <f>iferror(VLOOKUP(E594,'출결유형'!$A:$C,2,0),"")</f>
        <v>-0.25</v>
      </c>
      <c r="C594" s="2">
        <v>593.0</v>
      </c>
      <c r="D594" s="2">
        <f>iferror(VLOOKUP(E594,'출결유형'!$L:$M,2,0),"")</f>
        <v>5</v>
      </c>
      <c r="E594" s="21" t="s">
        <v>189</v>
      </c>
      <c r="G594" s="2" t="str">
        <f t="shared" si="1"/>
        <v>INSERT INTO tblAttendanceScore VALUES (seqAttendanceScore.nextval, -0.25, 593, 5);</v>
      </c>
    </row>
    <row r="595">
      <c r="A595" s="1" t="s">
        <v>201</v>
      </c>
      <c r="B595" s="2">
        <f>iferror(VLOOKUP(E595,'출결유형'!$A:$C,2,0),"")</f>
        <v>-0.25</v>
      </c>
      <c r="C595" s="2">
        <v>594.0</v>
      </c>
      <c r="D595" s="2">
        <f>iferror(VLOOKUP(E595,'출결유형'!$L:$M,2,0),"")</f>
        <v>5</v>
      </c>
      <c r="E595" s="21" t="s">
        <v>189</v>
      </c>
      <c r="G595" s="2" t="str">
        <f t="shared" si="1"/>
        <v>INSERT INTO tblAttendanceScore VALUES (seqAttendanceScore.nextval, -0.25, 594, 5);</v>
      </c>
    </row>
    <row r="596">
      <c r="A596" s="1" t="s">
        <v>201</v>
      </c>
      <c r="B596" s="2">
        <f>iferror(VLOOKUP(E596,'출결유형'!$A:$C,2,0),"")</f>
        <v>-1</v>
      </c>
      <c r="C596" s="2">
        <v>595.0</v>
      </c>
      <c r="D596" s="2">
        <f>iferror(VLOOKUP(E596,'출결유형'!$L:$M,2,0),"")</f>
        <v>2</v>
      </c>
      <c r="E596" s="21" t="s">
        <v>186</v>
      </c>
      <c r="G596" s="2" t="str">
        <f t="shared" si="1"/>
        <v>INSERT INTO tblAttendanceScore VALUES (seqAttendanceScore.nextval, -1, 595, 2);</v>
      </c>
    </row>
    <row r="597">
      <c r="A597" s="1" t="s">
        <v>201</v>
      </c>
      <c r="B597" s="2">
        <f>iferror(VLOOKUP(E597,'출결유형'!$A:$C,2,0),"")</f>
        <v>-0.25</v>
      </c>
      <c r="C597" s="2">
        <v>596.0</v>
      </c>
      <c r="D597" s="2">
        <f>iferror(VLOOKUP(E597,'출결유형'!$L:$M,2,0),"")</f>
        <v>5</v>
      </c>
      <c r="E597" s="21" t="s">
        <v>189</v>
      </c>
      <c r="G597" s="2" t="str">
        <f t="shared" si="1"/>
        <v>INSERT INTO tblAttendanceScore VALUES (seqAttendanceScore.nextval, -0.25, 596, 5);</v>
      </c>
    </row>
    <row r="598">
      <c r="A598" s="1" t="s">
        <v>201</v>
      </c>
      <c r="B598" s="2">
        <f>iferror(VLOOKUP(E598,'출결유형'!$A:$C,2,0),"")</f>
        <v>-1</v>
      </c>
      <c r="C598" s="2">
        <v>597.0</v>
      </c>
      <c r="D598" s="2">
        <f>iferror(VLOOKUP(E598,'출결유형'!$L:$M,2,0),"")</f>
        <v>2</v>
      </c>
      <c r="E598" s="21" t="s">
        <v>186</v>
      </c>
      <c r="G598" s="2" t="str">
        <f t="shared" si="1"/>
        <v>INSERT INTO tblAttendanceScore VALUES (seqAttendanceScore.nextval, -1, 597, 2);</v>
      </c>
    </row>
    <row r="599">
      <c r="A599" s="1" t="s">
        <v>201</v>
      </c>
      <c r="B599" s="2">
        <f>iferror(VLOOKUP(E599,'출결유형'!$A:$C,2,0),"")</f>
        <v>-1</v>
      </c>
      <c r="C599" s="2">
        <v>598.0</v>
      </c>
      <c r="D599" s="2">
        <f>iferror(VLOOKUP(E599,'출결유형'!$L:$M,2,0),"")</f>
        <v>2</v>
      </c>
      <c r="E599" s="21" t="s">
        <v>186</v>
      </c>
      <c r="G599" s="2" t="str">
        <f t="shared" si="1"/>
        <v>INSERT INTO tblAttendanceScore VALUES (seqAttendanceScore.nextval, -1, 598, 2);</v>
      </c>
    </row>
    <row r="600">
      <c r="A600" s="1" t="s">
        <v>201</v>
      </c>
      <c r="B600" s="2">
        <f>iferror(VLOOKUP(E600,'출결유형'!$A:$C,2,0),"")</f>
        <v>0</v>
      </c>
      <c r="C600" s="2">
        <v>599.0</v>
      </c>
      <c r="D600" s="2">
        <f>iferror(VLOOKUP(E600,'출결유형'!$L:$M,2,0),"")</f>
        <v>1</v>
      </c>
      <c r="E600" s="21" t="s">
        <v>184</v>
      </c>
      <c r="G600" s="2" t="str">
        <f t="shared" si="1"/>
        <v>INSERT INTO tblAttendanceScore VALUES (seqAttendanceScore.nextval, 0, 599, 1);</v>
      </c>
    </row>
    <row r="601">
      <c r="A601" s="1" t="s">
        <v>201</v>
      </c>
      <c r="B601" s="2">
        <f>iferror(VLOOKUP(E601,'출결유형'!$A:$C,2,0),"")</f>
        <v>-0.25</v>
      </c>
      <c r="C601" s="2">
        <v>600.0</v>
      </c>
      <c r="D601" s="2">
        <f>iferror(VLOOKUP(E601,'출결유형'!$L:$M,2,0),"")</f>
        <v>5</v>
      </c>
      <c r="E601" s="21" t="s">
        <v>189</v>
      </c>
      <c r="G601" s="2" t="str">
        <f t="shared" si="1"/>
        <v>INSERT INTO tblAttendanceScore VALUES (seqAttendanceScore.nextval, -0.25, 600, 5);</v>
      </c>
    </row>
    <row r="602">
      <c r="A602" s="1" t="s">
        <v>201</v>
      </c>
      <c r="B602" s="2">
        <f>iferror(VLOOKUP(E602,'출결유형'!$A:$C,2,0),"")</f>
        <v>-0.25</v>
      </c>
      <c r="C602" s="2">
        <v>601.0</v>
      </c>
      <c r="D602" s="2">
        <f>iferror(VLOOKUP(E602,'출결유형'!$L:$M,2,0),"")</f>
        <v>5</v>
      </c>
      <c r="E602" s="21" t="s">
        <v>189</v>
      </c>
      <c r="G602" s="2" t="str">
        <f t="shared" si="1"/>
        <v>INSERT INTO tblAttendanceScore VALUES (seqAttendanceScore.nextval, -0.25, 601, 5);</v>
      </c>
    </row>
    <row r="603">
      <c r="A603" s="1" t="s">
        <v>201</v>
      </c>
      <c r="B603" s="2">
        <f>iferror(VLOOKUP(E603,'출결유형'!$A:$C,2,0),"")</f>
        <v>0</v>
      </c>
      <c r="C603" s="2">
        <v>602.0</v>
      </c>
      <c r="D603" s="2">
        <f>iferror(VLOOKUP(E603,'출결유형'!$L:$M,2,0),"")</f>
        <v>1</v>
      </c>
      <c r="E603" s="21" t="s">
        <v>184</v>
      </c>
      <c r="G603" s="2" t="str">
        <f t="shared" si="1"/>
        <v>INSERT INTO tblAttendanceScore VALUES (seqAttendanceScore.nextval, 0, 602, 1);</v>
      </c>
    </row>
    <row r="604">
      <c r="A604" s="1" t="s">
        <v>201</v>
      </c>
      <c r="B604" s="2">
        <f>iferror(VLOOKUP(E604,'출결유형'!$A:$C,2,0),"")</f>
        <v>0</v>
      </c>
      <c r="C604" s="2">
        <v>603.0</v>
      </c>
      <c r="D604" s="2">
        <f>iferror(VLOOKUP(E604,'출결유형'!$L:$M,2,0),"")</f>
        <v>1</v>
      </c>
      <c r="E604" s="21" t="s">
        <v>184</v>
      </c>
      <c r="G604" s="2" t="str">
        <f t="shared" si="1"/>
        <v>INSERT INTO tblAttendanceScore VALUES (seqAttendanceScore.nextval, 0, 603, 1);</v>
      </c>
    </row>
    <row r="605">
      <c r="A605" s="1" t="s">
        <v>201</v>
      </c>
      <c r="B605" s="2">
        <f>iferror(VLOOKUP(E605,'출결유형'!$A:$C,2,0),"")</f>
        <v>0</v>
      </c>
      <c r="C605" s="2">
        <v>604.0</v>
      </c>
      <c r="D605" s="2">
        <f>iferror(VLOOKUP(E605,'출결유형'!$L:$M,2,0),"")</f>
        <v>1</v>
      </c>
      <c r="E605" s="21" t="s">
        <v>184</v>
      </c>
      <c r="G605" s="2" t="str">
        <f t="shared" si="1"/>
        <v>INSERT INTO tblAttendanceScore VALUES (seqAttendanceScore.nextval, 0, 604, 1);</v>
      </c>
    </row>
    <row r="606">
      <c r="A606" s="1" t="s">
        <v>201</v>
      </c>
      <c r="B606" s="2">
        <f>iferror(VLOOKUP(E606,'출결유형'!$A:$C,2,0),"")</f>
        <v>0</v>
      </c>
      <c r="C606" s="2">
        <v>605.0</v>
      </c>
      <c r="D606" s="2">
        <f>iferror(VLOOKUP(E606,'출결유형'!$L:$M,2,0),"")</f>
        <v>1</v>
      </c>
      <c r="E606" s="21" t="s">
        <v>184</v>
      </c>
      <c r="G606" s="2" t="str">
        <f t="shared" si="1"/>
        <v>INSERT INTO tblAttendanceScore VALUES (seqAttendanceScore.nextval, 0, 605, 1);</v>
      </c>
    </row>
    <row r="607">
      <c r="A607" s="1" t="s">
        <v>201</v>
      </c>
      <c r="B607" s="2">
        <f>iferror(VLOOKUP(E607,'출결유형'!$A:$C,2,0),"")</f>
        <v>-0.25</v>
      </c>
      <c r="C607" s="2">
        <v>606.0</v>
      </c>
      <c r="D607" s="2">
        <f>iferror(VLOOKUP(E607,'출결유형'!$L:$M,2,0),"")</f>
        <v>5</v>
      </c>
      <c r="E607" s="21" t="s">
        <v>189</v>
      </c>
      <c r="G607" s="2" t="str">
        <f t="shared" si="1"/>
        <v>INSERT INTO tblAttendanceScore VALUES (seqAttendanceScore.nextval, -0.25, 606, 5);</v>
      </c>
    </row>
    <row r="608">
      <c r="A608" s="1" t="s">
        <v>201</v>
      </c>
      <c r="B608" s="2">
        <f>iferror(VLOOKUP(E608,'출결유형'!$A:$C,2,0),"")</f>
        <v>0</v>
      </c>
      <c r="C608" s="2">
        <v>607.0</v>
      </c>
      <c r="D608" s="2">
        <f>iferror(VLOOKUP(E608,'출결유형'!$L:$M,2,0),"")</f>
        <v>1</v>
      </c>
      <c r="E608" s="21" t="s">
        <v>184</v>
      </c>
      <c r="G608" s="2" t="str">
        <f t="shared" si="1"/>
        <v>INSERT INTO tblAttendanceScore VALUES (seqAttendanceScore.nextval, 0, 607, 1);</v>
      </c>
    </row>
    <row r="609">
      <c r="A609" s="1" t="s">
        <v>201</v>
      </c>
      <c r="B609" s="2">
        <f>iferror(VLOOKUP(E609,'출결유형'!$A:$C,2,0),"")</f>
        <v>-0.25</v>
      </c>
      <c r="C609" s="2">
        <v>608.0</v>
      </c>
      <c r="D609" s="2">
        <f>iferror(VLOOKUP(E609,'출결유형'!$L:$M,2,0),"")</f>
        <v>5</v>
      </c>
      <c r="E609" s="21" t="s">
        <v>189</v>
      </c>
      <c r="G609" s="2" t="str">
        <f t="shared" si="1"/>
        <v>INSERT INTO tblAttendanceScore VALUES (seqAttendanceScore.nextval, -0.25, 608, 5);</v>
      </c>
    </row>
    <row r="610">
      <c r="A610" s="1" t="s">
        <v>201</v>
      </c>
      <c r="B610" s="2">
        <f>iferror(VLOOKUP(E610,'출결유형'!$A:$C,2,0),"")</f>
        <v>0</v>
      </c>
      <c r="C610" s="2">
        <v>609.0</v>
      </c>
      <c r="D610" s="2">
        <f>iferror(VLOOKUP(E610,'출결유형'!$L:$M,2,0),"")</f>
        <v>1</v>
      </c>
      <c r="E610" s="21" t="s">
        <v>184</v>
      </c>
      <c r="G610" s="2" t="str">
        <f t="shared" si="1"/>
        <v>INSERT INTO tblAttendanceScore VALUES (seqAttendanceScore.nextval, 0, 609, 1);</v>
      </c>
    </row>
    <row r="611">
      <c r="A611" s="1" t="s">
        <v>201</v>
      </c>
      <c r="B611" s="2">
        <f>iferror(VLOOKUP(E611,'출결유형'!$A:$C,2,0),"")</f>
        <v>0</v>
      </c>
      <c r="C611" s="2">
        <v>610.0</v>
      </c>
      <c r="D611" s="2">
        <f>iferror(VLOOKUP(E611,'출결유형'!$L:$M,2,0),"")</f>
        <v>1</v>
      </c>
      <c r="E611" s="21" t="s">
        <v>184</v>
      </c>
      <c r="G611" s="2" t="str">
        <f t="shared" si="1"/>
        <v>INSERT INTO tblAttendanceScore VALUES (seqAttendanceScore.nextval, 0, 610, 1);</v>
      </c>
    </row>
    <row r="612">
      <c r="A612" s="1" t="s">
        <v>201</v>
      </c>
      <c r="B612" s="2">
        <f>iferror(VLOOKUP(E612,'출결유형'!$A:$C,2,0),"")</f>
        <v>-0.25</v>
      </c>
      <c r="C612" s="2">
        <v>611.0</v>
      </c>
      <c r="D612" s="2">
        <f>iferror(VLOOKUP(E612,'출결유형'!$L:$M,2,0),"")</f>
        <v>5</v>
      </c>
      <c r="E612" s="21" t="s">
        <v>189</v>
      </c>
      <c r="G612" s="2" t="str">
        <f t="shared" si="1"/>
        <v>INSERT INTO tblAttendanceScore VALUES (seqAttendanceScore.nextval, -0.25, 611, 5);</v>
      </c>
    </row>
    <row r="613">
      <c r="A613" s="1" t="s">
        <v>201</v>
      </c>
      <c r="B613" s="2">
        <f>iferror(VLOOKUP(E613,'출결유형'!$A:$C,2,0),"")</f>
        <v>-0.25</v>
      </c>
      <c r="C613" s="2">
        <v>612.0</v>
      </c>
      <c r="D613" s="2">
        <f>iferror(VLOOKUP(E613,'출결유형'!$L:$M,2,0),"")</f>
        <v>5</v>
      </c>
      <c r="E613" s="21" t="s">
        <v>189</v>
      </c>
      <c r="G613" s="2" t="str">
        <f t="shared" si="1"/>
        <v>INSERT INTO tblAttendanceScore VALUES (seqAttendanceScore.nextval, -0.25, 612, 5);</v>
      </c>
    </row>
    <row r="614">
      <c r="A614" s="1" t="s">
        <v>201</v>
      </c>
      <c r="B614" s="2">
        <f>iferror(VLOOKUP(E614,'출결유형'!$A:$C,2,0),"")</f>
        <v>-0.25</v>
      </c>
      <c r="C614" s="2">
        <v>613.0</v>
      </c>
      <c r="D614" s="2">
        <f>iferror(VLOOKUP(E614,'출결유형'!$L:$M,2,0),"")</f>
        <v>5</v>
      </c>
      <c r="E614" s="21" t="s">
        <v>189</v>
      </c>
      <c r="G614" s="2" t="str">
        <f t="shared" si="1"/>
        <v>INSERT INTO tblAttendanceScore VALUES (seqAttendanceScore.nextval, -0.25, 613, 5);</v>
      </c>
    </row>
    <row r="615">
      <c r="A615" s="1" t="s">
        <v>201</v>
      </c>
      <c r="B615" s="2">
        <f>iferror(VLOOKUP(E615,'출결유형'!$A:$C,2,0),"")</f>
        <v>-0.25</v>
      </c>
      <c r="C615" s="2">
        <v>614.0</v>
      </c>
      <c r="D615" s="2">
        <f>iferror(VLOOKUP(E615,'출결유형'!$L:$M,2,0),"")</f>
        <v>5</v>
      </c>
      <c r="E615" s="21" t="s">
        <v>189</v>
      </c>
      <c r="G615" s="2" t="str">
        <f t="shared" si="1"/>
        <v>INSERT INTO tblAttendanceScore VALUES (seqAttendanceScore.nextval, -0.25, 614, 5);</v>
      </c>
    </row>
    <row r="616">
      <c r="A616" s="1" t="s">
        <v>201</v>
      </c>
      <c r="B616" s="2">
        <f>iferror(VLOOKUP(E616,'출결유형'!$A:$C,2,0),"")</f>
        <v>0</v>
      </c>
      <c r="C616" s="2">
        <v>615.0</v>
      </c>
      <c r="D616" s="2">
        <f>iferror(VLOOKUP(E616,'출결유형'!$L:$M,2,0),"")</f>
        <v>1</v>
      </c>
      <c r="E616" s="21" t="s">
        <v>184</v>
      </c>
      <c r="G616" s="2" t="str">
        <f t="shared" si="1"/>
        <v>INSERT INTO tblAttendanceScore VALUES (seqAttendanceScore.nextval, 0, 615, 1);</v>
      </c>
    </row>
    <row r="617">
      <c r="A617" s="1" t="s">
        <v>201</v>
      </c>
      <c r="B617" s="2">
        <f>iferror(VLOOKUP(E617,'출결유형'!$A:$C,2,0),"")</f>
        <v>0</v>
      </c>
      <c r="C617" s="2">
        <v>616.0</v>
      </c>
      <c r="D617" s="2">
        <f>iferror(VLOOKUP(E617,'출결유형'!$L:$M,2,0),"")</f>
        <v>1</v>
      </c>
      <c r="E617" s="21" t="s">
        <v>184</v>
      </c>
      <c r="G617" s="2" t="str">
        <f t="shared" si="1"/>
        <v>INSERT INTO tblAttendanceScore VALUES (seqAttendanceScore.nextval, 0, 616, 1);</v>
      </c>
    </row>
    <row r="618">
      <c r="A618" s="1" t="s">
        <v>201</v>
      </c>
      <c r="B618" s="2">
        <f>iferror(VLOOKUP(E618,'출결유형'!$A:$C,2,0),"")</f>
        <v>0</v>
      </c>
      <c r="C618" s="2">
        <v>617.0</v>
      </c>
      <c r="D618" s="2">
        <f>iferror(VLOOKUP(E618,'출결유형'!$L:$M,2,0),"")</f>
        <v>1</v>
      </c>
      <c r="E618" s="21" t="s">
        <v>184</v>
      </c>
      <c r="G618" s="2" t="str">
        <f t="shared" si="1"/>
        <v>INSERT INTO tblAttendanceScore VALUES (seqAttendanceScore.nextval, 0, 617, 1);</v>
      </c>
    </row>
    <row r="619">
      <c r="A619" s="1" t="s">
        <v>201</v>
      </c>
      <c r="B619" s="2">
        <f>iferror(VLOOKUP(E619,'출결유형'!$A:$C,2,0),"")</f>
        <v>0</v>
      </c>
      <c r="C619" s="2">
        <v>618.0</v>
      </c>
      <c r="D619" s="2">
        <f>iferror(VLOOKUP(E619,'출결유형'!$L:$M,2,0),"")</f>
        <v>1</v>
      </c>
      <c r="E619" s="21" t="s">
        <v>184</v>
      </c>
      <c r="G619" s="2" t="str">
        <f t="shared" si="1"/>
        <v>INSERT INTO tblAttendanceScore VALUES (seqAttendanceScore.nextval, 0, 618, 1);</v>
      </c>
    </row>
    <row r="620">
      <c r="A620" s="1" t="s">
        <v>201</v>
      </c>
      <c r="B620" s="2">
        <f>iferror(VLOOKUP(E620,'출결유형'!$A:$C,2,0),"")</f>
        <v>0</v>
      </c>
      <c r="C620" s="2">
        <v>619.0</v>
      </c>
      <c r="D620" s="2">
        <f>iferror(VLOOKUP(E620,'출결유형'!$L:$M,2,0),"")</f>
        <v>1</v>
      </c>
      <c r="E620" s="21" t="s">
        <v>184</v>
      </c>
      <c r="G620" s="2" t="str">
        <f t="shared" si="1"/>
        <v>INSERT INTO tblAttendanceScore VALUES (seqAttendanceScore.nextval, 0, 619, 1);</v>
      </c>
    </row>
    <row r="621">
      <c r="A621" s="1" t="s">
        <v>201</v>
      </c>
      <c r="B621" s="2">
        <f>iferror(VLOOKUP(E621,'출결유형'!$A:$C,2,0),"")</f>
        <v>-0.25</v>
      </c>
      <c r="C621" s="2">
        <v>620.0</v>
      </c>
      <c r="D621" s="2">
        <f>iferror(VLOOKUP(E621,'출결유형'!$L:$M,2,0),"")</f>
        <v>5</v>
      </c>
      <c r="E621" s="21" t="s">
        <v>189</v>
      </c>
      <c r="G621" s="2" t="str">
        <f t="shared" si="1"/>
        <v>INSERT INTO tblAttendanceScore VALUES (seqAttendanceScore.nextval, -0.25, 620, 5);</v>
      </c>
    </row>
    <row r="622">
      <c r="A622" s="1" t="s">
        <v>201</v>
      </c>
      <c r="B622" s="2">
        <f>iferror(VLOOKUP(E622,'출결유형'!$A:$C,2,0),"")</f>
        <v>-0.25</v>
      </c>
      <c r="C622" s="2">
        <v>621.0</v>
      </c>
      <c r="D622" s="2">
        <f>iferror(VLOOKUP(E622,'출결유형'!$L:$M,2,0),"")</f>
        <v>5</v>
      </c>
      <c r="E622" s="21" t="s">
        <v>189</v>
      </c>
      <c r="G622" s="2" t="str">
        <f t="shared" si="1"/>
        <v>INSERT INTO tblAttendanceScore VALUES (seqAttendanceScore.nextval, -0.25, 621, 5);</v>
      </c>
    </row>
    <row r="623">
      <c r="A623" s="1" t="s">
        <v>201</v>
      </c>
      <c r="B623" s="2">
        <f>iferror(VLOOKUP(E623,'출결유형'!$A:$C,2,0),"")</f>
        <v>-0.25</v>
      </c>
      <c r="C623" s="2">
        <v>622.0</v>
      </c>
      <c r="D623" s="2">
        <f>iferror(VLOOKUP(E623,'출결유형'!$L:$M,2,0),"")</f>
        <v>5</v>
      </c>
      <c r="E623" s="21" t="s">
        <v>189</v>
      </c>
      <c r="G623" s="2" t="str">
        <f t="shared" si="1"/>
        <v>INSERT INTO tblAttendanceScore VALUES (seqAttendanceScore.nextval, -0.25, 622, 5);</v>
      </c>
    </row>
    <row r="624">
      <c r="A624" s="1" t="s">
        <v>201</v>
      </c>
      <c r="B624" s="2">
        <f>iferror(VLOOKUP(E624,'출결유형'!$A:$C,2,0),"")</f>
        <v>0</v>
      </c>
      <c r="C624" s="2">
        <v>623.0</v>
      </c>
      <c r="D624" s="2">
        <f>iferror(VLOOKUP(E624,'출결유형'!$L:$M,2,0),"")</f>
        <v>1</v>
      </c>
      <c r="E624" s="21" t="s">
        <v>184</v>
      </c>
      <c r="G624" s="2" t="str">
        <f t="shared" si="1"/>
        <v>INSERT INTO tblAttendanceScore VALUES (seqAttendanceScore.nextval, 0, 623, 1);</v>
      </c>
    </row>
    <row r="625">
      <c r="A625" s="1" t="s">
        <v>201</v>
      </c>
      <c r="B625" s="2">
        <f>iferror(VLOOKUP(E625,'출결유형'!$A:$C,2,0),"")</f>
        <v>-0.25</v>
      </c>
      <c r="C625" s="2">
        <v>624.0</v>
      </c>
      <c r="D625" s="2">
        <f>iferror(VLOOKUP(E625,'출결유형'!$L:$M,2,0),"")</f>
        <v>5</v>
      </c>
      <c r="E625" s="21" t="s">
        <v>189</v>
      </c>
      <c r="G625" s="2" t="str">
        <f t="shared" si="1"/>
        <v>INSERT INTO tblAttendanceScore VALUES (seqAttendanceScore.nextval, -0.25, 624, 5);</v>
      </c>
    </row>
    <row r="626">
      <c r="A626" s="1" t="s">
        <v>201</v>
      </c>
      <c r="B626" s="2">
        <f>iferror(VLOOKUP(E626,'출결유형'!$A:$C,2,0),"")</f>
        <v>0</v>
      </c>
      <c r="C626" s="2">
        <v>625.0</v>
      </c>
      <c r="D626" s="2">
        <f>iferror(VLOOKUP(E626,'출결유형'!$L:$M,2,0),"")</f>
        <v>1</v>
      </c>
      <c r="E626" s="21" t="s">
        <v>184</v>
      </c>
      <c r="G626" s="2" t="str">
        <f t="shared" si="1"/>
        <v>INSERT INTO tblAttendanceScore VALUES (seqAttendanceScore.nextval, 0, 625, 1);</v>
      </c>
    </row>
    <row r="627">
      <c r="A627" s="1" t="s">
        <v>201</v>
      </c>
      <c r="B627" s="2">
        <f>iferror(VLOOKUP(E627,'출결유형'!$A:$C,2,0),"")</f>
        <v>-0.25</v>
      </c>
      <c r="C627" s="2">
        <v>626.0</v>
      </c>
      <c r="D627" s="2">
        <f>iferror(VLOOKUP(E627,'출결유형'!$L:$M,2,0),"")</f>
        <v>5</v>
      </c>
      <c r="E627" s="21" t="s">
        <v>189</v>
      </c>
      <c r="G627" s="2" t="str">
        <f t="shared" si="1"/>
        <v>INSERT INTO tblAttendanceScore VALUES (seqAttendanceScore.nextval, -0.25, 626, 5);</v>
      </c>
    </row>
    <row r="628">
      <c r="A628" s="1" t="s">
        <v>201</v>
      </c>
      <c r="B628" s="2">
        <f>iferror(VLOOKUP(E628,'출결유형'!$A:$C,2,0),"")</f>
        <v>-0.25</v>
      </c>
      <c r="C628" s="2">
        <v>627.0</v>
      </c>
      <c r="D628" s="2">
        <f>iferror(VLOOKUP(E628,'출결유형'!$L:$M,2,0),"")</f>
        <v>5</v>
      </c>
      <c r="E628" s="21" t="s">
        <v>189</v>
      </c>
      <c r="G628" s="2" t="str">
        <f t="shared" si="1"/>
        <v>INSERT INTO tblAttendanceScore VALUES (seqAttendanceScore.nextval, -0.25, 627, 5);</v>
      </c>
    </row>
    <row r="629">
      <c r="A629" s="1" t="s">
        <v>201</v>
      </c>
      <c r="B629" s="2">
        <f>iferror(VLOOKUP(E629,'출결유형'!$A:$C,2,0),"")</f>
        <v>-0.25</v>
      </c>
      <c r="C629" s="2">
        <v>628.0</v>
      </c>
      <c r="D629" s="2">
        <f>iferror(VLOOKUP(E629,'출결유형'!$L:$M,2,0),"")</f>
        <v>5</v>
      </c>
      <c r="E629" s="21" t="s">
        <v>189</v>
      </c>
      <c r="G629" s="2" t="str">
        <f t="shared" si="1"/>
        <v>INSERT INTO tblAttendanceScore VALUES (seqAttendanceScore.nextval, -0.25, 628, 5);</v>
      </c>
    </row>
    <row r="630">
      <c r="A630" s="1" t="s">
        <v>201</v>
      </c>
      <c r="B630" s="2">
        <f>iferror(VLOOKUP(E630,'출결유형'!$A:$C,2,0),"")</f>
        <v>0</v>
      </c>
      <c r="C630" s="2">
        <v>629.0</v>
      </c>
      <c r="D630" s="2">
        <f>iferror(VLOOKUP(E630,'출결유형'!$L:$M,2,0),"")</f>
        <v>1</v>
      </c>
      <c r="E630" s="21" t="s">
        <v>184</v>
      </c>
      <c r="G630" s="2" t="str">
        <f t="shared" si="1"/>
        <v>INSERT INTO tblAttendanceScore VALUES (seqAttendanceScore.nextval, 0, 629, 1);</v>
      </c>
    </row>
    <row r="631">
      <c r="A631" s="1" t="s">
        <v>201</v>
      </c>
      <c r="B631" s="2">
        <f>iferror(VLOOKUP(E631,'출결유형'!$A:$C,2,0),"")</f>
        <v>-0.25</v>
      </c>
      <c r="C631" s="2">
        <v>630.0</v>
      </c>
      <c r="D631" s="2">
        <f>iferror(VLOOKUP(E631,'출결유형'!$L:$M,2,0),"")</f>
        <v>5</v>
      </c>
      <c r="E631" s="21" t="s">
        <v>189</v>
      </c>
      <c r="G631" s="2" t="str">
        <f t="shared" si="1"/>
        <v>INSERT INTO tblAttendanceScore VALUES (seqAttendanceScore.nextval, -0.25, 630, 5);</v>
      </c>
    </row>
    <row r="632">
      <c r="A632" s="1" t="s">
        <v>201</v>
      </c>
      <c r="B632" s="2">
        <f>iferror(VLOOKUP(E632,'출결유형'!$A:$C,2,0),"")</f>
        <v>-0.25</v>
      </c>
      <c r="C632" s="2">
        <v>631.0</v>
      </c>
      <c r="D632" s="2">
        <f>iferror(VLOOKUP(E632,'출결유형'!$L:$M,2,0),"")</f>
        <v>5</v>
      </c>
      <c r="E632" s="21" t="s">
        <v>189</v>
      </c>
      <c r="G632" s="2" t="str">
        <f t="shared" si="1"/>
        <v>INSERT INTO tblAttendanceScore VALUES (seqAttendanceScore.nextval, -0.25, 631, 5);</v>
      </c>
    </row>
    <row r="633">
      <c r="A633" s="1" t="s">
        <v>201</v>
      </c>
      <c r="B633" s="2">
        <f>iferror(VLOOKUP(E633,'출결유형'!$A:$C,2,0),"")</f>
        <v>0</v>
      </c>
      <c r="C633" s="2">
        <v>632.0</v>
      </c>
      <c r="D633" s="2">
        <f>iferror(VLOOKUP(E633,'출결유형'!$L:$M,2,0),"")</f>
        <v>1</v>
      </c>
      <c r="E633" s="21" t="s">
        <v>184</v>
      </c>
      <c r="G633" s="2" t="str">
        <f t="shared" si="1"/>
        <v>INSERT INTO tblAttendanceScore VALUES (seqAttendanceScore.nextval, 0, 632, 1);</v>
      </c>
    </row>
    <row r="634">
      <c r="A634" s="1" t="s">
        <v>201</v>
      </c>
      <c r="B634" s="2">
        <f>iferror(VLOOKUP(E634,'출결유형'!$A:$C,2,0),"")</f>
        <v>-0.25</v>
      </c>
      <c r="C634" s="2">
        <v>633.0</v>
      </c>
      <c r="D634" s="2">
        <f>iferror(VLOOKUP(E634,'출결유형'!$L:$M,2,0),"")</f>
        <v>5</v>
      </c>
      <c r="E634" s="21" t="s">
        <v>189</v>
      </c>
      <c r="G634" s="2" t="str">
        <f t="shared" si="1"/>
        <v>INSERT INTO tblAttendanceScore VALUES (seqAttendanceScore.nextval, -0.25, 633, 5);</v>
      </c>
    </row>
    <row r="635">
      <c r="A635" s="1" t="s">
        <v>201</v>
      </c>
      <c r="B635" s="2">
        <f>iferror(VLOOKUP(E635,'출결유형'!$A:$C,2,0),"")</f>
        <v>0</v>
      </c>
      <c r="C635" s="2">
        <v>634.0</v>
      </c>
      <c r="D635" s="2">
        <f>iferror(VLOOKUP(E635,'출결유형'!$L:$M,2,0),"")</f>
        <v>1</v>
      </c>
      <c r="E635" s="21" t="s">
        <v>184</v>
      </c>
      <c r="G635" s="2" t="str">
        <f t="shared" si="1"/>
        <v>INSERT INTO tblAttendanceScore VALUES (seqAttendanceScore.nextval, 0, 634, 1);</v>
      </c>
    </row>
    <row r="636">
      <c r="A636" s="1" t="s">
        <v>201</v>
      </c>
      <c r="B636" s="2">
        <f>iferror(VLOOKUP(E636,'출결유형'!$A:$C,2,0),"")</f>
        <v>-0.25</v>
      </c>
      <c r="C636" s="2">
        <v>635.0</v>
      </c>
      <c r="D636" s="2">
        <f>iferror(VLOOKUP(E636,'출결유형'!$L:$M,2,0),"")</f>
        <v>5</v>
      </c>
      <c r="E636" s="21" t="s">
        <v>189</v>
      </c>
      <c r="G636" s="2" t="str">
        <f t="shared" si="1"/>
        <v>INSERT INTO tblAttendanceScore VALUES (seqAttendanceScore.nextval, -0.25, 635, 5);</v>
      </c>
    </row>
    <row r="637">
      <c r="A637" s="1" t="s">
        <v>201</v>
      </c>
      <c r="B637" s="2">
        <f>iferror(VLOOKUP(E637,'출결유형'!$A:$C,2,0),"")</f>
        <v>0</v>
      </c>
      <c r="C637" s="2">
        <v>636.0</v>
      </c>
      <c r="D637" s="2">
        <f>iferror(VLOOKUP(E637,'출결유형'!$L:$M,2,0),"")</f>
        <v>1</v>
      </c>
      <c r="E637" s="21" t="s">
        <v>184</v>
      </c>
      <c r="G637" s="2" t="str">
        <f t="shared" si="1"/>
        <v>INSERT INTO tblAttendanceScore VALUES (seqAttendanceScore.nextval, 0, 636, 1);</v>
      </c>
    </row>
    <row r="638">
      <c r="A638" s="1" t="s">
        <v>201</v>
      </c>
      <c r="B638" s="2">
        <f>iferror(VLOOKUP(E638,'출결유형'!$A:$C,2,0),"")</f>
        <v>-0.25</v>
      </c>
      <c r="C638" s="2">
        <v>637.0</v>
      </c>
      <c r="D638" s="2">
        <f>iferror(VLOOKUP(E638,'출결유형'!$L:$M,2,0),"")</f>
        <v>5</v>
      </c>
      <c r="E638" s="21" t="s">
        <v>189</v>
      </c>
      <c r="G638" s="2" t="str">
        <f t="shared" si="1"/>
        <v>INSERT INTO tblAttendanceScore VALUES (seqAttendanceScore.nextval, -0.25, 637, 5);</v>
      </c>
    </row>
    <row r="639">
      <c r="A639" s="1" t="s">
        <v>201</v>
      </c>
      <c r="B639" s="2">
        <f>iferror(VLOOKUP(E639,'출결유형'!$A:$C,2,0),"")</f>
        <v>-0.25</v>
      </c>
      <c r="C639" s="2">
        <v>638.0</v>
      </c>
      <c r="D639" s="2">
        <f>iferror(VLOOKUP(E639,'출결유형'!$L:$M,2,0),"")</f>
        <v>5</v>
      </c>
      <c r="E639" s="21" t="s">
        <v>189</v>
      </c>
      <c r="G639" s="2" t="str">
        <f t="shared" si="1"/>
        <v>INSERT INTO tblAttendanceScore VALUES (seqAttendanceScore.nextval, -0.25, 638, 5);</v>
      </c>
    </row>
    <row r="640">
      <c r="A640" s="1" t="s">
        <v>201</v>
      </c>
      <c r="B640" s="2">
        <f>iferror(VLOOKUP(E640,'출결유형'!$A:$C,2,0),"")</f>
        <v>-0.25</v>
      </c>
      <c r="C640" s="2">
        <v>639.0</v>
      </c>
      <c r="D640" s="2">
        <f>iferror(VLOOKUP(E640,'출결유형'!$L:$M,2,0),"")</f>
        <v>5</v>
      </c>
      <c r="E640" s="21" t="s">
        <v>189</v>
      </c>
      <c r="G640" s="2" t="str">
        <f t="shared" si="1"/>
        <v>INSERT INTO tblAttendanceScore VALUES (seqAttendanceScore.nextval, -0.25, 639, 5);</v>
      </c>
    </row>
    <row r="641">
      <c r="A641" s="1" t="s">
        <v>201</v>
      </c>
      <c r="B641" s="2">
        <f>iferror(VLOOKUP(E641,'출결유형'!$A:$C,2,0),"")</f>
        <v>-0.25</v>
      </c>
      <c r="C641" s="2">
        <v>640.0</v>
      </c>
      <c r="D641" s="2">
        <f>iferror(VLOOKUP(E641,'출결유형'!$L:$M,2,0),"")</f>
        <v>5</v>
      </c>
      <c r="E641" s="21" t="s">
        <v>189</v>
      </c>
      <c r="G641" s="2" t="str">
        <f t="shared" si="1"/>
        <v>INSERT INTO tblAttendanceScore VALUES (seqAttendanceScore.nextval, -0.25, 640, 5);</v>
      </c>
    </row>
    <row r="642">
      <c r="A642" s="1" t="s">
        <v>201</v>
      </c>
      <c r="B642" s="2">
        <f>iferror(VLOOKUP(E642,'출결유형'!$A:$C,2,0),"")</f>
        <v>0</v>
      </c>
      <c r="C642" s="2">
        <v>641.0</v>
      </c>
      <c r="D642" s="2">
        <f>iferror(VLOOKUP(E642,'출결유형'!$L:$M,2,0),"")</f>
        <v>1</v>
      </c>
      <c r="E642" s="21" t="s">
        <v>184</v>
      </c>
      <c r="G642" s="2" t="str">
        <f t="shared" si="1"/>
        <v>INSERT INTO tblAttendanceScore VALUES (seqAttendanceScore.nextval, 0, 641, 1);</v>
      </c>
    </row>
    <row r="643">
      <c r="A643" s="1" t="s">
        <v>201</v>
      </c>
      <c r="B643" s="2">
        <f>iferror(VLOOKUP(E643,'출결유형'!$A:$C,2,0),"")</f>
        <v>-0.25</v>
      </c>
      <c r="C643" s="2">
        <v>642.0</v>
      </c>
      <c r="D643" s="2">
        <f>iferror(VLOOKUP(E643,'출결유형'!$L:$M,2,0),"")</f>
        <v>5</v>
      </c>
      <c r="E643" s="21" t="s">
        <v>189</v>
      </c>
      <c r="G643" s="2" t="str">
        <f t="shared" si="1"/>
        <v>INSERT INTO tblAttendanceScore VALUES (seqAttendanceScore.nextval, -0.25, 642, 5);</v>
      </c>
    </row>
    <row r="644">
      <c r="A644" s="1" t="s">
        <v>201</v>
      </c>
      <c r="B644" s="2">
        <f>iferror(VLOOKUP(E644,'출결유형'!$A:$C,2,0),"")</f>
        <v>0</v>
      </c>
      <c r="C644" s="2">
        <v>643.0</v>
      </c>
      <c r="D644" s="2">
        <f>iferror(VLOOKUP(E644,'출결유형'!$L:$M,2,0),"")</f>
        <v>1</v>
      </c>
      <c r="E644" s="21" t="s">
        <v>184</v>
      </c>
      <c r="G644" s="2" t="str">
        <f t="shared" si="1"/>
        <v>INSERT INTO tblAttendanceScore VALUES (seqAttendanceScore.nextval, 0, 643, 1);</v>
      </c>
    </row>
    <row r="645">
      <c r="A645" s="1" t="s">
        <v>201</v>
      </c>
      <c r="B645" s="2">
        <f>iferror(VLOOKUP(E645,'출결유형'!$A:$C,2,0),"")</f>
        <v>0</v>
      </c>
      <c r="C645" s="2">
        <v>644.0</v>
      </c>
      <c r="D645" s="2">
        <f>iferror(VLOOKUP(E645,'출결유형'!$L:$M,2,0),"")</f>
        <v>1</v>
      </c>
      <c r="E645" s="21" t="s">
        <v>184</v>
      </c>
      <c r="G645" s="2" t="str">
        <f t="shared" si="1"/>
        <v>INSERT INTO tblAttendanceScore VALUES (seqAttendanceScore.nextval, 0, 644, 1);</v>
      </c>
    </row>
    <row r="646">
      <c r="A646" s="1" t="s">
        <v>201</v>
      </c>
      <c r="B646" s="2">
        <f>iferror(VLOOKUP(E646,'출결유형'!$A:$C,2,0),"")</f>
        <v>-0.25</v>
      </c>
      <c r="C646" s="2">
        <v>645.0</v>
      </c>
      <c r="D646" s="2">
        <f>iferror(VLOOKUP(E646,'출결유형'!$L:$M,2,0),"")</f>
        <v>5</v>
      </c>
      <c r="E646" s="21" t="s">
        <v>189</v>
      </c>
      <c r="G646" s="2" t="str">
        <f t="shared" si="1"/>
        <v>INSERT INTO tblAttendanceScore VALUES (seqAttendanceScore.nextval, -0.25, 645, 5);</v>
      </c>
    </row>
    <row r="647">
      <c r="A647" s="1" t="s">
        <v>201</v>
      </c>
      <c r="B647" s="2">
        <f>iferror(VLOOKUP(E647,'출결유형'!$A:$C,2,0),"")</f>
        <v>-0.25</v>
      </c>
      <c r="C647" s="2">
        <v>646.0</v>
      </c>
      <c r="D647" s="2">
        <f>iferror(VLOOKUP(E647,'출결유형'!$L:$M,2,0),"")</f>
        <v>5</v>
      </c>
      <c r="E647" s="21" t="s">
        <v>189</v>
      </c>
      <c r="G647" s="2" t="str">
        <f t="shared" si="1"/>
        <v>INSERT INTO tblAttendanceScore VALUES (seqAttendanceScore.nextval, -0.25, 646, 5);</v>
      </c>
    </row>
    <row r="648">
      <c r="A648" s="1" t="s">
        <v>201</v>
      </c>
      <c r="B648" s="2">
        <f>iferror(VLOOKUP(E648,'출결유형'!$A:$C,2,0),"")</f>
        <v>-0.25</v>
      </c>
      <c r="C648" s="2">
        <v>647.0</v>
      </c>
      <c r="D648" s="2">
        <f>iferror(VLOOKUP(E648,'출결유형'!$L:$M,2,0),"")</f>
        <v>5</v>
      </c>
      <c r="E648" s="21" t="s">
        <v>189</v>
      </c>
      <c r="G648" s="2" t="str">
        <f t="shared" si="1"/>
        <v>INSERT INTO tblAttendanceScore VALUES (seqAttendanceScore.nextval, -0.25, 647, 5);</v>
      </c>
    </row>
    <row r="649">
      <c r="A649" s="1" t="s">
        <v>201</v>
      </c>
      <c r="B649" s="2">
        <f>iferror(VLOOKUP(E649,'출결유형'!$A:$C,2,0),"")</f>
        <v>-0.25</v>
      </c>
      <c r="C649" s="2">
        <v>648.0</v>
      </c>
      <c r="D649" s="2">
        <f>iferror(VLOOKUP(E649,'출결유형'!$L:$M,2,0),"")</f>
        <v>5</v>
      </c>
      <c r="E649" s="21" t="s">
        <v>189</v>
      </c>
      <c r="G649" s="2" t="str">
        <f t="shared" si="1"/>
        <v>INSERT INTO tblAttendanceScore VALUES (seqAttendanceScore.nextval, -0.25, 648, 5);</v>
      </c>
    </row>
    <row r="650">
      <c r="A650" s="1" t="s">
        <v>201</v>
      </c>
      <c r="B650" s="2">
        <f>iferror(VLOOKUP(E650,'출결유형'!$A:$C,2,0),"")</f>
        <v>0</v>
      </c>
      <c r="C650" s="2">
        <v>649.0</v>
      </c>
      <c r="D650" s="2">
        <f>iferror(VLOOKUP(E650,'출결유형'!$L:$M,2,0),"")</f>
        <v>1</v>
      </c>
      <c r="E650" s="21" t="s">
        <v>184</v>
      </c>
      <c r="G650" s="2" t="str">
        <f t="shared" si="1"/>
        <v>INSERT INTO tblAttendanceScore VALUES (seqAttendanceScore.nextval, 0, 649, 1);</v>
      </c>
    </row>
    <row r="651">
      <c r="A651" s="1" t="s">
        <v>201</v>
      </c>
      <c r="B651" s="2">
        <f>iferror(VLOOKUP(E651,'출결유형'!$A:$C,2,0),"")</f>
        <v>-0.25</v>
      </c>
      <c r="C651" s="2">
        <v>650.0</v>
      </c>
      <c r="D651" s="2">
        <f>iferror(VLOOKUP(E651,'출결유형'!$L:$M,2,0),"")</f>
        <v>5</v>
      </c>
      <c r="E651" s="21" t="s">
        <v>189</v>
      </c>
      <c r="G651" s="2" t="str">
        <f t="shared" si="1"/>
        <v>INSERT INTO tblAttendanceScore VALUES (seqAttendanceScore.nextval, -0.25, 650, 5);</v>
      </c>
    </row>
    <row r="652">
      <c r="A652" s="1" t="s">
        <v>201</v>
      </c>
      <c r="B652" s="2">
        <f>iferror(VLOOKUP(E652,'출결유형'!$A:$C,2,0),"")</f>
        <v>0</v>
      </c>
      <c r="C652" s="2">
        <v>651.0</v>
      </c>
      <c r="D652" s="2">
        <f>iferror(VLOOKUP(E652,'출결유형'!$L:$M,2,0),"")</f>
        <v>1</v>
      </c>
      <c r="E652" s="21" t="s">
        <v>184</v>
      </c>
      <c r="G652" s="2" t="str">
        <f t="shared" si="1"/>
        <v>INSERT INTO tblAttendanceScore VALUES (seqAttendanceScore.nextval, 0, 651, 1);</v>
      </c>
    </row>
    <row r="653">
      <c r="A653" s="1" t="s">
        <v>201</v>
      </c>
      <c r="B653" s="2">
        <f>iferror(VLOOKUP(E653,'출결유형'!$A:$C,2,0),"")</f>
        <v>-0.25</v>
      </c>
      <c r="C653" s="2">
        <v>652.0</v>
      </c>
      <c r="D653" s="2">
        <f>iferror(VLOOKUP(E653,'출결유형'!$L:$M,2,0),"")</f>
        <v>5</v>
      </c>
      <c r="E653" s="21" t="s">
        <v>189</v>
      </c>
      <c r="G653" s="2" t="str">
        <f t="shared" si="1"/>
        <v>INSERT INTO tblAttendanceScore VALUES (seqAttendanceScore.nextval, -0.25, 652, 5);</v>
      </c>
    </row>
    <row r="654">
      <c r="A654" s="1" t="s">
        <v>201</v>
      </c>
      <c r="B654" s="2">
        <f>iferror(VLOOKUP(E654,'출결유형'!$A:$C,2,0),"")</f>
        <v>-0.25</v>
      </c>
      <c r="C654" s="2">
        <v>653.0</v>
      </c>
      <c r="D654" s="2">
        <f>iferror(VLOOKUP(E654,'출결유형'!$L:$M,2,0),"")</f>
        <v>5</v>
      </c>
      <c r="E654" s="21" t="s">
        <v>189</v>
      </c>
      <c r="G654" s="2" t="str">
        <f t="shared" si="1"/>
        <v>INSERT INTO tblAttendanceScore VALUES (seqAttendanceScore.nextval, -0.25, 653, 5);</v>
      </c>
    </row>
    <row r="655">
      <c r="A655" s="1" t="s">
        <v>201</v>
      </c>
      <c r="B655" s="2">
        <f>iferror(VLOOKUP(E655,'출결유형'!$A:$C,2,0),"")</f>
        <v>-0.25</v>
      </c>
      <c r="C655" s="2">
        <v>654.0</v>
      </c>
      <c r="D655" s="2">
        <f>iferror(VLOOKUP(E655,'출결유형'!$L:$M,2,0),"")</f>
        <v>5</v>
      </c>
      <c r="E655" s="21" t="s">
        <v>189</v>
      </c>
      <c r="G655" s="2" t="str">
        <f t="shared" si="1"/>
        <v>INSERT INTO tblAttendanceScore VALUES (seqAttendanceScore.nextval, -0.25, 654, 5);</v>
      </c>
    </row>
    <row r="656">
      <c r="A656" s="1" t="s">
        <v>201</v>
      </c>
      <c r="B656" s="2">
        <f>iferror(VLOOKUP(E656,'출결유형'!$A:$C,2,0),"")</f>
        <v>-0.25</v>
      </c>
      <c r="C656" s="2">
        <v>655.0</v>
      </c>
      <c r="D656" s="2">
        <f>iferror(VLOOKUP(E656,'출결유형'!$L:$M,2,0),"")</f>
        <v>5</v>
      </c>
      <c r="E656" s="21" t="s">
        <v>189</v>
      </c>
      <c r="G656" s="2" t="str">
        <f t="shared" si="1"/>
        <v>INSERT INTO tblAttendanceScore VALUES (seqAttendanceScore.nextval, -0.25, 655, 5);</v>
      </c>
    </row>
    <row r="657">
      <c r="A657" s="1" t="s">
        <v>201</v>
      </c>
      <c r="B657" s="2">
        <f>iferror(VLOOKUP(E657,'출결유형'!$A:$C,2,0),"")</f>
        <v>0</v>
      </c>
      <c r="C657" s="2">
        <v>656.0</v>
      </c>
      <c r="D657" s="2">
        <f>iferror(VLOOKUP(E657,'출결유형'!$L:$M,2,0),"")</f>
        <v>1</v>
      </c>
      <c r="E657" s="21" t="s">
        <v>184</v>
      </c>
      <c r="G657" s="2" t="str">
        <f t="shared" si="1"/>
        <v>INSERT INTO tblAttendanceScore VALUES (seqAttendanceScore.nextval, 0, 656, 1);</v>
      </c>
    </row>
    <row r="658">
      <c r="A658" s="1" t="s">
        <v>201</v>
      </c>
      <c r="B658" s="2">
        <f>iferror(VLOOKUP(E658,'출결유형'!$A:$C,2,0),"")</f>
        <v>-1</v>
      </c>
      <c r="C658" s="2">
        <v>657.0</v>
      </c>
      <c r="D658" s="2">
        <f>iferror(VLOOKUP(E658,'출결유형'!$L:$M,2,0),"")</f>
        <v>2</v>
      </c>
      <c r="E658" s="21" t="s">
        <v>186</v>
      </c>
      <c r="G658" s="2" t="str">
        <f t="shared" si="1"/>
        <v>INSERT INTO tblAttendanceScore VALUES (seqAttendanceScore.nextval, -1, 657, 2);</v>
      </c>
    </row>
    <row r="659">
      <c r="A659" s="1" t="s">
        <v>201</v>
      </c>
      <c r="B659" s="2">
        <f>iferror(VLOOKUP(E659,'출결유형'!$A:$C,2,0),"")</f>
        <v>-0.25</v>
      </c>
      <c r="C659" s="2">
        <v>658.0</v>
      </c>
      <c r="D659" s="2">
        <f>iferror(VLOOKUP(E659,'출결유형'!$L:$M,2,0),"")</f>
        <v>5</v>
      </c>
      <c r="E659" s="21" t="s">
        <v>189</v>
      </c>
      <c r="G659" s="2" t="str">
        <f t="shared" si="1"/>
        <v>INSERT INTO tblAttendanceScore VALUES (seqAttendanceScore.nextval, -0.25, 658, 5);</v>
      </c>
    </row>
    <row r="660">
      <c r="A660" s="1" t="s">
        <v>201</v>
      </c>
      <c r="B660" s="2">
        <f>iferror(VLOOKUP(E660,'출결유형'!$A:$C,2,0),"")</f>
        <v>0</v>
      </c>
      <c r="C660" s="2">
        <v>659.0</v>
      </c>
      <c r="D660" s="2">
        <f>iferror(VLOOKUP(E660,'출결유형'!$L:$M,2,0),"")</f>
        <v>1</v>
      </c>
      <c r="E660" s="21" t="s">
        <v>184</v>
      </c>
      <c r="G660" s="2" t="str">
        <f t="shared" si="1"/>
        <v>INSERT INTO tblAttendanceScore VALUES (seqAttendanceScore.nextval, 0, 659, 1);</v>
      </c>
    </row>
    <row r="661">
      <c r="A661" s="1" t="s">
        <v>201</v>
      </c>
      <c r="B661" s="2">
        <f>iferror(VLOOKUP(E661,'출결유형'!$A:$C,2,0),"")</f>
        <v>-0.25</v>
      </c>
      <c r="C661" s="2">
        <v>660.0</v>
      </c>
      <c r="D661" s="2">
        <f>iferror(VLOOKUP(E661,'출결유형'!$L:$M,2,0),"")</f>
        <v>3</v>
      </c>
      <c r="E661" s="21" t="s">
        <v>187</v>
      </c>
      <c r="G661" s="2" t="str">
        <f t="shared" si="1"/>
        <v>INSERT INTO tblAttendanceScore VALUES (seqAttendanceScore.nextval, -0.25, 660, 3);</v>
      </c>
    </row>
    <row r="662">
      <c r="A662" s="1" t="s">
        <v>201</v>
      </c>
      <c r="B662" s="2">
        <f>iferror(VLOOKUP(E662,'출결유형'!$A:$C,2,0),"")</f>
        <v>-0.25</v>
      </c>
      <c r="C662" s="2">
        <v>661.0</v>
      </c>
      <c r="D662" s="2">
        <f>iferror(VLOOKUP(E662,'출결유형'!$L:$M,2,0),"")</f>
        <v>5</v>
      </c>
      <c r="E662" s="21" t="s">
        <v>189</v>
      </c>
      <c r="G662" s="2" t="str">
        <f t="shared" si="1"/>
        <v>INSERT INTO tblAttendanceScore VALUES (seqAttendanceScore.nextval, -0.25, 661, 5);</v>
      </c>
    </row>
    <row r="663">
      <c r="A663" s="1" t="s">
        <v>201</v>
      </c>
      <c r="B663" s="2">
        <f>iferror(VLOOKUP(E663,'출결유형'!$A:$C,2,0),"")</f>
        <v>-0.25</v>
      </c>
      <c r="C663" s="2">
        <v>662.0</v>
      </c>
      <c r="D663" s="2">
        <f>iferror(VLOOKUP(E663,'출결유형'!$L:$M,2,0),"")</f>
        <v>5</v>
      </c>
      <c r="E663" s="21" t="s">
        <v>189</v>
      </c>
      <c r="G663" s="2" t="str">
        <f t="shared" si="1"/>
        <v>INSERT INTO tblAttendanceScore VALUES (seqAttendanceScore.nextval, -0.25, 662, 5);</v>
      </c>
    </row>
    <row r="664">
      <c r="A664" s="1" t="s">
        <v>201</v>
      </c>
      <c r="B664" s="2">
        <f>iferror(VLOOKUP(E664,'출결유형'!$A:$C,2,0),"")</f>
        <v>0</v>
      </c>
      <c r="C664" s="2">
        <v>663.0</v>
      </c>
      <c r="D664" s="2">
        <f>iferror(VLOOKUP(E664,'출결유형'!$L:$M,2,0),"")</f>
        <v>1</v>
      </c>
      <c r="E664" s="21" t="s">
        <v>184</v>
      </c>
      <c r="G664" s="2" t="str">
        <f t="shared" si="1"/>
        <v>INSERT INTO tblAttendanceScore VALUES (seqAttendanceScore.nextval, 0, 663, 1);</v>
      </c>
    </row>
    <row r="665">
      <c r="A665" s="1" t="s">
        <v>201</v>
      </c>
      <c r="B665" s="2">
        <f>iferror(VLOOKUP(E665,'출결유형'!$A:$C,2,0),"")</f>
        <v>-0.25</v>
      </c>
      <c r="C665" s="2">
        <v>664.0</v>
      </c>
      <c r="D665" s="2">
        <f>iferror(VLOOKUP(E665,'출결유형'!$L:$M,2,0),"")</f>
        <v>5</v>
      </c>
      <c r="E665" s="21" t="s">
        <v>189</v>
      </c>
      <c r="G665" s="2" t="str">
        <f t="shared" si="1"/>
        <v>INSERT INTO tblAttendanceScore VALUES (seqAttendanceScore.nextval, -0.25, 664, 5);</v>
      </c>
    </row>
    <row r="666">
      <c r="A666" s="1" t="s">
        <v>201</v>
      </c>
      <c r="B666" s="2">
        <f>iferror(VLOOKUP(E666,'출결유형'!$A:$C,2,0),"")</f>
        <v>0</v>
      </c>
      <c r="C666" s="2">
        <v>665.0</v>
      </c>
      <c r="D666" s="2">
        <f>iferror(VLOOKUP(E666,'출결유형'!$L:$M,2,0),"")</f>
        <v>1</v>
      </c>
      <c r="E666" s="21" t="s">
        <v>184</v>
      </c>
      <c r="G666" s="2" t="str">
        <f t="shared" si="1"/>
        <v>INSERT INTO tblAttendanceScore VALUES (seqAttendanceScore.nextval, 0, 665, 1);</v>
      </c>
    </row>
    <row r="667">
      <c r="A667" s="1" t="s">
        <v>201</v>
      </c>
      <c r="B667" s="2">
        <f>iferror(VLOOKUP(E667,'출결유형'!$A:$C,2,0),"")</f>
        <v>-0.25</v>
      </c>
      <c r="C667" s="2">
        <v>666.0</v>
      </c>
      <c r="D667" s="2">
        <f>iferror(VLOOKUP(E667,'출결유형'!$L:$M,2,0),"")</f>
        <v>5</v>
      </c>
      <c r="E667" s="21" t="s">
        <v>189</v>
      </c>
      <c r="G667" s="2" t="str">
        <f t="shared" si="1"/>
        <v>INSERT INTO tblAttendanceScore VALUES (seqAttendanceScore.nextval, -0.25, 666, 5);</v>
      </c>
    </row>
    <row r="668">
      <c r="A668" s="1" t="s">
        <v>201</v>
      </c>
      <c r="B668" s="2">
        <f>iferror(VLOOKUP(E668,'출결유형'!$A:$C,2,0),"")</f>
        <v>-0.25</v>
      </c>
      <c r="C668" s="2">
        <v>667.0</v>
      </c>
      <c r="D668" s="2">
        <f>iferror(VLOOKUP(E668,'출결유형'!$L:$M,2,0),"")</f>
        <v>5</v>
      </c>
      <c r="E668" s="21" t="s">
        <v>189</v>
      </c>
      <c r="G668" s="2" t="str">
        <f t="shared" si="1"/>
        <v>INSERT INTO tblAttendanceScore VALUES (seqAttendanceScore.nextval, -0.25, 667, 5);</v>
      </c>
    </row>
    <row r="669">
      <c r="A669" s="1" t="s">
        <v>201</v>
      </c>
      <c r="B669" s="2">
        <f>iferror(VLOOKUP(E669,'출결유형'!$A:$C,2,0),"")</f>
        <v>0</v>
      </c>
      <c r="C669" s="2">
        <v>668.0</v>
      </c>
      <c r="D669" s="2">
        <f>iferror(VLOOKUP(E669,'출결유형'!$L:$M,2,0),"")</f>
        <v>1</v>
      </c>
      <c r="E669" s="21" t="s">
        <v>184</v>
      </c>
      <c r="G669" s="2" t="str">
        <f t="shared" si="1"/>
        <v>INSERT INTO tblAttendanceScore VALUES (seqAttendanceScore.nextval, 0, 668, 1);</v>
      </c>
    </row>
    <row r="670">
      <c r="A670" s="1" t="s">
        <v>201</v>
      </c>
      <c r="B670" s="2">
        <f>iferror(VLOOKUP(E670,'출결유형'!$A:$C,2,0),"")</f>
        <v>0</v>
      </c>
      <c r="C670" s="2">
        <v>669.0</v>
      </c>
      <c r="D670" s="2">
        <f>iferror(VLOOKUP(E670,'출결유형'!$L:$M,2,0),"")</f>
        <v>1</v>
      </c>
      <c r="E670" s="21" t="s">
        <v>184</v>
      </c>
      <c r="G670" s="2" t="str">
        <f t="shared" si="1"/>
        <v>INSERT INTO tblAttendanceScore VALUES (seqAttendanceScore.nextval, 0, 669, 1);</v>
      </c>
    </row>
    <row r="671">
      <c r="A671" s="1" t="s">
        <v>201</v>
      </c>
      <c r="B671" s="2">
        <f>iferror(VLOOKUP(E671,'출결유형'!$A:$C,2,0),"")</f>
        <v>-0.25</v>
      </c>
      <c r="C671" s="2">
        <v>670.0</v>
      </c>
      <c r="D671" s="2">
        <f>iferror(VLOOKUP(E671,'출결유형'!$L:$M,2,0),"")</f>
        <v>5</v>
      </c>
      <c r="E671" s="21" t="s">
        <v>189</v>
      </c>
      <c r="G671" s="2" t="str">
        <f t="shared" si="1"/>
        <v>INSERT INTO tblAttendanceScore VALUES (seqAttendanceScore.nextval, -0.25, 670, 5);</v>
      </c>
    </row>
    <row r="672">
      <c r="A672" s="1" t="s">
        <v>201</v>
      </c>
      <c r="B672" s="2">
        <f>iferror(VLOOKUP(E672,'출결유형'!$A:$C,2,0),"")</f>
        <v>-0.25</v>
      </c>
      <c r="C672" s="2">
        <v>671.0</v>
      </c>
      <c r="D672" s="2">
        <f>iferror(VLOOKUP(E672,'출결유형'!$L:$M,2,0),"")</f>
        <v>5</v>
      </c>
      <c r="E672" s="21" t="s">
        <v>189</v>
      </c>
      <c r="G672" s="2" t="str">
        <f t="shared" si="1"/>
        <v>INSERT INTO tblAttendanceScore VALUES (seqAttendanceScore.nextval, -0.25, 671, 5);</v>
      </c>
    </row>
    <row r="673">
      <c r="A673" s="1" t="s">
        <v>201</v>
      </c>
      <c r="B673" s="2">
        <f>iferror(VLOOKUP(E673,'출결유형'!$A:$C,2,0),"")</f>
        <v>0</v>
      </c>
      <c r="C673" s="2">
        <v>672.0</v>
      </c>
      <c r="D673" s="2">
        <f>iferror(VLOOKUP(E673,'출결유형'!$L:$M,2,0),"")</f>
        <v>1</v>
      </c>
      <c r="E673" s="21" t="s">
        <v>184</v>
      </c>
      <c r="G673" s="2" t="str">
        <f t="shared" si="1"/>
        <v>INSERT INTO tblAttendanceScore VALUES (seqAttendanceScore.nextval, 0, 672, 1);</v>
      </c>
    </row>
    <row r="674">
      <c r="A674" s="1" t="s">
        <v>201</v>
      </c>
      <c r="B674" s="2">
        <f>iferror(VLOOKUP(E674,'출결유형'!$A:$C,2,0),"")</f>
        <v>0</v>
      </c>
      <c r="C674" s="2">
        <v>673.0</v>
      </c>
      <c r="D674" s="2">
        <f>iferror(VLOOKUP(E674,'출결유형'!$L:$M,2,0),"")</f>
        <v>1</v>
      </c>
      <c r="E674" s="21" t="s">
        <v>184</v>
      </c>
      <c r="G674" s="2" t="str">
        <f t="shared" si="1"/>
        <v>INSERT INTO tblAttendanceScore VALUES (seqAttendanceScore.nextval, 0, 673, 1);</v>
      </c>
    </row>
    <row r="675">
      <c r="A675" s="1" t="s">
        <v>201</v>
      </c>
      <c r="B675" s="2">
        <f>iferror(VLOOKUP(E675,'출결유형'!$A:$C,2,0),"")</f>
        <v>0</v>
      </c>
      <c r="C675" s="2">
        <v>674.0</v>
      </c>
      <c r="D675" s="2">
        <f>iferror(VLOOKUP(E675,'출결유형'!$L:$M,2,0),"")</f>
        <v>1</v>
      </c>
      <c r="E675" s="21" t="s">
        <v>184</v>
      </c>
      <c r="G675" s="2" t="str">
        <f t="shared" si="1"/>
        <v>INSERT INTO tblAttendanceScore VALUES (seqAttendanceScore.nextval, 0, 674, 1);</v>
      </c>
    </row>
    <row r="676">
      <c r="A676" s="1" t="s">
        <v>201</v>
      </c>
      <c r="B676" s="2">
        <f>iferror(VLOOKUP(E676,'출결유형'!$A:$C,2,0),"")</f>
        <v>0</v>
      </c>
      <c r="C676" s="2">
        <v>675.0</v>
      </c>
      <c r="D676" s="2">
        <f>iferror(VLOOKUP(E676,'출결유형'!$L:$M,2,0),"")</f>
        <v>1</v>
      </c>
      <c r="E676" s="21" t="s">
        <v>184</v>
      </c>
      <c r="G676" s="2" t="str">
        <f t="shared" si="1"/>
        <v>INSERT INTO tblAttendanceScore VALUES (seqAttendanceScore.nextval, 0, 675, 1);</v>
      </c>
    </row>
    <row r="677">
      <c r="A677" s="1" t="s">
        <v>201</v>
      </c>
      <c r="B677" s="2">
        <f>iferror(VLOOKUP(E677,'출결유형'!$A:$C,2,0),"")</f>
        <v>-1</v>
      </c>
      <c r="C677" s="2">
        <v>676.0</v>
      </c>
      <c r="D677" s="2">
        <f>iferror(VLOOKUP(E677,'출결유형'!$L:$M,2,0),"")</f>
        <v>2</v>
      </c>
      <c r="E677" s="21" t="s">
        <v>186</v>
      </c>
      <c r="G677" s="2" t="str">
        <f t="shared" si="1"/>
        <v>INSERT INTO tblAttendanceScore VALUES (seqAttendanceScore.nextval, -1, 676, 2);</v>
      </c>
    </row>
    <row r="678">
      <c r="A678" s="1" t="s">
        <v>201</v>
      </c>
      <c r="B678" s="2">
        <f>iferror(VLOOKUP(E678,'출결유형'!$A:$C,2,0),"")</f>
        <v>0</v>
      </c>
      <c r="C678" s="2">
        <v>677.0</v>
      </c>
      <c r="D678" s="2">
        <f>iferror(VLOOKUP(E678,'출결유형'!$L:$M,2,0),"")</f>
        <v>1</v>
      </c>
      <c r="E678" s="21" t="s">
        <v>184</v>
      </c>
      <c r="G678" s="2" t="str">
        <f t="shared" si="1"/>
        <v>INSERT INTO tblAttendanceScore VALUES (seqAttendanceScore.nextval, 0, 677, 1);</v>
      </c>
    </row>
    <row r="679">
      <c r="A679" s="1" t="s">
        <v>201</v>
      </c>
      <c r="B679" s="2">
        <f>iferror(VLOOKUP(E679,'출결유형'!$A:$C,2,0),"")</f>
        <v>0</v>
      </c>
      <c r="C679" s="2">
        <v>678.0</v>
      </c>
      <c r="D679" s="2">
        <f>iferror(VLOOKUP(E679,'출결유형'!$L:$M,2,0),"")</f>
        <v>1</v>
      </c>
      <c r="E679" s="21" t="s">
        <v>184</v>
      </c>
      <c r="G679" s="2" t="str">
        <f t="shared" si="1"/>
        <v>INSERT INTO tblAttendanceScore VALUES (seqAttendanceScore.nextval, 0, 678, 1);</v>
      </c>
    </row>
    <row r="680">
      <c r="A680" s="1" t="s">
        <v>201</v>
      </c>
      <c r="B680" s="2">
        <f>iferror(VLOOKUP(E680,'출결유형'!$A:$C,2,0),"")</f>
        <v>-0.25</v>
      </c>
      <c r="C680" s="2">
        <v>679.0</v>
      </c>
      <c r="D680" s="2">
        <f>iferror(VLOOKUP(E680,'출결유형'!$L:$M,2,0),"")</f>
        <v>5</v>
      </c>
      <c r="E680" s="21" t="s">
        <v>189</v>
      </c>
      <c r="G680" s="2" t="str">
        <f t="shared" si="1"/>
        <v>INSERT INTO tblAttendanceScore VALUES (seqAttendanceScore.nextval, -0.25, 679, 5);</v>
      </c>
    </row>
    <row r="681">
      <c r="A681" s="1" t="s">
        <v>201</v>
      </c>
      <c r="B681" s="2">
        <f>iferror(VLOOKUP(E681,'출결유형'!$A:$C,2,0),"")</f>
        <v>0</v>
      </c>
      <c r="C681" s="2">
        <v>680.0</v>
      </c>
      <c r="D681" s="2">
        <f>iferror(VLOOKUP(E681,'출결유형'!$L:$M,2,0),"")</f>
        <v>1</v>
      </c>
      <c r="E681" s="21" t="s">
        <v>184</v>
      </c>
      <c r="G681" s="2" t="str">
        <f t="shared" si="1"/>
        <v>INSERT INTO tblAttendanceScore VALUES (seqAttendanceScore.nextval, 0, 680, 1);</v>
      </c>
    </row>
    <row r="682">
      <c r="A682" s="1" t="s">
        <v>201</v>
      </c>
      <c r="B682" s="2">
        <f>iferror(VLOOKUP(E682,'출결유형'!$A:$C,2,0),"")</f>
        <v>-0.25</v>
      </c>
      <c r="C682" s="2">
        <v>681.0</v>
      </c>
      <c r="D682" s="2">
        <f>iferror(VLOOKUP(E682,'출결유형'!$L:$M,2,0),"")</f>
        <v>5</v>
      </c>
      <c r="E682" s="21" t="s">
        <v>189</v>
      </c>
      <c r="G682" s="2" t="str">
        <f t="shared" si="1"/>
        <v>INSERT INTO tblAttendanceScore VALUES (seqAttendanceScore.nextval, -0.25, 681, 5);</v>
      </c>
    </row>
    <row r="683">
      <c r="A683" s="1" t="s">
        <v>201</v>
      </c>
      <c r="B683" s="2">
        <f>iferror(VLOOKUP(E683,'출결유형'!$A:$C,2,0),"")</f>
        <v>0</v>
      </c>
      <c r="C683" s="2">
        <v>682.0</v>
      </c>
      <c r="D683" s="2">
        <f>iferror(VLOOKUP(E683,'출결유형'!$L:$M,2,0),"")</f>
        <v>1</v>
      </c>
      <c r="E683" s="21" t="s">
        <v>184</v>
      </c>
      <c r="G683" s="2" t="str">
        <f t="shared" si="1"/>
        <v>INSERT INTO tblAttendanceScore VALUES (seqAttendanceScore.nextval, 0, 682, 1);</v>
      </c>
    </row>
    <row r="684">
      <c r="A684" s="1" t="s">
        <v>201</v>
      </c>
      <c r="B684" s="2">
        <f>iferror(VLOOKUP(E684,'출결유형'!$A:$C,2,0),"")</f>
        <v>0</v>
      </c>
      <c r="C684" s="2">
        <v>683.0</v>
      </c>
      <c r="D684" s="2">
        <f>iferror(VLOOKUP(E684,'출결유형'!$L:$M,2,0),"")</f>
        <v>1</v>
      </c>
      <c r="E684" s="21" t="s">
        <v>184</v>
      </c>
      <c r="G684" s="2" t="str">
        <f t="shared" si="1"/>
        <v>INSERT INTO tblAttendanceScore VALUES (seqAttendanceScore.nextval, 0, 683, 1);</v>
      </c>
    </row>
    <row r="685">
      <c r="A685" s="1" t="s">
        <v>201</v>
      </c>
      <c r="B685" s="2">
        <f>iferror(VLOOKUP(E685,'출결유형'!$A:$C,2,0),"")</f>
        <v>-0.25</v>
      </c>
      <c r="C685" s="2">
        <v>684.0</v>
      </c>
      <c r="D685" s="2">
        <f>iferror(VLOOKUP(E685,'출결유형'!$L:$M,2,0),"")</f>
        <v>5</v>
      </c>
      <c r="E685" s="21" t="s">
        <v>189</v>
      </c>
      <c r="G685" s="2" t="str">
        <f t="shared" si="1"/>
        <v>INSERT INTO tblAttendanceScore VALUES (seqAttendanceScore.nextval, -0.25, 684, 5);</v>
      </c>
    </row>
    <row r="686">
      <c r="A686" s="1" t="s">
        <v>201</v>
      </c>
      <c r="B686" s="2">
        <f>iferror(VLOOKUP(E686,'출결유형'!$A:$C,2,0),"")</f>
        <v>-0.25</v>
      </c>
      <c r="C686" s="2">
        <v>685.0</v>
      </c>
      <c r="D686" s="2">
        <f>iferror(VLOOKUP(E686,'출결유형'!$L:$M,2,0),"")</f>
        <v>5</v>
      </c>
      <c r="E686" s="21" t="s">
        <v>189</v>
      </c>
      <c r="G686" s="2" t="str">
        <f t="shared" si="1"/>
        <v>INSERT INTO tblAttendanceScore VALUES (seqAttendanceScore.nextval, -0.25, 685, 5);</v>
      </c>
    </row>
    <row r="687">
      <c r="A687" s="1" t="s">
        <v>201</v>
      </c>
      <c r="B687" s="2">
        <f>iferror(VLOOKUP(E687,'출결유형'!$A:$C,2,0),"")</f>
        <v>-0.25</v>
      </c>
      <c r="C687" s="2">
        <v>686.0</v>
      </c>
      <c r="D687" s="2">
        <f>iferror(VLOOKUP(E687,'출결유형'!$L:$M,2,0),"")</f>
        <v>5</v>
      </c>
      <c r="E687" s="21" t="s">
        <v>189</v>
      </c>
      <c r="G687" s="2" t="str">
        <f t="shared" si="1"/>
        <v>INSERT INTO tblAttendanceScore VALUES (seqAttendanceScore.nextval, -0.25, 686, 5);</v>
      </c>
    </row>
    <row r="688">
      <c r="A688" s="1" t="s">
        <v>201</v>
      </c>
      <c r="B688" s="2">
        <f>iferror(VLOOKUP(E688,'출결유형'!$A:$C,2,0),"")</f>
        <v>0</v>
      </c>
      <c r="C688" s="2">
        <v>687.0</v>
      </c>
      <c r="D688" s="2">
        <f>iferror(VLOOKUP(E688,'출결유형'!$L:$M,2,0),"")</f>
        <v>1</v>
      </c>
      <c r="E688" s="21" t="s">
        <v>184</v>
      </c>
      <c r="G688" s="2" t="str">
        <f t="shared" si="1"/>
        <v>INSERT INTO tblAttendanceScore VALUES (seqAttendanceScore.nextval, 0, 687, 1);</v>
      </c>
    </row>
    <row r="689">
      <c r="A689" s="1" t="s">
        <v>201</v>
      </c>
      <c r="B689" s="2">
        <f>iferror(VLOOKUP(E689,'출결유형'!$A:$C,2,0),"")</f>
        <v>-0.25</v>
      </c>
      <c r="C689" s="2">
        <v>688.0</v>
      </c>
      <c r="D689" s="2">
        <f>iferror(VLOOKUP(E689,'출결유형'!$L:$M,2,0),"")</f>
        <v>5</v>
      </c>
      <c r="E689" s="21" t="s">
        <v>189</v>
      </c>
      <c r="G689" s="2" t="str">
        <f t="shared" si="1"/>
        <v>INSERT INTO tblAttendanceScore VALUES (seqAttendanceScore.nextval, -0.25, 688, 5);</v>
      </c>
    </row>
    <row r="690">
      <c r="A690" s="1" t="s">
        <v>201</v>
      </c>
      <c r="B690" s="2">
        <f>iferror(VLOOKUP(E690,'출결유형'!$A:$C,2,0),"")</f>
        <v>-1</v>
      </c>
      <c r="C690" s="2">
        <v>689.0</v>
      </c>
      <c r="D690" s="2">
        <f>iferror(VLOOKUP(E690,'출결유형'!$L:$M,2,0),"")</f>
        <v>2</v>
      </c>
      <c r="E690" s="21" t="s">
        <v>186</v>
      </c>
      <c r="G690" s="2" t="str">
        <f t="shared" si="1"/>
        <v>INSERT INTO tblAttendanceScore VALUES (seqAttendanceScore.nextval, -1, 689, 2);</v>
      </c>
    </row>
    <row r="691">
      <c r="A691" s="1" t="s">
        <v>201</v>
      </c>
      <c r="B691" s="2">
        <f>iferror(VLOOKUP(E691,'출결유형'!$A:$C,2,0),"")</f>
        <v>-0.25</v>
      </c>
      <c r="C691" s="2">
        <v>690.0</v>
      </c>
      <c r="D691" s="2">
        <f>iferror(VLOOKUP(E691,'출결유형'!$L:$M,2,0),"")</f>
        <v>5</v>
      </c>
      <c r="E691" s="21" t="s">
        <v>189</v>
      </c>
      <c r="G691" s="2" t="str">
        <f t="shared" si="1"/>
        <v>INSERT INTO tblAttendanceScore VALUES (seqAttendanceScore.nextval, -0.25, 690, 5);</v>
      </c>
    </row>
    <row r="692">
      <c r="A692" s="1" t="s">
        <v>201</v>
      </c>
      <c r="B692" s="2">
        <f>iferror(VLOOKUP(E692,'출결유형'!$A:$C,2,0),"")</f>
        <v>-0.25</v>
      </c>
      <c r="C692" s="2">
        <v>691.0</v>
      </c>
      <c r="D692" s="2">
        <f>iferror(VLOOKUP(E692,'출결유형'!$L:$M,2,0),"")</f>
        <v>5</v>
      </c>
      <c r="E692" s="21" t="s">
        <v>189</v>
      </c>
      <c r="G692" s="2" t="str">
        <f t="shared" si="1"/>
        <v>INSERT INTO tblAttendanceScore VALUES (seqAttendanceScore.nextval, -0.25, 691, 5);</v>
      </c>
    </row>
    <row r="693">
      <c r="A693" s="1" t="s">
        <v>201</v>
      </c>
      <c r="B693" s="2">
        <f>iferror(VLOOKUP(E693,'출결유형'!$A:$C,2,0),"")</f>
        <v>-0.25</v>
      </c>
      <c r="C693" s="2">
        <v>692.0</v>
      </c>
      <c r="D693" s="2">
        <f>iferror(VLOOKUP(E693,'출결유형'!$L:$M,2,0),"")</f>
        <v>5</v>
      </c>
      <c r="E693" s="21" t="s">
        <v>189</v>
      </c>
      <c r="G693" s="2" t="str">
        <f t="shared" si="1"/>
        <v>INSERT INTO tblAttendanceScore VALUES (seqAttendanceScore.nextval, -0.25, 692, 5);</v>
      </c>
    </row>
    <row r="694">
      <c r="A694" s="1" t="s">
        <v>201</v>
      </c>
      <c r="B694" s="2">
        <f>iferror(VLOOKUP(E694,'출결유형'!$A:$C,2,0),"")</f>
        <v>-0.25</v>
      </c>
      <c r="C694" s="2">
        <v>693.0</v>
      </c>
      <c r="D694" s="2">
        <f>iferror(VLOOKUP(E694,'출결유형'!$L:$M,2,0),"")</f>
        <v>5</v>
      </c>
      <c r="E694" s="21" t="s">
        <v>189</v>
      </c>
      <c r="G694" s="2" t="str">
        <f t="shared" si="1"/>
        <v>INSERT INTO tblAttendanceScore VALUES (seqAttendanceScore.nextval, -0.25, 693, 5);</v>
      </c>
    </row>
    <row r="695">
      <c r="A695" s="1" t="s">
        <v>201</v>
      </c>
      <c r="B695" s="2">
        <f>iferror(VLOOKUP(E695,'출결유형'!$A:$C,2,0),"")</f>
        <v>0</v>
      </c>
      <c r="C695" s="2">
        <v>694.0</v>
      </c>
      <c r="D695" s="2">
        <f>iferror(VLOOKUP(E695,'출결유형'!$L:$M,2,0),"")</f>
        <v>1</v>
      </c>
      <c r="E695" s="21" t="s">
        <v>184</v>
      </c>
      <c r="G695" s="2" t="str">
        <f t="shared" si="1"/>
        <v>INSERT INTO tblAttendanceScore VALUES (seqAttendanceScore.nextval, 0, 694, 1);</v>
      </c>
    </row>
    <row r="696">
      <c r="A696" s="1" t="s">
        <v>201</v>
      </c>
      <c r="B696" s="2">
        <f>iferror(VLOOKUP(E696,'출결유형'!$A:$C,2,0),"")</f>
        <v>0</v>
      </c>
      <c r="C696" s="2">
        <v>695.0</v>
      </c>
      <c r="D696" s="2">
        <f>iferror(VLOOKUP(E696,'출결유형'!$L:$M,2,0),"")</f>
        <v>1</v>
      </c>
      <c r="E696" s="21" t="s">
        <v>184</v>
      </c>
      <c r="G696" s="2" t="str">
        <f t="shared" si="1"/>
        <v>INSERT INTO tblAttendanceScore VALUES (seqAttendanceScore.nextval, 0, 695, 1);</v>
      </c>
    </row>
    <row r="697">
      <c r="A697" s="1" t="s">
        <v>201</v>
      </c>
      <c r="B697" s="2">
        <f>iferror(VLOOKUP(E697,'출결유형'!$A:$C,2,0),"")</f>
        <v>-0.25</v>
      </c>
      <c r="C697" s="2">
        <v>696.0</v>
      </c>
      <c r="D697" s="2">
        <f>iferror(VLOOKUP(E697,'출결유형'!$L:$M,2,0),"")</f>
        <v>5</v>
      </c>
      <c r="E697" s="21" t="s">
        <v>189</v>
      </c>
      <c r="G697" s="2" t="str">
        <f t="shared" si="1"/>
        <v>INSERT INTO tblAttendanceScore VALUES (seqAttendanceScore.nextval, -0.25, 696, 5);</v>
      </c>
    </row>
    <row r="698">
      <c r="A698" s="1" t="s">
        <v>201</v>
      </c>
      <c r="B698" s="2">
        <f>iferror(VLOOKUP(E698,'출결유형'!$A:$C,2,0),"")</f>
        <v>0</v>
      </c>
      <c r="C698" s="2">
        <v>697.0</v>
      </c>
      <c r="D698" s="2">
        <f>iferror(VLOOKUP(E698,'출결유형'!$L:$M,2,0),"")</f>
        <v>1</v>
      </c>
      <c r="E698" s="21" t="s">
        <v>184</v>
      </c>
      <c r="G698" s="2" t="str">
        <f t="shared" si="1"/>
        <v>INSERT INTO tblAttendanceScore VALUES (seqAttendanceScore.nextval, 0, 697, 1);</v>
      </c>
    </row>
    <row r="699">
      <c r="A699" s="1" t="s">
        <v>201</v>
      </c>
      <c r="B699" s="2">
        <f>iferror(VLOOKUP(E699,'출결유형'!$A:$C,2,0),"")</f>
        <v>0</v>
      </c>
      <c r="C699" s="2">
        <v>698.0</v>
      </c>
      <c r="D699" s="2">
        <f>iferror(VLOOKUP(E699,'출결유형'!$L:$M,2,0),"")</f>
        <v>1</v>
      </c>
      <c r="E699" s="21" t="s">
        <v>184</v>
      </c>
      <c r="G699" s="2" t="str">
        <f t="shared" si="1"/>
        <v>INSERT INTO tblAttendanceScore VALUES (seqAttendanceScore.nextval, 0, 698, 1);</v>
      </c>
    </row>
    <row r="700">
      <c r="A700" s="1" t="s">
        <v>201</v>
      </c>
      <c r="B700" s="2">
        <f>iferror(VLOOKUP(E700,'출결유형'!$A:$C,2,0),"")</f>
        <v>0</v>
      </c>
      <c r="C700" s="2">
        <v>699.0</v>
      </c>
      <c r="D700" s="2">
        <f>iferror(VLOOKUP(E700,'출결유형'!$L:$M,2,0),"")</f>
        <v>1</v>
      </c>
      <c r="E700" s="21" t="s">
        <v>184</v>
      </c>
      <c r="G700" s="2" t="str">
        <f t="shared" si="1"/>
        <v>INSERT INTO tblAttendanceScore VALUES (seqAttendanceScore.nextval, 0, 699, 1);</v>
      </c>
    </row>
    <row r="701">
      <c r="A701" s="1" t="s">
        <v>201</v>
      </c>
      <c r="B701" s="2">
        <f>iferror(VLOOKUP(E701,'출결유형'!$A:$C,2,0),"")</f>
        <v>-0.25</v>
      </c>
      <c r="C701" s="2">
        <v>700.0</v>
      </c>
      <c r="D701" s="2">
        <f>iferror(VLOOKUP(E701,'출결유형'!$L:$M,2,0),"")</f>
        <v>5</v>
      </c>
      <c r="E701" s="21" t="s">
        <v>189</v>
      </c>
      <c r="G701" s="2" t="str">
        <f t="shared" si="1"/>
        <v>INSERT INTO tblAttendanceScore VALUES (seqAttendanceScore.nextval, -0.25, 700, 5);</v>
      </c>
    </row>
    <row r="702">
      <c r="A702" s="1" t="s">
        <v>201</v>
      </c>
      <c r="B702" s="2">
        <f>iferror(VLOOKUP(E702,'출결유형'!$A:$C,2,0),"")</f>
        <v>0</v>
      </c>
      <c r="C702" s="2">
        <v>701.0</v>
      </c>
      <c r="D702" s="2">
        <f>iferror(VLOOKUP(E702,'출결유형'!$L:$M,2,0),"")</f>
        <v>1</v>
      </c>
      <c r="E702" s="21" t="s">
        <v>184</v>
      </c>
      <c r="G702" s="2" t="str">
        <f t="shared" si="1"/>
        <v>INSERT INTO tblAttendanceScore VALUES (seqAttendanceScore.nextval, 0, 701, 1);</v>
      </c>
    </row>
    <row r="703">
      <c r="A703" s="1" t="s">
        <v>201</v>
      </c>
      <c r="B703" s="2">
        <f>iferror(VLOOKUP(E703,'출결유형'!$A:$C,2,0),"")</f>
        <v>0</v>
      </c>
      <c r="C703" s="2">
        <v>702.0</v>
      </c>
      <c r="D703" s="2">
        <f>iferror(VLOOKUP(E703,'출결유형'!$L:$M,2,0),"")</f>
        <v>1</v>
      </c>
      <c r="E703" s="21" t="s">
        <v>184</v>
      </c>
      <c r="G703" s="2" t="str">
        <f t="shared" si="1"/>
        <v>INSERT INTO tblAttendanceScore VALUES (seqAttendanceScore.nextval, 0, 702, 1);</v>
      </c>
    </row>
    <row r="704">
      <c r="A704" s="1" t="s">
        <v>201</v>
      </c>
      <c r="B704" s="2">
        <f>iferror(VLOOKUP(E704,'출결유형'!$A:$C,2,0),"")</f>
        <v>0</v>
      </c>
      <c r="C704" s="2">
        <v>703.0</v>
      </c>
      <c r="D704" s="2">
        <f>iferror(VLOOKUP(E704,'출결유형'!$L:$M,2,0),"")</f>
        <v>1</v>
      </c>
      <c r="E704" s="21" t="s">
        <v>184</v>
      </c>
      <c r="G704" s="2" t="str">
        <f t="shared" si="1"/>
        <v>INSERT INTO tblAttendanceScore VALUES (seqAttendanceScore.nextval, 0, 703, 1);</v>
      </c>
    </row>
    <row r="705">
      <c r="A705" s="1" t="s">
        <v>201</v>
      </c>
      <c r="B705" s="2">
        <f>iferror(VLOOKUP(E705,'출결유형'!$A:$C,2,0),"")</f>
        <v>-0.25</v>
      </c>
      <c r="C705" s="2">
        <v>704.0</v>
      </c>
      <c r="D705" s="2">
        <f>iferror(VLOOKUP(E705,'출결유형'!$L:$M,2,0),"")</f>
        <v>5</v>
      </c>
      <c r="E705" s="21" t="s">
        <v>189</v>
      </c>
      <c r="G705" s="2" t="str">
        <f t="shared" si="1"/>
        <v>INSERT INTO tblAttendanceScore VALUES (seqAttendanceScore.nextval, -0.25, 704, 5);</v>
      </c>
    </row>
    <row r="706">
      <c r="A706" s="1" t="s">
        <v>201</v>
      </c>
      <c r="B706" s="2">
        <f>iferror(VLOOKUP(E706,'출결유형'!$A:$C,2,0),"")</f>
        <v>0</v>
      </c>
      <c r="C706" s="2">
        <v>705.0</v>
      </c>
      <c r="D706" s="2">
        <f>iferror(VLOOKUP(E706,'출결유형'!$L:$M,2,0),"")</f>
        <v>1</v>
      </c>
      <c r="E706" s="21" t="s">
        <v>184</v>
      </c>
      <c r="G706" s="2" t="str">
        <f t="shared" si="1"/>
        <v>INSERT INTO tblAttendanceScore VALUES (seqAttendanceScore.nextval, 0, 705, 1);</v>
      </c>
    </row>
    <row r="707">
      <c r="A707" s="1" t="s">
        <v>201</v>
      </c>
      <c r="B707" s="2">
        <f>iferror(VLOOKUP(E707,'출결유형'!$A:$C,2,0),"")</f>
        <v>0</v>
      </c>
      <c r="C707" s="2">
        <v>706.0</v>
      </c>
      <c r="D707" s="2">
        <f>iferror(VLOOKUP(E707,'출결유형'!$L:$M,2,0),"")</f>
        <v>1</v>
      </c>
      <c r="E707" s="21" t="s">
        <v>184</v>
      </c>
      <c r="G707" s="2" t="str">
        <f t="shared" si="1"/>
        <v>INSERT INTO tblAttendanceScore VALUES (seqAttendanceScore.nextval, 0, 706, 1);</v>
      </c>
    </row>
    <row r="708">
      <c r="A708" s="1" t="s">
        <v>201</v>
      </c>
      <c r="B708" s="2">
        <f>iferror(VLOOKUP(E708,'출결유형'!$A:$C,2,0),"")</f>
        <v>0</v>
      </c>
      <c r="C708" s="2">
        <v>707.0</v>
      </c>
      <c r="D708" s="2">
        <f>iferror(VLOOKUP(E708,'출결유형'!$L:$M,2,0),"")</f>
        <v>1</v>
      </c>
      <c r="E708" s="21" t="s">
        <v>184</v>
      </c>
      <c r="G708" s="2" t="str">
        <f t="shared" si="1"/>
        <v>INSERT INTO tblAttendanceScore VALUES (seqAttendanceScore.nextval, 0, 707, 1);</v>
      </c>
    </row>
    <row r="709">
      <c r="A709" s="1" t="s">
        <v>201</v>
      </c>
      <c r="B709" s="2">
        <f>iferror(VLOOKUP(E709,'출결유형'!$A:$C,2,0),"")</f>
        <v>0</v>
      </c>
      <c r="C709" s="2">
        <v>708.0</v>
      </c>
      <c r="D709" s="2">
        <f>iferror(VLOOKUP(E709,'출결유형'!$L:$M,2,0),"")</f>
        <v>1</v>
      </c>
      <c r="E709" s="21" t="s">
        <v>184</v>
      </c>
      <c r="G709" s="2" t="str">
        <f t="shared" si="1"/>
        <v>INSERT INTO tblAttendanceScore VALUES (seqAttendanceScore.nextval, 0, 708, 1);</v>
      </c>
    </row>
    <row r="710">
      <c r="A710" s="1" t="s">
        <v>201</v>
      </c>
      <c r="B710" s="2">
        <f>iferror(VLOOKUP(E710,'출결유형'!$A:$C,2,0),"")</f>
        <v>0</v>
      </c>
      <c r="C710" s="2">
        <v>709.0</v>
      </c>
      <c r="D710" s="2">
        <f>iferror(VLOOKUP(E710,'출결유형'!$L:$M,2,0),"")</f>
        <v>1</v>
      </c>
      <c r="E710" s="21" t="s">
        <v>184</v>
      </c>
      <c r="G710" s="2" t="str">
        <f t="shared" si="1"/>
        <v>INSERT INTO tblAttendanceScore VALUES (seqAttendanceScore.nextval, 0, 709, 1);</v>
      </c>
    </row>
    <row r="711">
      <c r="A711" s="1" t="s">
        <v>201</v>
      </c>
      <c r="B711" s="2">
        <f>iferror(VLOOKUP(E711,'출결유형'!$A:$C,2,0),"")</f>
        <v>-0.25</v>
      </c>
      <c r="C711" s="2">
        <v>710.0</v>
      </c>
      <c r="D711" s="2">
        <f>iferror(VLOOKUP(E711,'출결유형'!$L:$M,2,0),"")</f>
        <v>5</v>
      </c>
      <c r="E711" s="21" t="s">
        <v>189</v>
      </c>
      <c r="G711" s="2" t="str">
        <f t="shared" si="1"/>
        <v>INSERT INTO tblAttendanceScore VALUES (seqAttendanceScore.nextval, -0.25, 710, 5);</v>
      </c>
    </row>
    <row r="712">
      <c r="A712" s="1" t="s">
        <v>201</v>
      </c>
      <c r="B712" s="2">
        <f>iferror(VLOOKUP(E712,'출결유형'!$A:$C,2,0),"")</f>
        <v>-0.25</v>
      </c>
      <c r="C712" s="2">
        <v>711.0</v>
      </c>
      <c r="D712" s="2">
        <f>iferror(VLOOKUP(E712,'출결유형'!$L:$M,2,0),"")</f>
        <v>5</v>
      </c>
      <c r="E712" s="21" t="s">
        <v>189</v>
      </c>
      <c r="G712" s="2" t="str">
        <f t="shared" si="1"/>
        <v>INSERT INTO tblAttendanceScore VALUES (seqAttendanceScore.nextval, -0.25, 711, 5);</v>
      </c>
    </row>
    <row r="713">
      <c r="A713" s="1" t="s">
        <v>201</v>
      </c>
      <c r="B713" s="2">
        <f>iferror(VLOOKUP(E713,'출결유형'!$A:$C,2,0),"")</f>
        <v>0</v>
      </c>
      <c r="C713" s="2">
        <v>712.0</v>
      </c>
      <c r="D713" s="2">
        <f>iferror(VLOOKUP(E713,'출결유형'!$L:$M,2,0),"")</f>
        <v>1</v>
      </c>
      <c r="E713" s="21" t="s">
        <v>184</v>
      </c>
      <c r="G713" s="2" t="str">
        <f t="shared" si="1"/>
        <v>INSERT INTO tblAttendanceScore VALUES (seqAttendanceScore.nextval, 0, 712, 1);</v>
      </c>
    </row>
    <row r="714">
      <c r="A714" s="1" t="s">
        <v>201</v>
      </c>
      <c r="B714" s="2">
        <f>iferror(VLOOKUP(E714,'출결유형'!$A:$C,2,0),"")</f>
        <v>-0.25</v>
      </c>
      <c r="C714" s="2">
        <v>713.0</v>
      </c>
      <c r="D714" s="2">
        <f>iferror(VLOOKUP(E714,'출결유형'!$L:$M,2,0),"")</f>
        <v>5</v>
      </c>
      <c r="E714" s="21" t="s">
        <v>189</v>
      </c>
      <c r="G714" s="2" t="str">
        <f t="shared" si="1"/>
        <v>INSERT INTO tblAttendanceScore VALUES (seqAttendanceScore.nextval, -0.25, 713, 5);</v>
      </c>
    </row>
    <row r="715">
      <c r="A715" s="1" t="s">
        <v>201</v>
      </c>
      <c r="B715" s="2">
        <f>iferror(VLOOKUP(E715,'출결유형'!$A:$C,2,0),"")</f>
        <v>-0.25</v>
      </c>
      <c r="C715" s="2">
        <v>714.0</v>
      </c>
      <c r="D715" s="2">
        <f>iferror(VLOOKUP(E715,'출결유형'!$L:$M,2,0),"")</f>
        <v>5</v>
      </c>
      <c r="E715" s="21" t="s">
        <v>189</v>
      </c>
      <c r="G715" s="2" t="str">
        <f t="shared" si="1"/>
        <v>INSERT INTO tblAttendanceScore VALUES (seqAttendanceScore.nextval, -0.25, 714, 5);</v>
      </c>
    </row>
    <row r="716">
      <c r="A716" s="1" t="s">
        <v>201</v>
      </c>
      <c r="B716" s="2">
        <f>iferror(VLOOKUP(E716,'출결유형'!$A:$C,2,0),"")</f>
        <v>-0.25</v>
      </c>
      <c r="C716" s="2">
        <v>715.0</v>
      </c>
      <c r="D716" s="2">
        <f>iferror(VLOOKUP(E716,'출결유형'!$L:$M,2,0),"")</f>
        <v>5</v>
      </c>
      <c r="E716" s="21" t="s">
        <v>189</v>
      </c>
      <c r="G716" s="2" t="str">
        <f t="shared" si="1"/>
        <v>INSERT INTO tblAttendanceScore VALUES (seqAttendanceScore.nextval, -0.25, 715, 5);</v>
      </c>
    </row>
    <row r="717">
      <c r="A717" s="1" t="s">
        <v>201</v>
      </c>
      <c r="B717" s="2">
        <f>iferror(VLOOKUP(E717,'출결유형'!$A:$C,2,0),"")</f>
        <v>0</v>
      </c>
      <c r="C717" s="2">
        <v>716.0</v>
      </c>
      <c r="D717" s="2">
        <f>iferror(VLOOKUP(E717,'출결유형'!$L:$M,2,0),"")</f>
        <v>1</v>
      </c>
      <c r="E717" s="21" t="s">
        <v>184</v>
      </c>
      <c r="G717" s="2" t="str">
        <f t="shared" si="1"/>
        <v>INSERT INTO tblAttendanceScore VALUES (seqAttendanceScore.nextval, 0, 716, 1);</v>
      </c>
    </row>
    <row r="718">
      <c r="A718" s="1" t="s">
        <v>201</v>
      </c>
      <c r="B718" s="2">
        <f>iferror(VLOOKUP(E718,'출결유형'!$A:$C,2,0),"")</f>
        <v>-0.25</v>
      </c>
      <c r="C718" s="2">
        <v>717.0</v>
      </c>
      <c r="D718" s="2">
        <f>iferror(VLOOKUP(E718,'출결유형'!$L:$M,2,0),"")</f>
        <v>5</v>
      </c>
      <c r="E718" s="21" t="s">
        <v>189</v>
      </c>
      <c r="G718" s="2" t="str">
        <f t="shared" si="1"/>
        <v>INSERT INTO tblAttendanceScore VALUES (seqAttendanceScore.nextval, -0.25, 717, 5);</v>
      </c>
    </row>
    <row r="719">
      <c r="A719" s="1" t="s">
        <v>201</v>
      </c>
      <c r="B719" s="2">
        <f>iferror(VLOOKUP(E719,'출결유형'!$A:$C,2,0),"")</f>
        <v>-0.25</v>
      </c>
      <c r="C719" s="2">
        <v>718.0</v>
      </c>
      <c r="D719" s="2">
        <f>iferror(VLOOKUP(E719,'출결유형'!$L:$M,2,0),"")</f>
        <v>5</v>
      </c>
      <c r="E719" s="21" t="s">
        <v>189</v>
      </c>
      <c r="G719" s="2" t="str">
        <f t="shared" si="1"/>
        <v>INSERT INTO tblAttendanceScore VALUES (seqAttendanceScore.nextval, -0.25, 718, 5);</v>
      </c>
    </row>
    <row r="720">
      <c r="A720" s="1" t="s">
        <v>201</v>
      </c>
      <c r="B720" s="2">
        <f>iferror(VLOOKUP(E720,'출결유형'!$A:$C,2,0),"")</f>
        <v>-0.25</v>
      </c>
      <c r="C720" s="2">
        <v>719.0</v>
      </c>
      <c r="D720" s="2">
        <f>iferror(VLOOKUP(E720,'출결유형'!$L:$M,2,0),"")</f>
        <v>5</v>
      </c>
      <c r="E720" s="21" t="s">
        <v>189</v>
      </c>
      <c r="G720" s="2" t="str">
        <f t="shared" si="1"/>
        <v>INSERT INTO tblAttendanceScore VALUES (seqAttendanceScore.nextval, -0.25, 719, 5);</v>
      </c>
    </row>
    <row r="721">
      <c r="A721" s="1" t="s">
        <v>201</v>
      </c>
      <c r="B721" s="2">
        <f>iferror(VLOOKUP(E721,'출결유형'!$A:$C,2,0),"")</f>
        <v>0</v>
      </c>
      <c r="C721" s="2">
        <v>720.0</v>
      </c>
      <c r="D721" s="2">
        <f>iferror(VLOOKUP(E721,'출결유형'!$L:$M,2,0),"")</f>
        <v>1</v>
      </c>
      <c r="E721" s="21" t="s">
        <v>184</v>
      </c>
      <c r="G721" s="2" t="str">
        <f t="shared" si="1"/>
        <v>INSERT INTO tblAttendanceScore VALUES (seqAttendanceScore.nextval, 0, 720, 1);</v>
      </c>
    </row>
    <row r="722">
      <c r="A722" s="1" t="s">
        <v>201</v>
      </c>
      <c r="B722" s="2">
        <f>iferror(VLOOKUP(E722,'출결유형'!$A:$C,2,0),"")</f>
        <v>0</v>
      </c>
      <c r="C722" s="2">
        <v>721.0</v>
      </c>
      <c r="D722" s="2">
        <f>iferror(VLOOKUP(E722,'출결유형'!$L:$M,2,0),"")</f>
        <v>1</v>
      </c>
      <c r="E722" s="21" t="s">
        <v>184</v>
      </c>
      <c r="G722" s="2" t="str">
        <f t="shared" si="1"/>
        <v>INSERT INTO tblAttendanceScore VALUES (seqAttendanceScore.nextval, 0, 721, 1);</v>
      </c>
    </row>
    <row r="723">
      <c r="A723" s="1" t="s">
        <v>201</v>
      </c>
      <c r="B723" s="2">
        <f>iferror(VLOOKUP(E723,'출결유형'!$A:$C,2,0),"")</f>
        <v>-0.25</v>
      </c>
      <c r="C723" s="2">
        <v>722.0</v>
      </c>
      <c r="D723" s="2">
        <f>iferror(VLOOKUP(E723,'출결유형'!$L:$M,2,0),"")</f>
        <v>5</v>
      </c>
      <c r="E723" s="21" t="s">
        <v>189</v>
      </c>
      <c r="G723" s="2" t="str">
        <f t="shared" si="1"/>
        <v>INSERT INTO tblAttendanceScore VALUES (seqAttendanceScore.nextval, -0.25, 722, 5);</v>
      </c>
    </row>
    <row r="724">
      <c r="A724" s="1" t="s">
        <v>201</v>
      </c>
      <c r="B724" s="2">
        <f>iferror(VLOOKUP(E724,'출결유형'!$A:$C,2,0),"")</f>
        <v>-0.25</v>
      </c>
      <c r="C724" s="2">
        <v>723.0</v>
      </c>
      <c r="D724" s="2">
        <f>iferror(VLOOKUP(E724,'출결유형'!$L:$M,2,0),"")</f>
        <v>5</v>
      </c>
      <c r="E724" s="21" t="s">
        <v>189</v>
      </c>
      <c r="G724" s="2" t="str">
        <f t="shared" si="1"/>
        <v>INSERT INTO tblAttendanceScore VALUES (seqAttendanceScore.nextval, -0.25, 723, 5);</v>
      </c>
    </row>
    <row r="725">
      <c r="A725" s="1" t="s">
        <v>201</v>
      </c>
      <c r="B725" s="2">
        <f>iferror(VLOOKUP(E725,'출결유형'!$A:$C,2,0),"")</f>
        <v>0</v>
      </c>
      <c r="C725" s="2">
        <v>724.0</v>
      </c>
      <c r="D725" s="2">
        <f>iferror(VLOOKUP(E725,'출결유형'!$L:$M,2,0),"")</f>
        <v>1</v>
      </c>
      <c r="E725" s="21" t="s">
        <v>184</v>
      </c>
      <c r="G725" s="2" t="str">
        <f t="shared" si="1"/>
        <v>INSERT INTO tblAttendanceScore VALUES (seqAttendanceScore.nextval, 0, 724, 1);</v>
      </c>
    </row>
    <row r="726">
      <c r="A726" s="1" t="s">
        <v>201</v>
      </c>
      <c r="B726" s="2">
        <f>iferror(VLOOKUP(E726,'출결유형'!$A:$C,2,0),"")</f>
        <v>0</v>
      </c>
      <c r="C726" s="2">
        <v>725.0</v>
      </c>
      <c r="D726" s="2">
        <f>iferror(VLOOKUP(E726,'출결유형'!$L:$M,2,0),"")</f>
        <v>1</v>
      </c>
      <c r="E726" s="21" t="s">
        <v>184</v>
      </c>
      <c r="G726" s="2" t="str">
        <f t="shared" si="1"/>
        <v>INSERT INTO tblAttendanceScore VALUES (seqAttendanceScore.nextval, 0, 725, 1);</v>
      </c>
    </row>
    <row r="727">
      <c r="A727" s="1" t="s">
        <v>201</v>
      </c>
      <c r="B727" s="2">
        <f>iferror(VLOOKUP(E727,'출결유형'!$A:$C,2,0),"")</f>
        <v>-0.25</v>
      </c>
      <c r="C727" s="2">
        <v>726.0</v>
      </c>
      <c r="D727" s="2">
        <f>iferror(VLOOKUP(E727,'출결유형'!$L:$M,2,0),"")</f>
        <v>5</v>
      </c>
      <c r="E727" s="21" t="s">
        <v>189</v>
      </c>
      <c r="G727" s="2" t="str">
        <f t="shared" si="1"/>
        <v>INSERT INTO tblAttendanceScore VALUES (seqAttendanceScore.nextval, -0.25, 726, 5);</v>
      </c>
    </row>
    <row r="728">
      <c r="A728" s="1" t="s">
        <v>201</v>
      </c>
      <c r="B728" s="2">
        <f>iferror(VLOOKUP(E728,'출결유형'!$A:$C,2,0),"")</f>
        <v>-0.25</v>
      </c>
      <c r="C728" s="2">
        <v>727.0</v>
      </c>
      <c r="D728" s="2">
        <f>iferror(VLOOKUP(E728,'출결유형'!$L:$M,2,0),"")</f>
        <v>5</v>
      </c>
      <c r="E728" s="21" t="s">
        <v>189</v>
      </c>
      <c r="G728" s="2" t="str">
        <f t="shared" si="1"/>
        <v>INSERT INTO tblAttendanceScore VALUES (seqAttendanceScore.nextval, -0.25, 727, 5);</v>
      </c>
    </row>
    <row r="729">
      <c r="A729" s="1" t="s">
        <v>201</v>
      </c>
      <c r="B729" s="2">
        <f>iferror(VLOOKUP(E729,'출결유형'!$A:$C,2,0),"")</f>
        <v>-0.25</v>
      </c>
      <c r="C729" s="2">
        <v>728.0</v>
      </c>
      <c r="D729" s="2">
        <f>iferror(VLOOKUP(E729,'출결유형'!$L:$M,2,0),"")</f>
        <v>5</v>
      </c>
      <c r="E729" s="21" t="s">
        <v>189</v>
      </c>
      <c r="G729" s="2" t="str">
        <f t="shared" si="1"/>
        <v>INSERT INTO tblAttendanceScore VALUES (seqAttendanceScore.nextval, -0.25, 728, 5);</v>
      </c>
    </row>
    <row r="730">
      <c r="A730" s="1" t="s">
        <v>201</v>
      </c>
      <c r="B730" s="2">
        <f>iferror(VLOOKUP(E730,'출결유형'!$A:$C,2,0),"")</f>
        <v>-0.25</v>
      </c>
      <c r="C730" s="2">
        <v>729.0</v>
      </c>
      <c r="D730" s="2">
        <f>iferror(VLOOKUP(E730,'출결유형'!$L:$M,2,0),"")</f>
        <v>5</v>
      </c>
      <c r="E730" s="21" t="s">
        <v>189</v>
      </c>
      <c r="G730" s="2" t="str">
        <f t="shared" si="1"/>
        <v>INSERT INTO tblAttendanceScore VALUES (seqAttendanceScore.nextval, -0.25, 729, 5);</v>
      </c>
    </row>
    <row r="731">
      <c r="A731" s="1" t="s">
        <v>201</v>
      </c>
      <c r="B731" s="2">
        <f>iferror(VLOOKUP(E731,'출결유형'!$A:$C,2,0),"")</f>
        <v>0</v>
      </c>
      <c r="C731" s="2">
        <v>730.0</v>
      </c>
      <c r="D731" s="2">
        <f>iferror(VLOOKUP(E731,'출결유형'!$L:$M,2,0),"")</f>
        <v>1</v>
      </c>
      <c r="E731" s="21" t="s">
        <v>184</v>
      </c>
      <c r="G731" s="2" t="str">
        <f t="shared" si="1"/>
        <v>INSERT INTO tblAttendanceScore VALUES (seqAttendanceScore.nextval, 0, 730, 1);</v>
      </c>
    </row>
    <row r="732">
      <c r="A732" s="1" t="s">
        <v>201</v>
      </c>
      <c r="B732" s="2">
        <f>iferror(VLOOKUP(E732,'출결유형'!$A:$C,2,0),"")</f>
        <v>0</v>
      </c>
      <c r="C732" s="2">
        <v>731.0</v>
      </c>
      <c r="D732" s="2">
        <f>iferror(VLOOKUP(E732,'출결유형'!$L:$M,2,0),"")</f>
        <v>1</v>
      </c>
      <c r="E732" s="21" t="s">
        <v>184</v>
      </c>
      <c r="G732" s="2" t="str">
        <f t="shared" si="1"/>
        <v>INSERT INTO tblAttendanceScore VALUES (seqAttendanceScore.nextval, 0, 731, 1);</v>
      </c>
    </row>
    <row r="733">
      <c r="A733" s="1" t="s">
        <v>201</v>
      </c>
      <c r="B733" s="2">
        <f>iferror(VLOOKUP(E733,'출결유형'!$A:$C,2,0),"")</f>
        <v>0</v>
      </c>
      <c r="C733" s="2">
        <v>732.0</v>
      </c>
      <c r="D733" s="2">
        <f>iferror(VLOOKUP(E733,'출결유형'!$L:$M,2,0),"")</f>
        <v>1</v>
      </c>
      <c r="E733" s="21" t="s">
        <v>184</v>
      </c>
      <c r="G733" s="2" t="str">
        <f t="shared" si="1"/>
        <v>INSERT INTO tblAttendanceScore VALUES (seqAttendanceScore.nextval, 0, 732, 1);</v>
      </c>
    </row>
    <row r="734">
      <c r="A734" s="1" t="s">
        <v>201</v>
      </c>
      <c r="B734" s="2">
        <f>iferror(VLOOKUP(E734,'출결유형'!$A:$C,2,0),"")</f>
        <v>0</v>
      </c>
      <c r="C734" s="2">
        <v>733.0</v>
      </c>
      <c r="D734" s="2">
        <f>iferror(VLOOKUP(E734,'출결유형'!$L:$M,2,0),"")</f>
        <v>1</v>
      </c>
      <c r="E734" s="21" t="s">
        <v>184</v>
      </c>
      <c r="G734" s="2" t="str">
        <f t="shared" si="1"/>
        <v>INSERT INTO tblAttendanceScore VALUES (seqAttendanceScore.nextval, 0, 733, 1);</v>
      </c>
    </row>
    <row r="735">
      <c r="A735" s="1" t="s">
        <v>201</v>
      </c>
      <c r="B735" s="2">
        <f>iferror(VLOOKUP(E735,'출결유형'!$A:$C,2,0),"")</f>
        <v>0</v>
      </c>
      <c r="C735" s="2">
        <v>734.0</v>
      </c>
      <c r="D735" s="2">
        <f>iferror(VLOOKUP(E735,'출결유형'!$L:$M,2,0),"")</f>
        <v>1</v>
      </c>
      <c r="E735" s="21" t="s">
        <v>184</v>
      </c>
      <c r="G735" s="2" t="str">
        <f t="shared" si="1"/>
        <v>INSERT INTO tblAttendanceScore VALUES (seqAttendanceScore.nextval, 0, 734, 1);</v>
      </c>
    </row>
    <row r="736">
      <c r="A736" s="1" t="s">
        <v>201</v>
      </c>
      <c r="B736" s="2">
        <f>iferror(VLOOKUP(E736,'출결유형'!$A:$C,2,0),"")</f>
        <v>0</v>
      </c>
      <c r="C736" s="2">
        <v>735.0</v>
      </c>
      <c r="D736" s="2">
        <f>iferror(VLOOKUP(E736,'출결유형'!$L:$M,2,0),"")</f>
        <v>1</v>
      </c>
      <c r="E736" s="21" t="s">
        <v>184</v>
      </c>
      <c r="G736" s="2" t="str">
        <f t="shared" si="1"/>
        <v>INSERT INTO tblAttendanceScore VALUES (seqAttendanceScore.nextval, 0, 735, 1);</v>
      </c>
    </row>
    <row r="737">
      <c r="A737" s="1" t="s">
        <v>201</v>
      </c>
      <c r="B737" s="2">
        <f>iferror(VLOOKUP(E737,'출결유형'!$A:$C,2,0),"")</f>
        <v>-0.25</v>
      </c>
      <c r="C737" s="2">
        <v>736.0</v>
      </c>
      <c r="D737" s="2">
        <f>iferror(VLOOKUP(E737,'출결유형'!$L:$M,2,0),"")</f>
        <v>5</v>
      </c>
      <c r="E737" s="21" t="s">
        <v>189</v>
      </c>
      <c r="G737" s="2" t="str">
        <f t="shared" si="1"/>
        <v>INSERT INTO tblAttendanceScore VALUES (seqAttendanceScore.nextval, -0.25, 736, 5);</v>
      </c>
    </row>
    <row r="738">
      <c r="A738" s="1" t="s">
        <v>201</v>
      </c>
      <c r="B738" s="2">
        <f>iferror(VLOOKUP(E738,'출결유형'!$A:$C,2,0),"")</f>
        <v>0</v>
      </c>
      <c r="C738" s="2">
        <v>737.0</v>
      </c>
      <c r="D738" s="2">
        <f>iferror(VLOOKUP(E738,'출결유형'!$L:$M,2,0),"")</f>
        <v>1</v>
      </c>
      <c r="E738" s="21" t="s">
        <v>184</v>
      </c>
      <c r="G738" s="2" t="str">
        <f t="shared" si="1"/>
        <v>INSERT INTO tblAttendanceScore VALUES (seqAttendanceScore.nextval, 0, 737, 1);</v>
      </c>
    </row>
    <row r="739">
      <c r="A739" s="1" t="s">
        <v>201</v>
      </c>
      <c r="B739" s="2">
        <f>iferror(VLOOKUP(E739,'출결유형'!$A:$C,2,0),"")</f>
        <v>-0.25</v>
      </c>
      <c r="C739" s="2">
        <v>738.0</v>
      </c>
      <c r="D739" s="2">
        <f>iferror(VLOOKUP(E739,'출결유형'!$L:$M,2,0),"")</f>
        <v>5</v>
      </c>
      <c r="E739" s="21" t="s">
        <v>189</v>
      </c>
      <c r="G739" s="2" t="str">
        <f t="shared" si="1"/>
        <v>INSERT INTO tblAttendanceScore VALUES (seqAttendanceScore.nextval, -0.25, 738, 5);</v>
      </c>
    </row>
    <row r="740">
      <c r="A740" s="1" t="s">
        <v>201</v>
      </c>
      <c r="B740" s="2">
        <f>iferror(VLOOKUP(E740,'출결유형'!$A:$C,2,0),"")</f>
        <v>-0.25</v>
      </c>
      <c r="C740" s="2">
        <v>739.0</v>
      </c>
      <c r="D740" s="2">
        <f>iferror(VLOOKUP(E740,'출결유형'!$L:$M,2,0),"")</f>
        <v>5</v>
      </c>
      <c r="E740" s="21" t="s">
        <v>189</v>
      </c>
      <c r="G740" s="2" t="str">
        <f t="shared" si="1"/>
        <v>INSERT INTO tblAttendanceScore VALUES (seqAttendanceScore.nextval, -0.25, 739, 5);</v>
      </c>
    </row>
    <row r="741">
      <c r="A741" s="1" t="s">
        <v>201</v>
      </c>
      <c r="B741" s="2">
        <f>iferror(VLOOKUP(E741,'출결유형'!$A:$C,2,0),"")</f>
        <v>-0.25</v>
      </c>
      <c r="C741" s="2">
        <v>740.0</v>
      </c>
      <c r="D741" s="2">
        <f>iferror(VLOOKUP(E741,'출결유형'!$L:$M,2,0),"")</f>
        <v>5</v>
      </c>
      <c r="E741" s="21" t="s">
        <v>189</v>
      </c>
      <c r="G741" s="2" t="str">
        <f t="shared" si="1"/>
        <v>INSERT INTO tblAttendanceScore VALUES (seqAttendanceScore.nextval, -0.25, 740, 5);</v>
      </c>
    </row>
    <row r="742">
      <c r="A742" s="1" t="s">
        <v>201</v>
      </c>
      <c r="B742" s="2">
        <f>iferror(VLOOKUP(E742,'출결유형'!$A:$C,2,0),"")</f>
        <v>0</v>
      </c>
      <c r="C742" s="2">
        <v>741.0</v>
      </c>
      <c r="D742" s="2">
        <f>iferror(VLOOKUP(E742,'출결유형'!$L:$M,2,0),"")</f>
        <v>1</v>
      </c>
      <c r="E742" s="21" t="s">
        <v>184</v>
      </c>
      <c r="G742" s="2" t="str">
        <f t="shared" si="1"/>
        <v>INSERT INTO tblAttendanceScore VALUES (seqAttendanceScore.nextval, 0, 741, 1);</v>
      </c>
    </row>
    <row r="743">
      <c r="A743" s="1" t="s">
        <v>201</v>
      </c>
      <c r="B743" s="2">
        <f>iferror(VLOOKUP(E743,'출결유형'!$A:$C,2,0),"")</f>
        <v>0</v>
      </c>
      <c r="C743" s="2">
        <v>742.0</v>
      </c>
      <c r="D743" s="2">
        <f>iferror(VLOOKUP(E743,'출결유형'!$L:$M,2,0),"")</f>
        <v>1</v>
      </c>
      <c r="E743" s="21" t="s">
        <v>184</v>
      </c>
      <c r="G743" s="2" t="str">
        <f t="shared" si="1"/>
        <v>INSERT INTO tblAttendanceScore VALUES (seqAttendanceScore.nextval, 0, 742, 1);</v>
      </c>
    </row>
    <row r="744">
      <c r="A744" s="1" t="s">
        <v>201</v>
      </c>
      <c r="B744" s="2">
        <f>iferror(VLOOKUP(E744,'출결유형'!$A:$C,2,0),"")</f>
        <v>-0.25</v>
      </c>
      <c r="C744" s="2">
        <v>743.0</v>
      </c>
      <c r="D744" s="2">
        <f>iferror(VLOOKUP(E744,'출결유형'!$L:$M,2,0),"")</f>
        <v>5</v>
      </c>
      <c r="E744" s="21" t="s">
        <v>189</v>
      </c>
      <c r="G744" s="2" t="str">
        <f t="shared" si="1"/>
        <v>INSERT INTO tblAttendanceScore VALUES (seqAttendanceScore.nextval, -0.25, 743, 5);</v>
      </c>
    </row>
    <row r="745">
      <c r="A745" s="1" t="s">
        <v>201</v>
      </c>
      <c r="B745" s="2">
        <f>iferror(VLOOKUP(E745,'출결유형'!$A:$C,2,0),"")</f>
        <v>0</v>
      </c>
      <c r="C745" s="2">
        <v>744.0</v>
      </c>
      <c r="D745" s="2">
        <f>iferror(VLOOKUP(E745,'출결유형'!$L:$M,2,0),"")</f>
        <v>1</v>
      </c>
      <c r="E745" s="21" t="s">
        <v>184</v>
      </c>
      <c r="G745" s="2" t="str">
        <f t="shared" si="1"/>
        <v>INSERT INTO tblAttendanceScore VALUES (seqAttendanceScore.nextval, 0, 744, 1);</v>
      </c>
    </row>
    <row r="746">
      <c r="A746" s="1" t="s">
        <v>201</v>
      </c>
      <c r="B746" s="2">
        <f>iferror(VLOOKUP(E746,'출결유형'!$A:$C,2,0),"")</f>
        <v>0</v>
      </c>
      <c r="C746" s="2">
        <v>745.0</v>
      </c>
      <c r="D746" s="2">
        <f>iferror(VLOOKUP(E746,'출결유형'!$L:$M,2,0),"")</f>
        <v>1</v>
      </c>
      <c r="E746" s="21" t="s">
        <v>184</v>
      </c>
      <c r="G746" s="2" t="str">
        <f t="shared" si="1"/>
        <v>INSERT INTO tblAttendanceScore VALUES (seqAttendanceScore.nextval, 0, 745, 1);</v>
      </c>
    </row>
    <row r="747">
      <c r="A747" s="1" t="s">
        <v>201</v>
      </c>
      <c r="B747" s="2">
        <f>iferror(VLOOKUP(E747,'출결유형'!$A:$C,2,0),"")</f>
        <v>0</v>
      </c>
      <c r="C747" s="2">
        <v>746.0</v>
      </c>
      <c r="D747" s="2">
        <f>iferror(VLOOKUP(E747,'출결유형'!$L:$M,2,0),"")</f>
        <v>1</v>
      </c>
      <c r="E747" s="21" t="s">
        <v>184</v>
      </c>
      <c r="G747" s="2" t="str">
        <f t="shared" si="1"/>
        <v>INSERT INTO tblAttendanceScore VALUES (seqAttendanceScore.nextval, 0, 746, 1);</v>
      </c>
    </row>
    <row r="748">
      <c r="A748" s="1" t="s">
        <v>201</v>
      </c>
      <c r="B748" s="2">
        <f>iferror(VLOOKUP(E748,'출결유형'!$A:$C,2,0),"")</f>
        <v>-0.25</v>
      </c>
      <c r="C748" s="2">
        <v>747.0</v>
      </c>
      <c r="D748" s="2">
        <f>iferror(VLOOKUP(E748,'출결유형'!$L:$M,2,0),"")</f>
        <v>5</v>
      </c>
      <c r="E748" s="21" t="s">
        <v>189</v>
      </c>
      <c r="G748" s="2" t="str">
        <f t="shared" si="1"/>
        <v>INSERT INTO tblAttendanceScore VALUES (seqAttendanceScore.nextval, -0.25, 747, 5);</v>
      </c>
    </row>
    <row r="749">
      <c r="A749" s="1" t="s">
        <v>201</v>
      </c>
      <c r="B749" s="2">
        <f>iferror(VLOOKUP(E749,'출결유형'!$A:$C,2,0),"")</f>
        <v>-0.25</v>
      </c>
      <c r="C749" s="2">
        <v>748.0</v>
      </c>
      <c r="D749" s="2">
        <f>iferror(VLOOKUP(E749,'출결유형'!$L:$M,2,0),"")</f>
        <v>5</v>
      </c>
      <c r="E749" s="21" t="s">
        <v>189</v>
      </c>
      <c r="G749" s="2" t="str">
        <f t="shared" si="1"/>
        <v>INSERT INTO tblAttendanceScore VALUES (seqAttendanceScore.nextval, -0.25, 748, 5);</v>
      </c>
    </row>
    <row r="750">
      <c r="A750" s="1" t="s">
        <v>201</v>
      </c>
      <c r="B750" s="2">
        <f>iferror(VLOOKUP(E750,'출결유형'!$A:$C,2,0),"")</f>
        <v>-0.25</v>
      </c>
      <c r="C750" s="2">
        <v>749.0</v>
      </c>
      <c r="D750" s="2">
        <f>iferror(VLOOKUP(E750,'출결유형'!$L:$M,2,0),"")</f>
        <v>5</v>
      </c>
      <c r="E750" s="21" t="s">
        <v>189</v>
      </c>
      <c r="G750" s="2" t="str">
        <f t="shared" si="1"/>
        <v>INSERT INTO tblAttendanceScore VALUES (seqAttendanceScore.nextval, -0.25, 749, 5);</v>
      </c>
    </row>
    <row r="751">
      <c r="A751" s="1" t="s">
        <v>201</v>
      </c>
      <c r="B751" s="2">
        <f>iferror(VLOOKUP(E751,'출결유형'!$A:$C,2,0),"")</f>
        <v>-0.25</v>
      </c>
      <c r="C751" s="2">
        <v>750.0</v>
      </c>
      <c r="D751" s="2">
        <f>iferror(VLOOKUP(E751,'출결유형'!$L:$M,2,0),"")</f>
        <v>5</v>
      </c>
      <c r="E751" s="21" t="s">
        <v>189</v>
      </c>
      <c r="G751" s="2" t="str">
        <f t="shared" si="1"/>
        <v>INSERT INTO tblAttendanceScore VALUES (seqAttendanceScore.nextval, -0.25, 750, 5);</v>
      </c>
    </row>
    <row r="752">
      <c r="A752" s="1" t="s">
        <v>201</v>
      </c>
      <c r="B752" s="2">
        <f>iferror(VLOOKUP(E752,'출결유형'!$A:$C,2,0),"")</f>
        <v>-0.25</v>
      </c>
      <c r="C752" s="2">
        <v>751.0</v>
      </c>
      <c r="D752" s="2">
        <f>iferror(VLOOKUP(E752,'출결유형'!$L:$M,2,0),"")</f>
        <v>5</v>
      </c>
      <c r="E752" s="21" t="s">
        <v>189</v>
      </c>
      <c r="G752" s="2" t="str">
        <f t="shared" si="1"/>
        <v>INSERT INTO tblAttendanceScore VALUES (seqAttendanceScore.nextval, -0.25, 751, 5);</v>
      </c>
    </row>
    <row r="753">
      <c r="A753" s="1" t="s">
        <v>201</v>
      </c>
      <c r="B753" s="2">
        <f>iferror(VLOOKUP(E753,'출결유형'!$A:$C,2,0),"")</f>
        <v>0</v>
      </c>
      <c r="C753" s="2">
        <v>752.0</v>
      </c>
      <c r="D753" s="2">
        <f>iferror(VLOOKUP(E753,'출결유형'!$L:$M,2,0),"")</f>
        <v>1</v>
      </c>
      <c r="E753" s="21" t="s">
        <v>184</v>
      </c>
      <c r="G753" s="2" t="str">
        <f t="shared" si="1"/>
        <v>INSERT INTO tblAttendanceScore VALUES (seqAttendanceScore.nextval, 0, 752, 1);</v>
      </c>
    </row>
    <row r="754">
      <c r="A754" s="1" t="s">
        <v>201</v>
      </c>
      <c r="B754" s="2">
        <f>iferror(VLOOKUP(E754,'출결유형'!$A:$C,2,0),"")</f>
        <v>-0.25</v>
      </c>
      <c r="C754" s="2">
        <v>753.0</v>
      </c>
      <c r="D754" s="2">
        <f>iferror(VLOOKUP(E754,'출결유형'!$L:$M,2,0),"")</f>
        <v>5</v>
      </c>
      <c r="E754" s="21" t="s">
        <v>189</v>
      </c>
      <c r="G754" s="2" t="str">
        <f t="shared" si="1"/>
        <v>INSERT INTO tblAttendanceScore VALUES (seqAttendanceScore.nextval, -0.25, 753, 5);</v>
      </c>
    </row>
    <row r="755">
      <c r="A755" s="1" t="s">
        <v>201</v>
      </c>
      <c r="B755" s="2">
        <f>iferror(VLOOKUP(E755,'출결유형'!$A:$C,2,0),"")</f>
        <v>-0.25</v>
      </c>
      <c r="C755" s="2">
        <v>754.0</v>
      </c>
      <c r="D755" s="2">
        <f>iferror(VLOOKUP(E755,'출결유형'!$L:$M,2,0),"")</f>
        <v>5</v>
      </c>
      <c r="E755" s="21" t="s">
        <v>189</v>
      </c>
      <c r="G755" s="2" t="str">
        <f t="shared" si="1"/>
        <v>INSERT INTO tblAttendanceScore VALUES (seqAttendanceScore.nextval, -0.25, 754, 5);</v>
      </c>
    </row>
    <row r="756">
      <c r="A756" s="1" t="s">
        <v>201</v>
      </c>
      <c r="B756" s="2">
        <f>iferror(VLOOKUP(E756,'출결유형'!$A:$C,2,0),"")</f>
        <v>-0.25</v>
      </c>
      <c r="C756" s="2">
        <v>755.0</v>
      </c>
      <c r="D756" s="2">
        <f>iferror(VLOOKUP(E756,'출결유형'!$L:$M,2,0),"")</f>
        <v>5</v>
      </c>
      <c r="E756" s="21" t="s">
        <v>189</v>
      </c>
      <c r="G756" s="2" t="str">
        <f t="shared" si="1"/>
        <v>INSERT INTO tblAttendanceScore VALUES (seqAttendanceScore.nextval, -0.25, 755, 5);</v>
      </c>
    </row>
    <row r="757">
      <c r="A757" s="1" t="s">
        <v>201</v>
      </c>
      <c r="B757" s="2">
        <f>iferror(VLOOKUP(E757,'출결유형'!$A:$C,2,0),"")</f>
        <v>0</v>
      </c>
      <c r="C757" s="2">
        <v>756.0</v>
      </c>
      <c r="D757" s="2">
        <f>iferror(VLOOKUP(E757,'출결유형'!$L:$M,2,0),"")</f>
        <v>1</v>
      </c>
      <c r="E757" s="21" t="s">
        <v>184</v>
      </c>
      <c r="G757" s="2" t="str">
        <f t="shared" si="1"/>
        <v>INSERT INTO tblAttendanceScore VALUES (seqAttendanceScore.nextval, 0, 756, 1);</v>
      </c>
    </row>
    <row r="758">
      <c r="A758" s="1" t="s">
        <v>201</v>
      </c>
      <c r="B758" s="2">
        <f>iferror(VLOOKUP(E758,'출결유형'!$A:$C,2,0),"")</f>
        <v>-1</v>
      </c>
      <c r="C758" s="2">
        <v>757.0</v>
      </c>
      <c r="D758" s="2">
        <f>iferror(VLOOKUP(E758,'출결유형'!$L:$M,2,0),"")</f>
        <v>2</v>
      </c>
      <c r="E758" s="21" t="s">
        <v>186</v>
      </c>
      <c r="G758" s="2" t="str">
        <f t="shared" si="1"/>
        <v>INSERT INTO tblAttendanceScore VALUES (seqAttendanceScore.nextval, -1, 757, 2);</v>
      </c>
    </row>
    <row r="759">
      <c r="A759" s="1" t="s">
        <v>201</v>
      </c>
      <c r="B759" s="2">
        <f>iferror(VLOOKUP(E759,'출결유형'!$A:$C,2,0),"")</f>
        <v>-0.25</v>
      </c>
      <c r="C759" s="2">
        <v>758.0</v>
      </c>
      <c r="D759" s="2">
        <f>iferror(VLOOKUP(E759,'출결유형'!$L:$M,2,0),"")</f>
        <v>5</v>
      </c>
      <c r="E759" s="21" t="s">
        <v>189</v>
      </c>
      <c r="G759" s="2" t="str">
        <f t="shared" si="1"/>
        <v>INSERT INTO tblAttendanceScore VALUES (seqAttendanceScore.nextval, -0.25, 758, 5);</v>
      </c>
    </row>
    <row r="760">
      <c r="A760" s="1" t="s">
        <v>201</v>
      </c>
      <c r="B760" s="2">
        <f>iferror(VLOOKUP(E760,'출결유형'!$A:$C,2,0),"")</f>
        <v>0</v>
      </c>
      <c r="C760" s="2">
        <v>759.0</v>
      </c>
      <c r="D760" s="2">
        <f>iferror(VLOOKUP(E760,'출결유형'!$L:$M,2,0),"")</f>
        <v>1</v>
      </c>
      <c r="E760" s="21" t="s">
        <v>184</v>
      </c>
      <c r="G760" s="2" t="str">
        <f t="shared" si="1"/>
        <v>INSERT INTO tblAttendanceScore VALUES (seqAttendanceScore.nextval, 0, 759, 1);</v>
      </c>
    </row>
    <row r="761">
      <c r="A761" s="1" t="s">
        <v>201</v>
      </c>
      <c r="B761" s="2">
        <f>iferror(VLOOKUP(E761,'출결유형'!$A:$C,2,0),"")</f>
        <v>-0.25</v>
      </c>
      <c r="C761" s="2">
        <v>760.0</v>
      </c>
      <c r="D761" s="2">
        <f>iferror(VLOOKUP(E761,'출결유형'!$L:$M,2,0),"")</f>
        <v>5</v>
      </c>
      <c r="E761" s="21" t="s">
        <v>189</v>
      </c>
      <c r="G761" s="2" t="str">
        <f t="shared" si="1"/>
        <v>INSERT INTO tblAttendanceScore VALUES (seqAttendanceScore.nextval, -0.25, 760, 5);</v>
      </c>
    </row>
    <row r="762">
      <c r="A762" s="1" t="s">
        <v>201</v>
      </c>
      <c r="B762" s="2">
        <f>iferror(VLOOKUP(E762,'출결유형'!$A:$C,2,0),"")</f>
        <v>0</v>
      </c>
      <c r="C762" s="2">
        <v>761.0</v>
      </c>
      <c r="D762" s="2">
        <f>iferror(VLOOKUP(E762,'출결유형'!$L:$M,2,0),"")</f>
        <v>1</v>
      </c>
      <c r="E762" s="21" t="s">
        <v>184</v>
      </c>
      <c r="G762" s="2" t="str">
        <f t="shared" si="1"/>
        <v>INSERT INTO tblAttendanceScore VALUES (seqAttendanceScore.nextval, 0, 761, 1);</v>
      </c>
    </row>
    <row r="763">
      <c r="A763" s="1" t="s">
        <v>201</v>
      </c>
      <c r="B763" s="2">
        <f>iferror(VLOOKUP(E763,'출결유형'!$A:$C,2,0),"")</f>
        <v>0</v>
      </c>
      <c r="C763" s="2">
        <v>762.0</v>
      </c>
      <c r="D763" s="2">
        <f>iferror(VLOOKUP(E763,'출결유형'!$L:$M,2,0),"")</f>
        <v>1</v>
      </c>
      <c r="E763" s="21" t="s">
        <v>184</v>
      </c>
      <c r="G763" s="2" t="str">
        <f t="shared" si="1"/>
        <v>INSERT INTO tblAttendanceScore VALUES (seqAttendanceScore.nextval, 0, 762, 1);</v>
      </c>
    </row>
    <row r="764">
      <c r="A764" s="1" t="s">
        <v>201</v>
      </c>
      <c r="B764" s="2">
        <f>iferror(VLOOKUP(E764,'출결유형'!$A:$C,2,0),"")</f>
        <v>0</v>
      </c>
      <c r="C764" s="2">
        <v>763.0</v>
      </c>
      <c r="D764" s="2">
        <f>iferror(VLOOKUP(E764,'출결유형'!$L:$M,2,0),"")</f>
        <v>1</v>
      </c>
      <c r="E764" s="21" t="s">
        <v>184</v>
      </c>
      <c r="G764" s="2" t="str">
        <f t="shared" si="1"/>
        <v>INSERT INTO tblAttendanceScore VALUES (seqAttendanceScore.nextval, 0, 763, 1);</v>
      </c>
    </row>
    <row r="765">
      <c r="A765" s="1" t="s">
        <v>201</v>
      </c>
      <c r="B765" s="2">
        <f>iferror(VLOOKUP(E765,'출결유형'!$A:$C,2,0),"")</f>
        <v>-0.25</v>
      </c>
      <c r="C765" s="2">
        <v>764.0</v>
      </c>
      <c r="D765" s="2">
        <f>iferror(VLOOKUP(E765,'출결유형'!$L:$M,2,0),"")</f>
        <v>5</v>
      </c>
      <c r="E765" s="21" t="s">
        <v>189</v>
      </c>
      <c r="G765" s="2" t="str">
        <f t="shared" si="1"/>
        <v>INSERT INTO tblAttendanceScore VALUES (seqAttendanceScore.nextval, -0.25, 764, 5);</v>
      </c>
    </row>
    <row r="766">
      <c r="A766" s="1" t="s">
        <v>201</v>
      </c>
      <c r="B766" s="2">
        <f>iferror(VLOOKUP(E766,'출결유형'!$A:$C,2,0),"")</f>
        <v>0</v>
      </c>
      <c r="C766" s="2">
        <v>765.0</v>
      </c>
      <c r="D766" s="2">
        <f>iferror(VLOOKUP(E766,'출결유형'!$L:$M,2,0),"")</f>
        <v>1</v>
      </c>
      <c r="E766" s="21" t="s">
        <v>184</v>
      </c>
      <c r="G766" s="2" t="str">
        <f t="shared" si="1"/>
        <v>INSERT INTO tblAttendanceScore VALUES (seqAttendanceScore.nextval, 0, 765, 1);</v>
      </c>
    </row>
    <row r="767">
      <c r="A767" s="1" t="s">
        <v>201</v>
      </c>
      <c r="B767" s="2">
        <f>iferror(VLOOKUP(E767,'출결유형'!$A:$C,2,0),"")</f>
        <v>0</v>
      </c>
      <c r="C767" s="2">
        <v>766.0</v>
      </c>
      <c r="D767" s="2">
        <f>iferror(VLOOKUP(E767,'출결유형'!$L:$M,2,0),"")</f>
        <v>1</v>
      </c>
      <c r="E767" s="21" t="s">
        <v>184</v>
      </c>
      <c r="G767" s="2" t="str">
        <f t="shared" si="1"/>
        <v>INSERT INTO tblAttendanceScore VALUES (seqAttendanceScore.nextval, 0, 766, 1);</v>
      </c>
    </row>
    <row r="768">
      <c r="A768" s="1" t="s">
        <v>201</v>
      </c>
      <c r="B768" s="2">
        <f>iferror(VLOOKUP(E768,'출결유형'!$A:$C,2,0),"")</f>
        <v>0</v>
      </c>
      <c r="C768" s="2">
        <v>767.0</v>
      </c>
      <c r="D768" s="2">
        <f>iferror(VLOOKUP(E768,'출결유형'!$L:$M,2,0),"")</f>
        <v>1</v>
      </c>
      <c r="E768" s="21" t="s">
        <v>184</v>
      </c>
      <c r="G768" s="2" t="str">
        <f t="shared" si="1"/>
        <v>INSERT INTO tblAttendanceScore VALUES (seqAttendanceScore.nextval, 0, 767, 1);</v>
      </c>
    </row>
    <row r="769">
      <c r="A769" s="1" t="s">
        <v>201</v>
      </c>
      <c r="B769" s="2">
        <f>iferror(VLOOKUP(E769,'출결유형'!$A:$C,2,0),"")</f>
        <v>-0.25</v>
      </c>
      <c r="C769" s="2">
        <v>768.0</v>
      </c>
      <c r="D769" s="2">
        <f>iferror(VLOOKUP(E769,'출결유형'!$L:$M,2,0),"")</f>
        <v>5</v>
      </c>
      <c r="E769" s="21" t="s">
        <v>189</v>
      </c>
      <c r="G769" s="2" t="str">
        <f t="shared" si="1"/>
        <v>INSERT INTO tblAttendanceScore VALUES (seqAttendanceScore.nextval, -0.25, 768, 5);</v>
      </c>
    </row>
    <row r="770">
      <c r="A770" s="1" t="s">
        <v>201</v>
      </c>
      <c r="B770" s="2">
        <f>iferror(VLOOKUP(E770,'출결유형'!$A:$C,2,0),"")</f>
        <v>0</v>
      </c>
      <c r="C770" s="2">
        <v>769.0</v>
      </c>
      <c r="D770" s="2">
        <f>iferror(VLOOKUP(E770,'출결유형'!$L:$M,2,0),"")</f>
        <v>1</v>
      </c>
      <c r="E770" s="21" t="s">
        <v>184</v>
      </c>
      <c r="G770" s="2" t="str">
        <f t="shared" si="1"/>
        <v>INSERT INTO tblAttendanceScore VALUES (seqAttendanceScore.nextval, 0, 769, 1);</v>
      </c>
    </row>
    <row r="771">
      <c r="A771" s="1" t="s">
        <v>201</v>
      </c>
      <c r="B771" s="2">
        <f>iferror(VLOOKUP(E771,'출결유형'!$A:$C,2,0),"")</f>
        <v>-0.25</v>
      </c>
      <c r="C771" s="2">
        <v>770.0</v>
      </c>
      <c r="D771" s="2">
        <f>iferror(VLOOKUP(E771,'출결유형'!$L:$M,2,0),"")</f>
        <v>5</v>
      </c>
      <c r="E771" s="21" t="s">
        <v>189</v>
      </c>
      <c r="G771" s="2" t="str">
        <f t="shared" si="1"/>
        <v>INSERT INTO tblAttendanceScore VALUES (seqAttendanceScore.nextval, -0.25, 770, 5);</v>
      </c>
    </row>
    <row r="772">
      <c r="A772" s="1" t="s">
        <v>201</v>
      </c>
      <c r="B772" s="2">
        <f>iferror(VLOOKUP(E772,'출결유형'!$A:$C,2,0),"")</f>
        <v>-0.25</v>
      </c>
      <c r="C772" s="2">
        <v>771.0</v>
      </c>
      <c r="D772" s="2">
        <f>iferror(VLOOKUP(E772,'출결유형'!$L:$M,2,0),"")</f>
        <v>5</v>
      </c>
      <c r="E772" s="21" t="s">
        <v>189</v>
      </c>
      <c r="G772" s="2" t="str">
        <f t="shared" si="1"/>
        <v>INSERT INTO tblAttendanceScore VALUES (seqAttendanceScore.nextval, -0.25, 771, 5);</v>
      </c>
    </row>
    <row r="773">
      <c r="A773" s="1" t="s">
        <v>201</v>
      </c>
      <c r="B773" s="2">
        <f>iferror(VLOOKUP(E773,'출결유형'!$A:$C,2,0),"")</f>
        <v>0</v>
      </c>
      <c r="C773" s="2">
        <v>772.0</v>
      </c>
      <c r="D773" s="2">
        <f>iferror(VLOOKUP(E773,'출결유형'!$L:$M,2,0),"")</f>
        <v>1</v>
      </c>
      <c r="E773" s="21" t="s">
        <v>184</v>
      </c>
      <c r="G773" s="2" t="str">
        <f t="shared" si="1"/>
        <v>INSERT INTO tblAttendanceScore VALUES (seqAttendanceScore.nextval, 0, 772, 1);</v>
      </c>
    </row>
    <row r="774">
      <c r="A774" s="1" t="s">
        <v>201</v>
      </c>
      <c r="B774" s="2">
        <f>iferror(VLOOKUP(E774,'출결유형'!$A:$C,2,0),"")</f>
        <v>-0.25</v>
      </c>
      <c r="C774" s="2">
        <v>773.0</v>
      </c>
      <c r="D774" s="2">
        <f>iferror(VLOOKUP(E774,'출결유형'!$L:$M,2,0),"")</f>
        <v>5</v>
      </c>
      <c r="E774" s="21" t="s">
        <v>189</v>
      </c>
      <c r="G774" s="2" t="str">
        <f t="shared" si="1"/>
        <v>INSERT INTO tblAttendanceScore VALUES (seqAttendanceScore.nextval, -0.25, 773, 5);</v>
      </c>
    </row>
    <row r="775">
      <c r="A775" s="1" t="s">
        <v>201</v>
      </c>
      <c r="B775" s="2">
        <f>iferror(VLOOKUP(E775,'출결유형'!$A:$C,2,0),"")</f>
        <v>-0.25</v>
      </c>
      <c r="C775" s="2">
        <v>774.0</v>
      </c>
      <c r="D775" s="2">
        <f>iferror(VLOOKUP(E775,'출결유형'!$L:$M,2,0),"")</f>
        <v>5</v>
      </c>
      <c r="E775" s="21" t="s">
        <v>189</v>
      </c>
      <c r="G775" s="2" t="str">
        <f t="shared" si="1"/>
        <v>INSERT INTO tblAttendanceScore VALUES (seqAttendanceScore.nextval, -0.25, 774, 5);</v>
      </c>
    </row>
    <row r="776">
      <c r="A776" s="1" t="s">
        <v>201</v>
      </c>
      <c r="B776" s="2">
        <f>iferror(VLOOKUP(E776,'출결유형'!$A:$C,2,0),"")</f>
        <v>-0.25</v>
      </c>
      <c r="C776" s="2">
        <v>775.0</v>
      </c>
      <c r="D776" s="2">
        <f>iferror(VLOOKUP(E776,'출결유형'!$L:$M,2,0),"")</f>
        <v>5</v>
      </c>
      <c r="E776" s="21" t="s">
        <v>189</v>
      </c>
      <c r="G776" s="2" t="str">
        <f t="shared" si="1"/>
        <v>INSERT INTO tblAttendanceScore VALUES (seqAttendanceScore.nextval, -0.25, 775, 5);</v>
      </c>
    </row>
    <row r="777">
      <c r="A777" s="1" t="s">
        <v>201</v>
      </c>
      <c r="B777" s="2">
        <f>iferror(VLOOKUP(E777,'출결유형'!$A:$C,2,0),"")</f>
        <v>0</v>
      </c>
      <c r="C777" s="2">
        <v>776.0</v>
      </c>
      <c r="D777" s="2">
        <f>iferror(VLOOKUP(E777,'출결유형'!$L:$M,2,0),"")</f>
        <v>1</v>
      </c>
      <c r="E777" s="21" t="s">
        <v>184</v>
      </c>
      <c r="G777" s="2" t="str">
        <f t="shared" si="1"/>
        <v>INSERT INTO tblAttendanceScore VALUES (seqAttendanceScore.nextval, 0, 776, 1);</v>
      </c>
    </row>
    <row r="778">
      <c r="A778" s="1" t="s">
        <v>201</v>
      </c>
      <c r="B778" s="2">
        <f>iferror(VLOOKUP(E778,'출결유형'!$A:$C,2,0),"")</f>
        <v>0</v>
      </c>
      <c r="C778" s="2">
        <v>777.0</v>
      </c>
      <c r="D778" s="2">
        <f>iferror(VLOOKUP(E778,'출결유형'!$L:$M,2,0),"")</f>
        <v>1</v>
      </c>
      <c r="E778" s="21" t="s">
        <v>184</v>
      </c>
      <c r="G778" s="2" t="str">
        <f t="shared" si="1"/>
        <v>INSERT INTO tblAttendanceScore VALUES (seqAttendanceScore.nextval, 0, 777, 1);</v>
      </c>
    </row>
    <row r="779">
      <c r="A779" s="1" t="s">
        <v>201</v>
      </c>
      <c r="B779" s="2">
        <f>iferror(VLOOKUP(E779,'출결유형'!$A:$C,2,0),"")</f>
        <v>-0.25</v>
      </c>
      <c r="C779" s="2">
        <v>778.0</v>
      </c>
      <c r="D779" s="2">
        <f>iferror(VLOOKUP(E779,'출결유형'!$L:$M,2,0),"")</f>
        <v>5</v>
      </c>
      <c r="E779" s="21" t="s">
        <v>189</v>
      </c>
      <c r="G779" s="2" t="str">
        <f t="shared" si="1"/>
        <v>INSERT INTO tblAttendanceScore VALUES (seqAttendanceScore.nextval, -0.25, 778, 5);</v>
      </c>
    </row>
    <row r="780">
      <c r="A780" s="1" t="s">
        <v>201</v>
      </c>
      <c r="B780" s="2">
        <f>iferror(VLOOKUP(E780,'출결유형'!$A:$C,2,0),"")</f>
        <v>-0.25</v>
      </c>
      <c r="C780" s="2">
        <v>779.0</v>
      </c>
      <c r="D780" s="2">
        <f>iferror(VLOOKUP(E780,'출결유형'!$L:$M,2,0),"")</f>
        <v>5</v>
      </c>
      <c r="E780" s="21" t="s">
        <v>189</v>
      </c>
      <c r="G780" s="2" t="str">
        <f t="shared" si="1"/>
        <v>INSERT INTO tblAttendanceScore VALUES (seqAttendanceScore.nextval, -0.25, 779, 5);</v>
      </c>
    </row>
    <row r="781">
      <c r="A781" s="1" t="s">
        <v>201</v>
      </c>
      <c r="B781" s="2">
        <f>iferror(VLOOKUP(E781,'출결유형'!$A:$C,2,0),"")</f>
        <v>-0.25</v>
      </c>
      <c r="C781" s="2">
        <v>780.0</v>
      </c>
      <c r="D781" s="2">
        <f>iferror(VLOOKUP(E781,'출결유형'!$L:$M,2,0),"")</f>
        <v>5</v>
      </c>
      <c r="E781" s="21" t="s">
        <v>189</v>
      </c>
      <c r="G781" s="2" t="str">
        <f t="shared" si="1"/>
        <v>INSERT INTO tblAttendanceScore VALUES (seqAttendanceScore.nextval, -0.25, 780, 5);</v>
      </c>
    </row>
    <row r="782">
      <c r="A782" s="1" t="s">
        <v>201</v>
      </c>
      <c r="B782" s="2">
        <f>iferror(VLOOKUP(E782,'출결유형'!$A:$C,2,0),"")</f>
        <v>-0.25</v>
      </c>
      <c r="C782" s="2">
        <v>781.0</v>
      </c>
      <c r="D782" s="2">
        <f>iferror(VLOOKUP(E782,'출결유형'!$L:$M,2,0),"")</f>
        <v>5</v>
      </c>
      <c r="E782" s="21" t="s">
        <v>189</v>
      </c>
      <c r="G782" s="2" t="str">
        <f t="shared" si="1"/>
        <v>INSERT INTO tblAttendanceScore VALUES (seqAttendanceScore.nextval, -0.25, 781, 5);</v>
      </c>
    </row>
    <row r="783">
      <c r="A783" s="1" t="s">
        <v>201</v>
      </c>
      <c r="B783" s="2">
        <f>iferror(VLOOKUP(E783,'출결유형'!$A:$C,2,0),"")</f>
        <v>-0.25</v>
      </c>
      <c r="C783" s="2">
        <v>782.0</v>
      </c>
      <c r="D783" s="2">
        <f>iferror(VLOOKUP(E783,'출결유형'!$L:$M,2,0),"")</f>
        <v>5</v>
      </c>
      <c r="E783" s="21" t="s">
        <v>189</v>
      </c>
      <c r="G783" s="2" t="str">
        <f t="shared" si="1"/>
        <v>INSERT INTO tblAttendanceScore VALUES (seqAttendanceScore.nextval, -0.25, 782, 5);</v>
      </c>
    </row>
    <row r="784">
      <c r="A784" s="1" t="s">
        <v>201</v>
      </c>
      <c r="B784" s="2">
        <f>iferror(VLOOKUP(E784,'출결유형'!$A:$C,2,0),"")</f>
        <v>0</v>
      </c>
      <c r="C784" s="2">
        <v>783.0</v>
      </c>
      <c r="D784" s="2">
        <f>iferror(VLOOKUP(E784,'출결유형'!$L:$M,2,0),"")</f>
        <v>1</v>
      </c>
      <c r="E784" s="21" t="s">
        <v>184</v>
      </c>
      <c r="G784" s="2" t="str">
        <f t="shared" si="1"/>
        <v>INSERT INTO tblAttendanceScore VALUES (seqAttendanceScore.nextval, 0, 783, 1);</v>
      </c>
    </row>
    <row r="785">
      <c r="A785" s="1" t="s">
        <v>201</v>
      </c>
      <c r="B785" s="2">
        <f>iferror(VLOOKUP(E785,'출결유형'!$A:$C,2,0),"")</f>
        <v>0</v>
      </c>
      <c r="C785" s="2">
        <v>784.0</v>
      </c>
      <c r="D785" s="2">
        <f>iferror(VLOOKUP(E785,'출결유형'!$L:$M,2,0),"")</f>
        <v>1</v>
      </c>
      <c r="E785" s="21" t="s">
        <v>184</v>
      </c>
      <c r="G785" s="2" t="str">
        <f t="shared" si="1"/>
        <v>INSERT INTO tblAttendanceScore VALUES (seqAttendanceScore.nextval, 0, 784, 1);</v>
      </c>
    </row>
    <row r="786">
      <c r="A786" s="1" t="s">
        <v>201</v>
      </c>
      <c r="B786" s="2">
        <f>iferror(VLOOKUP(E786,'출결유형'!$A:$C,2,0),"")</f>
        <v>-0.25</v>
      </c>
      <c r="C786" s="2">
        <v>785.0</v>
      </c>
      <c r="D786" s="2">
        <f>iferror(VLOOKUP(E786,'출결유형'!$L:$M,2,0),"")</f>
        <v>5</v>
      </c>
      <c r="E786" s="21" t="s">
        <v>189</v>
      </c>
      <c r="G786" s="2" t="str">
        <f t="shared" si="1"/>
        <v>INSERT INTO tblAttendanceScore VALUES (seqAttendanceScore.nextval, -0.25, 785, 5);</v>
      </c>
    </row>
    <row r="787">
      <c r="A787" s="1" t="s">
        <v>201</v>
      </c>
      <c r="B787" s="2">
        <f>iferror(VLOOKUP(E787,'출결유형'!$A:$C,2,0),"")</f>
        <v>-0.25</v>
      </c>
      <c r="C787" s="2">
        <v>786.0</v>
      </c>
      <c r="D787" s="2">
        <f>iferror(VLOOKUP(E787,'출결유형'!$L:$M,2,0),"")</f>
        <v>5</v>
      </c>
      <c r="E787" s="21" t="s">
        <v>189</v>
      </c>
      <c r="G787" s="2" t="str">
        <f t="shared" si="1"/>
        <v>INSERT INTO tblAttendanceScore VALUES (seqAttendanceScore.nextval, -0.25, 786, 5);</v>
      </c>
    </row>
    <row r="788">
      <c r="A788" s="1" t="s">
        <v>201</v>
      </c>
      <c r="B788" s="2">
        <f>iferror(VLOOKUP(E788,'출결유형'!$A:$C,2,0),"")</f>
        <v>-0.25</v>
      </c>
      <c r="C788" s="2">
        <v>787.0</v>
      </c>
      <c r="D788" s="2">
        <f>iferror(VLOOKUP(E788,'출결유형'!$L:$M,2,0),"")</f>
        <v>5</v>
      </c>
      <c r="E788" s="21" t="s">
        <v>189</v>
      </c>
      <c r="G788" s="2" t="str">
        <f t="shared" si="1"/>
        <v>INSERT INTO tblAttendanceScore VALUES (seqAttendanceScore.nextval, -0.25, 787, 5);</v>
      </c>
    </row>
    <row r="789">
      <c r="A789" s="1" t="s">
        <v>201</v>
      </c>
      <c r="B789" s="2">
        <f>iferror(VLOOKUP(E789,'출결유형'!$A:$C,2,0),"")</f>
        <v>0</v>
      </c>
      <c r="C789" s="2">
        <v>788.0</v>
      </c>
      <c r="D789" s="2">
        <f>iferror(VLOOKUP(E789,'출결유형'!$L:$M,2,0),"")</f>
        <v>1</v>
      </c>
      <c r="E789" s="21" t="s">
        <v>184</v>
      </c>
      <c r="G789" s="2" t="str">
        <f t="shared" si="1"/>
        <v>INSERT INTO tblAttendanceScore VALUES (seqAttendanceScore.nextval, 0, 788, 1);</v>
      </c>
    </row>
    <row r="790">
      <c r="A790" s="1" t="s">
        <v>201</v>
      </c>
      <c r="B790" s="2">
        <f>iferror(VLOOKUP(E790,'출결유형'!$A:$C,2,0),"")</f>
        <v>0</v>
      </c>
      <c r="C790" s="2">
        <v>789.0</v>
      </c>
      <c r="D790" s="2">
        <f>iferror(VLOOKUP(E790,'출결유형'!$L:$M,2,0),"")</f>
        <v>1</v>
      </c>
      <c r="E790" s="21" t="s">
        <v>184</v>
      </c>
      <c r="G790" s="2" t="str">
        <f t="shared" si="1"/>
        <v>INSERT INTO tblAttendanceScore VALUES (seqAttendanceScore.nextval, 0, 789, 1);</v>
      </c>
    </row>
    <row r="791">
      <c r="A791" s="1" t="s">
        <v>201</v>
      </c>
      <c r="B791" s="2">
        <f>iferror(VLOOKUP(E791,'출결유형'!$A:$C,2,0),"")</f>
        <v>-0.25</v>
      </c>
      <c r="C791" s="2">
        <v>790.0</v>
      </c>
      <c r="D791" s="2">
        <f>iferror(VLOOKUP(E791,'출결유형'!$L:$M,2,0),"")</f>
        <v>5</v>
      </c>
      <c r="E791" s="21" t="s">
        <v>189</v>
      </c>
      <c r="G791" s="2" t="str">
        <f t="shared" si="1"/>
        <v>INSERT INTO tblAttendanceScore VALUES (seqAttendanceScore.nextval, -0.25, 790, 5);</v>
      </c>
    </row>
    <row r="792">
      <c r="A792" s="1" t="s">
        <v>201</v>
      </c>
      <c r="B792" s="2">
        <f>iferror(VLOOKUP(E792,'출결유형'!$A:$C,2,0),"")</f>
        <v>-0.25</v>
      </c>
      <c r="C792" s="2">
        <v>791.0</v>
      </c>
      <c r="D792" s="2">
        <f>iferror(VLOOKUP(E792,'출결유형'!$L:$M,2,0),"")</f>
        <v>5</v>
      </c>
      <c r="E792" s="21" t="s">
        <v>189</v>
      </c>
      <c r="G792" s="2" t="str">
        <f t="shared" si="1"/>
        <v>INSERT INTO tblAttendanceScore VALUES (seqAttendanceScore.nextval, -0.25, 791, 5);</v>
      </c>
    </row>
    <row r="793">
      <c r="A793" s="1" t="s">
        <v>201</v>
      </c>
      <c r="B793" s="2">
        <f>iferror(VLOOKUP(E793,'출결유형'!$A:$C,2,0),"")</f>
        <v>0</v>
      </c>
      <c r="C793" s="2">
        <v>792.0</v>
      </c>
      <c r="D793" s="2">
        <f>iferror(VLOOKUP(E793,'출결유형'!$L:$M,2,0),"")</f>
        <v>1</v>
      </c>
      <c r="E793" s="21" t="s">
        <v>184</v>
      </c>
      <c r="G793" s="2" t="str">
        <f t="shared" si="1"/>
        <v>INSERT INTO tblAttendanceScore VALUES (seqAttendanceScore.nextval, 0, 792, 1);</v>
      </c>
    </row>
    <row r="794">
      <c r="A794" s="1" t="s">
        <v>201</v>
      </c>
      <c r="B794" s="2">
        <f>iferror(VLOOKUP(E794,'출결유형'!$A:$C,2,0),"")</f>
        <v>-0.25</v>
      </c>
      <c r="C794" s="2">
        <v>793.0</v>
      </c>
      <c r="D794" s="2">
        <f>iferror(VLOOKUP(E794,'출결유형'!$L:$M,2,0),"")</f>
        <v>5</v>
      </c>
      <c r="E794" s="21" t="s">
        <v>189</v>
      </c>
      <c r="G794" s="2" t="str">
        <f t="shared" si="1"/>
        <v>INSERT INTO tblAttendanceScore VALUES (seqAttendanceScore.nextval, -0.25, 793, 5);</v>
      </c>
    </row>
    <row r="795">
      <c r="A795" s="1" t="s">
        <v>201</v>
      </c>
      <c r="B795" s="2">
        <f>iferror(VLOOKUP(E795,'출결유형'!$A:$C,2,0),"")</f>
        <v>-0.25</v>
      </c>
      <c r="C795" s="2">
        <v>794.0</v>
      </c>
      <c r="D795" s="2">
        <f>iferror(VLOOKUP(E795,'출결유형'!$L:$M,2,0),"")</f>
        <v>5</v>
      </c>
      <c r="E795" s="21" t="s">
        <v>189</v>
      </c>
      <c r="G795" s="2" t="str">
        <f t="shared" si="1"/>
        <v>INSERT INTO tblAttendanceScore VALUES (seqAttendanceScore.nextval, -0.25, 794, 5);</v>
      </c>
    </row>
    <row r="796">
      <c r="A796" s="1" t="s">
        <v>201</v>
      </c>
      <c r="B796" s="2">
        <f>iferror(VLOOKUP(E796,'출결유형'!$A:$C,2,0),"")</f>
        <v>-0.25</v>
      </c>
      <c r="C796" s="2">
        <v>795.0</v>
      </c>
      <c r="D796" s="2">
        <f>iferror(VLOOKUP(E796,'출결유형'!$L:$M,2,0),"")</f>
        <v>5</v>
      </c>
      <c r="E796" s="21" t="s">
        <v>189</v>
      </c>
      <c r="G796" s="2" t="str">
        <f t="shared" si="1"/>
        <v>INSERT INTO tblAttendanceScore VALUES (seqAttendanceScore.nextval, -0.25, 795, 5);</v>
      </c>
    </row>
    <row r="797">
      <c r="A797" s="1" t="s">
        <v>201</v>
      </c>
      <c r="B797" s="2">
        <f>iferror(VLOOKUP(E797,'출결유형'!$A:$C,2,0),"")</f>
        <v>0</v>
      </c>
      <c r="C797" s="2">
        <v>796.0</v>
      </c>
      <c r="D797" s="2">
        <f>iferror(VLOOKUP(E797,'출결유형'!$L:$M,2,0),"")</f>
        <v>1</v>
      </c>
      <c r="E797" s="21" t="s">
        <v>184</v>
      </c>
      <c r="G797" s="2" t="str">
        <f t="shared" si="1"/>
        <v>INSERT INTO tblAttendanceScore VALUES (seqAttendanceScore.nextval, 0, 796, 1);</v>
      </c>
    </row>
    <row r="798">
      <c r="A798" s="1" t="s">
        <v>201</v>
      </c>
      <c r="B798" s="2">
        <f>iferror(VLOOKUP(E798,'출결유형'!$A:$C,2,0),"")</f>
        <v>-0.25</v>
      </c>
      <c r="C798" s="2">
        <v>797.0</v>
      </c>
      <c r="D798" s="2">
        <f>iferror(VLOOKUP(E798,'출결유형'!$L:$M,2,0),"")</f>
        <v>5</v>
      </c>
      <c r="E798" s="21" t="s">
        <v>189</v>
      </c>
      <c r="G798" s="2" t="str">
        <f t="shared" si="1"/>
        <v>INSERT INTO tblAttendanceScore VALUES (seqAttendanceScore.nextval, -0.25, 797, 5);</v>
      </c>
    </row>
    <row r="799">
      <c r="A799" s="1" t="s">
        <v>201</v>
      </c>
      <c r="B799" s="2">
        <f>iferror(VLOOKUP(E799,'출결유형'!$A:$C,2,0),"")</f>
        <v>-0.25</v>
      </c>
      <c r="C799" s="2">
        <v>798.0</v>
      </c>
      <c r="D799" s="2">
        <f>iferror(VLOOKUP(E799,'출결유형'!$L:$M,2,0),"")</f>
        <v>5</v>
      </c>
      <c r="E799" s="21" t="s">
        <v>189</v>
      </c>
      <c r="G799" s="2" t="str">
        <f t="shared" si="1"/>
        <v>INSERT INTO tblAttendanceScore VALUES (seqAttendanceScore.nextval, -0.25, 798, 5);</v>
      </c>
    </row>
    <row r="800">
      <c r="A800" s="1" t="s">
        <v>201</v>
      </c>
      <c r="B800" s="2">
        <f>iferror(VLOOKUP(E800,'출결유형'!$A:$C,2,0),"")</f>
        <v>-0.25</v>
      </c>
      <c r="C800" s="2">
        <v>799.0</v>
      </c>
      <c r="D800" s="2">
        <f>iferror(VLOOKUP(E800,'출결유형'!$L:$M,2,0),"")</f>
        <v>5</v>
      </c>
      <c r="E800" s="21" t="s">
        <v>189</v>
      </c>
      <c r="G800" s="2" t="str">
        <f t="shared" si="1"/>
        <v>INSERT INTO tblAttendanceScore VALUES (seqAttendanceScore.nextval, -0.25, 799, 5);</v>
      </c>
    </row>
    <row r="801">
      <c r="A801" s="1" t="s">
        <v>201</v>
      </c>
      <c r="B801" s="2">
        <f>iferror(VLOOKUP(E801,'출결유형'!$A:$C,2,0),"")</f>
        <v>-0.25</v>
      </c>
      <c r="C801" s="2">
        <v>800.0</v>
      </c>
      <c r="D801" s="2">
        <f>iferror(VLOOKUP(E801,'출결유형'!$L:$M,2,0),"")</f>
        <v>5</v>
      </c>
      <c r="E801" s="21" t="s">
        <v>189</v>
      </c>
      <c r="G801" s="2" t="str">
        <f t="shared" si="1"/>
        <v>INSERT INTO tblAttendanceScore VALUES (seqAttendanceScore.nextval, -0.25, 800, 5);</v>
      </c>
    </row>
    <row r="802">
      <c r="A802" s="1" t="s">
        <v>201</v>
      </c>
      <c r="B802" s="2">
        <f>iferror(VLOOKUP(E802,'출결유형'!$A:$C,2,0),"")</f>
        <v>-0.25</v>
      </c>
      <c r="C802" s="2">
        <v>801.0</v>
      </c>
      <c r="D802" s="2">
        <f>iferror(VLOOKUP(E802,'출결유형'!$L:$M,2,0),"")</f>
        <v>5</v>
      </c>
      <c r="E802" s="21" t="s">
        <v>189</v>
      </c>
      <c r="G802" s="2" t="str">
        <f t="shared" si="1"/>
        <v>INSERT INTO tblAttendanceScore VALUES (seqAttendanceScore.nextval, -0.25, 801, 5);</v>
      </c>
    </row>
    <row r="803">
      <c r="A803" s="1" t="s">
        <v>201</v>
      </c>
      <c r="B803" s="2">
        <f>iferror(VLOOKUP(E803,'출결유형'!$A:$C,2,0),"")</f>
        <v>-0.25</v>
      </c>
      <c r="C803" s="2">
        <v>802.0</v>
      </c>
      <c r="D803" s="2">
        <f>iferror(VLOOKUP(E803,'출결유형'!$L:$M,2,0),"")</f>
        <v>5</v>
      </c>
      <c r="E803" s="21" t="s">
        <v>189</v>
      </c>
      <c r="G803" s="2" t="str">
        <f t="shared" si="1"/>
        <v>INSERT INTO tblAttendanceScore VALUES (seqAttendanceScore.nextval, -0.25, 802, 5);</v>
      </c>
    </row>
    <row r="804">
      <c r="A804" s="1" t="s">
        <v>201</v>
      </c>
      <c r="B804" s="2">
        <f>iferror(VLOOKUP(E804,'출결유형'!$A:$C,2,0),"")</f>
        <v>-0.25</v>
      </c>
      <c r="C804" s="2">
        <v>803.0</v>
      </c>
      <c r="D804" s="2">
        <f>iferror(VLOOKUP(E804,'출결유형'!$L:$M,2,0),"")</f>
        <v>5</v>
      </c>
      <c r="E804" s="21" t="s">
        <v>189</v>
      </c>
      <c r="G804" s="2" t="str">
        <f t="shared" si="1"/>
        <v>INSERT INTO tblAttendanceScore VALUES (seqAttendanceScore.nextval, -0.25, 803, 5);</v>
      </c>
    </row>
    <row r="805">
      <c r="A805" s="1" t="s">
        <v>201</v>
      </c>
      <c r="B805" s="2">
        <f>iferror(VLOOKUP(E805,'출결유형'!$A:$C,2,0),"")</f>
        <v>-1</v>
      </c>
      <c r="C805" s="2">
        <v>804.0</v>
      </c>
      <c r="D805" s="2">
        <f>iferror(VLOOKUP(E805,'출결유형'!$L:$M,2,0),"")</f>
        <v>2</v>
      </c>
      <c r="E805" s="21" t="s">
        <v>186</v>
      </c>
      <c r="G805" s="2" t="str">
        <f t="shared" si="1"/>
        <v>INSERT INTO tblAttendanceScore VALUES (seqAttendanceScore.nextval, -1, 804, 2);</v>
      </c>
    </row>
    <row r="806">
      <c r="A806" s="1" t="s">
        <v>201</v>
      </c>
      <c r="B806" s="2">
        <f>iferror(VLOOKUP(E806,'출결유형'!$A:$C,2,0),"")</f>
        <v>-0.25</v>
      </c>
      <c r="C806" s="2">
        <v>805.0</v>
      </c>
      <c r="D806" s="2">
        <f>iferror(VLOOKUP(E806,'출결유형'!$L:$M,2,0),"")</f>
        <v>5</v>
      </c>
      <c r="E806" s="21" t="s">
        <v>189</v>
      </c>
      <c r="G806" s="2" t="str">
        <f t="shared" si="1"/>
        <v>INSERT INTO tblAttendanceScore VALUES (seqAttendanceScore.nextval, -0.25, 805, 5);</v>
      </c>
    </row>
    <row r="807">
      <c r="A807" s="1" t="s">
        <v>201</v>
      </c>
      <c r="B807" s="2">
        <f>iferror(VLOOKUP(E807,'출결유형'!$A:$C,2,0),"")</f>
        <v>0</v>
      </c>
      <c r="C807" s="2">
        <v>806.0</v>
      </c>
      <c r="D807" s="2">
        <f>iferror(VLOOKUP(E807,'출결유형'!$L:$M,2,0),"")</f>
        <v>1</v>
      </c>
      <c r="E807" s="21" t="s">
        <v>184</v>
      </c>
      <c r="G807" s="2" t="str">
        <f t="shared" si="1"/>
        <v>INSERT INTO tblAttendanceScore VALUES (seqAttendanceScore.nextval, 0, 806, 1);</v>
      </c>
    </row>
    <row r="808">
      <c r="A808" s="1" t="s">
        <v>201</v>
      </c>
      <c r="B808" s="2">
        <f>iferror(VLOOKUP(E808,'출결유형'!$A:$C,2,0),"")</f>
        <v>-0.25</v>
      </c>
      <c r="C808" s="2">
        <v>807.0</v>
      </c>
      <c r="D808" s="2">
        <f>iferror(VLOOKUP(E808,'출결유형'!$L:$M,2,0),"")</f>
        <v>5</v>
      </c>
      <c r="E808" s="21" t="s">
        <v>189</v>
      </c>
      <c r="G808" s="2" t="str">
        <f t="shared" si="1"/>
        <v>INSERT INTO tblAttendanceScore VALUES (seqAttendanceScore.nextval, -0.25, 807, 5);</v>
      </c>
    </row>
    <row r="809">
      <c r="A809" s="1" t="s">
        <v>201</v>
      </c>
      <c r="B809" s="2">
        <f>iferror(VLOOKUP(E809,'출결유형'!$A:$C,2,0),"")</f>
        <v>0</v>
      </c>
      <c r="C809" s="2">
        <v>808.0</v>
      </c>
      <c r="D809" s="2">
        <f>iferror(VLOOKUP(E809,'출결유형'!$L:$M,2,0),"")</f>
        <v>1</v>
      </c>
      <c r="E809" s="21" t="s">
        <v>184</v>
      </c>
      <c r="G809" s="2" t="str">
        <f t="shared" si="1"/>
        <v>INSERT INTO tblAttendanceScore VALUES (seqAttendanceScore.nextval, 0, 808, 1);</v>
      </c>
    </row>
    <row r="810">
      <c r="A810" s="1" t="s">
        <v>201</v>
      </c>
      <c r="B810" s="2">
        <f>iferror(VLOOKUP(E810,'출결유형'!$A:$C,2,0),"")</f>
        <v>-0.25</v>
      </c>
      <c r="C810" s="2">
        <v>809.0</v>
      </c>
      <c r="D810" s="2">
        <f>iferror(VLOOKUP(E810,'출결유형'!$L:$M,2,0),"")</f>
        <v>5</v>
      </c>
      <c r="E810" s="21" t="s">
        <v>189</v>
      </c>
      <c r="G810" s="2" t="str">
        <f t="shared" si="1"/>
        <v>INSERT INTO tblAttendanceScore VALUES (seqAttendanceScore.nextval, -0.25, 809, 5);</v>
      </c>
    </row>
    <row r="811">
      <c r="A811" s="1" t="s">
        <v>201</v>
      </c>
      <c r="B811" s="2">
        <f>iferror(VLOOKUP(E811,'출결유형'!$A:$C,2,0),"")</f>
        <v>0</v>
      </c>
      <c r="C811" s="2">
        <v>810.0</v>
      </c>
      <c r="D811" s="2">
        <f>iferror(VLOOKUP(E811,'출결유형'!$L:$M,2,0),"")</f>
        <v>1</v>
      </c>
      <c r="E811" s="21" t="s">
        <v>184</v>
      </c>
      <c r="G811" s="2" t="str">
        <f t="shared" si="1"/>
        <v>INSERT INTO tblAttendanceScore VALUES (seqAttendanceScore.nextval, 0, 810, 1);</v>
      </c>
    </row>
    <row r="812">
      <c r="A812" s="1" t="s">
        <v>201</v>
      </c>
      <c r="B812" s="2">
        <f>iferror(VLOOKUP(E812,'출결유형'!$A:$C,2,0),"")</f>
        <v>0</v>
      </c>
      <c r="C812" s="2">
        <v>811.0</v>
      </c>
      <c r="D812" s="2">
        <f>iferror(VLOOKUP(E812,'출결유형'!$L:$M,2,0),"")</f>
        <v>1</v>
      </c>
      <c r="E812" s="21" t="s">
        <v>184</v>
      </c>
      <c r="G812" s="2" t="str">
        <f t="shared" si="1"/>
        <v>INSERT INTO tblAttendanceScore VALUES (seqAttendanceScore.nextval, 0, 811, 1);</v>
      </c>
    </row>
    <row r="813">
      <c r="A813" s="1" t="s">
        <v>201</v>
      </c>
      <c r="B813" s="2">
        <f>iferror(VLOOKUP(E813,'출결유형'!$A:$C,2,0),"")</f>
        <v>-0.25</v>
      </c>
      <c r="C813" s="2">
        <v>812.0</v>
      </c>
      <c r="D813" s="2">
        <f>iferror(VLOOKUP(E813,'출결유형'!$L:$M,2,0),"")</f>
        <v>5</v>
      </c>
      <c r="E813" s="21" t="s">
        <v>189</v>
      </c>
      <c r="G813" s="2" t="str">
        <f t="shared" si="1"/>
        <v>INSERT INTO tblAttendanceScore VALUES (seqAttendanceScore.nextval, -0.25, 812, 5);</v>
      </c>
    </row>
    <row r="814">
      <c r="A814" s="1" t="s">
        <v>201</v>
      </c>
      <c r="B814" s="2">
        <f>iferror(VLOOKUP(E814,'출결유형'!$A:$C,2,0),"")</f>
        <v>0</v>
      </c>
      <c r="C814" s="2">
        <v>813.0</v>
      </c>
      <c r="D814" s="2">
        <f>iferror(VLOOKUP(E814,'출결유형'!$L:$M,2,0),"")</f>
        <v>1</v>
      </c>
      <c r="E814" s="21" t="s">
        <v>184</v>
      </c>
      <c r="G814" s="2" t="str">
        <f t="shared" si="1"/>
        <v>INSERT INTO tblAttendanceScore VALUES (seqAttendanceScore.nextval, 0, 813, 1);</v>
      </c>
    </row>
    <row r="815">
      <c r="A815" s="1" t="s">
        <v>201</v>
      </c>
      <c r="B815" s="2">
        <f>iferror(VLOOKUP(E815,'출결유형'!$A:$C,2,0),"")</f>
        <v>-0.25</v>
      </c>
      <c r="C815" s="2">
        <v>814.0</v>
      </c>
      <c r="D815" s="2">
        <f>iferror(VLOOKUP(E815,'출결유형'!$L:$M,2,0),"")</f>
        <v>5</v>
      </c>
      <c r="E815" s="21" t="s">
        <v>189</v>
      </c>
      <c r="G815" s="2" t="str">
        <f t="shared" si="1"/>
        <v>INSERT INTO tblAttendanceScore VALUES (seqAttendanceScore.nextval, -0.25, 814, 5);</v>
      </c>
    </row>
    <row r="816">
      <c r="A816" s="1" t="s">
        <v>201</v>
      </c>
      <c r="B816" s="2">
        <f>iferror(VLOOKUP(E816,'출결유형'!$A:$C,2,0),"")</f>
        <v>0</v>
      </c>
      <c r="C816" s="2">
        <v>815.0</v>
      </c>
      <c r="D816" s="2">
        <f>iferror(VLOOKUP(E816,'출결유형'!$L:$M,2,0),"")</f>
        <v>1</v>
      </c>
      <c r="E816" s="21" t="s">
        <v>184</v>
      </c>
      <c r="G816" s="2" t="str">
        <f t="shared" si="1"/>
        <v>INSERT INTO tblAttendanceScore VALUES (seqAttendanceScore.nextval, 0, 815, 1);</v>
      </c>
    </row>
    <row r="817">
      <c r="A817" s="1" t="s">
        <v>201</v>
      </c>
      <c r="B817" s="2">
        <f>iferror(VLOOKUP(E817,'출결유형'!$A:$C,2,0),"")</f>
        <v>-0.25</v>
      </c>
      <c r="C817" s="2">
        <v>816.0</v>
      </c>
      <c r="D817" s="2">
        <f>iferror(VLOOKUP(E817,'출결유형'!$L:$M,2,0),"")</f>
        <v>5</v>
      </c>
      <c r="E817" s="21" t="s">
        <v>189</v>
      </c>
      <c r="G817" s="2" t="str">
        <f t="shared" si="1"/>
        <v>INSERT INTO tblAttendanceScore VALUES (seqAttendanceScore.nextval, -0.25, 816, 5);</v>
      </c>
    </row>
    <row r="818">
      <c r="A818" s="1" t="s">
        <v>201</v>
      </c>
      <c r="B818" s="2">
        <f>iferror(VLOOKUP(E818,'출결유형'!$A:$C,2,0),"")</f>
        <v>0</v>
      </c>
      <c r="C818" s="2">
        <v>817.0</v>
      </c>
      <c r="D818" s="2">
        <f>iferror(VLOOKUP(E818,'출결유형'!$L:$M,2,0),"")</f>
        <v>1</v>
      </c>
      <c r="E818" s="21" t="s">
        <v>184</v>
      </c>
      <c r="G818" s="2" t="str">
        <f t="shared" si="1"/>
        <v>INSERT INTO tblAttendanceScore VALUES (seqAttendanceScore.nextval, 0, 817, 1);</v>
      </c>
    </row>
    <row r="819">
      <c r="A819" s="1" t="s">
        <v>201</v>
      </c>
      <c r="B819" s="2">
        <f>iferror(VLOOKUP(E819,'출결유형'!$A:$C,2,0),"")</f>
        <v>-0.25</v>
      </c>
      <c r="C819" s="2">
        <v>818.0</v>
      </c>
      <c r="D819" s="2">
        <f>iferror(VLOOKUP(E819,'출결유형'!$L:$M,2,0),"")</f>
        <v>5</v>
      </c>
      <c r="E819" s="21" t="s">
        <v>189</v>
      </c>
      <c r="G819" s="2" t="str">
        <f t="shared" si="1"/>
        <v>INSERT INTO tblAttendanceScore VALUES (seqAttendanceScore.nextval, -0.25, 818, 5);</v>
      </c>
    </row>
    <row r="820">
      <c r="A820" s="1" t="s">
        <v>201</v>
      </c>
      <c r="B820" s="2">
        <f>iferror(VLOOKUP(E820,'출결유형'!$A:$C,2,0),"")</f>
        <v>-1</v>
      </c>
      <c r="C820" s="2">
        <v>819.0</v>
      </c>
      <c r="D820" s="2">
        <f>iferror(VLOOKUP(E820,'출결유형'!$L:$M,2,0),"")</f>
        <v>2</v>
      </c>
      <c r="E820" s="21" t="s">
        <v>186</v>
      </c>
      <c r="G820" s="2" t="str">
        <f t="shared" si="1"/>
        <v>INSERT INTO tblAttendanceScore VALUES (seqAttendanceScore.nextval, -1, 819, 2);</v>
      </c>
    </row>
    <row r="821">
      <c r="A821" s="1" t="s">
        <v>201</v>
      </c>
      <c r="B821" s="2">
        <f>iferror(VLOOKUP(E821,'출결유형'!$A:$C,2,0),"")</f>
        <v>-0.25</v>
      </c>
      <c r="C821" s="2">
        <v>820.0</v>
      </c>
      <c r="D821" s="2">
        <f>iferror(VLOOKUP(E821,'출결유형'!$L:$M,2,0),"")</f>
        <v>5</v>
      </c>
      <c r="E821" s="21" t="s">
        <v>189</v>
      </c>
      <c r="G821" s="2" t="str">
        <f t="shared" si="1"/>
        <v>INSERT INTO tblAttendanceScore VALUES (seqAttendanceScore.nextval, -0.25, 820, 5);</v>
      </c>
    </row>
    <row r="822">
      <c r="A822" s="1" t="s">
        <v>201</v>
      </c>
      <c r="B822" s="2">
        <f>iferror(VLOOKUP(E822,'출결유형'!$A:$C,2,0),"")</f>
        <v>0</v>
      </c>
      <c r="C822" s="2">
        <v>821.0</v>
      </c>
      <c r="D822" s="2">
        <f>iferror(VLOOKUP(E822,'출결유형'!$L:$M,2,0),"")</f>
        <v>1</v>
      </c>
      <c r="E822" s="21" t="s">
        <v>184</v>
      </c>
      <c r="G822" s="2" t="str">
        <f t="shared" si="1"/>
        <v>INSERT INTO tblAttendanceScore VALUES (seqAttendanceScore.nextval, 0, 821, 1);</v>
      </c>
    </row>
    <row r="823">
      <c r="A823" s="1" t="s">
        <v>201</v>
      </c>
      <c r="B823" s="2">
        <f>iferror(VLOOKUP(E823,'출결유형'!$A:$C,2,0),"")</f>
        <v>-0.25</v>
      </c>
      <c r="C823" s="2">
        <v>822.0</v>
      </c>
      <c r="D823" s="2">
        <f>iferror(VLOOKUP(E823,'출결유형'!$L:$M,2,0),"")</f>
        <v>5</v>
      </c>
      <c r="E823" s="21" t="s">
        <v>189</v>
      </c>
      <c r="G823" s="2" t="str">
        <f t="shared" si="1"/>
        <v>INSERT INTO tblAttendanceScore VALUES (seqAttendanceScore.nextval, -0.25, 822, 5);</v>
      </c>
    </row>
    <row r="824">
      <c r="A824" s="1" t="s">
        <v>201</v>
      </c>
      <c r="B824" s="2">
        <f>iferror(VLOOKUP(E824,'출결유형'!$A:$C,2,0),"")</f>
        <v>-0.25</v>
      </c>
      <c r="C824" s="2">
        <v>823.0</v>
      </c>
      <c r="D824" s="2">
        <f>iferror(VLOOKUP(E824,'출결유형'!$L:$M,2,0),"")</f>
        <v>5</v>
      </c>
      <c r="E824" s="21" t="s">
        <v>189</v>
      </c>
      <c r="G824" s="2" t="str">
        <f t="shared" si="1"/>
        <v>INSERT INTO tblAttendanceScore VALUES (seqAttendanceScore.nextval, -0.25, 823, 5);</v>
      </c>
    </row>
    <row r="825">
      <c r="A825" s="1" t="s">
        <v>201</v>
      </c>
      <c r="B825" s="2">
        <f>iferror(VLOOKUP(E825,'출결유형'!$A:$C,2,0),"")</f>
        <v>0</v>
      </c>
      <c r="C825" s="2">
        <v>824.0</v>
      </c>
      <c r="D825" s="2">
        <f>iferror(VLOOKUP(E825,'출결유형'!$L:$M,2,0),"")</f>
        <v>1</v>
      </c>
      <c r="E825" s="21" t="s">
        <v>184</v>
      </c>
      <c r="G825" s="2" t="str">
        <f t="shared" si="1"/>
        <v>INSERT INTO tblAttendanceScore VALUES (seqAttendanceScore.nextval, 0, 824, 1);</v>
      </c>
    </row>
    <row r="826">
      <c r="A826" s="1" t="s">
        <v>201</v>
      </c>
      <c r="B826" s="2">
        <f>iferror(VLOOKUP(E826,'출결유형'!$A:$C,2,0),"")</f>
        <v>0</v>
      </c>
      <c r="C826" s="2">
        <v>825.0</v>
      </c>
      <c r="D826" s="2">
        <f>iferror(VLOOKUP(E826,'출결유형'!$L:$M,2,0),"")</f>
        <v>1</v>
      </c>
      <c r="E826" s="21" t="s">
        <v>184</v>
      </c>
      <c r="G826" s="2" t="str">
        <f t="shared" si="1"/>
        <v>INSERT INTO tblAttendanceScore VALUES (seqAttendanceScore.nextval, 0, 825, 1);</v>
      </c>
    </row>
    <row r="827">
      <c r="A827" s="1" t="s">
        <v>201</v>
      </c>
      <c r="B827" s="2">
        <f>iferror(VLOOKUP(E827,'출결유형'!$A:$C,2,0),"")</f>
        <v>0</v>
      </c>
      <c r="C827" s="2">
        <v>826.0</v>
      </c>
      <c r="D827" s="2">
        <f>iferror(VLOOKUP(E827,'출결유형'!$L:$M,2,0),"")</f>
        <v>1</v>
      </c>
      <c r="E827" s="21" t="s">
        <v>184</v>
      </c>
      <c r="G827" s="2" t="str">
        <f t="shared" si="1"/>
        <v>INSERT INTO tblAttendanceScore VALUES (seqAttendanceScore.nextval, 0, 826, 1);</v>
      </c>
    </row>
    <row r="828">
      <c r="A828" s="1" t="s">
        <v>201</v>
      </c>
      <c r="B828" s="2">
        <f>iferror(VLOOKUP(E828,'출결유형'!$A:$C,2,0),"")</f>
        <v>0</v>
      </c>
      <c r="C828" s="2">
        <v>827.0</v>
      </c>
      <c r="D828" s="2">
        <f>iferror(VLOOKUP(E828,'출결유형'!$L:$M,2,0),"")</f>
        <v>1</v>
      </c>
      <c r="E828" s="21" t="s">
        <v>184</v>
      </c>
      <c r="G828" s="2" t="str">
        <f t="shared" si="1"/>
        <v>INSERT INTO tblAttendanceScore VALUES (seqAttendanceScore.nextval, 0, 827, 1);</v>
      </c>
    </row>
    <row r="829">
      <c r="A829" s="1" t="s">
        <v>201</v>
      </c>
      <c r="B829" s="2">
        <f>iferror(VLOOKUP(E829,'출결유형'!$A:$C,2,0),"")</f>
        <v>0</v>
      </c>
      <c r="C829" s="2">
        <v>828.0</v>
      </c>
      <c r="D829" s="2">
        <f>iferror(VLOOKUP(E829,'출결유형'!$L:$M,2,0),"")</f>
        <v>1</v>
      </c>
      <c r="E829" s="21" t="s">
        <v>184</v>
      </c>
      <c r="G829" s="2" t="str">
        <f t="shared" si="1"/>
        <v>INSERT INTO tblAttendanceScore VALUES (seqAttendanceScore.nextval, 0, 828, 1);</v>
      </c>
    </row>
    <row r="830">
      <c r="A830" s="1" t="s">
        <v>201</v>
      </c>
      <c r="B830" s="2">
        <f>iferror(VLOOKUP(E830,'출결유형'!$A:$C,2,0),"")</f>
        <v>-0.25</v>
      </c>
      <c r="C830" s="2">
        <v>829.0</v>
      </c>
      <c r="D830" s="2">
        <f>iferror(VLOOKUP(E830,'출결유형'!$L:$M,2,0),"")</f>
        <v>5</v>
      </c>
      <c r="E830" s="21" t="s">
        <v>189</v>
      </c>
      <c r="G830" s="2" t="str">
        <f t="shared" si="1"/>
        <v>INSERT INTO tblAttendanceScore VALUES (seqAttendanceScore.nextval, -0.25, 829, 5);</v>
      </c>
    </row>
    <row r="831">
      <c r="A831" s="1" t="s">
        <v>201</v>
      </c>
      <c r="B831" s="2">
        <f>iferror(VLOOKUP(E831,'출결유형'!$A:$C,2,0),"")</f>
        <v>0</v>
      </c>
      <c r="C831" s="2">
        <v>830.0</v>
      </c>
      <c r="D831" s="2">
        <f>iferror(VLOOKUP(E831,'출결유형'!$L:$M,2,0),"")</f>
        <v>1</v>
      </c>
      <c r="E831" s="21" t="s">
        <v>184</v>
      </c>
      <c r="G831" s="2" t="str">
        <f t="shared" si="1"/>
        <v>INSERT INTO tblAttendanceScore VALUES (seqAttendanceScore.nextval, 0, 830, 1);</v>
      </c>
    </row>
    <row r="832">
      <c r="A832" s="1" t="s">
        <v>201</v>
      </c>
      <c r="B832" s="2">
        <f>iferror(VLOOKUP(E832,'출결유형'!$A:$C,2,0),"")</f>
        <v>0</v>
      </c>
      <c r="C832" s="2">
        <v>831.0</v>
      </c>
      <c r="D832" s="2">
        <f>iferror(VLOOKUP(E832,'출결유형'!$L:$M,2,0),"")</f>
        <v>1</v>
      </c>
      <c r="E832" s="21" t="s">
        <v>184</v>
      </c>
      <c r="G832" s="2" t="str">
        <f t="shared" si="1"/>
        <v>INSERT INTO tblAttendanceScore VALUES (seqAttendanceScore.nextval, 0, 831, 1);</v>
      </c>
    </row>
    <row r="833">
      <c r="A833" s="1" t="s">
        <v>201</v>
      </c>
      <c r="B833" s="2">
        <f>iferror(VLOOKUP(E833,'출결유형'!$A:$C,2,0),"")</f>
        <v>-0.25</v>
      </c>
      <c r="C833" s="2">
        <v>832.0</v>
      </c>
      <c r="D833" s="2">
        <f>iferror(VLOOKUP(E833,'출결유형'!$L:$M,2,0),"")</f>
        <v>5</v>
      </c>
      <c r="E833" s="21" t="s">
        <v>189</v>
      </c>
      <c r="G833" s="2" t="str">
        <f t="shared" si="1"/>
        <v>INSERT INTO tblAttendanceScore VALUES (seqAttendanceScore.nextval, -0.25, 832, 5);</v>
      </c>
    </row>
    <row r="834">
      <c r="A834" s="1" t="s">
        <v>201</v>
      </c>
      <c r="B834" s="2">
        <f>iferror(VLOOKUP(E834,'출결유형'!$A:$C,2,0),"")</f>
        <v>-0.25</v>
      </c>
      <c r="C834" s="2">
        <v>833.0</v>
      </c>
      <c r="D834" s="2">
        <f>iferror(VLOOKUP(E834,'출결유형'!$L:$M,2,0),"")</f>
        <v>5</v>
      </c>
      <c r="E834" s="21" t="s">
        <v>189</v>
      </c>
      <c r="G834" s="2" t="str">
        <f t="shared" si="1"/>
        <v>INSERT INTO tblAttendanceScore VALUES (seqAttendanceScore.nextval, -0.25, 833, 5);</v>
      </c>
    </row>
    <row r="835">
      <c r="A835" s="1" t="s">
        <v>201</v>
      </c>
      <c r="B835" s="2">
        <f>iferror(VLOOKUP(E835,'출결유형'!$A:$C,2,0),"")</f>
        <v>0</v>
      </c>
      <c r="C835" s="2">
        <v>834.0</v>
      </c>
      <c r="D835" s="2">
        <f>iferror(VLOOKUP(E835,'출결유형'!$L:$M,2,0),"")</f>
        <v>1</v>
      </c>
      <c r="E835" s="21" t="s">
        <v>184</v>
      </c>
      <c r="G835" s="2" t="str">
        <f t="shared" si="1"/>
        <v>INSERT INTO tblAttendanceScore VALUES (seqAttendanceScore.nextval, 0, 834, 1);</v>
      </c>
    </row>
    <row r="836">
      <c r="A836" s="1" t="s">
        <v>201</v>
      </c>
      <c r="B836" s="2">
        <f>iferror(VLOOKUP(E836,'출결유형'!$A:$C,2,0),"")</f>
        <v>0</v>
      </c>
      <c r="C836" s="2">
        <v>835.0</v>
      </c>
      <c r="D836" s="2">
        <f>iferror(VLOOKUP(E836,'출결유형'!$L:$M,2,0),"")</f>
        <v>1</v>
      </c>
      <c r="E836" s="21" t="s">
        <v>184</v>
      </c>
      <c r="G836" s="2" t="str">
        <f t="shared" si="1"/>
        <v>INSERT INTO tblAttendanceScore VALUES (seqAttendanceScore.nextval, 0, 835, 1);</v>
      </c>
    </row>
    <row r="837">
      <c r="A837" s="1" t="s">
        <v>201</v>
      </c>
      <c r="B837" s="2">
        <f>iferror(VLOOKUP(E837,'출결유형'!$A:$C,2,0),"")</f>
        <v>-0.25</v>
      </c>
      <c r="C837" s="2">
        <v>836.0</v>
      </c>
      <c r="D837" s="2">
        <f>iferror(VLOOKUP(E837,'출결유형'!$L:$M,2,0),"")</f>
        <v>5</v>
      </c>
      <c r="E837" s="21" t="s">
        <v>189</v>
      </c>
      <c r="G837" s="2" t="str">
        <f t="shared" si="1"/>
        <v>INSERT INTO tblAttendanceScore VALUES (seqAttendanceScore.nextval, -0.25, 836, 5);</v>
      </c>
    </row>
    <row r="838">
      <c r="A838" s="1" t="s">
        <v>201</v>
      </c>
      <c r="B838" s="2">
        <f>iferror(VLOOKUP(E838,'출결유형'!$A:$C,2,0),"")</f>
        <v>0</v>
      </c>
      <c r="C838" s="2">
        <v>837.0</v>
      </c>
      <c r="D838" s="2">
        <f>iferror(VLOOKUP(E838,'출결유형'!$L:$M,2,0),"")</f>
        <v>1</v>
      </c>
      <c r="E838" s="21" t="s">
        <v>184</v>
      </c>
      <c r="G838" s="2" t="str">
        <f t="shared" si="1"/>
        <v>INSERT INTO tblAttendanceScore VALUES (seqAttendanceScore.nextval, 0, 837, 1);</v>
      </c>
    </row>
    <row r="839">
      <c r="A839" s="1" t="s">
        <v>201</v>
      </c>
      <c r="B839" s="2">
        <f>iferror(VLOOKUP(E839,'출결유형'!$A:$C,2,0),"")</f>
        <v>0</v>
      </c>
      <c r="C839" s="2">
        <v>838.0</v>
      </c>
      <c r="D839" s="2">
        <f>iferror(VLOOKUP(E839,'출결유형'!$L:$M,2,0),"")</f>
        <v>1</v>
      </c>
      <c r="E839" s="21" t="s">
        <v>184</v>
      </c>
      <c r="G839" s="2" t="str">
        <f t="shared" si="1"/>
        <v>INSERT INTO tblAttendanceScore VALUES (seqAttendanceScore.nextval, 0, 838, 1);</v>
      </c>
    </row>
    <row r="840">
      <c r="A840" s="1" t="s">
        <v>201</v>
      </c>
      <c r="B840" s="2">
        <f>iferror(VLOOKUP(E840,'출결유형'!$A:$C,2,0),"")</f>
        <v>-1</v>
      </c>
      <c r="C840" s="2">
        <v>839.0</v>
      </c>
      <c r="D840" s="2">
        <f>iferror(VLOOKUP(E840,'출결유형'!$L:$M,2,0),"")</f>
        <v>2</v>
      </c>
      <c r="E840" s="21" t="s">
        <v>186</v>
      </c>
      <c r="G840" s="2" t="str">
        <f t="shared" si="1"/>
        <v>INSERT INTO tblAttendanceScore VALUES (seqAttendanceScore.nextval, -1, 839, 2);</v>
      </c>
    </row>
    <row r="841">
      <c r="A841" s="1" t="s">
        <v>201</v>
      </c>
      <c r="B841" s="2">
        <f>iferror(VLOOKUP(E841,'출결유형'!$A:$C,2,0),"")</f>
        <v>0</v>
      </c>
      <c r="C841" s="2">
        <v>840.0</v>
      </c>
      <c r="D841" s="2">
        <f>iferror(VLOOKUP(E841,'출결유형'!$L:$M,2,0),"")</f>
        <v>1</v>
      </c>
      <c r="E841" s="21" t="s">
        <v>184</v>
      </c>
      <c r="G841" s="2" t="str">
        <f t="shared" si="1"/>
        <v>INSERT INTO tblAttendanceScore VALUES (seqAttendanceScore.nextval, 0, 840, 1);</v>
      </c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  <row r="994">
      <c r="E994" s="22"/>
    </row>
    <row r="995">
      <c r="E995" s="22"/>
    </row>
    <row r="996">
      <c r="E996" s="22"/>
    </row>
    <row r="997">
      <c r="E997" s="22"/>
    </row>
    <row r="998">
      <c r="E998" s="22"/>
    </row>
    <row r="999">
      <c r="E999" s="22"/>
    </row>
    <row r="1000">
      <c r="E1000" s="22"/>
    </row>
    <row r="1001">
      <c r="E1001" s="22"/>
    </row>
    <row r="1002">
      <c r="E1002" s="22"/>
    </row>
    <row r="1003">
      <c r="E1003" s="22"/>
    </row>
    <row r="1004">
      <c r="E1004" s="22"/>
    </row>
    <row r="1005">
      <c r="E1005" s="22"/>
    </row>
    <row r="1006">
      <c r="E1006" s="22"/>
    </row>
    <row r="1007">
      <c r="E1007" s="22"/>
    </row>
    <row r="1008">
      <c r="E1008" s="22"/>
    </row>
    <row r="1009">
      <c r="E1009" s="22"/>
    </row>
    <row r="1010">
      <c r="E1010" s="22"/>
    </row>
    <row r="1011">
      <c r="E1011" s="22"/>
    </row>
    <row r="1012">
      <c r="E1012" s="22"/>
    </row>
    <row r="1013">
      <c r="E1013" s="22"/>
    </row>
    <row r="1014">
      <c r="E1014" s="22"/>
    </row>
    <row r="1015">
      <c r="E1015" s="22"/>
    </row>
    <row r="1016">
      <c r="E1016" s="22"/>
    </row>
    <row r="1017">
      <c r="E1017" s="22"/>
    </row>
    <row r="1018">
      <c r="E1018" s="22"/>
    </row>
    <row r="1019">
      <c r="E1019" s="22"/>
    </row>
    <row r="1020">
      <c r="E1020" s="22"/>
    </row>
    <row r="1021">
      <c r="E1021" s="22"/>
    </row>
    <row r="1022">
      <c r="E1022" s="22"/>
    </row>
    <row r="1023">
      <c r="E1023" s="22"/>
    </row>
    <row r="1024">
      <c r="E1024" s="22"/>
    </row>
    <row r="1025">
      <c r="E1025" s="22"/>
    </row>
    <row r="1026">
      <c r="E1026" s="22"/>
    </row>
    <row r="1027">
      <c r="E1027" s="22"/>
    </row>
    <row r="1028">
      <c r="E1028" s="22"/>
    </row>
    <row r="1029">
      <c r="E1029" s="22"/>
    </row>
    <row r="1030">
      <c r="E1030" s="22"/>
    </row>
    <row r="1031">
      <c r="E1031" s="22"/>
    </row>
    <row r="1032">
      <c r="E1032" s="22"/>
    </row>
    <row r="1033">
      <c r="E1033" s="22"/>
    </row>
    <row r="1034">
      <c r="E1034" s="22"/>
    </row>
    <row r="1035">
      <c r="E1035" s="22"/>
    </row>
    <row r="1036">
      <c r="E1036" s="22"/>
    </row>
    <row r="1037">
      <c r="E1037" s="22"/>
    </row>
    <row r="1038">
      <c r="E1038" s="22"/>
    </row>
    <row r="1039">
      <c r="E1039" s="22"/>
    </row>
    <row r="1040">
      <c r="E1040" s="22"/>
    </row>
    <row r="1041">
      <c r="E1041" s="22"/>
    </row>
    <row r="1042">
      <c r="E1042" s="22"/>
    </row>
    <row r="1043">
      <c r="E1043" s="22"/>
    </row>
    <row r="1044">
      <c r="E1044" s="22"/>
    </row>
    <row r="1045">
      <c r="E1045" s="22"/>
    </row>
    <row r="1046">
      <c r="E1046" s="22"/>
    </row>
    <row r="1047">
      <c r="E1047" s="22"/>
    </row>
    <row r="1048">
      <c r="E1048" s="22"/>
    </row>
    <row r="1049">
      <c r="E1049" s="22"/>
    </row>
    <row r="1050">
      <c r="E1050" s="22"/>
    </row>
    <row r="1051">
      <c r="E1051" s="22"/>
    </row>
    <row r="1052">
      <c r="E1052" s="22"/>
    </row>
    <row r="1053">
      <c r="E1053" s="22"/>
    </row>
    <row r="1054">
      <c r="E1054" s="22"/>
    </row>
    <row r="1055">
      <c r="E1055" s="22"/>
    </row>
    <row r="1056">
      <c r="E1056" s="22"/>
    </row>
    <row r="1057">
      <c r="E1057" s="22"/>
    </row>
    <row r="1058">
      <c r="E1058" s="22"/>
    </row>
    <row r="1059">
      <c r="E1059" s="22"/>
    </row>
    <row r="1060">
      <c r="E1060" s="22"/>
    </row>
    <row r="1061">
      <c r="E1061" s="22"/>
    </row>
    <row r="1062">
      <c r="E1062" s="22"/>
    </row>
    <row r="1063">
      <c r="E1063" s="22"/>
    </row>
    <row r="1064">
      <c r="E1064" s="22"/>
    </row>
    <row r="1065">
      <c r="E1065" s="22"/>
    </row>
    <row r="1066">
      <c r="E1066" s="22"/>
    </row>
    <row r="1067">
      <c r="E1067" s="22"/>
    </row>
    <row r="1068">
      <c r="E1068" s="22"/>
    </row>
    <row r="1069">
      <c r="E1069" s="22"/>
    </row>
    <row r="1070">
      <c r="E1070" s="22"/>
    </row>
    <row r="1071">
      <c r="E1071" s="22"/>
    </row>
    <row r="1072">
      <c r="E1072" s="22"/>
    </row>
    <row r="1073">
      <c r="E1073" s="22"/>
    </row>
    <row r="1074">
      <c r="E1074" s="22"/>
    </row>
    <row r="1075">
      <c r="E1075" s="22"/>
    </row>
    <row r="1076">
      <c r="E1076" s="22"/>
    </row>
    <row r="1077">
      <c r="E1077" s="22"/>
    </row>
    <row r="1078">
      <c r="E1078" s="22"/>
    </row>
    <row r="1079">
      <c r="E1079" s="22"/>
    </row>
    <row r="1080">
      <c r="E1080" s="22"/>
    </row>
    <row r="1081">
      <c r="E1081" s="22"/>
    </row>
    <row r="1082">
      <c r="E1082" s="22"/>
    </row>
    <row r="1083">
      <c r="E1083" s="22"/>
    </row>
    <row r="1084">
      <c r="E1084" s="22"/>
    </row>
    <row r="1085">
      <c r="E1085" s="22"/>
    </row>
    <row r="1086">
      <c r="E1086" s="22"/>
    </row>
    <row r="1087">
      <c r="E1087" s="22"/>
    </row>
    <row r="1088">
      <c r="E1088" s="22"/>
    </row>
    <row r="1089">
      <c r="E1089" s="22"/>
    </row>
    <row r="1090">
      <c r="E1090" s="22"/>
    </row>
    <row r="1091">
      <c r="E1091" s="22"/>
    </row>
    <row r="1092">
      <c r="E1092" s="22"/>
    </row>
    <row r="1093">
      <c r="E1093" s="22"/>
    </row>
    <row r="1094">
      <c r="E1094" s="22"/>
    </row>
    <row r="1095">
      <c r="E1095" s="22"/>
    </row>
    <row r="1096">
      <c r="E1096" s="22"/>
    </row>
    <row r="1097">
      <c r="E1097" s="22"/>
    </row>
    <row r="1098">
      <c r="E1098" s="22"/>
    </row>
    <row r="1099">
      <c r="E1099" s="22"/>
    </row>
    <row r="1100">
      <c r="E1100" s="22"/>
    </row>
    <row r="1101">
      <c r="E1101" s="22"/>
    </row>
    <row r="1102">
      <c r="E1102" s="22"/>
    </row>
    <row r="1103">
      <c r="E1103" s="22"/>
    </row>
    <row r="1104">
      <c r="E1104" s="22"/>
    </row>
    <row r="1105">
      <c r="E1105" s="22"/>
    </row>
    <row r="1106">
      <c r="E1106" s="22"/>
    </row>
    <row r="1107">
      <c r="E1107" s="22"/>
    </row>
    <row r="1108">
      <c r="E1108" s="22"/>
    </row>
    <row r="1109">
      <c r="E1109" s="22"/>
    </row>
    <row r="1110">
      <c r="E1110" s="22"/>
    </row>
    <row r="1111">
      <c r="E1111" s="22"/>
    </row>
    <row r="1112">
      <c r="E1112" s="22"/>
    </row>
    <row r="1113">
      <c r="E1113" s="22"/>
    </row>
    <row r="1114">
      <c r="E1114" s="22"/>
    </row>
    <row r="1115">
      <c r="E1115" s="22"/>
    </row>
    <row r="1116">
      <c r="E1116" s="22"/>
    </row>
    <row r="1117">
      <c r="E1117" s="22"/>
    </row>
    <row r="1118">
      <c r="E1118" s="22"/>
    </row>
    <row r="1119">
      <c r="E1119" s="22"/>
    </row>
    <row r="1120">
      <c r="E1120" s="22"/>
    </row>
    <row r="1121">
      <c r="E1121" s="22"/>
    </row>
    <row r="1122">
      <c r="E1122" s="22"/>
    </row>
    <row r="1123">
      <c r="E1123" s="22"/>
    </row>
    <row r="1124">
      <c r="E1124" s="22"/>
    </row>
    <row r="1125">
      <c r="E1125" s="22"/>
    </row>
    <row r="1126">
      <c r="E1126" s="22"/>
    </row>
    <row r="1127">
      <c r="E1127" s="22"/>
    </row>
    <row r="1128">
      <c r="E1128" s="22"/>
    </row>
    <row r="1129">
      <c r="E1129" s="22"/>
    </row>
    <row r="1130">
      <c r="E1130" s="22"/>
    </row>
    <row r="1131">
      <c r="E1131" s="22"/>
    </row>
    <row r="1132">
      <c r="E1132" s="22"/>
    </row>
    <row r="1133">
      <c r="E1133" s="22"/>
    </row>
    <row r="1134">
      <c r="E1134" s="22"/>
    </row>
    <row r="1135">
      <c r="E1135" s="22"/>
    </row>
    <row r="1136">
      <c r="E1136" s="22"/>
    </row>
    <row r="1137">
      <c r="E1137" s="22"/>
    </row>
    <row r="1138">
      <c r="E1138" s="22"/>
    </row>
    <row r="1139">
      <c r="E1139" s="22"/>
    </row>
    <row r="1140">
      <c r="E1140" s="22"/>
    </row>
    <row r="1141">
      <c r="E1141" s="22"/>
    </row>
    <row r="1142">
      <c r="E1142" s="22"/>
    </row>
    <row r="1143">
      <c r="E1143" s="22"/>
    </row>
    <row r="1144">
      <c r="E1144" s="22"/>
    </row>
    <row r="1145">
      <c r="E1145" s="22"/>
    </row>
    <row r="1146">
      <c r="E1146" s="22"/>
    </row>
    <row r="1147">
      <c r="E1147" s="22"/>
    </row>
    <row r="1148">
      <c r="E1148" s="22"/>
    </row>
    <row r="1149">
      <c r="E1149" s="22"/>
    </row>
    <row r="1150">
      <c r="E1150" s="22"/>
    </row>
    <row r="1151">
      <c r="E1151" s="22"/>
    </row>
    <row r="1152">
      <c r="E1152" s="22"/>
    </row>
    <row r="1153">
      <c r="E1153" s="22"/>
    </row>
    <row r="1154">
      <c r="E1154" s="22"/>
    </row>
    <row r="1155">
      <c r="E1155" s="22"/>
    </row>
    <row r="1156">
      <c r="E1156" s="22"/>
    </row>
    <row r="1157">
      <c r="E1157" s="22"/>
    </row>
    <row r="1158">
      <c r="E1158" s="22"/>
    </row>
    <row r="1159">
      <c r="E1159" s="22"/>
    </row>
    <row r="1160">
      <c r="E1160" s="22"/>
    </row>
    <row r="1161">
      <c r="E1161" s="22"/>
    </row>
    <row r="1162">
      <c r="E1162" s="22"/>
    </row>
    <row r="1163">
      <c r="E1163" s="22"/>
    </row>
    <row r="1164">
      <c r="E1164" s="22"/>
    </row>
    <row r="1165">
      <c r="E1165" s="22"/>
    </row>
    <row r="1166">
      <c r="E1166" s="22"/>
    </row>
    <row r="1167">
      <c r="E1167" s="22"/>
    </row>
    <row r="1168">
      <c r="E1168" s="22"/>
    </row>
    <row r="1169">
      <c r="E1169" s="22"/>
    </row>
    <row r="1170">
      <c r="E1170" s="22"/>
    </row>
    <row r="1171">
      <c r="E1171" s="22"/>
    </row>
    <row r="1172">
      <c r="E1172" s="22"/>
    </row>
    <row r="1173">
      <c r="E1173" s="22"/>
    </row>
    <row r="1174">
      <c r="E1174" s="22"/>
    </row>
    <row r="1175">
      <c r="E1175" s="22"/>
    </row>
    <row r="1176">
      <c r="E1176" s="22"/>
    </row>
    <row r="1177">
      <c r="E1177" s="22"/>
    </row>
    <row r="1178">
      <c r="E1178" s="22"/>
    </row>
    <row r="1179">
      <c r="E1179" s="22"/>
    </row>
    <row r="1180">
      <c r="E1180" s="22"/>
    </row>
    <row r="1181">
      <c r="E1181" s="22"/>
    </row>
    <row r="1182">
      <c r="E1182" s="22"/>
    </row>
    <row r="1183">
      <c r="E1183" s="22"/>
    </row>
    <row r="1184">
      <c r="E1184" s="22"/>
    </row>
    <row r="1185">
      <c r="E1185" s="22"/>
    </row>
    <row r="1186">
      <c r="E1186" s="22"/>
    </row>
    <row r="1187">
      <c r="E1187" s="22"/>
    </row>
    <row r="1188">
      <c r="E1188" s="22"/>
    </row>
    <row r="1189">
      <c r="E1189" s="22"/>
    </row>
    <row r="1190">
      <c r="E1190" s="22"/>
    </row>
    <row r="1191">
      <c r="E1191" s="22"/>
    </row>
    <row r="1192">
      <c r="E1192" s="22"/>
    </row>
    <row r="1193">
      <c r="E1193" s="22"/>
    </row>
    <row r="1194">
      <c r="E1194" s="22"/>
    </row>
    <row r="1195">
      <c r="E1195" s="22"/>
    </row>
    <row r="1196">
      <c r="E1196" s="22"/>
    </row>
    <row r="1197">
      <c r="E1197" s="22"/>
    </row>
    <row r="1198">
      <c r="E1198" s="22"/>
    </row>
    <row r="1199">
      <c r="E1199" s="22"/>
    </row>
    <row r="1200">
      <c r="E1200" s="22"/>
    </row>
    <row r="1201">
      <c r="E1201" s="22"/>
    </row>
    <row r="1202">
      <c r="E1202" s="22"/>
    </row>
    <row r="1203">
      <c r="E1203" s="22"/>
    </row>
    <row r="1204">
      <c r="E1204" s="22"/>
    </row>
    <row r="1205">
      <c r="E1205" s="22"/>
    </row>
    <row r="1206">
      <c r="E1206" s="22"/>
    </row>
    <row r="1207">
      <c r="E1207" s="22"/>
    </row>
    <row r="1208">
      <c r="E1208" s="22"/>
    </row>
    <row r="1209">
      <c r="E1209" s="22"/>
    </row>
    <row r="1210">
      <c r="E1210" s="22"/>
    </row>
    <row r="1211">
      <c r="E1211" s="22"/>
    </row>
    <row r="1212">
      <c r="E1212" s="22"/>
    </row>
    <row r="1213">
      <c r="E1213" s="22"/>
    </row>
    <row r="1214">
      <c r="E1214" s="22"/>
    </row>
    <row r="1215">
      <c r="E1215" s="22"/>
    </row>
    <row r="1216">
      <c r="E1216" s="22"/>
    </row>
    <row r="1217">
      <c r="E1217" s="22"/>
    </row>
    <row r="1218">
      <c r="E1218" s="22"/>
    </row>
    <row r="1219">
      <c r="E1219" s="22"/>
    </row>
    <row r="1220">
      <c r="E1220" s="22"/>
    </row>
    <row r="1221">
      <c r="E1221" s="22"/>
    </row>
    <row r="1222">
      <c r="E1222" s="22"/>
    </row>
    <row r="1223">
      <c r="E1223" s="22"/>
    </row>
    <row r="1224">
      <c r="E1224" s="22"/>
    </row>
    <row r="1225">
      <c r="E1225" s="22"/>
    </row>
    <row r="1226">
      <c r="E1226" s="22"/>
    </row>
    <row r="1227">
      <c r="E1227" s="22"/>
    </row>
    <row r="1228">
      <c r="E1228" s="22"/>
    </row>
    <row r="1229">
      <c r="E1229" s="22"/>
    </row>
    <row r="1230">
      <c r="E1230" s="22"/>
    </row>
    <row r="1231">
      <c r="E1231" s="22"/>
    </row>
    <row r="1232">
      <c r="E1232" s="22"/>
    </row>
    <row r="1233">
      <c r="E1233" s="22"/>
    </row>
    <row r="1234">
      <c r="E1234" s="22"/>
    </row>
    <row r="1235">
      <c r="E1235" s="22"/>
    </row>
    <row r="1236">
      <c r="E1236" s="22"/>
    </row>
    <row r="1237">
      <c r="E1237" s="22"/>
    </row>
    <row r="1238">
      <c r="E1238" s="22"/>
    </row>
    <row r="1239">
      <c r="E1239" s="22"/>
    </row>
    <row r="1240">
      <c r="E1240" s="22"/>
    </row>
    <row r="1241">
      <c r="E1241" s="22"/>
    </row>
    <row r="1242">
      <c r="E1242" s="22"/>
    </row>
    <row r="1243">
      <c r="E1243" s="22"/>
    </row>
    <row r="1244">
      <c r="E1244" s="22"/>
    </row>
    <row r="1245">
      <c r="E1245" s="22"/>
    </row>
    <row r="1246">
      <c r="E1246" s="22"/>
    </row>
    <row r="1247">
      <c r="E1247" s="22"/>
    </row>
    <row r="1248">
      <c r="E1248" s="22"/>
    </row>
    <row r="1249">
      <c r="E1249" s="22"/>
    </row>
    <row r="1250">
      <c r="E1250" s="22"/>
    </row>
    <row r="1251">
      <c r="E1251" s="22"/>
    </row>
    <row r="1252">
      <c r="E1252" s="22"/>
    </row>
    <row r="1253">
      <c r="E1253" s="22"/>
    </row>
    <row r="1254">
      <c r="E1254" s="22"/>
    </row>
    <row r="1255">
      <c r="E1255" s="22"/>
    </row>
    <row r="1256">
      <c r="E1256" s="22"/>
    </row>
    <row r="1257">
      <c r="E1257" s="22"/>
    </row>
    <row r="1258">
      <c r="E1258" s="22"/>
    </row>
    <row r="1259">
      <c r="E1259" s="22"/>
    </row>
    <row r="1260">
      <c r="E1260" s="22"/>
    </row>
    <row r="1261">
      <c r="E1261" s="22"/>
    </row>
    <row r="1262">
      <c r="E1262" s="22"/>
    </row>
    <row r="1263">
      <c r="E1263" s="22"/>
    </row>
    <row r="1264">
      <c r="E1264" s="22"/>
    </row>
    <row r="1265">
      <c r="E1265" s="22"/>
    </row>
    <row r="1266">
      <c r="E1266" s="22"/>
    </row>
    <row r="1267">
      <c r="E1267" s="22"/>
    </row>
    <row r="1268">
      <c r="E1268" s="22"/>
    </row>
    <row r="1269">
      <c r="E1269" s="22"/>
    </row>
    <row r="1270">
      <c r="E1270" s="22"/>
    </row>
    <row r="1271">
      <c r="E1271" s="22"/>
    </row>
    <row r="1272">
      <c r="E1272" s="22"/>
    </row>
    <row r="1273">
      <c r="E1273" s="22"/>
    </row>
    <row r="1274">
      <c r="E1274" s="22"/>
    </row>
    <row r="1275">
      <c r="E1275" s="22"/>
    </row>
    <row r="1276">
      <c r="E1276" s="22"/>
    </row>
    <row r="1277">
      <c r="E1277" s="22"/>
    </row>
    <row r="1278">
      <c r="E1278" s="22"/>
    </row>
    <row r="1279">
      <c r="E1279" s="22"/>
    </row>
    <row r="1280">
      <c r="E1280" s="22"/>
    </row>
    <row r="1281">
      <c r="E1281" s="22"/>
    </row>
    <row r="1282">
      <c r="E1282" s="22"/>
    </row>
    <row r="1283">
      <c r="E1283" s="22"/>
    </row>
    <row r="1284">
      <c r="E1284" s="22"/>
    </row>
    <row r="1285">
      <c r="E1285" s="22"/>
    </row>
    <row r="1286">
      <c r="E1286" s="22"/>
    </row>
    <row r="1287">
      <c r="E1287" s="22"/>
    </row>
    <row r="1288">
      <c r="E1288" s="22"/>
    </row>
    <row r="1289">
      <c r="E1289" s="22"/>
    </row>
    <row r="1290">
      <c r="E1290" s="22"/>
    </row>
    <row r="1291">
      <c r="E1291" s="22"/>
    </row>
    <row r="1292">
      <c r="E1292" s="22"/>
    </row>
    <row r="1293">
      <c r="E1293" s="22"/>
    </row>
    <row r="1294">
      <c r="E1294" s="22"/>
    </row>
    <row r="1295">
      <c r="E1295" s="22"/>
    </row>
    <row r="1296">
      <c r="E1296" s="22"/>
    </row>
    <row r="1297">
      <c r="E1297" s="22"/>
    </row>
    <row r="1298">
      <c r="E1298" s="22"/>
    </row>
    <row r="1299">
      <c r="E1299" s="22"/>
    </row>
    <row r="1300">
      <c r="E1300" s="22"/>
    </row>
    <row r="1301">
      <c r="E1301" s="22"/>
    </row>
    <row r="1302">
      <c r="E1302" s="22"/>
    </row>
    <row r="1303">
      <c r="E1303" s="22"/>
    </row>
    <row r="1304">
      <c r="E1304" s="22"/>
    </row>
    <row r="1305">
      <c r="E1305" s="22"/>
    </row>
    <row r="1306">
      <c r="E1306" s="22"/>
    </row>
    <row r="1307">
      <c r="E1307" s="22"/>
    </row>
    <row r="1308">
      <c r="E1308" s="22"/>
    </row>
    <row r="1309">
      <c r="E1309" s="22"/>
    </row>
    <row r="1310">
      <c r="E1310" s="22"/>
    </row>
    <row r="1311">
      <c r="E1311" s="22"/>
    </row>
    <row r="1312">
      <c r="E1312" s="22"/>
    </row>
    <row r="1313">
      <c r="E1313" s="22"/>
    </row>
    <row r="1314">
      <c r="E1314" s="22"/>
    </row>
    <row r="1315">
      <c r="E1315" s="22"/>
    </row>
    <row r="1316">
      <c r="E1316" s="22"/>
    </row>
    <row r="1317">
      <c r="E1317" s="22"/>
    </row>
    <row r="1318">
      <c r="E1318" s="22"/>
    </row>
    <row r="1319">
      <c r="E1319" s="22"/>
    </row>
    <row r="1320">
      <c r="E1320" s="22"/>
    </row>
    <row r="1321">
      <c r="E1321" s="22"/>
    </row>
    <row r="1322">
      <c r="E1322" s="22"/>
    </row>
    <row r="1323">
      <c r="E1323" s="22"/>
    </row>
    <row r="1324">
      <c r="E1324" s="22"/>
    </row>
    <row r="1325">
      <c r="E1325" s="22"/>
    </row>
    <row r="1326">
      <c r="E1326" s="22"/>
    </row>
    <row r="1327">
      <c r="E1327" s="22"/>
    </row>
    <row r="1328">
      <c r="E1328" s="22"/>
    </row>
    <row r="1329">
      <c r="E1329" s="22"/>
    </row>
    <row r="1330">
      <c r="E1330" s="22"/>
    </row>
    <row r="1331">
      <c r="E1331" s="22"/>
    </row>
    <row r="1332">
      <c r="E1332" s="22"/>
    </row>
    <row r="1333">
      <c r="E1333" s="22"/>
    </row>
    <row r="1334">
      <c r="E1334" s="22"/>
    </row>
    <row r="1335">
      <c r="E1335" s="22"/>
    </row>
    <row r="1336">
      <c r="E1336" s="22"/>
    </row>
    <row r="1337">
      <c r="E1337" s="22"/>
    </row>
    <row r="1338">
      <c r="E1338" s="22"/>
    </row>
    <row r="1339">
      <c r="E1339" s="22"/>
    </row>
    <row r="1340">
      <c r="E1340" s="22"/>
    </row>
    <row r="1341">
      <c r="E1341" s="22"/>
    </row>
    <row r="1342">
      <c r="E1342" s="22"/>
    </row>
    <row r="1343">
      <c r="E1343" s="22"/>
    </row>
    <row r="1344">
      <c r="E1344" s="22"/>
    </row>
    <row r="1345">
      <c r="E1345" s="22"/>
    </row>
    <row r="1346">
      <c r="E1346" s="22"/>
    </row>
    <row r="1347">
      <c r="E1347" s="22"/>
    </row>
    <row r="1348">
      <c r="E1348" s="22"/>
    </row>
    <row r="1349">
      <c r="E1349" s="22"/>
    </row>
    <row r="1350">
      <c r="E1350" s="22"/>
    </row>
    <row r="1351">
      <c r="E1351" s="22"/>
    </row>
    <row r="1352">
      <c r="E1352" s="22"/>
    </row>
    <row r="1353">
      <c r="E1353" s="22"/>
    </row>
    <row r="1354">
      <c r="E1354" s="22"/>
    </row>
    <row r="1355">
      <c r="E1355" s="22"/>
    </row>
    <row r="1356">
      <c r="E1356" s="22"/>
    </row>
    <row r="1357">
      <c r="E1357" s="22"/>
    </row>
    <row r="1358">
      <c r="E1358" s="22"/>
    </row>
    <row r="1359">
      <c r="E1359" s="22"/>
    </row>
    <row r="1360">
      <c r="E1360" s="22"/>
    </row>
    <row r="1361">
      <c r="E1361" s="22"/>
    </row>
    <row r="1362">
      <c r="E1362" s="22"/>
    </row>
    <row r="1363">
      <c r="E1363" s="22"/>
    </row>
    <row r="1364">
      <c r="E1364" s="22"/>
    </row>
    <row r="1365">
      <c r="E1365" s="22"/>
    </row>
    <row r="1366">
      <c r="E1366" s="22"/>
    </row>
    <row r="1367">
      <c r="E1367" s="22"/>
    </row>
    <row r="1368">
      <c r="E1368" s="22"/>
    </row>
    <row r="1369">
      <c r="E1369" s="22"/>
    </row>
    <row r="1370">
      <c r="E1370" s="22"/>
    </row>
    <row r="1371">
      <c r="E1371" s="22"/>
    </row>
    <row r="1372">
      <c r="E1372" s="22"/>
    </row>
    <row r="1373">
      <c r="E1373" s="22"/>
    </row>
    <row r="1374">
      <c r="E1374" s="22"/>
    </row>
    <row r="1375">
      <c r="E1375" s="22"/>
    </row>
    <row r="1376">
      <c r="E1376" s="22"/>
    </row>
    <row r="1377">
      <c r="E1377" s="22"/>
    </row>
    <row r="1378">
      <c r="E1378" s="22"/>
    </row>
    <row r="1379">
      <c r="E1379" s="22"/>
    </row>
    <row r="1380">
      <c r="E1380" s="22"/>
    </row>
    <row r="1381">
      <c r="E1381" s="22"/>
    </row>
    <row r="1382">
      <c r="E1382" s="22"/>
    </row>
    <row r="1383">
      <c r="E1383" s="22"/>
    </row>
    <row r="1384">
      <c r="E1384" s="22"/>
    </row>
    <row r="1385">
      <c r="E1385" s="22"/>
    </row>
    <row r="1386">
      <c r="E1386" s="22"/>
    </row>
    <row r="1387">
      <c r="E1387" s="22"/>
    </row>
    <row r="1388">
      <c r="E1388" s="22"/>
    </row>
    <row r="1389">
      <c r="E1389" s="22"/>
    </row>
    <row r="1390">
      <c r="E1390" s="22"/>
    </row>
    <row r="1391">
      <c r="E1391" s="22"/>
    </row>
    <row r="1392">
      <c r="E1392" s="22"/>
    </row>
    <row r="1393">
      <c r="E1393" s="22"/>
    </row>
    <row r="1394">
      <c r="E1394" s="22"/>
    </row>
    <row r="1395">
      <c r="E1395" s="22"/>
    </row>
    <row r="1396">
      <c r="E1396" s="22"/>
    </row>
    <row r="1397">
      <c r="E1397" s="22"/>
    </row>
    <row r="1398">
      <c r="E1398" s="22"/>
    </row>
    <row r="1399">
      <c r="E1399" s="22"/>
    </row>
    <row r="1400">
      <c r="E1400" s="22"/>
    </row>
    <row r="1401">
      <c r="E1401" s="22"/>
    </row>
    <row r="1402">
      <c r="E1402" s="22"/>
    </row>
    <row r="1403">
      <c r="E1403" s="22"/>
    </row>
    <row r="1404">
      <c r="E1404" s="22"/>
    </row>
    <row r="1405">
      <c r="E1405" s="22"/>
    </row>
    <row r="1406">
      <c r="E1406" s="22"/>
    </row>
    <row r="1407">
      <c r="E1407" s="22"/>
    </row>
    <row r="1408">
      <c r="E1408" s="22"/>
    </row>
    <row r="1409">
      <c r="E1409" s="22"/>
    </row>
    <row r="1410">
      <c r="E1410" s="22"/>
    </row>
    <row r="1411">
      <c r="E1411" s="22"/>
    </row>
    <row r="1412">
      <c r="E1412" s="22"/>
    </row>
    <row r="1413">
      <c r="E1413" s="22"/>
    </row>
    <row r="1414">
      <c r="E1414" s="22"/>
    </row>
    <row r="1415">
      <c r="E1415" s="22"/>
    </row>
    <row r="1416">
      <c r="E1416" s="22"/>
    </row>
    <row r="1417">
      <c r="E1417" s="22"/>
    </row>
    <row r="1418">
      <c r="E1418" s="22"/>
    </row>
    <row r="1419">
      <c r="E1419" s="22"/>
    </row>
    <row r="1420">
      <c r="E1420" s="22"/>
    </row>
    <row r="1421">
      <c r="E1421" s="22"/>
    </row>
    <row r="1422">
      <c r="E1422" s="22"/>
    </row>
    <row r="1423">
      <c r="E1423" s="22"/>
    </row>
    <row r="1424">
      <c r="E1424" s="22"/>
    </row>
    <row r="1425">
      <c r="E1425" s="22"/>
    </row>
    <row r="1426">
      <c r="E1426" s="22"/>
    </row>
    <row r="1427">
      <c r="E1427" s="22"/>
    </row>
    <row r="1428">
      <c r="E1428" s="22"/>
    </row>
    <row r="1429">
      <c r="E1429" s="22"/>
    </row>
    <row r="1430">
      <c r="E1430" s="22"/>
    </row>
    <row r="1431">
      <c r="E1431" s="22"/>
    </row>
    <row r="1432">
      <c r="E1432" s="22"/>
    </row>
    <row r="1433">
      <c r="E1433" s="22"/>
    </row>
    <row r="1434">
      <c r="E1434" s="22"/>
    </row>
    <row r="1435">
      <c r="E1435" s="22"/>
    </row>
    <row r="1436">
      <c r="E1436" s="22"/>
    </row>
    <row r="1437">
      <c r="E1437" s="22"/>
    </row>
    <row r="1438">
      <c r="E1438" s="22"/>
    </row>
    <row r="1439">
      <c r="E1439" s="22"/>
    </row>
    <row r="1440">
      <c r="E1440" s="22"/>
    </row>
    <row r="1441">
      <c r="E1441" s="22"/>
    </row>
    <row r="1442">
      <c r="E1442" s="22"/>
    </row>
    <row r="1443">
      <c r="E1443" s="22"/>
    </row>
    <row r="1444">
      <c r="E1444" s="22"/>
    </row>
    <row r="1445">
      <c r="E1445" s="22"/>
    </row>
    <row r="1446">
      <c r="E1446" s="22"/>
    </row>
    <row r="1447">
      <c r="E1447" s="22"/>
    </row>
    <row r="1448">
      <c r="E1448" s="22"/>
    </row>
    <row r="1449">
      <c r="E1449" s="22"/>
    </row>
    <row r="1450">
      <c r="E1450" s="22"/>
    </row>
    <row r="1451">
      <c r="E1451" s="22"/>
    </row>
    <row r="1452">
      <c r="E1452" s="22"/>
    </row>
    <row r="1453">
      <c r="E1453" s="22"/>
    </row>
    <row r="1454">
      <c r="E1454" s="22"/>
    </row>
    <row r="1455">
      <c r="E1455" s="22"/>
    </row>
    <row r="1456">
      <c r="E1456" s="22"/>
    </row>
    <row r="1457">
      <c r="E1457" s="22"/>
    </row>
    <row r="1458">
      <c r="E1458" s="22"/>
    </row>
    <row r="1459">
      <c r="E1459" s="22"/>
    </row>
    <row r="1460">
      <c r="E1460" s="22"/>
    </row>
    <row r="1461">
      <c r="E1461" s="22"/>
    </row>
    <row r="1462">
      <c r="E1462" s="22"/>
    </row>
    <row r="1463">
      <c r="E1463" s="22"/>
    </row>
    <row r="1464">
      <c r="E1464" s="22"/>
    </row>
    <row r="1465">
      <c r="E1465" s="22"/>
    </row>
    <row r="1466">
      <c r="E1466" s="22"/>
    </row>
    <row r="1467">
      <c r="E1467" s="22"/>
    </row>
    <row r="1468">
      <c r="E1468" s="22"/>
    </row>
    <row r="1469">
      <c r="E1469" s="22"/>
    </row>
    <row r="1470">
      <c r="E1470" s="22"/>
    </row>
    <row r="1471">
      <c r="E1471" s="22"/>
    </row>
    <row r="1472">
      <c r="E1472" s="22"/>
    </row>
    <row r="1473">
      <c r="E1473" s="22"/>
    </row>
    <row r="1474">
      <c r="E1474" s="22"/>
    </row>
    <row r="1475">
      <c r="E1475" s="22"/>
    </row>
    <row r="1476">
      <c r="E1476" s="22"/>
    </row>
    <row r="1477">
      <c r="E1477" s="22"/>
    </row>
    <row r="1478">
      <c r="E1478" s="22"/>
    </row>
    <row r="1479">
      <c r="E1479" s="22"/>
    </row>
    <row r="1480">
      <c r="E1480" s="22"/>
    </row>
    <row r="1481">
      <c r="E1481" s="22"/>
    </row>
    <row r="1482">
      <c r="E1482" s="22"/>
    </row>
    <row r="1483">
      <c r="E1483" s="22"/>
    </row>
    <row r="1484">
      <c r="E1484" s="22"/>
    </row>
    <row r="1485">
      <c r="E1485" s="22"/>
    </row>
    <row r="1486">
      <c r="E1486" s="22"/>
    </row>
    <row r="1487">
      <c r="E1487" s="22"/>
    </row>
    <row r="1488">
      <c r="E1488" s="22"/>
    </row>
    <row r="1489">
      <c r="E1489" s="22"/>
    </row>
    <row r="1490">
      <c r="E1490" s="22"/>
    </row>
    <row r="1491">
      <c r="E1491" s="22"/>
    </row>
    <row r="1492">
      <c r="E1492" s="22"/>
    </row>
    <row r="1493">
      <c r="E1493" s="22"/>
    </row>
    <row r="1494">
      <c r="E1494" s="22"/>
    </row>
    <row r="1495">
      <c r="E1495" s="22"/>
    </row>
    <row r="1496">
      <c r="E1496" s="22"/>
    </row>
    <row r="1497">
      <c r="E1497" s="22"/>
    </row>
    <row r="1498">
      <c r="E1498" s="22"/>
    </row>
    <row r="1499">
      <c r="E1499" s="22"/>
    </row>
    <row r="1500">
      <c r="E1500" s="22"/>
    </row>
    <row r="1501">
      <c r="E1501" s="22"/>
    </row>
    <row r="1502">
      <c r="E1502" s="22"/>
    </row>
    <row r="1503">
      <c r="E1503" s="22"/>
    </row>
    <row r="1504">
      <c r="E1504" s="22"/>
    </row>
    <row r="1505">
      <c r="E1505" s="22"/>
    </row>
    <row r="1506">
      <c r="E1506" s="22"/>
    </row>
    <row r="1507">
      <c r="E1507" s="22"/>
    </row>
    <row r="1508">
      <c r="E1508" s="22"/>
    </row>
    <row r="1509">
      <c r="E1509" s="22"/>
    </row>
    <row r="1510">
      <c r="E1510" s="22"/>
    </row>
    <row r="1511">
      <c r="E1511" s="22"/>
    </row>
    <row r="1512">
      <c r="E1512" s="22"/>
    </row>
    <row r="1513">
      <c r="E1513" s="22"/>
    </row>
    <row r="1514">
      <c r="E1514" s="22"/>
    </row>
    <row r="1515">
      <c r="E1515" s="22"/>
    </row>
    <row r="1516">
      <c r="E1516" s="22"/>
    </row>
    <row r="1517">
      <c r="E1517" s="22"/>
    </row>
    <row r="1518">
      <c r="E1518" s="22"/>
    </row>
    <row r="1519">
      <c r="E1519" s="22"/>
    </row>
    <row r="1520">
      <c r="E1520" s="22"/>
    </row>
    <row r="1521">
      <c r="E1521" s="22"/>
    </row>
    <row r="1522">
      <c r="E1522" s="22"/>
    </row>
    <row r="1523">
      <c r="E1523" s="22"/>
    </row>
    <row r="1524">
      <c r="E1524" s="22"/>
    </row>
    <row r="1525">
      <c r="E1525" s="22"/>
    </row>
    <row r="1526">
      <c r="E1526" s="22"/>
    </row>
    <row r="1527">
      <c r="E1527" s="22"/>
    </row>
    <row r="1528">
      <c r="E1528" s="22"/>
    </row>
    <row r="1529">
      <c r="E1529" s="22"/>
    </row>
    <row r="1530">
      <c r="E1530" s="22"/>
    </row>
    <row r="1531">
      <c r="E1531" s="22"/>
    </row>
    <row r="1532">
      <c r="E1532" s="22"/>
    </row>
    <row r="1533">
      <c r="E1533" s="22"/>
    </row>
    <row r="1534">
      <c r="E1534" s="22"/>
    </row>
    <row r="1535">
      <c r="E1535" s="22"/>
    </row>
    <row r="1536">
      <c r="E1536" s="22"/>
    </row>
    <row r="1537">
      <c r="E1537" s="22"/>
    </row>
    <row r="1538">
      <c r="E1538" s="22"/>
    </row>
    <row r="1539">
      <c r="E1539" s="22"/>
    </row>
    <row r="1540">
      <c r="E1540" s="22"/>
    </row>
    <row r="1541">
      <c r="E1541" s="22"/>
    </row>
    <row r="1542">
      <c r="E1542" s="22"/>
    </row>
    <row r="1543">
      <c r="E1543" s="22"/>
    </row>
    <row r="1544">
      <c r="E1544" s="22"/>
    </row>
    <row r="1545">
      <c r="E1545" s="22"/>
    </row>
    <row r="1546">
      <c r="E1546" s="22"/>
    </row>
    <row r="1547">
      <c r="E1547" s="22"/>
    </row>
    <row r="1548">
      <c r="E1548" s="22"/>
    </row>
    <row r="1549">
      <c r="E1549" s="22"/>
    </row>
    <row r="1550">
      <c r="E1550" s="22"/>
    </row>
    <row r="1551">
      <c r="E1551" s="22"/>
    </row>
    <row r="1552">
      <c r="E1552" s="22"/>
    </row>
    <row r="1553">
      <c r="E1553" s="22"/>
    </row>
    <row r="1554">
      <c r="E1554" s="22"/>
    </row>
    <row r="1555">
      <c r="E1555" s="22"/>
    </row>
    <row r="1556">
      <c r="E1556" s="22"/>
    </row>
    <row r="1557">
      <c r="E1557" s="22"/>
    </row>
    <row r="1558">
      <c r="E1558" s="22"/>
    </row>
    <row r="1559">
      <c r="E1559" s="22"/>
    </row>
    <row r="1560">
      <c r="E1560" s="22"/>
    </row>
    <row r="1561">
      <c r="E1561" s="22"/>
    </row>
    <row r="1562">
      <c r="E1562" s="22"/>
    </row>
    <row r="1563">
      <c r="E1563" s="22"/>
    </row>
    <row r="1564">
      <c r="E1564" s="22"/>
    </row>
    <row r="1565">
      <c r="E1565" s="22"/>
    </row>
    <row r="1566">
      <c r="E1566" s="22"/>
    </row>
    <row r="1567">
      <c r="E1567" s="22"/>
    </row>
    <row r="1568">
      <c r="E1568" s="22"/>
    </row>
    <row r="1569">
      <c r="E1569" s="22"/>
    </row>
    <row r="1570">
      <c r="E1570" s="22"/>
    </row>
    <row r="1571">
      <c r="E1571" s="22"/>
    </row>
    <row r="1572">
      <c r="E1572" s="22"/>
    </row>
    <row r="1573">
      <c r="E1573" s="22"/>
    </row>
    <row r="1574">
      <c r="E1574" s="22"/>
    </row>
    <row r="1575">
      <c r="E1575" s="22"/>
    </row>
    <row r="1576">
      <c r="E1576" s="22"/>
    </row>
    <row r="1577">
      <c r="E1577" s="22"/>
    </row>
    <row r="1578">
      <c r="E1578" s="22"/>
    </row>
    <row r="1579">
      <c r="E1579" s="22"/>
    </row>
    <row r="1580">
      <c r="E1580" s="22"/>
    </row>
    <row r="1581">
      <c r="E1581" s="22"/>
    </row>
    <row r="1582">
      <c r="E1582" s="22"/>
    </row>
    <row r="1583">
      <c r="E1583" s="22"/>
    </row>
    <row r="1584">
      <c r="E1584" s="22"/>
    </row>
    <row r="1585">
      <c r="E1585" s="22"/>
    </row>
    <row r="1586">
      <c r="E1586" s="22"/>
    </row>
    <row r="1587">
      <c r="E1587" s="22"/>
    </row>
    <row r="1588">
      <c r="E1588" s="22"/>
    </row>
    <row r="1589">
      <c r="E1589" s="22"/>
    </row>
    <row r="1590">
      <c r="E1590" s="22"/>
    </row>
    <row r="1591">
      <c r="E1591" s="22"/>
    </row>
    <row r="1592">
      <c r="E1592" s="22"/>
    </row>
    <row r="1593">
      <c r="E1593" s="22"/>
    </row>
    <row r="1594">
      <c r="E1594" s="22"/>
    </row>
    <row r="1595">
      <c r="E1595" s="22"/>
    </row>
    <row r="1596">
      <c r="E1596" s="22"/>
    </row>
    <row r="1597">
      <c r="E1597" s="22"/>
    </row>
    <row r="1598">
      <c r="E1598" s="22"/>
    </row>
    <row r="1599">
      <c r="E1599" s="22"/>
    </row>
    <row r="1600">
      <c r="E1600" s="22"/>
    </row>
    <row r="1601">
      <c r="E1601" s="22"/>
    </row>
    <row r="1602">
      <c r="E1602" s="22"/>
    </row>
    <row r="1603">
      <c r="E1603" s="22"/>
    </row>
    <row r="1604">
      <c r="E1604" s="22"/>
    </row>
    <row r="1605">
      <c r="E1605" s="22"/>
    </row>
    <row r="1606">
      <c r="E1606" s="22"/>
    </row>
    <row r="1607">
      <c r="E1607" s="22"/>
    </row>
    <row r="1608">
      <c r="E1608" s="22"/>
    </row>
    <row r="1609">
      <c r="E1609" s="22"/>
    </row>
    <row r="1610">
      <c r="E1610" s="22"/>
    </row>
    <row r="1611">
      <c r="E1611" s="22"/>
    </row>
    <row r="1612">
      <c r="E1612" s="22"/>
    </row>
    <row r="1613">
      <c r="E1613" s="22"/>
    </row>
    <row r="1614">
      <c r="E1614" s="22"/>
    </row>
    <row r="1615">
      <c r="E1615" s="22"/>
    </row>
    <row r="1616">
      <c r="E1616" s="22"/>
    </row>
    <row r="1617">
      <c r="E1617" s="22"/>
    </row>
    <row r="1618">
      <c r="E1618" s="22"/>
    </row>
    <row r="1619">
      <c r="E1619" s="22"/>
    </row>
    <row r="1620">
      <c r="E1620" s="22"/>
    </row>
    <row r="1621">
      <c r="E1621" s="22"/>
    </row>
    <row r="1622">
      <c r="E1622" s="22"/>
    </row>
    <row r="1623">
      <c r="E1623" s="22"/>
    </row>
    <row r="1624">
      <c r="E1624" s="22"/>
    </row>
    <row r="1625">
      <c r="E1625" s="22"/>
    </row>
    <row r="1626">
      <c r="E1626" s="22"/>
    </row>
    <row r="1627">
      <c r="E1627" s="22"/>
    </row>
    <row r="1628">
      <c r="E1628" s="22"/>
    </row>
    <row r="1629">
      <c r="E1629" s="22"/>
    </row>
    <row r="1630">
      <c r="E1630" s="22"/>
    </row>
    <row r="1631">
      <c r="E1631" s="22"/>
    </row>
    <row r="1632">
      <c r="E1632" s="22"/>
    </row>
    <row r="1633">
      <c r="E1633" s="22"/>
    </row>
    <row r="1634">
      <c r="E1634" s="22"/>
    </row>
    <row r="1635">
      <c r="E1635" s="22"/>
    </row>
    <row r="1636">
      <c r="E1636" s="22"/>
    </row>
    <row r="1637">
      <c r="E1637" s="22"/>
    </row>
    <row r="1638">
      <c r="E1638" s="22"/>
    </row>
    <row r="1639">
      <c r="E1639" s="22"/>
    </row>
    <row r="1640">
      <c r="E1640" s="22"/>
    </row>
    <row r="1641">
      <c r="E1641" s="22"/>
    </row>
    <row r="1642">
      <c r="E1642" s="22"/>
    </row>
    <row r="1643">
      <c r="E1643" s="22"/>
    </row>
    <row r="1644">
      <c r="E1644" s="22"/>
    </row>
    <row r="1645">
      <c r="E1645" s="22"/>
    </row>
    <row r="1646">
      <c r="E1646" s="22"/>
    </row>
    <row r="1647">
      <c r="E1647" s="22"/>
    </row>
    <row r="1648">
      <c r="E1648" s="22"/>
    </row>
    <row r="1649">
      <c r="E1649" s="22"/>
    </row>
    <row r="1650">
      <c r="E1650" s="22"/>
    </row>
    <row r="1651">
      <c r="E1651" s="22"/>
    </row>
    <row r="1652">
      <c r="E1652" s="22"/>
    </row>
    <row r="1653">
      <c r="E1653" s="22"/>
    </row>
    <row r="1654">
      <c r="E1654" s="22"/>
    </row>
    <row r="1655">
      <c r="E1655" s="22"/>
    </row>
    <row r="1656">
      <c r="E1656" s="22"/>
    </row>
    <row r="1657">
      <c r="E1657" s="22"/>
    </row>
    <row r="1658">
      <c r="E1658" s="22"/>
    </row>
    <row r="1659">
      <c r="E1659" s="22"/>
    </row>
    <row r="1660">
      <c r="E1660" s="22"/>
    </row>
    <row r="1661">
      <c r="E1661" s="22"/>
    </row>
    <row r="1662">
      <c r="E1662" s="22"/>
    </row>
    <row r="1663">
      <c r="E1663" s="22"/>
    </row>
    <row r="1664">
      <c r="E1664" s="22"/>
    </row>
    <row r="1665">
      <c r="E1665" s="22"/>
    </row>
    <row r="1666">
      <c r="E1666" s="22"/>
    </row>
    <row r="1667">
      <c r="E1667" s="22"/>
    </row>
    <row r="1668">
      <c r="E1668" s="22"/>
    </row>
    <row r="1669">
      <c r="E1669" s="22"/>
    </row>
    <row r="1670">
      <c r="E1670" s="22"/>
    </row>
    <row r="1671">
      <c r="E1671" s="22"/>
    </row>
    <row r="1672">
      <c r="E1672" s="22"/>
    </row>
    <row r="1673">
      <c r="E1673" s="22"/>
    </row>
    <row r="1674">
      <c r="E1674" s="22"/>
    </row>
    <row r="1675">
      <c r="E1675" s="22"/>
    </row>
    <row r="1676">
      <c r="E1676" s="22"/>
    </row>
    <row r="1677">
      <c r="E1677" s="22"/>
    </row>
    <row r="1678">
      <c r="E1678" s="22"/>
    </row>
    <row r="1679">
      <c r="E1679" s="22"/>
    </row>
    <row r="1680">
      <c r="E1680" s="22"/>
    </row>
    <row r="1681">
      <c r="E1681" s="22"/>
    </row>
    <row r="1682">
      <c r="E1682" s="22"/>
    </row>
    <row r="1683">
      <c r="E1683" s="22"/>
    </row>
    <row r="1684">
      <c r="E1684" s="22"/>
    </row>
    <row r="1685">
      <c r="E1685" s="22"/>
    </row>
    <row r="1686">
      <c r="E1686" s="22"/>
    </row>
    <row r="1687">
      <c r="E1687" s="22"/>
    </row>
    <row r="1688">
      <c r="E1688" s="22"/>
    </row>
    <row r="1689">
      <c r="E1689" s="22"/>
    </row>
    <row r="1690">
      <c r="E1690" s="22"/>
    </row>
    <row r="1691">
      <c r="E1691" s="22"/>
    </row>
    <row r="1692">
      <c r="E1692" s="22"/>
    </row>
    <row r="1693">
      <c r="E1693" s="22"/>
    </row>
    <row r="1694">
      <c r="E1694" s="22"/>
    </row>
    <row r="1695">
      <c r="E1695" s="22"/>
    </row>
    <row r="1696">
      <c r="E1696" s="22"/>
    </row>
    <row r="1697">
      <c r="E1697" s="22"/>
    </row>
    <row r="1698">
      <c r="E1698" s="22"/>
    </row>
    <row r="1699">
      <c r="E1699" s="22"/>
    </row>
    <row r="1700">
      <c r="E1700" s="22"/>
    </row>
    <row r="1701">
      <c r="E1701" s="22"/>
    </row>
    <row r="1702">
      <c r="E1702" s="22"/>
    </row>
    <row r="1703">
      <c r="E1703" s="22"/>
    </row>
    <row r="1704">
      <c r="E1704" s="22"/>
    </row>
    <row r="1705">
      <c r="E1705" s="22"/>
    </row>
    <row r="1706">
      <c r="E1706" s="22"/>
    </row>
    <row r="1707">
      <c r="E1707" s="22"/>
    </row>
    <row r="1708">
      <c r="E1708" s="22"/>
    </row>
    <row r="1709">
      <c r="E1709" s="22"/>
    </row>
    <row r="1710">
      <c r="E1710" s="22"/>
    </row>
    <row r="1711">
      <c r="E1711" s="22"/>
    </row>
    <row r="1712">
      <c r="E1712" s="22"/>
    </row>
    <row r="1713">
      <c r="E1713" s="22"/>
    </row>
    <row r="1714">
      <c r="E1714" s="22"/>
    </row>
    <row r="1715">
      <c r="E1715" s="22"/>
    </row>
    <row r="1716">
      <c r="E1716" s="22"/>
    </row>
    <row r="1717">
      <c r="E1717" s="22"/>
    </row>
    <row r="1718">
      <c r="E1718" s="22"/>
    </row>
    <row r="1719">
      <c r="E1719" s="22"/>
    </row>
    <row r="1720">
      <c r="E1720" s="22"/>
    </row>
    <row r="1721">
      <c r="E1721" s="22"/>
    </row>
    <row r="1722">
      <c r="E1722" s="22"/>
    </row>
    <row r="1723">
      <c r="E1723" s="22"/>
    </row>
    <row r="1724">
      <c r="E1724" s="22"/>
    </row>
    <row r="1725">
      <c r="E1725" s="22"/>
    </row>
    <row r="1726">
      <c r="E1726" s="22"/>
    </row>
    <row r="1727">
      <c r="E1727" s="22"/>
    </row>
    <row r="1728">
      <c r="E1728" s="22"/>
    </row>
    <row r="1729">
      <c r="E1729" s="22"/>
    </row>
    <row r="1730">
      <c r="E1730" s="22"/>
    </row>
    <row r="1731">
      <c r="E1731" s="22"/>
    </row>
    <row r="1732">
      <c r="E1732" s="22"/>
    </row>
    <row r="1733">
      <c r="E1733" s="22"/>
    </row>
    <row r="1734">
      <c r="E1734" s="22"/>
    </row>
    <row r="1735">
      <c r="E1735" s="22"/>
    </row>
    <row r="1736">
      <c r="E1736" s="22"/>
    </row>
    <row r="1737">
      <c r="E1737" s="22"/>
    </row>
    <row r="1738">
      <c r="E1738" s="22"/>
    </row>
    <row r="1739">
      <c r="E1739" s="22"/>
    </row>
    <row r="1740">
      <c r="E1740" s="22"/>
    </row>
    <row r="1741">
      <c r="E1741" s="22"/>
    </row>
    <row r="1742">
      <c r="E1742" s="22"/>
    </row>
    <row r="1743">
      <c r="E1743" s="22"/>
    </row>
    <row r="1744">
      <c r="E1744" s="22"/>
    </row>
    <row r="1745">
      <c r="E1745" s="22"/>
    </row>
    <row r="1746">
      <c r="E1746" s="22"/>
    </row>
    <row r="1747">
      <c r="E1747" s="22"/>
    </row>
    <row r="1748">
      <c r="E1748" s="22"/>
    </row>
    <row r="1749">
      <c r="E1749" s="22"/>
    </row>
    <row r="1750">
      <c r="E1750" s="22"/>
    </row>
    <row r="1751">
      <c r="E1751" s="22"/>
    </row>
    <row r="1752">
      <c r="E1752" s="22"/>
    </row>
    <row r="1753">
      <c r="E1753" s="22"/>
    </row>
    <row r="1754">
      <c r="E1754" s="22"/>
    </row>
    <row r="1755">
      <c r="E1755" s="22"/>
    </row>
    <row r="1756">
      <c r="E1756" s="22"/>
    </row>
    <row r="1757">
      <c r="E1757" s="22"/>
    </row>
    <row r="1758">
      <c r="E1758" s="22"/>
    </row>
    <row r="1759">
      <c r="E1759" s="22"/>
    </row>
    <row r="1760">
      <c r="E1760" s="22"/>
    </row>
    <row r="1761">
      <c r="E1761" s="22"/>
    </row>
    <row r="1762">
      <c r="E1762" s="22"/>
    </row>
    <row r="1763">
      <c r="E1763" s="22"/>
    </row>
    <row r="1764">
      <c r="E1764" s="22"/>
    </row>
    <row r="1765">
      <c r="E1765" s="22"/>
    </row>
    <row r="1766">
      <c r="E1766" s="22"/>
    </row>
    <row r="1767">
      <c r="E1767" s="22"/>
    </row>
    <row r="1768">
      <c r="E1768" s="22"/>
    </row>
    <row r="1769">
      <c r="E1769" s="22"/>
    </row>
    <row r="1770">
      <c r="E1770" s="22"/>
    </row>
    <row r="1771">
      <c r="E1771" s="22"/>
    </row>
    <row r="1772">
      <c r="E1772" s="22"/>
    </row>
    <row r="1773">
      <c r="E1773" s="22"/>
    </row>
    <row r="1774">
      <c r="E1774" s="22"/>
    </row>
    <row r="1775">
      <c r="E1775" s="22"/>
    </row>
    <row r="1776">
      <c r="E1776" s="22"/>
    </row>
    <row r="1777">
      <c r="E1777" s="22"/>
    </row>
    <row r="1778">
      <c r="E1778" s="22"/>
    </row>
    <row r="1779">
      <c r="E1779" s="22"/>
    </row>
    <row r="1780">
      <c r="E1780" s="22"/>
    </row>
    <row r="1781">
      <c r="E1781" s="22"/>
    </row>
    <row r="1782">
      <c r="E1782" s="22"/>
    </row>
    <row r="1783">
      <c r="E1783" s="22"/>
    </row>
    <row r="1784">
      <c r="E1784" s="22"/>
    </row>
    <row r="1785">
      <c r="E1785" s="22"/>
    </row>
    <row r="1786">
      <c r="E1786" s="22"/>
    </row>
    <row r="1787">
      <c r="E1787" s="22"/>
    </row>
    <row r="1788">
      <c r="E1788" s="22"/>
    </row>
    <row r="1789">
      <c r="E1789" s="22"/>
    </row>
    <row r="1790">
      <c r="E1790" s="22"/>
    </row>
    <row r="1791">
      <c r="E1791" s="22"/>
    </row>
    <row r="1792">
      <c r="E1792" s="22"/>
    </row>
    <row r="1793">
      <c r="E1793" s="22"/>
    </row>
    <row r="1794">
      <c r="E1794" s="22"/>
    </row>
    <row r="1795">
      <c r="E1795" s="22"/>
    </row>
    <row r="1796">
      <c r="E1796" s="22"/>
    </row>
    <row r="1797">
      <c r="E1797" s="22"/>
    </row>
    <row r="1798">
      <c r="E1798" s="22"/>
    </row>
    <row r="1799">
      <c r="E1799" s="22"/>
    </row>
    <row r="1800">
      <c r="E1800" s="22"/>
    </row>
    <row r="1801">
      <c r="E1801" s="22"/>
    </row>
    <row r="1802">
      <c r="E1802" s="22"/>
    </row>
    <row r="1803">
      <c r="E1803" s="22"/>
    </row>
    <row r="1804">
      <c r="E1804" s="22"/>
    </row>
    <row r="1805">
      <c r="E1805" s="22"/>
    </row>
    <row r="1806">
      <c r="E1806" s="22"/>
    </row>
    <row r="1807">
      <c r="E1807" s="22"/>
    </row>
    <row r="1808">
      <c r="E1808" s="22"/>
    </row>
    <row r="1809">
      <c r="E1809" s="22"/>
    </row>
    <row r="1810">
      <c r="E1810" s="22"/>
    </row>
    <row r="1811">
      <c r="E1811" s="22"/>
    </row>
    <row r="1812">
      <c r="E1812" s="22"/>
    </row>
    <row r="1813">
      <c r="E1813" s="22"/>
    </row>
    <row r="1814">
      <c r="E1814" s="22"/>
    </row>
    <row r="1815">
      <c r="E1815" s="22"/>
    </row>
    <row r="1816">
      <c r="E1816" s="22"/>
    </row>
    <row r="1817">
      <c r="E1817" s="22"/>
    </row>
    <row r="1818">
      <c r="E1818" s="22"/>
    </row>
    <row r="1819">
      <c r="E1819" s="22"/>
    </row>
    <row r="1820">
      <c r="E1820" s="22"/>
    </row>
    <row r="1821">
      <c r="E1821" s="22"/>
    </row>
    <row r="1822">
      <c r="E1822" s="22"/>
    </row>
    <row r="1823">
      <c r="E1823" s="22"/>
    </row>
    <row r="1824">
      <c r="E1824" s="22"/>
    </row>
    <row r="1825">
      <c r="E1825" s="22"/>
    </row>
    <row r="1826">
      <c r="E1826" s="22"/>
    </row>
    <row r="1827">
      <c r="E1827" s="22"/>
    </row>
    <row r="1828">
      <c r="E1828" s="22"/>
    </row>
    <row r="1829">
      <c r="E1829" s="22"/>
    </row>
    <row r="1830">
      <c r="E1830" s="22"/>
    </row>
    <row r="1831">
      <c r="E1831" s="22"/>
    </row>
    <row r="1832">
      <c r="E1832" s="22"/>
    </row>
    <row r="1833">
      <c r="E1833" s="22"/>
    </row>
    <row r="1834">
      <c r="E1834" s="22"/>
    </row>
    <row r="1835">
      <c r="E1835" s="22"/>
    </row>
    <row r="1836">
      <c r="E1836" s="22"/>
    </row>
    <row r="1837">
      <c r="E1837" s="22"/>
    </row>
    <row r="1838">
      <c r="E1838" s="22"/>
    </row>
    <row r="1839">
      <c r="E1839" s="22"/>
    </row>
    <row r="1840">
      <c r="E1840" s="22"/>
    </row>
    <row r="1841">
      <c r="E1841" s="22"/>
    </row>
    <row r="1842">
      <c r="E1842" s="22"/>
    </row>
    <row r="1843">
      <c r="E1843" s="22"/>
    </row>
    <row r="1844">
      <c r="E1844" s="22"/>
    </row>
    <row r="1845">
      <c r="E1845" s="22"/>
    </row>
    <row r="1846">
      <c r="E1846" s="22"/>
    </row>
    <row r="1847">
      <c r="E1847" s="22"/>
    </row>
    <row r="1848">
      <c r="E1848" s="22"/>
    </row>
    <row r="1849">
      <c r="E1849" s="22"/>
    </row>
    <row r="1850">
      <c r="E1850" s="22"/>
    </row>
    <row r="1851">
      <c r="E1851" s="22"/>
    </row>
    <row r="1852">
      <c r="E1852" s="22"/>
    </row>
    <row r="1853">
      <c r="E1853" s="22"/>
    </row>
    <row r="1854">
      <c r="E1854" s="22"/>
    </row>
    <row r="1855">
      <c r="E1855" s="22"/>
    </row>
    <row r="1856">
      <c r="E1856" s="22"/>
    </row>
    <row r="1857">
      <c r="E1857" s="22"/>
    </row>
    <row r="1858">
      <c r="E1858" s="22"/>
    </row>
    <row r="1859">
      <c r="E1859" s="22"/>
    </row>
    <row r="1860">
      <c r="E1860" s="22"/>
    </row>
    <row r="1861">
      <c r="E1861" s="22"/>
    </row>
    <row r="1862">
      <c r="E1862" s="22"/>
    </row>
    <row r="1863">
      <c r="E1863" s="22"/>
    </row>
    <row r="1864">
      <c r="E1864" s="22"/>
    </row>
    <row r="1865">
      <c r="E1865" s="22"/>
    </row>
    <row r="1866">
      <c r="E1866" s="22"/>
    </row>
    <row r="1867">
      <c r="E1867" s="22"/>
    </row>
    <row r="1868">
      <c r="E1868" s="22"/>
    </row>
    <row r="1869">
      <c r="E1869" s="22"/>
    </row>
    <row r="1870">
      <c r="E1870" s="22"/>
    </row>
    <row r="1871">
      <c r="E1871" s="22"/>
    </row>
    <row r="1872">
      <c r="E1872" s="22"/>
    </row>
    <row r="1873">
      <c r="E1873" s="22"/>
    </row>
    <row r="1874">
      <c r="E1874" s="22"/>
    </row>
    <row r="1875">
      <c r="E1875" s="22"/>
    </row>
    <row r="1876">
      <c r="E1876" s="22"/>
    </row>
    <row r="1877">
      <c r="E1877" s="22"/>
    </row>
    <row r="1878">
      <c r="E1878" s="22"/>
    </row>
    <row r="1879">
      <c r="E1879" s="22"/>
    </row>
    <row r="1880">
      <c r="E1880" s="22"/>
    </row>
    <row r="1881">
      <c r="E1881" s="22"/>
    </row>
    <row r="1882">
      <c r="E1882" s="22"/>
    </row>
    <row r="1883">
      <c r="E1883" s="22"/>
    </row>
    <row r="1884">
      <c r="E1884" s="22"/>
    </row>
    <row r="1885">
      <c r="E1885" s="22"/>
    </row>
    <row r="1886">
      <c r="E1886" s="22"/>
    </row>
    <row r="1887">
      <c r="E1887" s="22"/>
    </row>
    <row r="1888">
      <c r="E1888" s="22"/>
    </row>
    <row r="1889">
      <c r="E1889" s="22"/>
    </row>
    <row r="1890">
      <c r="E1890" s="22"/>
    </row>
    <row r="1891">
      <c r="E1891" s="22"/>
    </row>
    <row r="1892">
      <c r="E1892" s="22"/>
    </row>
    <row r="1893">
      <c r="E1893" s="22"/>
    </row>
    <row r="1894">
      <c r="E1894" s="22"/>
    </row>
    <row r="1895">
      <c r="E1895" s="22"/>
    </row>
    <row r="1896">
      <c r="E1896" s="22"/>
    </row>
    <row r="1897">
      <c r="E1897" s="22"/>
    </row>
    <row r="1898">
      <c r="E1898" s="22"/>
    </row>
    <row r="1899">
      <c r="E1899" s="22"/>
    </row>
    <row r="1900">
      <c r="E1900" s="22"/>
    </row>
    <row r="1901">
      <c r="E1901" s="22"/>
    </row>
    <row r="1902">
      <c r="E1902" s="22"/>
    </row>
    <row r="1903">
      <c r="E1903" s="22"/>
    </row>
    <row r="1904">
      <c r="E1904" s="22"/>
    </row>
    <row r="1905">
      <c r="E1905" s="22"/>
    </row>
    <row r="1906">
      <c r="E1906" s="22"/>
    </row>
    <row r="1907">
      <c r="E1907" s="22"/>
    </row>
    <row r="1908">
      <c r="E1908" s="22"/>
    </row>
    <row r="1909">
      <c r="E1909" s="22"/>
    </row>
    <row r="1910">
      <c r="E1910" s="22"/>
    </row>
    <row r="1911">
      <c r="E1911" s="22"/>
    </row>
    <row r="1912">
      <c r="E1912" s="22"/>
    </row>
    <row r="1913">
      <c r="E1913" s="22"/>
    </row>
    <row r="1914">
      <c r="E1914" s="22"/>
    </row>
    <row r="1915">
      <c r="E1915" s="22"/>
    </row>
    <row r="1916">
      <c r="E1916" s="22"/>
    </row>
    <row r="1917">
      <c r="E1917" s="22"/>
    </row>
    <row r="1918">
      <c r="E1918" s="22"/>
    </row>
    <row r="1919">
      <c r="E1919" s="22"/>
    </row>
    <row r="1920">
      <c r="E1920" s="22"/>
    </row>
    <row r="1921">
      <c r="E1921" s="22"/>
    </row>
    <row r="1922">
      <c r="E1922" s="22"/>
    </row>
    <row r="1923">
      <c r="E1923" s="22"/>
    </row>
    <row r="1924">
      <c r="E1924" s="22"/>
    </row>
    <row r="1925">
      <c r="E1925" s="22"/>
    </row>
    <row r="1926">
      <c r="E1926" s="22"/>
    </row>
    <row r="1927">
      <c r="E1927" s="22"/>
    </row>
    <row r="1928">
      <c r="E1928" s="22"/>
    </row>
    <row r="1929">
      <c r="E1929" s="22"/>
    </row>
    <row r="1930">
      <c r="E1930" s="22"/>
    </row>
    <row r="1931">
      <c r="E1931" s="22"/>
    </row>
    <row r="1932">
      <c r="E1932" s="22"/>
    </row>
    <row r="1933">
      <c r="E1933" s="22"/>
    </row>
    <row r="1934">
      <c r="E1934" s="22"/>
    </row>
    <row r="1935">
      <c r="E1935" s="22"/>
    </row>
    <row r="1936">
      <c r="E1936" s="22"/>
    </row>
    <row r="1937">
      <c r="E1937" s="22"/>
    </row>
    <row r="1938">
      <c r="E1938" s="22"/>
    </row>
    <row r="1939">
      <c r="E1939" s="22"/>
    </row>
    <row r="1940">
      <c r="E1940" s="22"/>
    </row>
    <row r="1941">
      <c r="E1941" s="22"/>
    </row>
    <row r="1942">
      <c r="E1942" s="22"/>
    </row>
    <row r="1943">
      <c r="E1943" s="22"/>
    </row>
    <row r="1944">
      <c r="E1944" s="22"/>
    </row>
    <row r="1945">
      <c r="E1945" s="22"/>
    </row>
    <row r="1946">
      <c r="E1946" s="22"/>
    </row>
    <row r="1947">
      <c r="E1947" s="22"/>
    </row>
    <row r="1948">
      <c r="E1948" s="22"/>
    </row>
    <row r="1949">
      <c r="E1949" s="22"/>
    </row>
    <row r="1950">
      <c r="E1950" s="22"/>
    </row>
    <row r="1951">
      <c r="E1951" s="22"/>
    </row>
    <row r="1952">
      <c r="E1952" s="22"/>
    </row>
    <row r="1953">
      <c r="E1953" s="22"/>
    </row>
    <row r="1954">
      <c r="E1954" s="22"/>
    </row>
    <row r="1955">
      <c r="E1955" s="22"/>
    </row>
    <row r="1956">
      <c r="E1956" s="22"/>
    </row>
    <row r="1957">
      <c r="E1957" s="22"/>
    </row>
    <row r="1958">
      <c r="E1958" s="22"/>
    </row>
    <row r="1959">
      <c r="E1959" s="22"/>
    </row>
    <row r="1960">
      <c r="E1960" s="22"/>
    </row>
    <row r="1961">
      <c r="E1961" s="22"/>
    </row>
    <row r="1962">
      <c r="E1962" s="22"/>
    </row>
    <row r="1963">
      <c r="E1963" s="22"/>
    </row>
    <row r="1964">
      <c r="E1964" s="22"/>
    </row>
    <row r="1965">
      <c r="E1965" s="22"/>
    </row>
    <row r="1966">
      <c r="E1966" s="22"/>
    </row>
    <row r="1967">
      <c r="E1967" s="22"/>
    </row>
    <row r="1968">
      <c r="E1968" s="22"/>
    </row>
    <row r="1969">
      <c r="E1969" s="22"/>
    </row>
    <row r="1970">
      <c r="E1970" s="22"/>
    </row>
    <row r="1971">
      <c r="E1971" s="22"/>
    </row>
    <row r="1972">
      <c r="E1972" s="22"/>
    </row>
    <row r="1973">
      <c r="E1973" s="22"/>
    </row>
    <row r="1974">
      <c r="E1974" s="22"/>
    </row>
    <row r="1975">
      <c r="E1975" s="22"/>
    </row>
    <row r="1976">
      <c r="E1976" s="22"/>
    </row>
    <row r="1977">
      <c r="E1977" s="22"/>
    </row>
    <row r="1978">
      <c r="E1978" s="22"/>
    </row>
    <row r="1979">
      <c r="E1979" s="22"/>
    </row>
    <row r="1980">
      <c r="E1980" s="22"/>
    </row>
    <row r="1981">
      <c r="E1981" s="22"/>
    </row>
    <row r="1982">
      <c r="E1982" s="22"/>
    </row>
    <row r="1983">
      <c r="E1983" s="22"/>
    </row>
    <row r="1984">
      <c r="E1984" s="22"/>
    </row>
    <row r="1985">
      <c r="E1985" s="22"/>
    </row>
    <row r="1986">
      <c r="E1986" s="22"/>
    </row>
    <row r="1987">
      <c r="E1987" s="22"/>
    </row>
    <row r="1988">
      <c r="E1988" s="22"/>
    </row>
    <row r="1989">
      <c r="E1989" s="22"/>
    </row>
    <row r="1990">
      <c r="E1990" s="22"/>
    </row>
    <row r="1991">
      <c r="E1991" s="22"/>
    </row>
    <row r="1992">
      <c r="E1992" s="22"/>
    </row>
    <row r="1993">
      <c r="E1993" s="22"/>
    </row>
    <row r="1994">
      <c r="E1994" s="22"/>
    </row>
    <row r="1995">
      <c r="E1995" s="22"/>
    </row>
    <row r="1996">
      <c r="E1996" s="22"/>
    </row>
    <row r="1997">
      <c r="E1997" s="22"/>
    </row>
    <row r="1998">
      <c r="E1998" s="22"/>
    </row>
    <row r="1999">
      <c r="E1999" s="22"/>
    </row>
    <row r="2000">
      <c r="E2000" s="22"/>
    </row>
    <row r="2001">
      <c r="E2001" s="22"/>
    </row>
    <row r="2002">
      <c r="E2002" s="22"/>
    </row>
    <row r="2003">
      <c r="E2003" s="22"/>
    </row>
    <row r="2004">
      <c r="E2004" s="22"/>
    </row>
    <row r="2005">
      <c r="E2005" s="22"/>
    </row>
    <row r="2006">
      <c r="E2006" s="22"/>
    </row>
    <row r="2007">
      <c r="E2007" s="22"/>
    </row>
    <row r="2008">
      <c r="E2008" s="22"/>
    </row>
    <row r="2009">
      <c r="E2009" s="22"/>
    </row>
    <row r="2010">
      <c r="E2010" s="22"/>
    </row>
    <row r="2011">
      <c r="E2011" s="22"/>
    </row>
    <row r="2012">
      <c r="E2012" s="22"/>
    </row>
    <row r="2013">
      <c r="E2013" s="22"/>
    </row>
    <row r="2014">
      <c r="E2014" s="22"/>
    </row>
    <row r="2015">
      <c r="E2015" s="22"/>
    </row>
    <row r="2016">
      <c r="E2016" s="22"/>
    </row>
    <row r="2017">
      <c r="E2017" s="22"/>
    </row>
    <row r="2018">
      <c r="E2018" s="22"/>
    </row>
    <row r="2019">
      <c r="E2019" s="22"/>
    </row>
    <row r="2020">
      <c r="E2020" s="22"/>
    </row>
    <row r="2021">
      <c r="E2021" s="22"/>
    </row>
    <row r="2022">
      <c r="E2022" s="22"/>
    </row>
    <row r="2023">
      <c r="E2023" s="22"/>
    </row>
    <row r="2024">
      <c r="E2024" s="22"/>
    </row>
    <row r="2025">
      <c r="E2025" s="22"/>
    </row>
    <row r="2026">
      <c r="E2026" s="22"/>
    </row>
    <row r="2027">
      <c r="E2027" s="22"/>
    </row>
    <row r="2028">
      <c r="E2028" s="22"/>
    </row>
    <row r="2029">
      <c r="E2029" s="22"/>
    </row>
    <row r="2030">
      <c r="E2030" s="22"/>
    </row>
    <row r="2031">
      <c r="E2031" s="22"/>
    </row>
    <row r="2032">
      <c r="E2032" s="22"/>
    </row>
    <row r="2033">
      <c r="E2033" s="22"/>
    </row>
    <row r="2034">
      <c r="E2034" s="22"/>
    </row>
    <row r="2035">
      <c r="E2035" s="22"/>
    </row>
    <row r="2036">
      <c r="E2036" s="22"/>
    </row>
    <row r="2037">
      <c r="E2037" s="22"/>
    </row>
    <row r="2038">
      <c r="E2038" s="22"/>
    </row>
    <row r="2039">
      <c r="E2039" s="22"/>
    </row>
    <row r="2040">
      <c r="E2040" s="22"/>
    </row>
    <row r="2041">
      <c r="E2041" s="22"/>
    </row>
    <row r="2042">
      <c r="E2042" s="22"/>
    </row>
    <row r="2043">
      <c r="E2043" s="22"/>
    </row>
    <row r="2044">
      <c r="E2044" s="22"/>
    </row>
    <row r="2045">
      <c r="E2045" s="22"/>
    </row>
    <row r="2046">
      <c r="E2046" s="22"/>
    </row>
    <row r="2047">
      <c r="E2047" s="22"/>
    </row>
    <row r="2048">
      <c r="E2048" s="22"/>
    </row>
    <row r="2049">
      <c r="E2049" s="22"/>
    </row>
    <row r="2050">
      <c r="E2050" s="22"/>
    </row>
    <row r="2051">
      <c r="E2051" s="22"/>
    </row>
    <row r="2052">
      <c r="E2052" s="22"/>
    </row>
    <row r="2053">
      <c r="E2053" s="22"/>
    </row>
    <row r="2054">
      <c r="E2054" s="22"/>
    </row>
    <row r="2055">
      <c r="E2055" s="22"/>
    </row>
    <row r="2056">
      <c r="E2056" s="22"/>
    </row>
    <row r="2057">
      <c r="E2057" s="22"/>
    </row>
    <row r="2058">
      <c r="E2058" s="22"/>
    </row>
    <row r="2059">
      <c r="E2059" s="22"/>
    </row>
    <row r="2060">
      <c r="E2060" s="22"/>
    </row>
    <row r="2061">
      <c r="E2061" s="22"/>
    </row>
    <row r="2062">
      <c r="E2062" s="22"/>
    </row>
    <row r="2063">
      <c r="E2063" s="22"/>
    </row>
    <row r="2064">
      <c r="E2064" s="22"/>
    </row>
    <row r="2065">
      <c r="E2065" s="22"/>
    </row>
    <row r="2066">
      <c r="E2066" s="22"/>
    </row>
    <row r="2067">
      <c r="E2067" s="22"/>
    </row>
    <row r="2068">
      <c r="E2068" s="22"/>
    </row>
    <row r="2069">
      <c r="E2069" s="22"/>
    </row>
    <row r="2070">
      <c r="E2070" s="22"/>
    </row>
    <row r="2071">
      <c r="E2071" s="22"/>
    </row>
    <row r="2072">
      <c r="E2072" s="22"/>
    </row>
    <row r="2073">
      <c r="E2073" s="22"/>
    </row>
    <row r="2074">
      <c r="E2074" s="22"/>
    </row>
    <row r="2075">
      <c r="E2075" s="22"/>
    </row>
    <row r="2076">
      <c r="E2076" s="22"/>
    </row>
    <row r="2077">
      <c r="E2077" s="22"/>
    </row>
    <row r="2078">
      <c r="E2078" s="22"/>
    </row>
    <row r="2079">
      <c r="E2079" s="22"/>
    </row>
    <row r="2080">
      <c r="E2080" s="22"/>
    </row>
    <row r="2081">
      <c r="E2081" s="22"/>
    </row>
    <row r="2082">
      <c r="E2082" s="22"/>
    </row>
    <row r="2083">
      <c r="E2083" s="22"/>
    </row>
    <row r="2084">
      <c r="E2084" s="22"/>
    </row>
    <row r="2085">
      <c r="E2085" s="22"/>
    </row>
    <row r="2086">
      <c r="E2086" s="22"/>
    </row>
    <row r="2087">
      <c r="E2087" s="22"/>
    </row>
    <row r="2088">
      <c r="E2088" s="22"/>
    </row>
    <row r="2089">
      <c r="E2089" s="22"/>
    </row>
    <row r="2090">
      <c r="E2090" s="22"/>
    </row>
    <row r="2091">
      <c r="E2091" s="22"/>
    </row>
    <row r="2092">
      <c r="E2092" s="22"/>
    </row>
    <row r="2093">
      <c r="E2093" s="22"/>
    </row>
    <row r="2094">
      <c r="E2094" s="22"/>
    </row>
    <row r="2095">
      <c r="E2095" s="22"/>
    </row>
    <row r="2096">
      <c r="E2096" s="22"/>
    </row>
    <row r="2097">
      <c r="E2097" s="22"/>
    </row>
    <row r="2098">
      <c r="E2098" s="22"/>
    </row>
    <row r="2099">
      <c r="E2099" s="22"/>
    </row>
    <row r="2100">
      <c r="E2100" s="22"/>
    </row>
    <row r="2101">
      <c r="E2101" s="22"/>
    </row>
    <row r="2102">
      <c r="E2102" s="22"/>
    </row>
    <row r="2103">
      <c r="E2103" s="22"/>
    </row>
    <row r="2104">
      <c r="E2104" s="22"/>
    </row>
    <row r="2105">
      <c r="E2105" s="22"/>
    </row>
    <row r="2106">
      <c r="E2106" s="22"/>
    </row>
    <row r="2107">
      <c r="E2107" s="22"/>
    </row>
    <row r="2108">
      <c r="E2108" s="22"/>
    </row>
    <row r="2109">
      <c r="E2109" s="22"/>
    </row>
    <row r="2110">
      <c r="E2110" s="22"/>
    </row>
    <row r="2111">
      <c r="E2111" s="22"/>
    </row>
    <row r="2112">
      <c r="E2112" s="22"/>
    </row>
    <row r="2113">
      <c r="E2113" s="22"/>
    </row>
    <row r="2114">
      <c r="E2114" s="22"/>
    </row>
    <row r="2115">
      <c r="E2115" s="22"/>
    </row>
    <row r="2116">
      <c r="E2116" s="22"/>
    </row>
    <row r="2117">
      <c r="E2117" s="22"/>
    </row>
    <row r="2118">
      <c r="E2118" s="22"/>
    </row>
    <row r="2119">
      <c r="E2119" s="22"/>
    </row>
    <row r="2120">
      <c r="E2120" s="22"/>
    </row>
    <row r="2121">
      <c r="E2121" s="22"/>
    </row>
    <row r="2122">
      <c r="E2122" s="22"/>
    </row>
    <row r="2123">
      <c r="E2123" s="22"/>
    </row>
    <row r="2124">
      <c r="E2124" s="22"/>
    </row>
    <row r="2125">
      <c r="E2125" s="22"/>
    </row>
    <row r="2126">
      <c r="E2126" s="22"/>
    </row>
    <row r="2127">
      <c r="E2127" s="22"/>
    </row>
    <row r="2128">
      <c r="E2128" s="22"/>
    </row>
    <row r="2129">
      <c r="E2129" s="22"/>
    </row>
    <row r="2130">
      <c r="E2130" s="22"/>
    </row>
    <row r="2131">
      <c r="E2131" s="22"/>
    </row>
    <row r="2132">
      <c r="E2132" s="22"/>
    </row>
    <row r="2133">
      <c r="E2133" s="22"/>
    </row>
    <row r="2134">
      <c r="E2134" s="22"/>
    </row>
    <row r="2135">
      <c r="E2135" s="22"/>
    </row>
    <row r="2136">
      <c r="E2136" s="22"/>
    </row>
    <row r="2137">
      <c r="E2137" s="22"/>
    </row>
    <row r="2138">
      <c r="E2138" s="22"/>
    </row>
    <row r="2139">
      <c r="E2139" s="22"/>
    </row>
    <row r="2140">
      <c r="E2140" s="22"/>
    </row>
    <row r="2141">
      <c r="E2141" s="22"/>
    </row>
    <row r="2142">
      <c r="E2142" s="22"/>
    </row>
    <row r="2143">
      <c r="E2143" s="22"/>
    </row>
    <row r="2144">
      <c r="E2144" s="22"/>
    </row>
    <row r="2145">
      <c r="E2145" s="22"/>
    </row>
    <row r="2146">
      <c r="E2146" s="22"/>
    </row>
    <row r="2147">
      <c r="E2147" s="22"/>
    </row>
    <row r="2148">
      <c r="E2148" s="22"/>
    </row>
    <row r="2149">
      <c r="E2149" s="22"/>
    </row>
    <row r="2150">
      <c r="E2150" s="22"/>
    </row>
    <row r="2151">
      <c r="E2151" s="22"/>
    </row>
    <row r="2152">
      <c r="E2152" s="22"/>
    </row>
    <row r="2153">
      <c r="E2153" s="22"/>
    </row>
    <row r="2154">
      <c r="E2154" s="22"/>
    </row>
    <row r="2155">
      <c r="E2155" s="22"/>
    </row>
    <row r="2156">
      <c r="E2156" s="22"/>
    </row>
    <row r="2157">
      <c r="E2157" s="22"/>
    </row>
    <row r="2158">
      <c r="E2158" s="22"/>
    </row>
    <row r="2159">
      <c r="E2159" s="22"/>
    </row>
    <row r="2160">
      <c r="E2160" s="22"/>
    </row>
    <row r="2161">
      <c r="E2161" s="22"/>
    </row>
    <row r="2162">
      <c r="E2162" s="22"/>
    </row>
    <row r="2163">
      <c r="E2163" s="22"/>
    </row>
    <row r="2164">
      <c r="E2164" s="22"/>
    </row>
    <row r="2165">
      <c r="E2165" s="22"/>
    </row>
    <row r="2166">
      <c r="E2166" s="22"/>
    </row>
    <row r="2167">
      <c r="E2167" s="22"/>
    </row>
    <row r="2168">
      <c r="E2168" s="22"/>
    </row>
    <row r="2169">
      <c r="E2169" s="22"/>
    </row>
    <row r="2170">
      <c r="E2170" s="22"/>
    </row>
    <row r="2171">
      <c r="E2171" s="22"/>
    </row>
    <row r="2172">
      <c r="E2172" s="22"/>
    </row>
    <row r="2173">
      <c r="E2173" s="22"/>
    </row>
    <row r="2174">
      <c r="E2174" s="22"/>
    </row>
    <row r="2175">
      <c r="E2175" s="22"/>
    </row>
    <row r="2176">
      <c r="E2176" s="22"/>
    </row>
    <row r="2177">
      <c r="E2177" s="22"/>
    </row>
    <row r="2178">
      <c r="E2178" s="22"/>
    </row>
    <row r="2179">
      <c r="E2179" s="22"/>
    </row>
    <row r="2180">
      <c r="E2180" s="22"/>
    </row>
    <row r="2181">
      <c r="E2181" s="22"/>
    </row>
    <row r="2182">
      <c r="E2182" s="22"/>
    </row>
    <row r="2183">
      <c r="E2183" s="22"/>
    </row>
    <row r="2184">
      <c r="E2184" s="22"/>
    </row>
    <row r="2185">
      <c r="E2185" s="22"/>
    </row>
    <row r="2186">
      <c r="E2186" s="22"/>
    </row>
    <row r="2187">
      <c r="E2187" s="22"/>
    </row>
    <row r="2188">
      <c r="E2188" s="22"/>
    </row>
    <row r="2189">
      <c r="E2189" s="22"/>
    </row>
    <row r="2190">
      <c r="E2190" s="22"/>
    </row>
    <row r="2191">
      <c r="E2191" s="22"/>
    </row>
    <row r="2192">
      <c r="E2192" s="22"/>
    </row>
    <row r="2193">
      <c r="E2193" s="22"/>
    </row>
    <row r="2194">
      <c r="E2194" s="22"/>
    </row>
    <row r="2195">
      <c r="E2195" s="22"/>
    </row>
    <row r="2196">
      <c r="E2196" s="22"/>
    </row>
    <row r="2197">
      <c r="E2197" s="22"/>
    </row>
    <row r="2198">
      <c r="E2198" s="22"/>
    </row>
    <row r="2199">
      <c r="E2199" s="22"/>
    </row>
    <row r="2200">
      <c r="E2200" s="22"/>
    </row>
    <row r="2201">
      <c r="E2201" s="22"/>
    </row>
    <row r="2202">
      <c r="E2202" s="22"/>
    </row>
    <row r="2203">
      <c r="E2203" s="22"/>
    </row>
    <row r="2204">
      <c r="E2204" s="22"/>
    </row>
    <row r="2205">
      <c r="E2205" s="22"/>
    </row>
    <row r="2206">
      <c r="E2206" s="22"/>
    </row>
    <row r="2207">
      <c r="E2207" s="22"/>
    </row>
    <row r="2208">
      <c r="E2208" s="22"/>
    </row>
    <row r="2209">
      <c r="E2209" s="22"/>
    </row>
    <row r="2210">
      <c r="E2210" s="22"/>
    </row>
    <row r="2211">
      <c r="E2211" s="22"/>
    </row>
    <row r="2212">
      <c r="E2212" s="22"/>
    </row>
    <row r="2213">
      <c r="E2213" s="22"/>
    </row>
    <row r="2214">
      <c r="E2214" s="22"/>
    </row>
    <row r="2215">
      <c r="E2215" s="22"/>
    </row>
    <row r="2216">
      <c r="E2216" s="22"/>
    </row>
    <row r="2217">
      <c r="E2217" s="22"/>
    </row>
    <row r="2218">
      <c r="E2218" s="22"/>
    </row>
    <row r="2219">
      <c r="E2219" s="22"/>
    </row>
    <row r="2220">
      <c r="E2220" s="22"/>
    </row>
    <row r="2221">
      <c r="E2221" s="22"/>
    </row>
    <row r="2222">
      <c r="E2222" s="22"/>
    </row>
    <row r="2223">
      <c r="E2223" s="22"/>
    </row>
    <row r="2224">
      <c r="E2224" s="22"/>
    </row>
    <row r="2225">
      <c r="E2225" s="22"/>
    </row>
    <row r="2226">
      <c r="E2226" s="22"/>
    </row>
    <row r="2227">
      <c r="E2227" s="22"/>
    </row>
    <row r="2228">
      <c r="E2228" s="22"/>
    </row>
    <row r="2229">
      <c r="E2229" s="22"/>
    </row>
    <row r="2230">
      <c r="E2230" s="22"/>
    </row>
    <row r="2231">
      <c r="E2231" s="22"/>
    </row>
    <row r="2232">
      <c r="E2232" s="22"/>
    </row>
    <row r="2233">
      <c r="E2233" s="22"/>
    </row>
    <row r="2234">
      <c r="E2234" s="22"/>
    </row>
    <row r="2235">
      <c r="E2235" s="22"/>
    </row>
    <row r="2236">
      <c r="E2236" s="22"/>
    </row>
    <row r="2237">
      <c r="E2237" s="22"/>
    </row>
    <row r="2238">
      <c r="E2238" s="22"/>
    </row>
    <row r="2239">
      <c r="E2239" s="22"/>
    </row>
    <row r="2240">
      <c r="E2240" s="22"/>
    </row>
    <row r="2241">
      <c r="E2241" s="22"/>
    </row>
    <row r="2242">
      <c r="E2242" s="22"/>
    </row>
    <row r="2243">
      <c r="E2243" s="22"/>
    </row>
    <row r="2244">
      <c r="E2244" s="22"/>
    </row>
    <row r="2245">
      <c r="E2245" s="22"/>
    </row>
    <row r="2246">
      <c r="E2246" s="22"/>
    </row>
    <row r="2247">
      <c r="E2247" s="22"/>
    </row>
    <row r="2248">
      <c r="E2248" s="22"/>
    </row>
    <row r="2249">
      <c r="E2249" s="22"/>
    </row>
    <row r="2250">
      <c r="E2250" s="22"/>
    </row>
    <row r="2251">
      <c r="E2251" s="22"/>
    </row>
    <row r="2252">
      <c r="E2252" s="22"/>
    </row>
    <row r="2253">
      <c r="E2253" s="22"/>
    </row>
    <row r="2254">
      <c r="E2254" s="22"/>
    </row>
    <row r="2255">
      <c r="E2255" s="22"/>
    </row>
    <row r="2256">
      <c r="E2256" s="22"/>
    </row>
    <row r="2257">
      <c r="E2257" s="22"/>
    </row>
    <row r="2258">
      <c r="E2258" s="22"/>
    </row>
    <row r="2259">
      <c r="E2259" s="22"/>
    </row>
    <row r="2260">
      <c r="E2260" s="22"/>
    </row>
    <row r="2261">
      <c r="E2261" s="22"/>
    </row>
    <row r="2262">
      <c r="E2262" s="22"/>
    </row>
    <row r="2263">
      <c r="E2263" s="22"/>
    </row>
    <row r="2264">
      <c r="E2264" s="22"/>
    </row>
    <row r="2265">
      <c r="E2265" s="22"/>
    </row>
    <row r="2266">
      <c r="E2266" s="22"/>
    </row>
    <row r="2267">
      <c r="E2267" s="22"/>
    </row>
    <row r="2268">
      <c r="E2268" s="22"/>
    </row>
    <row r="2269">
      <c r="E2269" s="22"/>
    </row>
    <row r="2270">
      <c r="E2270" s="22"/>
    </row>
    <row r="2271">
      <c r="E2271" s="22"/>
    </row>
    <row r="2272">
      <c r="E2272" s="22"/>
    </row>
    <row r="2273">
      <c r="E2273" s="22"/>
    </row>
    <row r="2274">
      <c r="E2274" s="22"/>
    </row>
    <row r="2275">
      <c r="E2275" s="22"/>
    </row>
    <row r="2276">
      <c r="E2276" s="22"/>
    </row>
    <row r="2277">
      <c r="E2277" s="22"/>
    </row>
    <row r="2278">
      <c r="E2278" s="22"/>
    </row>
    <row r="2279">
      <c r="E2279" s="22"/>
    </row>
    <row r="2280">
      <c r="E2280" s="22"/>
    </row>
    <row r="2281">
      <c r="E2281" s="22"/>
    </row>
    <row r="2282">
      <c r="E2282" s="22"/>
    </row>
    <row r="2283">
      <c r="E2283" s="22"/>
    </row>
    <row r="2284">
      <c r="E2284" s="22"/>
    </row>
    <row r="2285">
      <c r="E2285" s="22"/>
    </row>
    <row r="2286">
      <c r="E2286" s="22"/>
    </row>
    <row r="2287">
      <c r="E2287" s="22"/>
    </row>
    <row r="2288">
      <c r="E2288" s="22"/>
    </row>
    <row r="2289">
      <c r="E2289" s="22"/>
    </row>
    <row r="2290">
      <c r="E2290" s="22"/>
    </row>
    <row r="2291">
      <c r="E2291" s="22"/>
    </row>
    <row r="2292">
      <c r="E2292" s="22"/>
    </row>
    <row r="2293">
      <c r="E2293" s="22"/>
    </row>
    <row r="2294">
      <c r="E2294" s="22"/>
    </row>
    <row r="2295">
      <c r="E2295" s="22"/>
    </row>
    <row r="2296">
      <c r="E2296" s="22"/>
    </row>
    <row r="2297">
      <c r="E2297" s="22"/>
    </row>
    <row r="2298">
      <c r="E2298" s="22"/>
    </row>
    <row r="2299">
      <c r="E2299" s="22"/>
    </row>
    <row r="2300">
      <c r="E2300" s="22"/>
    </row>
    <row r="2301">
      <c r="E2301" s="22"/>
    </row>
    <row r="2302">
      <c r="E2302" s="22"/>
    </row>
    <row r="2303">
      <c r="E2303" s="22"/>
    </row>
    <row r="2304">
      <c r="E2304" s="22"/>
    </row>
    <row r="2305">
      <c r="E2305" s="22"/>
    </row>
    <row r="2306">
      <c r="E2306" s="22"/>
    </row>
    <row r="2307">
      <c r="E2307" s="22"/>
    </row>
    <row r="2308">
      <c r="E2308" s="22"/>
    </row>
    <row r="2309">
      <c r="E2309" s="22"/>
    </row>
    <row r="2310">
      <c r="E2310" s="22"/>
    </row>
    <row r="2311">
      <c r="E2311" s="22"/>
    </row>
    <row r="2312">
      <c r="E2312" s="22"/>
    </row>
    <row r="2313">
      <c r="E2313" s="22"/>
    </row>
    <row r="2314">
      <c r="E2314" s="22"/>
    </row>
    <row r="2315">
      <c r="E2315" s="22"/>
    </row>
    <row r="2316">
      <c r="E2316" s="22"/>
    </row>
    <row r="2317">
      <c r="E2317" s="22"/>
    </row>
    <row r="2318">
      <c r="E2318" s="22"/>
    </row>
    <row r="2319">
      <c r="E2319" s="22"/>
    </row>
    <row r="2320">
      <c r="E2320" s="22"/>
    </row>
    <row r="2321">
      <c r="E2321" s="22"/>
    </row>
    <row r="2322">
      <c r="E2322" s="22"/>
    </row>
    <row r="2323">
      <c r="E2323" s="22"/>
    </row>
    <row r="2324">
      <c r="E2324" s="22"/>
    </row>
    <row r="2325">
      <c r="E2325" s="22"/>
    </row>
    <row r="2326">
      <c r="E2326" s="22"/>
    </row>
    <row r="2327">
      <c r="E2327" s="22"/>
    </row>
    <row r="2328">
      <c r="E2328" s="22"/>
    </row>
    <row r="2329">
      <c r="E2329" s="22"/>
    </row>
    <row r="2330">
      <c r="E2330" s="22"/>
    </row>
    <row r="2331">
      <c r="E2331" s="22"/>
    </row>
    <row r="2332">
      <c r="E2332" s="22"/>
    </row>
    <row r="2333">
      <c r="E2333" s="22"/>
    </row>
    <row r="2334">
      <c r="E2334" s="22"/>
    </row>
    <row r="2335">
      <c r="E2335" s="22"/>
    </row>
    <row r="2336">
      <c r="E2336" s="22"/>
    </row>
    <row r="2337">
      <c r="E2337" s="22"/>
    </row>
    <row r="2338">
      <c r="E2338" s="22"/>
    </row>
    <row r="2339">
      <c r="E2339" s="22"/>
    </row>
    <row r="2340">
      <c r="E2340" s="22"/>
    </row>
    <row r="2341">
      <c r="E2341" s="22"/>
    </row>
    <row r="2342">
      <c r="E2342" s="22"/>
    </row>
    <row r="2343">
      <c r="E2343" s="22"/>
    </row>
    <row r="2344">
      <c r="E2344" s="22"/>
    </row>
    <row r="2345">
      <c r="E2345" s="22"/>
    </row>
    <row r="2346">
      <c r="E2346" s="22"/>
    </row>
    <row r="2347">
      <c r="E2347" s="22"/>
    </row>
    <row r="2348">
      <c r="E2348" s="22"/>
    </row>
    <row r="2349">
      <c r="E2349" s="22"/>
    </row>
    <row r="2350">
      <c r="E2350" s="22"/>
    </row>
    <row r="2351">
      <c r="E2351" s="22"/>
    </row>
    <row r="2352">
      <c r="E2352" s="22"/>
    </row>
    <row r="2353">
      <c r="E2353" s="22"/>
    </row>
    <row r="2354">
      <c r="E2354" s="22"/>
    </row>
    <row r="2355">
      <c r="E2355" s="22"/>
    </row>
    <row r="2356">
      <c r="E2356" s="22"/>
    </row>
    <row r="2357">
      <c r="E2357" s="22"/>
    </row>
    <row r="2358">
      <c r="E2358" s="22"/>
    </row>
    <row r="2359">
      <c r="E2359" s="22"/>
    </row>
    <row r="2360">
      <c r="E2360" s="22"/>
    </row>
    <row r="2361">
      <c r="E2361" s="22"/>
    </row>
    <row r="2362">
      <c r="E2362" s="22"/>
    </row>
    <row r="2363">
      <c r="E2363" s="22"/>
    </row>
    <row r="2364">
      <c r="E2364" s="22"/>
    </row>
    <row r="2365">
      <c r="E2365" s="22"/>
    </row>
    <row r="2366">
      <c r="E2366" s="22"/>
    </row>
    <row r="2367">
      <c r="E2367" s="22"/>
    </row>
    <row r="2368">
      <c r="E2368" s="22"/>
    </row>
    <row r="2369">
      <c r="E2369" s="22"/>
    </row>
    <row r="2370">
      <c r="E2370" s="22"/>
    </row>
    <row r="2371">
      <c r="E2371" s="22"/>
    </row>
    <row r="2372">
      <c r="E2372" s="22"/>
    </row>
    <row r="2373">
      <c r="E2373" s="22"/>
    </row>
    <row r="2374">
      <c r="E2374" s="22"/>
    </row>
    <row r="2375">
      <c r="E2375" s="22"/>
    </row>
    <row r="2376">
      <c r="E2376" s="22"/>
    </row>
    <row r="2377">
      <c r="E2377" s="22"/>
    </row>
    <row r="2378">
      <c r="E2378" s="22"/>
    </row>
    <row r="2379">
      <c r="E2379" s="22"/>
    </row>
    <row r="2380">
      <c r="E2380" s="22"/>
    </row>
    <row r="2381">
      <c r="E2381" s="22"/>
    </row>
    <row r="2382">
      <c r="E2382" s="22"/>
    </row>
    <row r="2383">
      <c r="E2383" s="22"/>
    </row>
    <row r="2384">
      <c r="E2384" s="22"/>
    </row>
    <row r="2385">
      <c r="E2385" s="22"/>
    </row>
    <row r="2386">
      <c r="E2386" s="22"/>
    </row>
    <row r="2387">
      <c r="E2387" s="22"/>
    </row>
    <row r="2388">
      <c r="E2388" s="22"/>
    </row>
    <row r="2389">
      <c r="E2389" s="22"/>
    </row>
    <row r="2390">
      <c r="E2390" s="22"/>
    </row>
    <row r="2391">
      <c r="E2391" s="22"/>
    </row>
    <row r="2392">
      <c r="E2392" s="22"/>
    </row>
    <row r="2393">
      <c r="E2393" s="22"/>
    </row>
    <row r="2394">
      <c r="E2394" s="22"/>
    </row>
    <row r="2395">
      <c r="E2395" s="22"/>
    </row>
    <row r="2396">
      <c r="E2396" s="22"/>
    </row>
    <row r="2397">
      <c r="E2397" s="22"/>
    </row>
    <row r="2398">
      <c r="E2398" s="22"/>
    </row>
    <row r="2399">
      <c r="E2399" s="22"/>
    </row>
    <row r="2400">
      <c r="E2400" s="22"/>
    </row>
    <row r="2401">
      <c r="E2401" s="22"/>
    </row>
    <row r="2402">
      <c r="E2402" s="22"/>
    </row>
    <row r="2403">
      <c r="E2403" s="22"/>
    </row>
    <row r="2404">
      <c r="E2404" s="22"/>
    </row>
    <row r="2405">
      <c r="E2405" s="22"/>
    </row>
    <row r="2406">
      <c r="E2406" s="22"/>
    </row>
    <row r="2407">
      <c r="E2407" s="22"/>
    </row>
    <row r="2408">
      <c r="E2408" s="22"/>
    </row>
    <row r="2409">
      <c r="E2409" s="22"/>
    </row>
    <row r="2410">
      <c r="E2410" s="22"/>
    </row>
    <row r="2411">
      <c r="E2411" s="22"/>
    </row>
    <row r="2412">
      <c r="E2412" s="22"/>
    </row>
    <row r="2413">
      <c r="E2413" s="22"/>
    </row>
    <row r="2414">
      <c r="E2414" s="22"/>
    </row>
    <row r="2415">
      <c r="E2415" s="22"/>
    </row>
    <row r="2416">
      <c r="E2416" s="22"/>
    </row>
    <row r="2417">
      <c r="E2417" s="22"/>
    </row>
    <row r="2418">
      <c r="E2418" s="22"/>
    </row>
    <row r="2419">
      <c r="E2419" s="22"/>
    </row>
    <row r="2420">
      <c r="E2420" s="22"/>
    </row>
    <row r="2421">
      <c r="E2421" s="22"/>
    </row>
    <row r="2422">
      <c r="E2422" s="22"/>
    </row>
    <row r="2423">
      <c r="E2423" s="22"/>
    </row>
    <row r="2424">
      <c r="E2424" s="22"/>
    </row>
    <row r="2425">
      <c r="E2425" s="22"/>
    </row>
    <row r="2426">
      <c r="E2426" s="22"/>
    </row>
    <row r="2427">
      <c r="E2427" s="22"/>
    </row>
    <row r="2428">
      <c r="E2428" s="22"/>
    </row>
    <row r="2429">
      <c r="E2429" s="22"/>
    </row>
    <row r="2430">
      <c r="E2430" s="22"/>
    </row>
    <row r="2431">
      <c r="E2431" s="22"/>
    </row>
    <row r="2432">
      <c r="E2432" s="22"/>
    </row>
    <row r="2433">
      <c r="E2433" s="22"/>
    </row>
    <row r="2434">
      <c r="E2434" s="22"/>
    </row>
    <row r="2435">
      <c r="E2435" s="22"/>
    </row>
    <row r="2436">
      <c r="E2436" s="22"/>
    </row>
    <row r="2437">
      <c r="E2437" s="22"/>
    </row>
    <row r="2438">
      <c r="E2438" s="22"/>
    </row>
    <row r="2439">
      <c r="E2439" s="22"/>
    </row>
    <row r="2440">
      <c r="E2440" s="22"/>
    </row>
    <row r="2441">
      <c r="E2441" s="22"/>
    </row>
    <row r="2442">
      <c r="E2442" s="22"/>
    </row>
    <row r="2443">
      <c r="E2443" s="22"/>
    </row>
    <row r="2444">
      <c r="E2444" s="22"/>
    </row>
    <row r="2445">
      <c r="E2445" s="22"/>
    </row>
    <row r="2446">
      <c r="E2446" s="22"/>
    </row>
    <row r="2447">
      <c r="E2447" s="22"/>
    </row>
    <row r="2448">
      <c r="E2448" s="22"/>
    </row>
    <row r="2449">
      <c r="E2449" s="22"/>
    </row>
    <row r="2450">
      <c r="E2450" s="22"/>
    </row>
    <row r="2451">
      <c r="E2451" s="22"/>
    </row>
    <row r="2452">
      <c r="E2452" s="22"/>
    </row>
    <row r="2453">
      <c r="E2453" s="22"/>
    </row>
    <row r="2454">
      <c r="E2454" s="22"/>
    </row>
    <row r="2455">
      <c r="E2455" s="22"/>
    </row>
    <row r="2456">
      <c r="E2456" s="22"/>
    </row>
    <row r="2457">
      <c r="E2457" s="22"/>
    </row>
    <row r="2458">
      <c r="E2458" s="22"/>
    </row>
    <row r="2459">
      <c r="E2459" s="22"/>
    </row>
    <row r="2460">
      <c r="E2460" s="22"/>
    </row>
    <row r="2461">
      <c r="E2461" s="22"/>
    </row>
    <row r="2462">
      <c r="E2462" s="22"/>
    </row>
    <row r="2463">
      <c r="E2463" s="22"/>
    </row>
    <row r="2464">
      <c r="E2464" s="22"/>
    </row>
    <row r="2465">
      <c r="E2465" s="22"/>
    </row>
    <row r="2466">
      <c r="E2466" s="22"/>
    </row>
    <row r="2467">
      <c r="E2467" s="22"/>
    </row>
    <row r="2468">
      <c r="E2468" s="22"/>
    </row>
    <row r="2469">
      <c r="E2469" s="22"/>
    </row>
    <row r="2470">
      <c r="E2470" s="22"/>
    </row>
    <row r="2471">
      <c r="E2471" s="22"/>
    </row>
    <row r="2472">
      <c r="E2472" s="22"/>
    </row>
    <row r="2473">
      <c r="E2473" s="22"/>
    </row>
    <row r="2474">
      <c r="E2474" s="22"/>
    </row>
    <row r="2475">
      <c r="E2475" s="22"/>
    </row>
    <row r="2476">
      <c r="E2476" s="22"/>
    </row>
    <row r="2477">
      <c r="E2477" s="22"/>
    </row>
    <row r="2478">
      <c r="E2478" s="22"/>
    </row>
    <row r="2479">
      <c r="E2479" s="22"/>
    </row>
    <row r="2480">
      <c r="E2480" s="22"/>
    </row>
    <row r="2481">
      <c r="E2481" s="22"/>
    </row>
    <row r="2482">
      <c r="E2482" s="22"/>
    </row>
    <row r="2483">
      <c r="E2483" s="22"/>
    </row>
    <row r="2484">
      <c r="E2484" s="22"/>
    </row>
    <row r="2485">
      <c r="E2485" s="22"/>
    </row>
    <row r="2486">
      <c r="E2486" s="22"/>
    </row>
    <row r="2487">
      <c r="E2487" s="22"/>
    </row>
    <row r="2488">
      <c r="E2488" s="22"/>
    </row>
    <row r="2489">
      <c r="E2489" s="22"/>
    </row>
    <row r="2490">
      <c r="E2490" s="22"/>
    </row>
    <row r="2491">
      <c r="E2491" s="22"/>
    </row>
    <row r="2492">
      <c r="E2492" s="22"/>
    </row>
    <row r="2493">
      <c r="E2493" s="22"/>
    </row>
    <row r="2494">
      <c r="E2494" s="22"/>
    </row>
    <row r="2495">
      <c r="E2495" s="22"/>
    </row>
    <row r="2496">
      <c r="E2496" s="22"/>
    </row>
    <row r="2497">
      <c r="E2497" s="22"/>
    </row>
    <row r="2498">
      <c r="E2498" s="22"/>
    </row>
    <row r="2499">
      <c r="E2499" s="22"/>
    </row>
    <row r="2500">
      <c r="E2500" s="22"/>
    </row>
    <row r="2501">
      <c r="E2501" s="22"/>
    </row>
    <row r="2502">
      <c r="E2502" s="22"/>
    </row>
    <row r="2503">
      <c r="E2503" s="22"/>
    </row>
    <row r="2504">
      <c r="E2504" s="22"/>
    </row>
    <row r="2505">
      <c r="E2505" s="22"/>
    </row>
    <row r="2506">
      <c r="E2506" s="22"/>
    </row>
    <row r="2507">
      <c r="E2507" s="22"/>
    </row>
    <row r="2508">
      <c r="E2508" s="22"/>
    </row>
    <row r="2509">
      <c r="E2509" s="22"/>
    </row>
    <row r="2510">
      <c r="E2510" s="22"/>
    </row>
    <row r="2511">
      <c r="E2511" s="22"/>
    </row>
    <row r="2512">
      <c r="E2512" s="22"/>
    </row>
    <row r="2513">
      <c r="E2513" s="22"/>
    </row>
    <row r="2514">
      <c r="E2514" s="22"/>
    </row>
    <row r="2515">
      <c r="E2515" s="22"/>
    </row>
    <row r="2516">
      <c r="E2516" s="22"/>
    </row>
    <row r="2517">
      <c r="E2517" s="22"/>
    </row>
    <row r="2518">
      <c r="E2518" s="22"/>
    </row>
    <row r="2519">
      <c r="E2519" s="22"/>
    </row>
    <row r="2520">
      <c r="E2520" s="22"/>
    </row>
    <row r="2521">
      <c r="E2521" s="22"/>
    </row>
    <row r="2522">
      <c r="E2522" s="22"/>
    </row>
    <row r="2523">
      <c r="E2523" s="22"/>
    </row>
    <row r="2524">
      <c r="E2524" s="22"/>
    </row>
    <row r="2525">
      <c r="E2525" s="22"/>
    </row>
    <row r="2526">
      <c r="E2526" s="22"/>
    </row>
    <row r="2527">
      <c r="E2527" s="22"/>
    </row>
    <row r="2528">
      <c r="E2528" s="22"/>
    </row>
    <row r="2529">
      <c r="E2529" s="22"/>
    </row>
    <row r="2530">
      <c r="E2530" s="22"/>
    </row>
    <row r="2531">
      <c r="E2531" s="22"/>
    </row>
    <row r="2532">
      <c r="E2532" s="22"/>
    </row>
    <row r="2533">
      <c r="E2533" s="22"/>
    </row>
    <row r="2534">
      <c r="E2534" s="22"/>
    </row>
    <row r="2535">
      <c r="E2535" s="22"/>
    </row>
    <row r="2536">
      <c r="E2536" s="22"/>
    </row>
    <row r="2537">
      <c r="E2537" s="22"/>
    </row>
    <row r="2538">
      <c r="E2538" s="22"/>
    </row>
    <row r="2539">
      <c r="E2539" s="22"/>
    </row>
    <row r="2540">
      <c r="E2540" s="22"/>
    </row>
    <row r="2541">
      <c r="E2541" s="22"/>
    </row>
    <row r="2542">
      <c r="E2542" s="22"/>
    </row>
    <row r="2543">
      <c r="E2543" s="22"/>
    </row>
    <row r="2544">
      <c r="E2544" s="22"/>
    </row>
    <row r="2545">
      <c r="E2545" s="22"/>
    </row>
    <row r="2546">
      <c r="E2546" s="22"/>
    </row>
    <row r="2547">
      <c r="E2547" s="22"/>
    </row>
    <row r="2548">
      <c r="E2548" s="22"/>
    </row>
    <row r="2549">
      <c r="E2549" s="22"/>
    </row>
    <row r="2550">
      <c r="E2550" s="22"/>
    </row>
    <row r="2551">
      <c r="E2551" s="22"/>
    </row>
    <row r="2552">
      <c r="E2552" s="22"/>
    </row>
    <row r="2553">
      <c r="E2553" s="22"/>
    </row>
    <row r="2554">
      <c r="E2554" s="22"/>
    </row>
    <row r="2555">
      <c r="E2555" s="22"/>
    </row>
    <row r="2556">
      <c r="E2556" s="22"/>
    </row>
    <row r="2557">
      <c r="E2557" s="22"/>
    </row>
    <row r="2558">
      <c r="E2558" s="22"/>
    </row>
    <row r="2559">
      <c r="E2559" s="22"/>
    </row>
    <row r="2560">
      <c r="E2560" s="22"/>
    </row>
    <row r="2561">
      <c r="E2561" s="22"/>
    </row>
    <row r="2562">
      <c r="E2562" s="22"/>
    </row>
    <row r="2563">
      <c r="E2563" s="22"/>
    </row>
    <row r="2564">
      <c r="E2564" s="22"/>
    </row>
    <row r="2565">
      <c r="E2565" s="22"/>
    </row>
    <row r="2566">
      <c r="E2566" s="22"/>
    </row>
    <row r="2567">
      <c r="E2567" s="22"/>
    </row>
    <row r="2568">
      <c r="E2568" s="22"/>
    </row>
    <row r="2569">
      <c r="E2569" s="22"/>
    </row>
    <row r="2570">
      <c r="E2570" s="22"/>
    </row>
    <row r="2571">
      <c r="E2571" s="22"/>
    </row>
    <row r="2572">
      <c r="E2572" s="22"/>
    </row>
    <row r="2573">
      <c r="E2573" s="22"/>
    </row>
    <row r="2574">
      <c r="E2574" s="22"/>
    </row>
    <row r="2575">
      <c r="E2575" s="22"/>
    </row>
    <row r="2576">
      <c r="E2576" s="22"/>
    </row>
    <row r="2577">
      <c r="E2577" s="22"/>
    </row>
    <row r="2578">
      <c r="E2578" s="22"/>
    </row>
    <row r="2579">
      <c r="E2579" s="22"/>
    </row>
    <row r="2580">
      <c r="E2580" s="22"/>
    </row>
    <row r="2581">
      <c r="E2581" s="22"/>
    </row>
    <row r="2582">
      <c r="E2582" s="22"/>
    </row>
    <row r="2583">
      <c r="E2583" s="22"/>
    </row>
    <row r="2584">
      <c r="E2584" s="22"/>
    </row>
    <row r="2585">
      <c r="E2585" s="22"/>
    </row>
    <row r="2586">
      <c r="E2586" s="22"/>
    </row>
    <row r="2587">
      <c r="E2587" s="22"/>
    </row>
    <row r="2588">
      <c r="E2588" s="22"/>
    </row>
    <row r="2589">
      <c r="E2589" s="22"/>
    </row>
    <row r="2590">
      <c r="E2590" s="22"/>
    </row>
    <row r="2591">
      <c r="E2591" s="22"/>
    </row>
    <row r="2592">
      <c r="E2592" s="22"/>
    </row>
    <row r="2593">
      <c r="E2593" s="22"/>
    </row>
    <row r="2594">
      <c r="E2594" s="22"/>
    </row>
    <row r="2595">
      <c r="E2595" s="22"/>
    </row>
    <row r="2596">
      <c r="E2596" s="22"/>
    </row>
    <row r="2597">
      <c r="E2597" s="22"/>
    </row>
    <row r="2598">
      <c r="E2598" s="22"/>
    </row>
    <row r="2599">
      <c r="E2599" s="22"/>
    </row>
    <row r="2600">
      <c r="E2600" s="22"/>
    </row>
    <row r="2601">
      <c r="E2601" s="22"/>
    </row>
    <row r="2602">
      <c r="E2602" s="22"/>
    </row>
    <row r="2603">
      <c r="E2603" s="22"/>
    </row>
    <row r="2604">
      <c r="E2604" s="22"/>
    </row>
    <row r="2605">
      <c r="E2605" s="22"/>
    </row>
    <row r="2606">
      <c r="E2606" s="22"/>
    </row>
    <row r="2607">
      <c r="E2607" s="22"/>
    </row>
    <row r="2608">
      <c r="E2608" s="22"/>
    </row>
    <row r="2609">
      <c r="E2609" s="22"/>
    </row>
    <row r="2610">
      <c r="E2610" s="22"/>
    </row>
    <row r="2611">
      <c r="E2611" s="22"/>
    </row>
    <row r="2612">
      <c r="E2612" s="22"/>
    </row>
    <row r="2613">
      <c r="E2613" s="22"/>
    </row>
    <row r="2614">
      <c r="E2614" s="22"/>
    </row>
    <row r="2615">
      <c r="E2615" s="22"/>
    </row>
    <row r="2616">
      <c r="E2616" s="22"/>
    </row>
    <row r="2617">
      <c r="E2617" s="22"/>
    </row>
    <row r="2618">
      <c r="E2618" s="22"/>
    </row>
    <row r="2619">
      <c r="E2619" s="22"/>
    </row>
    <row r="2620">
      <c r="E2620" s="22"/>
    </row>
    <row r="2621">
      <c r="E2621" s="22"/>
    </row>
    <row r="2622">
      <c r="E2622" s="22"/>
    </row>
    <row r="2623">
      <c r="E2623" s="22"/>
    </row>
    <row r="2624">
      <c r="E2624" s="22"/>
    </row>
    <row r="2625">
      <c r="E2625" s="22"/>
    </row>
    <row r="2626">
      <c r="E2626" s="22"/>
    </row>
    <row r="2627">
      <c r="E2627" s="22"/>
    </row>
    <row r="2628">
      <c r="E2628" s="22"/>
    </row>
    <row r="2629">
      <c r="E2629" s="22"/>
    </row>
    <row r="2630">
      <c r="E2630" s="22"/>
    </row>
    <row r="2631">
      <c r="E2631" s="22"/>
    </row>
    <row r="2632">
      <c r="E2632" s="22"/>
    </row>
    <row r="2633">
      <c r="E2633" s="22"/>
    </row>
    <row r="2634">
      <c r="E2634" s="22"/>
    </row>
    <row r="2635">
      <c r="E2635" s="22"/>
    </row>
    <row r="2636">
      <c r="E2636" s="22"/>
    </row>
    <row r="2637">
      <c r="E2637" s="22"/>
    </row>
    <row r="2638">
      <c r="E2638" s="22"/>
    </row>
    <row r="2639">
      <c r="E2639" s="22"/>
    </row>
    <row r="2640">
      <c r="E2640" s="22"/>
    </row>
    <row r="2641">
      <c r="E2641" s="22"/>
    </row>
    <row r="2642">
      <c r="E2642" s="22"/>
    </row>
    <row r="2643">
      <c r="E2643" s="22"/>
    </row>
    <row r="2644">
      <c r="E2644" s="22"/>
    </row>
    <row r="2645">
      <c r="E2645" s="22"/>
    </row>
    <row r="2646">
      <c r="E2646" s="22"/>
    </row>
    <row r="2647">
      <c r="E2647" s="22"/>
    </row>
    <row r="2648">
      <c r="E2648" s="22"/>
    </row>
    <row r="2649">
      <c r="E2649" s="22"/>
    </row>
    <row r="2650">
      <c r="E2650" s="22"/>
    </row>
    <row r="2651">
      <c r="E2651" s="22"/>
    </row>
    <row r="2652">
      <c r="E2652" s="22"/>
    </row>
    <row r="2653">
      <c r="E2653" s="22"/>
    </row>
    <row r="2654">
      <c r="E2654" s="22"/>
    </row>
    <row r="2655">
      <c r="E2655" s="22"/>
    </row>
    <row r="2656">
      <c r="E2656" s="22"/>
    </row>
    <row r="2657">
      <c r="E2657" s="22"/>
    </row>
    <row r="2658">
      <c r="E2658" s="22"/>
    </row>
    <row r="2659">
      <c r="E2659" s="22"/>
    </row>
    <row r="2660">
      <c r="E2660" s="22"/>
    </row>
    <row r="2661">
      <c r="E2661" s="22"/>
    </row>
    <row r="2662">
      <c r="E2662" s="22"/>
    </row>
    <row r="2663">
      <c r="E2663" s="22"/>
    </row>
    <row r="2664">
      <c r="E2664" s="22"/>
    </row>
    <row r="2665">
      <c r="E2665" s="22"/>
    </row>
    <row r="2666">
      <c r="E2666" s="22"/>
    </row>
    <row r="2667">
      <c r="E2667" s="22"/>
    </row>
    <row r="2668">
      <c r="E2668" s="22"/>
    </row>
    <row r="2669">
      <c r="E2669" s="22"/>
    </row>
    <row r="2670">
      <c r="E2670" s="22"/>
    </row>
    <row r="2671">
      <c r="E2671" s="22"/>
    </row>
    <row r="2672">
      <c r="E2672" s="22"/>
    </row>
    <row r="2673">
      <c r="E2673" s="22"/>
    </row>
    <row r="2674">
      <c r="E2674" s="22"/>
    </row>
    <row r="2675">
      <c r="E2675" s="22"/>
    </row>
    <row r="2676">
      <c r="E2676" s="22"/>
    </row>
    <row r="2677">
      <c r="E2677" s="22"/>
    </row>
    <row r="2678">
      <c r="E2678" s="22"/>
    </row>
    <row r="2679">
      <c r="E2679" s="22"/>
    </row>
    <row r="2680">
      <c r="E2680" s="22"/>
    </row>
    <row r="2681">
      <c r="E2681" s="22"/>
    </row>
    <row r="2682">
      <c r="E2682" s="22"/>
    </row>
    <row r="2683">
      <c r="E2683" s="22"/>
    </row>
    <row r="2684">
      <c r="E2684" s="22"/>
    </row>
    <row r="2685">
      <c r="E2685" s="22"/>
    </row>
    <row r="2686">
      <c r="E2686" s="22"/>
    </row>
    <row r="2687">
      <c r="E2687" s="22"/>
    </row>
    <row r="2688">
      <c r="E2688" s="22"/>
    </row>
    <row r="2689">
      <c r="E2689" s="22"/>
    </row>
    <row r="2690">
      <c r="E2690" s="22"/>
    </row>
    <row r="2691">
      <c r="E2691" s="22"/>
    </row>
    <row r="2692">
      <c r="E2692" s="22"/>
    </row>
    <row r="2693">
      <c r="E2693" s="22"/>
    </row>
    <row r="2694">
      <c r="E2694" s="22"/>
    </row>
    <row r="2695">
      <c r="E2695" s="22"/>
    </row>
    <row r="2696">
      <c r="E2696" s="22"/>
    </row>
    <row r="2697">
      <c r="E2697" s="22"/>
    </row>
    <row r="2698">
      <c r="E2698" s="22"/>
    </row>
    <row r="2699">
      <c r="E2699" s="22"/>
    </row>
    <row r="2700">
      <c r="E2700" s="22"/>
    </row>
    <row r="2701">
      <c r="E2701" s="22"/>
    </row>
    <row r="2702">
      <c r="E2702" s="22"/>
    </row>
    <row r="2703">
      <c r="E2703" s="22"/>
    </row>
    <row r="2704">
      <c r="E2704" s="22"/>
    </row>
    <row r="2705">
      <c r="E2705" s="22"/>
    </row>
    <row r="2706">
      <c r="E2706" s="22"/>
    </row>
    <row r="2707">
      <c r="E2707" s="22"/>
    </row>
    <row r="2708">
      <c r="E2708" s="22"/>
    </row>
    <row r="2709">
      <c r="E2709" s="22"/>
    </row>
    <row r="2710">
      <c r="E2710" s="22"/>
    </row>
    <row r="2711">
      <c r="E2711" s="22"/>
    </row>
    <row r="2712">
      <c r="E2712" s="22"/>
    </row>
    <row r="2713">
      <c r="E2713" s="22"/>
    </row>
    <row r="2714">
      <c r="E2714" s="22"/>
    </row>
    <row r="2715">
      <c r="E2715" s="22"/>
    </row>
    <row r="2716">
      <c r="E2716" s="22"/>
    </row>
    <row r="2717">
      <c r="E2717" s="22"/>
    </row>
    <row r="2718">
      <c r="E2718" s="22"/>
    </row>
    <row r="2719">
      <c r="E2719" s="22"/>
    </row>
    <row r="2720">
      <c r="E2720" s="22"/>
    </row>
    <row r="2721">
      <c r="E2721" s="22"/>
    </row>
    <row r="2722">
      <c r="E2722" s="22"/>
    </row>
    <row r="2723">
      <c r="E2723" s="22"/>
    </row>
    <row r="2724">
      <c r="E2724" s="22"/>
    </row>
    <row r="2725">
      <c r="E2725" s="22"/>
    </row>
    <row r="2726">
      <c r="E2726" s="22"/>
    </row>
    <row r="2727">
      <c r="E2727" s="22"/>
    </row>
    <row r="2728">
      <c r="E2728" s="22"/>
    </row>
    <row r="2729">
      <c r="E2729" s="22"/>
    </row>
    <row r="2730">
      <c r="E2730" s="22"/>
    </row>
    <row r="2731">
      <c r="E2731" s="22"/>
    </row>
    <row r="2732">
      <c r="E2732" s="22"/>
    </row>
    <row r="2733">
      <c r="E2733" s="22"/>
    </row>
    <row r="2734">
      <c r="E2734" s="22"/>
    </row>
    <row r="2735">
      <c r="E2735" s="22"/>
    </row>
    <row r="2736">
      <c r="E2736" s="22"/>
    </row>
    <row r="2737">
      <c r="E2737" s="22"/>
    </row>
    <row r="2738">
      <c r="E2738" s="22"/>
    </row>
    <row r="2739">
      <c r="E2739" s="22"/>
    </row>
    <row r="2740">
      <c r="E2740" s="22"/>
    </row>
    <row r="2741">
      <c r="E2741" s="22"/>
    </row>
    <row r="2742">
      <c r="E2742" s="22"/>
    </row>
    <row r="2743">
      <c r="E2743" s="22"/>
    </row>
    <row r="2744">
      <c r="E2744" s="22"/>
    </row>
    <row r="2745">
      <c r="E2745" s="22"/>
    </row>
    <row r="2746">
      <c r="E2746" s="22"/>
    </row>
    <row r="2747">
      <c r="E2747" s="22"/>
    </row>
    <row r="2748">
      <c r="E2748" s="22"/>
    </row>
    <row r="2749">
      <c r="E2749" s="22"/>
    </row>
    <row r="2750">
      <c r="E2750" s="22"/>
    </row>
    <row r="2751">
      <c r="E2751" s="22"/>
    </row>
    <row r="2752">
      <c r="E2752" s="22"/>
    </row>
    <row r="2753">
      <c r="E2753" s="22"/>
    </row>
    <row r="2754">
      <c r="E2754" s="22"/>
    </row>
    <row r="2755">
      <c r="E2755" s="22"/>
    </row>
    <row r="2756">
      <c r="E2756" s="22"/>
    </row>
    <row r="2757">
      <c r="E2757" s="22"/>
    </row>
    <row r="2758">
      <c r="E2758" s="22"/>
    </row>
    <row r="2759">
      <c r="E2759" s="22"/>
    </row>
    <row r="2760">
      <c r="E2760" s="22"/>
    </row>
    <row r="2761">
      <c r="E2761" s="22"/>
    </row>
    <row r="2762">
      <c r="E2762" s="22"/>
    </row>
    <row r="2763">
      <c r="E2763" s="22"/>
    </row>
    <row r="2764">
      <c r="E2764" s="22"/>
    </row>
    <row r="2765">
      <c r="E2765" s="22"/>
    </row>
    <row r="2766">
      <c r="E2766" s="22"/>
    </row>
    <row r="2767">
      <c r="E2767" s="22"/>
    </row>
    <row r="2768">
      <c r="E2768" s="22"/>
    </row>
    <row r="2769">
      <c r="E2769" s="22"/>
    </row>
    <row r="2770">
      <c r="E2770" s="22"/>
    </row>
    <row r="2771">
      <c r="E2771" s="22"/>
    </row>
    <row r="2772">
      <c r="E2772" s="22"/>
    </row>
    <row r="2773">
      <c r="E2773" s="22"/>
    </row>
    <row r="2774">
      <c r="E2774" s="22"/>
    </row>
    <row r="2775">
      <c r="E2775" s="22"/>
    </row>
    <row r="2776">
      <c r="E2776" s="22"/>
    </row>
    <row r="2777">
      <c r="E2777" s="22"/>
    </row>
    <row r="2778">
      <c r="E2778" s="22"/>
    </row>
    <row r="2779">
      <c r="E2779" s="22"/>
    </row>
    <row r="2780">
      <c r="E2780" s="22"/>
    </row>
    <row r="2781">
      <c r="E2781" s="22"/>
    </row>
    <row r="2782">
      <c r="E2782" s="22"/>
    </row>
    <row r="2783">
      <c r="E2783" s="22"/>
    </row>
    <row r="2784">
      <c r="E2784" s="22"/>
    </row>
    <row r="2785">
      <c r="E2785" s="22"/>
    </row>
    <row r="2786">
      <c r="E2786" s="22"/>
    </row>
    <row r="2787">
      <c r="E2787" s="22"/>
    </row>
    <row r="2788">
      <c r="E2788" s="22"/>
    </row>
    <row r="2789">
      <c r="E2789" s="22"/>
    </row>
    <row r="2790">
      <c r="E2790" s="22"/>
    </row>
    <row r="2791">
      <c r="E2791" s="22"/>
    </row>
    <row r="2792">
      <c r="E2792" s="22"/>
    </row>
    <row r="2793">
      <c r="E2793" s="22"/>
    </row>
    <row r="2794">
      <c r="E2794" s="22"/>
    </row>
    <row r="2795">
      <c r="E2795" s="22"/>
    </row>
    <row r="2796">
      <c r="E2796" s="22"/>
    </row>
    <row r="2797">
      <c r="E2797" s="22"/>
    </row>
    <row r="2798">
      <c r="E2798" s="22"/>
    </row>
    <row r="2799">
      <c r="E2799" s="22"/>
    </row>
    <row r="2800">
      <c r="E2800" s="22"/>
    </row>
    <row r="2801">
      <c r="E2801" s="22"/>
    </row>
    <row r="2802">
      <c r="E2802" s="22"/>
    </row>
    <row r="2803">
      <c r="E2803" s="22"/>
    </row>
    <row r="2804">
      <c r="E2804" s="22"/>
    </row>
    <row r="2805">
      <c r="E2805" s="22"/>
    </row>
    <row r="2806">
      <c r="E2806" s="22"/>
    </row>
    <row r="2807">
      <c r="E2807" s="22"/>
    </row>
    <row r="2808">
      <c r="E2808" s="22"/>
    </row>
    <row r="2809">
      <c r="E2809" s="22"/>
    </row>
    <row r="2810">
      <c r="E2810" s="22"/>
    </row>
    <row r="2811">
      <c r="E2811" s="22"/>
    </row>
    <row r="2812">
      <c r="E2812" s="22"/>
    </row>
    <row r="2813">
      <c r="E2813" s="22"/>
    </row>
    <row r="2814">
      <c r="E2814" s="22"/>
    </row>
    <row r="2815">
      <c r="E2815" s="22"/>
    </row>
    <row r="2816">
      <c r="E2816" s="22"/>
    </row>
    <row r="2817">
      <c r="E2817" s="22"/>
    </row>
    <row r="2818">
      <c r="E2818" s="22"/>
    </row>
    <row r="2819">
      <c r="E2819" s="22"/>
    </row>
    <row r="2820">
      <c r="E2820" s="22"/>
    </row>
    <row r="2821">
      <c r="E2821" s="22"/>
    </row>
    <row r="2822">
      <c r="E2822" s="22"/>
    </row>
    <row r="2823">
      <c r="E2823" s="22"/>
    </row>
    <row r="2824">
      <c r="E2824" s="22"/>
    </row>
    <row r="2825">
      <c r="E2825" s="22"/>
    </row>
    <row r="2826">
      <c r="E2826" s="22"/>
    </row>
    <row r="2827">
      <c r="E2827" s="22"/>
    </row>
    <row r="2828">
      <c r="E2828" s="22"/>
    </row>
    <row r="2829">
      <c r="E2829" s="22"/>
    </row>
    <row r="2830">
      <c r="E2830" s="22"/>
    </row>
    <row r="2831">
      <c r="E2831" s="22"/>
    </row>
    <row r="2832">
      <c r="E2832" s="22"/>
    </row>
    <row r="2833">
      <c r="E2833" s="22"/>
    </row>
    <row r="2834">
      <c r="E2834" s="22"/>
    </row>
    <row r="2835">
      <c r="E2835" s="22"/>
    </row>
    <row r="2836">
      <c r="E2836" s="22"/>
    </row>
    <row r="2837">
      <c r="E2837" s="22"/>
    </row>
    <row r="2838">
      <c r="E2838" s="22"/>
    </row>
    <row r="2839">
      <c r="E2839" s="22"/>
    </row>
    <row r="2840">
      <c r="E2840" s="22"/>
    </row>
    <row r="2841">
      <c r="E2841" s="22"/>
    </row>
    <row r="2842">
      <c r="E2842" s="22"/>
    </row>
    <row r="2843">
      <c r="E2843" s="22"/>
    </row>
    <row r="2844">
      <c r="E2844" s="22"/>
    </row>
    <row r="2845">
      <c r="E2845" s="22"/>
    </row>
    <row r="2846">
      <c r="E2846" s="22"/>
    </row>
    <row r="2847">
      <c r="E2847" s="22"/>
    </row>
    <row r="2848">
      <c r="E2848" s="22"/>
    </row>
    <row r="2849">
      <c r="E2849" s="22"/>
    </row>
    <row r="2850">
      <c r="E2850" s="22"/>
    </row>
    <row r="2851">
      <c r="E2851" s="22"/>
    </row>
    <row r="2852">
      <c r="E2852" s="22"/>
    </row>
    <row r="2853">
      <c r="E2853" s="22"/>
    </row>
    <row r="2854">
      <c r="E2854" s="22"/>
    </row>
    <row r="2855">
      <c r="E2855" s="22"/>
    </row>
    <row r="2856">
      <c r="E2856" s="22"/>
    </row>
    <row r="2857">
      <c r="E2857" s="22"/>
    </row>
    <row r="2858">
      <c r="E2858" s="22"/>
    </row>
    <row r="2859">
      <c r="E2859" s="22"/>
    </row>
    <row r="2860">
      <c r="E2860" s="22"/>
    </row>
    <row r="2861">
      <c r="E2861" s="22"/>
    </row>
    <row r="2862">
      <c r="E2862" s="22"/>
    </row>
    <row r="2863">
      <c r="E2863" s="22"/>
    </row>
    <row r="2864">
      <c r="E2864" s="22"/>
    </row>
    <row r="2865">
      <c r="E2865" s="22"/>
    </row>
    <row r="2866">
      <c r="E2866" s="22"/>
    </row>
    <row r="2867">
      <c r="E2867" s="22"/>
    </row>
    <row r="2868">
      <c r="E2868" s="22"/>
    </row>
    <row r="2869">
      <c r="E2869" s="22"/>
    </row>
    <row r="2870">
      <c r="E2870" s="22"/>
    </row>
    <row r="2871">
      <c r="E2871" s="22"/>
    </row>
    <row r="2872">
      <c r="E2872" s="22"/>
    </row>
    <row r="2873">
      <c r="E2873" s="22"/>
    </row>
    <row r="2874">
      <c r="E2874" s="22"/>
    </row>
    <row r="2875">
      <c r="E2875" s="22"/>
    </row>
    <row r="2876">
      <c r="E2876" s="22"/>
    </row>
    <row r="2877">
      <c r="E2877" s="22"/>
    </row>
    <row r="2878">
      <c r="E2878" s="22"/>
    </row>
    <row r="2879">
      <c r="E2879" s="22"/>
    </row>
    <row r="2880">
      <c r="E2880" s="22"/>
    </row>
    <row r="2881">
      <c r="E2881" s="22"/>
    </row>
    <row r="2882">
      <c r="E2882" s="22"/>
    </row>
    <row r="2883">
      <c r="E2883" s="22"/>
    </row>
    <row r="2884">
      <c r="E2884" s="22"/>
    </row>
    <row r="2885">
      <c r="E2885" s="22"/>
    </row>
    <row r="2886">
      <c r="E2886" s="22"/>
    </row>
    <row r="2887">
      <c r="E2887" s="22"/>
    </row>
    <row r="2888">
      <c r="E2888" s="22"/>
    </row>
    <row r="2889">
      <c r="E2889" s="22"/>
    </row>
    <row r="2890">
      <c r="E2890" s="22"/>
    </row>
    <row r="2891">
      <c r="E2891" s="22"/>
    </row>
    <row r="2892">
      <c r="E2892" s="22"/>
    </row>
    <row r="2893">
      <c r="E2893" s="22"/>
    </row>
    <row r="2894">
      <c r="E2894" s="22"/>
    </row>
    <row r="2895">
      <c r="E2895" s="22"/>
    </row>
    <row r="2896">
      <c r="E2896" s="22"/>
    </row>
    <row r="2897">
      <c r="E2897" s="22"/>
    </row>
    <row r="2898">
      <c r="E2898" s="22"/>
    </row>
    <row r="2899">
      <c r="E2899" s="22"/>
    </row>
    <row r="2900">
      <c r="E2900" s="22"/>
    </row>
    <row r="2901">
      <c r="E2901" s="22"/>
    </row>
    <row r="2902">
      <c r="E2902" s="22"/>
    </row>
    <row r="2903">
      <c r="E2903" s="22"/>
    </row>
    <row r="2904">
      <c r="E2904" s="22"/>
    </row>
    <row r="2905">
      <c r="E2905" s="22"/>
    </row>
    <row r="2906">
      <c r="E2906" s="22"/>
    </row>
    <row r="2907">
      <c r="E2907" s="22"/>
    </row>
    <row r="2908">
      <c r="E2908" s="22"/>
    </row>
    <row r="2909">
      <c r="E2909" s="22"/>
    </row>
    <row r="2910">
      <c r="E2910" s="22"/>
    </row>
    <row r="2911">
      <c r="E2911" s="22"/>
    </row>
    <row r="2912">
      <c r="E2912" s="22"/>
    </row>
    <row r="2913">
      <c r="E2913" s="22"/>
    </row>
    <row r="2914">
      <c r="E2914" s="22"/>
    </row>
    <row r="2915">
      <c r="E2915" s="22"/>
    </row>
    <row r="2916">
      <c r="E2916" s="22"/>
    </row>
    <row r="2917">
      <c r="E2917" s="22"/>
    </row>
    <row r="2918">
      <c r="E2918" s="22"/>
    </row>
    <row r="2919">
      <c r="E2919" s="22"/>
    </row>
    <row r="2920">
      <c r="E2920" s="22"/>
    </row>
    <row r="2921">
      <c r="E2921" s="22"/>
    </row>
    <row r="2922">
      <c r="E2922" s="22"/>
    </row>
    <row r="2923">
      <c r="E2923" s="22"/>
    </row>
    <row r="2924">
      <c r="E2924" s="22"/>
    </row>
    <row r="2925">
      <c r="E2925" s="22"/>
    </row>
    <row r="2926">
      <c r="E2926" s="22"/>
    </row>
    <row r="2927">
      <c r="E2927" s="22"/>
    </row>
    <row r="2928">
      <c r="E2928" s="22"/>
    </row>
    <row r="2929">
      <c r="E2929" s="22"/>
    </row>
    <row r="2930">
      <c r="E2930" s="22"/>
    </row>
    <row r="2931">
      <c r="E2931" s="22"/>
    </row>
    <row r="2932">
      <c r="E2932" s="22"/>
    </row>
    <row r="2933">
      <c r="E2933" s="22"/>
    </row>
    <row r="2934">
      <c r="E2934" s="22"/>
    </row>
    <row r="2935">
      <c r="E2935" s="22"/>
    </row>
    <row r="2936">
      <c r="E2936" s="22"/>
    </row>
    <row r="2937">
      <c r="E2937" s="22"/>
    </row>
    <row r="2938">
      <c r="E2938" s="22"/>
    </row>
    <row r="2939">
      <c r="E2939" s="22"/>
    </row>
    <row r="2940">
      <c r="E2940" s="22"/>
    </row>
    <row r="2941">
      <c r="E2941" s="22"/>
    </row>
    <row r="2942">
      <c r="E2942" s="22"/>
    </row>
    <row r="2943">
      <c r="E2943" s="22"/>
    </row>
    <row r="2944">
      <c r="E2944" s="22"/>
    </row>
    <row r="2945">
      <c r="E2945" s="22"/>
    </row>
    <row r="2946">
      <c r="E2946" s="22"/>
    </row>
    <row r="2947">
      <c r="E2947" s="22"/>
    </row>
    <row r="2948">
      <c r="E2948" s="22"/>
    </row>
    <row r="2949">
      <c r="E2949" s="22"/>
    </row>
    <row r="2950">
      <c r="E2950" s="22"/>
    </row>
    <row r="2951">
      <c r="E2951" s="22"/>
    </row>
    <row r="2952">
      <c r="E2952" s="22"/>
    </row>
    <row r="2953">
      <c r="E2953" s="22"/>
    </row>
    <row r="2954">
      <c r="E2954" s="22"/>
    </row>
    <row r="2955">
      <c r="E2955" s="22"/>
    </row>
    <row r="2956">
      <c r="E2956" s="22"/>
    </row>
    <row r="2957">
      <c r="E2957" s="22"/>
    </row>
    <row r="2958">
      <c r="E2958" s="22"/>
    </row>
    <row r="2959">
      <c r="E2959" s="22"/>
    </row>
    <row r="2960">
      <c r="E2960" s="22"/>
    </row>
    <row r="2961">
      <c r="E2961" s="22"/>
    </row>
    <row r="2962">
      <c r="E2962" s="22"/>
    </row>
    <row r="2963">
      <c r="E2963" s="22"/>
    </row>
    <row r="2964">
      <c r="E2964" s="22"/>
    </row>
    <row r="2965">
      <c r="E2965" s="22"/>
    </row>
    <row r="2966">
      <c r="E2966" s="22"/>
    </row>
    <row r="2967">
      <c r="E2967" s="22"/>
    </row>
    <row r="2968">
      <c r="E2968" s="22"/>
    </row>
    <row r="2969">
      <c r="E2969" s="22"/>
    </row>
    <row r="2970">
      <c r="E2970" s="22"/>
    </row>
    <row r="2971">
      <c r="E2971" s="22"/>
    </row>
    <row r="2972">
      <c r="E2972" s="22"/>
    </row>
    <row r="2973">
      <c r="E2973" s="22"/>
    </row>
    <row r="2974">
      <c r="E2974" s="22"/>
    </row>
    <row r="2975">
      <c r="E2975" s="22"/>
    </row>
    <row r="2976">
      <c r="E2976" s="22"/>
    </row>
    <row r="2977">
      <c r="E2977" s="22"/>
    </row>
    <row r="2978">
      <c r="E2978" s="22"/>
    </row>
    <row r="2979">
      <c r="E2979" s="22"/>
    </row>
    <row r="2980">
      <c r="E2980" s="22"/>
    </row>
    <row r="2981">
      <c r="E2981" s="22"/>
    </row>
    <row r="2982">
      <c r="E2982" s="22"/>
    </row>
    <row r="2983">
      <c r="E2983" s="22"/>
    </row>
    <row r="2984">
      <c r="E2984" s="22"/>
    </row>
    <row r="2985">
      <c r="E2985" s="22"/>
    </row>
    <row r="2986">
      <c r="E2986" s="22"/>
    </row>
    <row r="2987">
      <c r="E2987" s="22"/>
    </row>
    <row r="2988">
      <c r="E2988" s="22"/>
    </row>
    <row r="2989">
      <c r="E2989" s="22"/>
    </row>
    <row r="2990">
      <c r="E2990" s="22"/>
    </row>
    <row r="2991">
      <c r="E2991" s="22"/>
    </row>
    <row r="2992">
      <c r="E2992" s="22"/>
    </row>
    <row r="2993">
      <c r="E2993" s="22"/>
    </row>
    <row r="2994">
      <c r="E2994" s="22"/>
    </row>
    <row r="2995">
      <c r="E2995" s="22"/>
    </row>
    <row r="2996">
      <c r="E2996" s="22"/>
    </row>
    <row r="2997">
      <c r="E2997" s="22"/>
    </row>
    <row r="2998">
      <c r="E2998" s="22"/>
    </row>
    <row r="2999">
      <c r="E2999" s="22"/>
    </row>
    <row r="3000">
      <c r="E3000" s="22"/>
    </row>
    <row r="3001">
      <c r="E3001" s="22"/>
    </row>
    <row r="3002">
      <c r="E3002" s="22"/>
    </row>
    <row r="3003">
      <c r="E3003" s="22"/>
    </row>
    <row r="3004">
      <c r="E3004" s="22"/>
    </row>
    <row r="3005">
      <c r="E3005" s="22"/>
    </row>
    <row r="3006">
      <c r="E3006" s="22"/>
    </row>
    <row r="3007">
      <c r="E3007" s="22"/>
    </row>
    <row r="3008">
      <c r="E3008" s="22"/>
    </row>
    <row r="3009">
      <c r="E3009" s="22"/>
    </row>
    <row r="3010">
      <c r="E3010" s="22"/>
    </row>
    <row r="3011">
      <c r="E3011" s="22"/>
    </row>
    <row r="3012">
      <c r="E3012" s="22"/>
    </row>
    <row r="3013">
      <c r="E3013" s="22"/>
    </row>
    <row r="3014">
      <c r="E3014" s="22"/>
    </row>
    <row r="3015">
      <c r="E3015" s="22"/>
    </row>
    <row r="3016">
      <c r="E3016" s="22"/>
    </row>
    <row r="3017">
      <c r="E3017" s="22"/>
    </row>
    <row r="3018">
      <c r="E3018" s="22"/>
    </row>
    <row r="3019">
      <c r="E3019" s="22"/>
    </row>
    <row r="3020">
      <c r="E3020" s="22"/>
    </row>
    <row r="3021">
      <c r="E3021" s="22"/>
    </row>
    <row r="3022">
      <c r="E3022" s="22"/>
    </row>
    <row r="3023">
      <c r="E3023" s="22"/>
    </row>
    <row r="3024">
      <c r="E3024" s="22"/>
    </row>
    <row r="3025">
      <c r="E3025" s="22"/>
    </row>
    <row r="3026">
      <c r="E3026" s="22"/>
    </row>
    <row r="3027">
      <c r="E3027" s="22"/>
    </row>
    <row r="3028">
      <c r="E3028" s="22"/>
    </row>
    <row r="3029">
      <c r="E3029" s="22"/>
    </row>
    <row r="3030">
      <c r="E3030" s="22"/>
    </row>
    <row r="3031">
      <c r="E3031" s="22"/>
    </row>
    <row r="3032">
      <c r="E3032" s="22"/>
    </row>
    <row r="3033">
      <c r="E3033" s="22"/>
    </row>
    <row r="3034">
      <c r="E3034" s="22"/>
    </row>
    <row r="3035">
      <c r="E3035" s="22"/>
    </row>
    <row r="3036">
      <c r="E3036" s="22"/>
    </row>
    <row r="3037">
      <c r="E3037" s="22"/>
    </row>
    <row r="3038">
      <c r="E3038" s="22"/>
    </row>
    <row r="3039">
      <c r="E3039" s="22"/>
    </row>
    <row r="3040">
      <c r="E3040" s="22"/>
    </row>
    <row r="3041">
      <c r="E3041" s="22"/>
    </row>
    <row r="3042">
      <c r="E3042" s="22"/>
    </row>
    <row r="3043">
      <c r="E3043" s="22"/>
    </row>
    <row r="3044">
      <c r="E3044" s="22"/>
    </row>
    <row r="3045">
      <c r="E3045" s="22"/>
    </row>
    <row r="3046">
      <c r="E3046" s="22"/>
    </row>
    <row r="3047">
      <c r="E3047" s="22"/>
    </row>
    <row r="3048">
      <c r="E3048" s="22"/>
    </row>
    <row r="3049">
      <c r="E3049" s="22"/>
    </row>
    <row r="3050">
      <c r="E3050" s="22"/>
    </row>
    <row r="3051">
      <c r="E3051" s="22"/>
    </row>
    <row r="3052">
      <c r="E3052" s="22"/>
    </row>
    <row r="3053">
      <c r="E3053" s="22"/>
    </row>
    <row r="3054">
      <c r="E3054" s="22"/>
    </row>
    <row r="3055">
      <c r="E3055" s="22"/>
    </row>
    <row r="3056">
      <c r="E3056" s="22"/>
    </row>
    <row r="3057">
      <c r="E3057" s="22"/>
    </row>
    <row r="3058">
      <c r="E3058" s="22"/>
    </row>
    <row r="3059">
      <c r="E3059" s="22"/>
    </row>
    <row r="3060">
      <c r="E3060" s="22"/>
    </row>
    <row r="3061">
      <c r="E3061" s="22"/>
    </row>
    <row r="3062">
      <c r="E3062" s="22"/>
    </row>
    <row r="3063">
      <c r="E3063" s="22"/>
    </row>
    <row r="3064">
      <c r="E3064" s="22"/>
    </row>
    <row r="3065">
      <c r="E3065" s="22"/>
    </row>
    <row r="3066">
      <c r="E3066" s="22"/>
    </row>
    <row r="3067">
      <c r="E3067" s="22"/>
    </row>
    <row r="3068">
      <c r="E3068" s="22"/>
    </row>
    <row r="3069">
      <c r="E3069" s="22"/>
    </row>
    <row r="3070">
      <c r="E3070" s="22"/>
    </row>
    <row r="3071">
      <c r="E3071" s="22"/>
    </row>
    <row r="3072">
      <c r="E3072" s="22"/>
    </row>
    <row r="3073">
      <c r="E3073" s="22"/>
    </row>
    <row r="3074">
      <c r="E3074" s="22"/>
    </row>
    <row r="3075">
      <c r="E3075" s="22"/>
    </row>
    <row r="3076">
      <c r="E3076" s="22"/>
    </row>
    <row r="3077">
      <c r="E3077" s="22"/>
    </row>
    <row r="3078">
      <c r="E3078" s="22"/>
    </row>
    <row r="3079">
      <c r="E3079" s="22"/>
    </row>
    <row r="3080">
      <c r="E3080" s="22"/>
    </row>
    <row r="3081">
      <c r="E3081" s="22"/>
    </row>
    <row r="3082">
      <c r="E3082" s="22"/>
    </row>
    <row r="3083">
      <c r="E3083" s="22"/>
    </row>
    <row r="3084">
      <c r="E3084" s="22"/>
    </row>
    <row r="3085">
      <c r="E3085" s="22"/>
    </row>
    <row r="3086">
      <c r="E3086" s="22"/>
    </row>
    <row r="3087">
      <c r="E3087" s="22"/>
    </row>
    <row r="3088">
      <c r="E3088" s="22"/>
    </row>
    <row r="3089">
      <c r="E3089" s="22"/>
    </row>
    <row r="3090">
      <c r="E3090" s="22"/>
    </row>
    <row r="3091">
      <c r="E3091" s="22"/>
    </row>
    <row r="3092">
      <c r="E3092" s="22"/>
    </row>
    <row r="3093">
      <c r="E3093" s="22"/>
    </row>
    <row r="3094">
      <c r="E3094" s="22"/>
    </row>
    <row r="3095">
      <c r="E3095" s="22"/>
    </row>
    <row r="3096">
      <c r="E3096" s="22"/>
    </row>
    <row r="3097">
      <c r="E3097" s="22"/>
    </row>
    <row r="3098">
      <c r="E3098" s="22"/>
    </row>
    <row r="3099">
      <c r="E3099" s="22"/>
    </row>
    <row r="3100">
      <c r="E3100" s="22"/>
    </row>
    <row r="3101">
      <c r="E3101" s="22"/>
    </row>
    <row r="3102">
      <c r="E3102" s="22"/>
    </row>
    <row r="3103">
      <c r="E3103" s="22"/>
    </row>
    <row r="3104">
      <c r="E3104" s="22"/>
    </row>
    <row r="3105">
      <c r="E3105" s="22"/>
    </row>
    <row r="3106">
      <c r="E3106" s="22"/>
    </row>
    <row r="3107">
      <c r="E3107" s="22"/>
    </row>
    <row r="3108">
      <c r="E3108" s="22"/>
    </row>
    <row r="3109">
      <c r="E3109" s="22"/>
    </row>
    <row r="3110">
      <c r="E3110" s="22"/>
    </row>
    <row r="3111">
      <c r="E3111" s="22"/>
    </row>
    <row r="3112">
      <c r="E3112" s="22"/>
    </row>
    <row r="3113">
      <c r="E3113" s="22"/>
    </row>
    <row r="3114">
      <c r="E3114" s="22"/>
    </row>
    <row r="3115">
      <c r="E3115" s="22"/>
    </row>
    <row r="3116">
      <c r="E3116" s="22"/>
    </row>
    <row r="3117">
      <c r="E3117" s="22"/>
    </row>
    <row r="3118">
      <c r="E3118" s="22"/>
    </row>
    <row r="3119">
      <c r="E3119" s="22"/>
    </row>
    <row r="3120">
      <c r="E3120" s="22"/>
    </row>
    <row r="3121">
      <c r="E3121" s="22"/>
    </row>
    <row r="3122">
      <c r="E3122" s="22"/>
    </row>
    <row r="3123">
      <c r="E3123" s="22"/>
    </row>
    <row r="3124">
      <c r="E3124" s="22"/>
    </row>
    <row r="3125">
      <c r="E3125" s="22"/>
    </row>
    <row r="3126">
      <c r="E3126" s="22"/>
    </row>
    <row r="3127">
      <c r="E3127" s="22"/>
    </row>
    <row r="3128">
      <c r="E3128" s="22"/>
    </row>
    <row r="3129">
      <c r="E3129" s="22"/>
    </row>
    <row r="3130">
      <c r="E3130" s="22"/>
    </row>
    <row r="3131">
      <c r="E3131" s="22"/>
    </row>
    <row r="3132">
      <c r="E3132" s="22"/>
    </row>
    <row r="3133">
      <c r="E3133" s="22"/>
    </row>
    <row r="3134">
      <c r="E3134" s="22"/>
    </row>
    <row r="3135">
      <c r="E3135" s="22"/>
    </row>
    <row r="3136">
      <c r="E3136" s="22"/>
    </row>
    <row r="3137">
      <c r="E3137" s="22"/>
    </row>
    <row r="3138">
      <c r="E3138" s="22"/>
    </row>
    <row r="3139">
      <c r="E3139" s="22"/>
    </row>
    <row r="3140">
      <c r="E3140" s="22"/>
    </row>
    <row r="3141">
      <c r="E3141" s="22"/>
    </row>
    <row r="3142">
      <c r="E3142" s="22"/>
    </row>
    <row r="3143">
      <c r="E3143" s="22"/>
    </row>
    <row r="3144">
      <c r="E3144" s="22"/>
    </row>
    <row r="3145">
      <c r="E3145" s="22"/>
    </row>
    <row r="3146">
      <c r="E3146" s="22"/>
    </row>
    <row r="3147">
      <c r="E3147" s="22"/>
    </row>
    <row r="3148">
      <c r="E3148" s="22"/>
    </row>
    <row r="3149">
      <c r="E3149" s="22"/>
    </row>
    <row r="3150">
      <c r="E3150" s="22"/>
    </row>
    <row r="3151">
      <c r="E3151" s="22"/>
    </row>
    <row r="3152">
      <c r="E3152" s="22"/>
    </row>
    <row r="3153">
      <c r="E3153" s="22"/>
    </row>
    <row r="3154">
      <c r="E3154" s="22"/>
    </row>
    <row r="3155">
      <c r="E3155" s="22"/>
    </row>
    <row r="3156">
      <c r="E3156" s="22"/>
    </row>
    <row r="3157">
      <c r="E3157" s="22"/>
    </row>
    <row r="3158">
      <c r="E3158" s="22"/>
    </row>
    <row r="3159">
      <c r="E3159" s="22"/>
    </row>
    <row r="3160">
      <c r="E3160" s="22"/>
    </row>
    <row r="3161">
      <c r="E3161" s="22"/>
    </row>
    <row r="3162">
      <c r="E3162" s="22"/>
    </row>
    <row r="3163">
      <c r="E3163" s="22"/>
    </row>
    <row r="3164">
      <c r="E3164" s="22"/>
    </row>
    <row r="3165">
      <c r="E3165" s="22"/>
    </row>
    <row r="3166">
      <c r="E3166" s="22"/>
    </row>
    <row r="3167">
      <c r="E3167" s="22"/>
    </row>
    <row r="3168">
      <c r="E3168" s="22"/>
    </row>
    <row r="3169">
      <c r="E3169" s="22"/>
    </row>
    <row r="3170">
      <c r="E3170" s="22"/>
    </row>
    <row r="3171">
      <c r="E3171" s="22"/>
    </row>
    <row r="3172">
      <c r="E3172" s="22"/>
    </row>
    <row r="3173">
      <c r="E3173" s="22"/>
    </row>
    <row r="3174">
      <c r="E3174" s="22"/>
    </row>
    <row r="3175">
      <c r="E3175" s="22"/>
    </row>
    <row r="3176">
      <c r="E3176" s="22"/>
    </row>
    <row r="3177">
      <c r="E3177" s="22"/>
    </row>
    <row r="3178">
      <c r="E3178" s="22"/>
    </row>
    <row r="3179">
      <c r="E3179" s="22"/>
    </row>
    <row r="3180">
      <c r="E3180" s="22"/>
    </row>
    <row r="3181">
      <c r="E3181" s="22"/>
    </row>
    <row r="3182">
      <c r="E3182" s="22"/>
    </row>
    <row r="3183">
      <c r="E3183" s="22"/>
    </row>
    <row r="3184">
      <c r="E3184" s="22"/>
    </row>
    <row r="3185">
      <c r="E3185" s="22"/>
    </row>
    <row r="3186">
      <c r="E3186" s="22"/>
    </row>
    <row r="3187">
      <c r="E3187" s="22"/>
    </row>
    <row r="3188">
      <c r="E3188" s="22"/>
    </row>
    <row r="3189">
      <c r="E3189" s="22"/>
    </row>
    <row r="3190">
      <c r="E3190" s="22"/>
    </row>
    <row r="3191">
      <c r="E3191" s="22"/>
    </row>
    <row r="3192">
      <c r="E3192" s="22"/>
    </row>
    <row r="3193">
      <c r="E3193" s="22"/>
    </row>
    <row r="3194">
      <c r="E3194" s="22"/>
    </row>
    <row r="3195">
      <c r="E3195" s="22"/>
    </row>
    <row r="3196">
      <c r="E3196" s="22"/>
    </row>
    <row r="3197">
      <c r="E3197" s="22"/>
    </row>
    <row r="3198">
      <c r="E3198" s="22"/>
    </row>
    <row r="3199">
      <c r="E3199" s="22"/>
    </row>
    <row r="3200">
      <c r="E3200" s="22"/>
    </row>
    <row r="3201">
      <c r="E3201" s="22"/>
    </row>
    <row r="3202">
      <c r="E3202" s="22"/>
    </row>
    <row r="3203">
      <c r="E3203" s="22"/>
    </row>
    <row r="3204">
      <c r="E3204" s="22"/>
    </row>
    <row r="3205">
      <c r="E3205" s="22"/>
    </row>
    <row r="3206">
      <c r="E3206" s="22"/>
    </row>
    <row r="3207">
      <c r="E3207" s="22"/>
    </row>
    <row r="3208">
      <c r="E3208" s="22"/>
    </row>
    <row r="3209">
      <c r="E3209" s="22"/>
    </row>
    <row r="3210">
      <c r="E3210" s="22"/>
    </row>
    <row r="3211">
      <c r="E3211" s="22"/>
    </row>
    <row r="3212">
      <c r="E3212" s="22"/>
    </row>
    <row r="3213">
      <c r="E3213" s="22"/>
    </row>
    <row r="3214">
      <c r="E3214" s="22"/>
    </row>
    <row r="3215">
      <c r="E3215" s="22"/>
    </row>
    <row r="3216">
      <c r="E3216" s="22"/>
    </row>
    <row r="3217">
      <c r="E3217" s="22"/>
    </row>
    <row r="3218">
      <c r="E3218" s="22"/>
    </row>
    <row r="3219">
      <c r="E3219" s="22"/>
    </row>
    <row r="3220">
      <c r="E3220" s="22"/>
    </row>
    <row r="3221">
      <c r="E3221" s="22"/>
    </row>
    <row r="3222">
      <c r="E3222" s="22"/>
    </row>
    <row r="3223">
      <c r="E3223" s="22"/>
    </row>
    <row r="3224">
      <c r="E3224" s="22"/>
    </row>
    <row r="3225">
      <c r="E3225" s="22"/>
    </row>
    <row r="3226">
      <c r="E3226" s="22"/>
    </row>
    <row r="3227">
      <c r="E3227" s="22"/>
    </row>
    <row r="3228">
      <c r="E3228" s="22"/>
    </row>
    <row r="3229">
      <c r="E3229" s="22"/>
    </row>
    <row r="3230">
      <c r="E3230" s="22"/>
    </row>
    <row r="3231">
      <c r="E3231" s="22"/>
    </row>
    <row r="3232">
      <c r="E3232" s="22"/>
    </row>
    <row r="3233">
      <c r="E3233" s="22"/>
    </row>
    <row r="3234">
      <c r="E3234" s="22"/>
    </row>
    <row r="3235">
      <c r="E3235" s="22"/>
    </row>
    <row r="3236">
      <c r="E3236" s="22"/>
    </row>
    <row r="3237">
      <c r="E3237" s="22"/>
    </row>
    <row r="3238">
      <c r="E3238" s="22"/>
    </row>
    <row r="3239">
      <c r="E3239" s="22"/>
    </row>
    <row r="3240">
      <c r="E3240" s="22"/>
    </row>
    <row r="3241">
      <c r="E3241" s="22"/>
    </row>
    <row r="3242">
      <c r="E3242" s="22"/>
    </row>
    <row r="3243">
      <c r="E3243" s="22"/>
    </row>
    <row r="3244">
      <c r="E3244" s="22"/>
    </row>
    <row r="3245">
      <c r="E3245" s="22"/>
    </row>
    <row r="3246">
      <c r="E3246" s="22"/>
    </row>
    <row r="3247">
      <c r="E3247" s="22"/>
    </row>
    <row r="3248">
      <c r="E3248" s="22"/>
    </row>
    <row r="3249">
      <c r="E3249" s="22"/>
    </row>
    <row r="3250">
      <c r="E3250" s="22"/>
    </row>
    <row r="3251">
      <c r="E3251" s="22"/>
    </row>
    <row r="3252">
      <c r="E3252" s="22"/>
    </row>
    <row r="3253">
      <c r="E3253" s="22"/>
    </row>
    <row r="3254">
      <c r="E3254" s="22"/>
    </row>
    <row r="3255">
      <c r="E3255" s="22"/>
    </row>
    <row r="3256">
      <c r="E3256" s="22"/>
    </row>
    <row r="3257">
      <c r="E3257" s="22"/>
    </row>
    <row r="3258">
      <c r="E3258" s="22"/>
    </row>
    <row r="3259">
      <c r="E3259" s="22"/>
    </row>
    <row r="3260">
      <c r="E3260" s="22"/>
    </row>
    <row r="3261">
      <c r="E3261" s="22"/>
    </row>
    <row r="3262">
      <c r="E3262" s="22"/>
    </row>
    <row r="3263">
      <c r="E3263" s="22"/>
    </row>
    <row r="3264">
      <c r="E3264" s="22"/>
    </row>
    <row r="3265">
      <c r="E3265" s="22"/>
    </row>
    <row r="3266">
      <c r="E3266" s="22"/>
    </row>
    <row r="3267">
      <c r="E3267" s="22"/>
    </row>
    <row r="3268">
      <c r="E3268" s="22"/>
    </row>
    <row r="3269">
      <c r="E3269" s="22"/>
    </row>
    <row r="3270">
      <c r="E3270" s="22"/>
    </row>
    <row r="3271">
      <c r="E3271" s="22"/>
    </row>
    <row r="3272">
      <c r="E3272" s="22"/>
    </row>
    <row r="3273">
      <c r="E3273" s="22"/>
    </row>
    <row r="3274">
      <c r="E3274" s="22"/>
    </row>
    <row r="3275">
      <c r="E3275" s="22"/>
    </row>
    <row r="3276">
      <c r="E3276" s="22"/>
    </row>
    <row r="3277">
      <c r="E3277" s="22"/>
    </row>
    <row r="3278">
      <c r="E3278" s="22"/>
    </row>
    <row r="3279">
      <c r="E3279" s="22"/>
    </row>
    <row r="3280">
      <c r="E3280" s="22"/>
    </row>
    <row r="3281">
      <c r="E3281" s="22"/>
    </row>
    <row r="3282">
      <c r="E3282" s="22"/>
    </row>
    <row r="3283">
      <c r="E3283" s="22"/>
    </row>
    <row r="3284">
      <c r="E3284" s="22"/>
    </row>
    <row r="3285">
      <c r="E3285" s="22"/>
    </row>
    <row r="3286">
      <c r="E3286" s="22"/>
    </row>
    <row r="3287">
      <c r="E3287" s="22"/>
    </row>
    <row r="3288">
      <c r="E3288" s="22"/>
    </row>
    <row r="3289">
      <c r="E3289" s="22"/>
    </row>
    <row r="3290">
      <c r="E3290" s="22"/>
    </row>
    <row r="3291">
      <c r="E3291" s="22"/>
    </row>
    <row r="3292">
      <c r="E3292" s="22"/>
    </row>
    <row r="3293">
      <c r="E3293" s="22"/>
    </row>
    <row r="3294">
      <c r="E3294" s="22"/>
    </row>
    <row r="3295">
      <c r="E3295" s="22"/>
    </row>
    <row r="3296">
      <c r="E3296" s="22"/>
    </row>
    <row r="3297">
      <c r="E3297" s="22"/>
    </row>
    <row r="3298">
      <c r="E3298" s="22"/>
    </row>
    <row r="3299">
      <c r="E3299" s="22"/>
    </row>
    <row r="3300">
      <c r="E3300" s="22"/>
    </row>
    <row r="3301">
      <c r="E3301" s="22"/>
    </row>
    <row r="3302">
      <c r="E3302" s="22"/>
    </row>
    <row r="3303">
      <c r="E3303" s="22"/>
    </row>
    <row r="3304">
      <c r="E3304" s="22"/>
    </row>
    <row r="3305">
      <c r="E3305" s="22"/>
    </row>
    <row r="3306">
      <c r="E3306" s="22"/>
    </row>
    <row r="3307">
      <c r="E3307" s="22"/>
    </row>
    <row r="3308">
      <c r="E3308" s="22"/>
    </row>
    <row r="3309">
      <c r="E3309" s="22"/>
    </row>
    <row r="3310">
      <c r="E3310" s="22"/>
    </row>
    <row r="3311">
      <c r="E3311" s="22"/>
    </row>
    <row r="3312">
      <c r="E3312" s="22"/>
    </row>
    <row r="3313">
      <c r="E3313" s="22"/>
    </row>
    <row r="3314">
      <c r="E3314" s="22"/>
    </row>
    <row r="3315">
      <c r="E3315" s="22"/>
    </row>
    <row r="3316">
      <c r="E3316" s="22"/>
    </row>
    <row r="3317">
      <c r="E3317" s="22"/>
    </row>
    <row r="3318">
      <c r="E3318" s="22"/>
    </row>
    <row r="3319">
      <c r="E3319" s="22"/>
    </row>
    <row r="3320">
      <c r="E3320" s="22"/>
    </row>
    <row r="3321">
      <c r="E3321" s="22"/>
    </row>
    <row r="3322">
      <c r="E3322" s="22"/>
    </row>
    <row r="3323">
      <c r="E3323" s="22"/>
    </row>
    <row r="3324">
      <c r="E3324" s="22"/>
    </row>
    <row r="3325">
      <c r="E3325" s="22"/>
    </row>
    <row r="3326">
      <c r="E3326" s="22"/>
    </row>
    <row r="3327">
      <c r="E3327" s="22"/>
    </row>
    <row r="3328">
      <c r="E3328" s="22"/>
    </row>
    <row r="3329">
      <c r="E3329" s="22"/>
    </row>
    <row r="3330">
      <c r="E3330" s="22"/>
    </row>
    <row r="3331">
      <c r="E3331" s="22"/>
    </row>
    <row r="3332">
      <c r="E3332" s="22"/>
    </row>
    <row r="3333">
      <c r="E3333" s="22"/>
    </row>
    <row r="3334">
      <c r="E3334" s="22"/>
    </row>
    <row r="3335">
      <c r="E3335" s="22"/>
    </row>
    <row r="3336">
      <c r="E3336" s="22"/>
    </row>
    <row r="3337">
      <c r="E3337" s="22"/>
    </row>
    <row r="3338">
      <c r="E3338" s="22"/>
    </row>
    <row r="3339">
      <c r="E3339" s="22"/>
    </row>
    <row r="3340">
      <c r="E3340" s="22"/>
    </row>
    <row r="3341">
      <c r="E3341" s="22"/>
    </row>
    <row r="3342">
      <c r="E3342" s="22"/>
    </row>
    <row r="3343">
      <c r="E3343" s="22"/>
    </row>
    <row r="3344">
      <c r="E3344" s="22"/>
    </row>
    <row r="3345">
      <c r="E3345" s="22"/>
    </row>
    <row r="3346">
      <c r="E3346" s="22"/>
    </row>
    <row r="3347">
      <c r="E3347" s="22"/>
    </row>
    <row r="3348">
      <c r="E3348" s="22"/>
    </row>
    <row r="3349">
      <c r="E3349" s="22"/>
    </row>
    <row r="3350">
      <c r="E3350" s="22"/>
    </row>
    <row r="3351">
      <c r="E3351" s="22"/>
    </row>
    <row r="3352">
      <c r="E3352" s="22"/>
    </row>
    <row r="3353">
      <c r="E3353" s="22"/>
    </row>
    <row r="3354">
      <c r="E3354" s="22"/>
    </row>
    <row r="3355">
      <c r="E3355" s="22"/>
    </row>
    <row r="3356">
      <c r="E3356" s="22"/>
    </row>
    <row r="3357">
      <c r="E3357" s="22"/>
    </row>
    <row r="3358">
      <c r="E3358" s="22"/>
    </row>
    <row r="3359">
      <c r="E3359" s="22"/>
    </row>
    <row r="3360">
      <c r="E3360" s="22"/>
    </row>
    <row r="3361">
      <c r="E3361" s="22"/>
    </row>
    <row r="3362">
      <c r="E3362" s="22"/>
    </row>
    <row r="3363">
      <c r="E3363" s="22"/>
    </row>
    <row r="3364">
      <c r="E3364" s="22"/>
    </row>
    <row r="3365">
      <c r="E3365" s="22"/>
    </row>
    <row r="3366">
      <c r="E3366" s="22"/>
    </row>
    <row r="3367">
      <c r="E3367" s="22"/>
    </row>
    <row r="3368">
      <c r="E3368" s="22"/>
    </row>
    <row r="3369">
      <c r="E3369" s="22"/>
    </row>
    <row r="3370">
      <c r="E3370" s="22"/>
    </row>
    <row r="3371">
      <c r="E3371" s="22"/>
    </row>
    <row r="3372">
      <c r="E3372" s="22"/>
    </row>
    <row r="3373">
      <c r="E3373" s="22"/>
    </row>
    <row r="3374">
      <c r="E3374" s="22"/>
    </row>
    <row r="3375">
      <c r="E3375" s="22"/>
    </row>
    <row r="3376">
      <c r="E3376" s="22"/>
    </row>
    <row r="3377">
      <c r="E3377" s="22"/>
    </row>
    <row r="3378">
      <c r="E3378" s="22"/>
    </row>
    <row r="3379">
      <c r="E3379" s="22"/>
    </row>
    <row r="3380">
      <c r="E3380" s="22"/>
    </row>
    <row r="3381">
      <c r="E3381" s="22"/>
    </row>
    <row r="3382">
      <c r="E3382" s="22"/>
    </row>
    <row r="3383">
      <c r="E3383" s="22"/>
    </row>
    <row r="3384">
      <c r="E3384" s="22"/>
    </row>
    <row r="3385">
      <c r="E3385" s="22"/>
    </row>
    <row r="3386">
      <c r="E3386" s="22"/>
    </row>
    <row r="3387">
      <c r="E3387" s="22"/>
    </row>
    <row r="3388">
      <c r="E3388" s="22"/>
    </row>
    <row r="3389">
      <c r="E3389" s="22"/>
    </row>
    <row r="3390">
      <c r="E3390" s="22"/>
    </row>
    <row r="3391">
      <c r="E3391" s="22"/>
    </row>
    <row r="3392">
      <c r="E3392" s="22"/>
    </row>
    <row r="3393">
      <c r="E3393" s="22"/>
    </row>
    <row r="3394">
      <c r="E3394" s="22"/>
    </row>
    <row r="3395">
      <c r="E3395" s="22"/>
    </row>
    <row r="3396">
      <c r="E3396" s="22"/>
    </row>
    <row r="3397">
      <c r="E3397" s="22"/>
    </row>
    <row r="3398">
      <c r="E3398" s="22"/>
    </row>
    <row r="3399">
      <c r="E3399" s="22"/>
    </row>
    <row r="3400">
      <c r="E3400" s="22"/>
    </row>
    <row r="3401">
      <c r="E3401" s="22"/>
    </row>
    <row r="3402">
      <c r="E3402" s="22"/>
    </row>
    <row r="3403">
      <c r="E3403" s="22"/>
    </row>
    <row r="3404">
      <c r="E3404" s="22"/>
    </row>
    <row r="3405">
      <c r="E3405" s="22"/>
    </row>
    <row r="3406">
      <c r="E3406" s="22"/>
    </row>
    <row r="3407">
      <c r="E3407" s="22"/>
    </row>
    <row r="3408">
      <c r="E3408" s="22"/>
    </row>
    <row r="3409">
      <c r="E3409" s="22"/>
    </row>
    <row r="3410">
      <c r="E3410" s="22"/>
    </row>
    <row r="3411">
      <c r="E3411" s="22"/>
    </row>
    <row r="3412">
      <c r="E3412" s="22"/>
    </row>
    <row r="3413">
      <c r="E3413" s="22"/>
    </row>
    <row r="3414">
      <c r="E3414" s="22"/>
    </row>
    <row r="3415">
      <c r="E3415" s="22"/>
    </row>
    <row r="3416">
      <c r="E3416" s="22"/>
    </row>
    <row r="3417">
      <c r="E3417" s="22"/>
    </row>
    <row r="3418">
      <c r="E3418" s="22"/>
    </row>
    <row r="3419">
      <c r="E3419" s="22"/>
    </row>
    <row r="3420">
      <c r="E3420" s="22"/>
    </row>
    <row r="3421">
      <c r="E3421" s="22"/>
    </row>
    <row r="3422">
      <c r="E3422" s="22"/>
    </row>
    <row r="3423">
      <c r="E3423" s="22"/>
    </row>
    <row r="3424">
      <c r="E3424" s="22"/>
    </row>
    <row r="3425">
      <c r="E3425" s="22"/>
    </row>
    <row r="3426">
      <c r="E3426" s="22"/>
    </row>
    <row r="3427">
      <c r="E3427" s="22"/>
    </row>
    <row r="3428">
      <c r="E3428" s="22"/>
    </row>
    <row r="3429">
      <c r="E3429" s="22"/>
    </row>
    <row r="3430">
      <c r="E3430" s="22"/>
    </row>
    <row r="3431">
      <c r="E3431" s="22"/>
    </row>
    <row r="3432">
      <c r="E3432" s="22"/>
    </row>
    <row r="3433">
      <c r="E3433" s="22"/>
    </row>
    <row r="3434">
      <c r="E3434" s="22"/>
    </row>
    <row r="3435">
      <c r="E3435" s="22"/>
    </row>
    <row r="3436">
      <c r="E3436" s="22"/>
    </row>
    <row r="3437">
      <c r="E3437" s="22"/>
    </row>
    <row r="3438">
      <c r="E3438" s="22"/>
    </row>
    <row r="3439">
      <c r="E3439" s="22"/>
    </row>
    <row r="3440">
      <c r="E3440" s="22"/>
    </row>
    <row r="3441">
      <c r="E3441" s="22"/>
    </row>
    <row r="3442">
      <c r="E3442" s="22"/>
    </row>
    <row r="3443">
      <c r="E3443" s="22"/>
    </row>
    <row r="3444">
      <c r="E3444" s="22"/>
    </row>
    <row r="3445">
      <c r="E3445" s="22"/>
    </row>
    <row r="3446">
      <c r="E3446" s="22"/>
    </row>
    <row r="3447">
      <c r="E3447" s="22"/>
    </row>
    <row r="3448">
      <c r="E3448" s="22"/>
    </row>
    <row r="3449">
      <c r="E3449" s="22"/>
    </row>
    <row r="3450">
      <c r="E3450" s="22"/>
    </row>
    <row r="3451">
      <c r="E3451" s="22"/>
    </row>
    <row r="3452">
      <c r="E3452" s="22"/>
    </row>
    <row r="3453">
      <c r="E3453" s="22"/>
    </row>
    <row r="3454">
      <c r="E3454" s="22"/>
    </row>
    <row r="3455">
      <c r="E3455" s="22"/>
    </row>
    <row r="3456">
      <c r="E3456" s="22"/>
    </row>
    <row r="3457">
      <c r="E3457" s="22"/>
    </row>
    <row r="3458">
      <c r="E3458" s="22"/>
    </row>
    <row r="3459">
      <c r="E3459" s="22"/>
    </row>
    <row r="3460">
      <c r="E3460" s="22"/>
    </row>
    <row r="3461">
      <c r="E3461" s="22"/>
    </row>
    <row r="3462">
      <c r="E3462" s="22"/>
    </row>
    <row r="3463">
      <c r="E3463" s="22"/>
    </row>
    <row r="3464">
      <c r="E3464" s="22"/>
    </row>
    <row r="3465">
      <c r="E3465" s="22"/>
    </row>
    <row r="3466">
      <c r="E3466" s="22"/>
    </row>
    <row r="3467">
      <c r="E3467" s="22"/>
    </row>
    <row r="3468">
      <c r="E3468" s="22"/>
    </row>
    <row r="3469">
      <c r="E3469" s="22"/>
    </row>
    <row r="3470">
      <c r="E3470" s="22"/>
    </row>
    <row r="3471">
      <c r="E3471" s="22"/>
    </row>
    <row r="3472">
      <c r="E3472" s="22"/>
    </row>
    <row r="3473">
      <c r="E3473" s="22"/>
    </row>
    <row r="3474">
      <c r="E3474" s="22"/>
    </row>
    <row r="3475">
      <c r="E3475" s="22"/>
    </row>
    <row r="3476">
      <c r="E3476" s="22"/>
    </row>
    <row r="3477">
      <c r="E3477" s="22"/>
    </row>
    <row r="3478">
      <c r="E3478" s="22"/>
    </row>
    <row r="3479">
      <c r="E3479" s="22"/>
    </row>
    <row r="3480">
      <c r="E3480" s="22"/>
    </row>
    <row r="3481">
      <c r="E3481" s="22"/>
    </row>
    <row r="3482">
      <c r="E3482" s="22"/>
    </row>
    <row r="3483">
      <c r="E3483" s="22"/>
    </row>
    <row r="3484">
      <c r="E3484" s="22"/>
    </row>
    <row r="3485">
      <c r="E3485" s="22"/>
    </row>
    <row r="3486">
      <c r="E3486" s="22"/>
    </row>
    <row r="3487">
      <c r="E3487" s="22"/>
    </row>
    <row r="3488">
      <c r="E3488" s="22"/>
    </row>
    <row r="3489">
      <c r="E3489" s="22"/>
    </row>
    <row r="3490">
      <c r="E3490" s="22"/>
    </row>
    <row r="3491">
      <c r="E3491" s="22"/>
    </row>
    <row r="3492">
      <c r="E3492" s="22"/>
    </row>
    <row r="3493">
      <c r="E3493" s="22"/>
    </row>
    <row r="3494">
      <c r="E3494" s="22"/>
    </row>
    <row r="3495">
      <c r="E3495" s="22"/>
    </row>
    <row r="3496">
      <c r="E3496" s="22"/>
    </row>
    <row r="3497">
      <c r="E3497" s="22"/>
    </row>
    <row r="3498">
      <c r="E3498" s="22"/>
    </row>
    <row r="3499">
      <c r="E3499" s="22"/>
    </row>
    <row r="3500">
      <c r="E3500" s="22"/>
    </row>
    <row r="3501">
      <c r="E3501" s="22"/>
    </row>
    <row r="3502">
      <c r="E3502" s="22"/>
    </row>
    <row r="3503">
      <c r="E3503" s="22"/>
    </row>
    <row r="3504">
      <c r="E3504" s="22"/>
    </row>
    <row r="3505">
      <c r="E3505" s="22"/>
    </row>
    <row r="3506">
      <c r="E3506" s="22"/>
    </row>
    <row r="3507">
      <c r="E3507" s="22"/>
    </row>
    <row r="3508">
      <c r="E3508" s="22"/>
    </row>
    <row r="3509">
      <c r="E3509" s="22"/>
    </row>
    <row r="3510">
      <c r="E3510" s="22"/>
    </row>
    <row r="3511">
      <c r="E3511" s="22"/>
    </row>
    <row r="3512">
      <c r="E3512" s="22"/>
    </row>
    <row r="3513">
      <c r="E3513" s="22"/>
    </row>
    <row r="3514">
      <c r="E3514" s="22"/>
    </row>
    <row r="3515">
      <c r="E3515" s="22"/>
    </row>
    <row r="3516">
      <c r="E3516" s="22"/>
    </row>
    <row r="3517">
      <c r="E3517" s="22"/>
    </row>
    <row r="3518">
      <c r="E3518" s="22"/>
    </row>
    <row r="3519">
      <c r="E3519" s="22"/>
    </row>
    <row r="3520">
      <c r="E3520" s="22"/>
    </row>
    <row r="3521">
      <c r="E3521" s="22"/>
    </row>
    <row r="3522">
      <c r="E3522" s="22"/>
    </row>
    <row r="3523">
      <c r="E3523" s="22"/>
    </row>
    <row r="3524">
      <c r="E3524" s="22"/>
    </row>
    <row r="3525">
      <c r="E3525" s="22"/>
    </row>
    <row r="3526">
      <c r="E3526" s="22"/>
    </row>
    <row r="3527">
      <c r="E3527" s="22"/>
    </row>
    <row r="3528">
      <c r="E3528" s="22"/>
    </row>
    <row r="3529">
      <c r="E3529" s="22"/>
    </row>
    <row r="3530">
      <c r="E3530" s="22"/>
    </row>
    <row r="3531">
      <c r="E3531" s="22"/>
    </row>
    <row r="3532">
      <c r="E3532" s="22"/>
    </row>
    <row r="3533">
      <c r="E3533" s="22"/>
    </row>
    <row r="3534">
      <c r="E3534" s="22"/>
    </row>
    <row r="3535">
      <c r="E3535" s="22"/>
    </row>
    <row r="3536">
      <c r="E3536" s="22"/>
    </row>
    <row r="3537">
      <c r="E3537" s="22"/>
    </row>
    <row r="3538">
      <c r="E3538" s="22"/>
    </row>
    <row r="3539">
      <c r="E3539" s="22"/>
    </row>
    <row r="3540">
      <c r="E3540" s="22"/>
    </row>
    <row r="3541">
      <c r="E3541" s="22"/>
    </row>
    <row r="3542">
      <c r="E3542" s="22"/>
    </row>
    <row r="3543">
      <c r="E3543" s="22"/>
    </row>
    <row r="3544">
      <c r="E3544" s="22"/>
    </row>
    <row r="3545">
      <c r="E3545" s="22"/>
    </row>
    <row r="3546">
      <c r="E3546" s="22"/>
    </row>
    <row r="3547">
      <c r="E3547" s="22"/>
    </row>
    <row r="3548">
      <c r="E3548" s="22"/>
    </row>
    <row r="3549">
      <c r="E3549" s="22"/>
    </row>
    <row r="3550">
      <c r="E3550" s="22"/>
    </row>
    <row r="3551">
      <c r="E3551" s="22"/>
    </row>
    <row r="3552">
      <c r="E3552" s="22"/>
    </row>
    <row r="3553">
      <c r="E3553" s="22"/>
    </row>
    <row r="3554">
      <c r="E3554" s="22"/>
    </row>
    <row r="3555">
      <c r="E3555" s="22"/>
    </row>
    <row r="3556">
      <c r="E3556" s="22"/>
    </row>
    <row r="3557">
      <c r="E3557" s="22"/>
    </row>
    <row r="3558">
      <c r="E3558" s="22"/>
    </row>
    <row r="3559">
      <c r="E3559" s="22"/>
    </row>
    <row r="3560">
      <c r="E3560" s="22"/>
    </row>
    <row r="3561">
      <c r="E3561" s="22"/>
    </row>
    <row r="3562">
      <c r="E3562" s="22"/>
    </row>
    <row r="3563">
      <c r="E3563" s="22"/>
    </row>
    <row r="3564">
      <c r="E3564" s="22"/>
    </row>
    <row r="3565">
      <c r="E3565" s="22"/>
    </row>
    <row r="3566">
      <c r="E3566" s="22"/>
    </row>
    <row r="3567">
      <c r="E3567" s="22"/>
    </row>
    <row r="3568">
      <c r="E3568" s="22"/>
    </row>
    <row r="3569">
      <c r="E3569" s="22"/>
    </row>
    <row r="3570">
      <c r="E3570" s="22"/>
    </row>
    <row r="3571">
      <c r="E3571" s="22"/>
    </row>
    <row r="3572">
      <c r="E3572" s="22"/>
    </row>
    <row r="3573">
      <c r="E3573" s="22"/>
    </row>
    <row r="3574">
      <c r="E3574" s="22"/>
    </row>
    <row r="3575">
      <c r="E3575" s="22"/>
    </row>
    <row r="3576">
      <c r="E3576" s="22"/>
    </row>
    <row r="3577">
      <c r="E3577" s="22"/>
    </row>
    <row r="3578">
      <c r="E3578" s="22"/>
    </row>
    <row r="3579">
      <c r="E3579" s="22"/>
    </row>
    <row r="3580">
      <c r="E3580" s="22"/>
    </row>
    <row r="3581">
      <c r="E3581" s="22"/>
    </row>
    <row r="3582">
      <c r="E3582" s="22"/>
    </row>
    <row r="3583">
      <c r="E3583" s="22"/>
    </row>
    <row r="3584">
      <c r="E3584" s="22"/>
    </row>
    <row r="3585">
      <c r="E3585" s="22"/>
    </row>
    <row r="3586">
      <c r="E3586" s="22"/>
    </row>
    <row r="3587">
      <c r="E3587" s="22"/>
    </row>
    <row r="3588">
      <c r="E3588" s="22"/>
    </row>
    <row r="3589">
      <c r="E3589" s="22"/>
    </row>
    <row r="3590">
      <c r="E3590" s="22"/>
    </row>
    <row r="3591">
      <c r="E3591" s="22"/>
    </row>
    <row r="3592">
      <c r="E3592" s="22"/>
    </row>
    <row r="3593">
      <c r="E3593" s="22"/>
    </row>
    <row r="3594">
      <c r="E3594" s="22"/>
    </row>
    <row r="3595">
      <c r="E3595" s="22"/>
    </row>
    <row r="3596">
      <c r="E3596" s="22"/>
    </row>
    <row r="3597">
      <c r="E3597" s="22"/>
    </row>
    <row r="3598">
      <c r="E3598" s="22"/>
    </row>
    <row r="3599">
      <c r="E3599" s="22"/>
    </row>
    <row r="3600">
      <c r="E3600" s="22"/>
    </row>
    <row r="3601">
      <c r="E3601" s="22"/>
    </row>
    <row r="3602">
      <c r="E3602" s="22"/>
    </row>
    <row r="3603">
      <c r="E3603" s="22"/>
    </row>
    <row r="3604">
      <c r="E3604" s="22"/>
    </row>
    <row r="3605">
      <c r="E3605" s="22"/>
    </row>
    <row r="3606">
      <c r="E3606" s="22"/>
    </row>
    <row r="3607">
      <c r="E3607" s="22"/>
    </row>
    <row r="3608">
      <c r="E3608" s="22"/>
    </row>
    <row r="3609">
      <c r="E3609" s="22"/>
    </row>
    <row r="3610">
      <c r="E3610" s="22"/>
    </row>
    <row r="3611">
      <c r="E3611" s="22"/>
    </row>
    <row r="3612">
      <c r="E3612" s="22"/>
    </row>
    <row r="3613">
      <c r="E3613" s="22"/>
    </row>
    <row r="3614">
      <c r="E3614" s="22"/>
    </row>
    <row r="3615">
      <c r="E3615" s="22"/>
    </row>
    <row r="3616">
      <c r="E3616" s="22"/>
    </row>
    <row r="3617">
      <c r="E3617" s="22"/>
    </row>
    <row r="3618">
      <c r="E3618" s="22"/>
    </row>
    <row r="3619">
      <c r="E3619" s="22"/>
    </row>
    <row r="3620">
      <c r="E3620" s="22"/>
    </row>
    <row r="3621">
      <c r="E3621" s="22"/>
    </row>
    <row r="3622">
      <c r="E3622" s="22"/>
    </row>
    <row r="3623">
      <c r="E3623" s="22"/>
    </row>
    <row r="3624">
      <c r="E3624" s="22"/>
    </row>
    <row r="3625">
      <c r="E3625" s="22"/>
    </row>
    <row r="3626">
      <c r="E3626" s="22"/>
    </row>
    <row r="3627">
      <c r="E3627" s="22"/>
    </row>
    <row r="3628">
      <c r="E3628" s="22"/>
    </row>
    <row r="3629">
      <c r="E3629" s="22"/>
    </row>
    <row r="3630">
      <c r="E3630" s="22"/>
    </row>
    <row r="3631">
      <c r="E3631" s="22"/>
    </row>
    <row r="3632">
      <c r="E3632" s="22"/>
    </row>
    <row r="3633">
      <c r="E3633" s="22"/>
    </row>
    <row r="3634">
      <c r="E3634" s="22"/>
    </row>
    <row r="3635">
      <c r="E3635" s="22"/>
    </row>
    <row r="3636">
      <c r="E3636" s="22"/>
    </row>
    <row r="3637">
      <c r="E3637" s="22"/>
    </row>
    <row r="3638">
      <c r="E3638" s="22"/>
    </row>
    <row r="3639">
      <c r="E3639" s="22"/>
    </row>
    <row r="3640">
      <c r="E3640" s="22"/>
    </row>
    <row r="3641">
      <c r="E3641" s="22"/>
    </row>
    <row r="3642">
      <c r="E3642" s="22"/>
    </row>
    <row r="3643">
      <c r="E3643" s="22"/>
    </row>
    <row r="3644">
      <c r="E3644" s="22"/>
    </row>
    <row r="3645">
      <c r="E3645" s="22"/>
    </row>
    <row r="3646">
      <c r="E3646" s="22"/>
    </row>
    <row r="3647">
      <c r="E3647" s="22"/>
    </row>
    <row r="3648">
      <c r="E3648" s="22"/>
    </row>
    <row r="3649">
      <c r="E3649" s="22"/>
    </row>
    <row r="3650">
      <c r="E3650" s="22"/>
    </row>
    <row r="3651">
      <c r="E3651" s="22"/>
    </row>
    <row r="3652">
      <c r="E3652" s="22"/>
    </row>
    <row r="3653">
      <c r="E3653" s="22"/>
    </row>
    <row r="3654">
      <c r="E3654" s="22"/>
    </row>
    <row r="3655">
      <c r="E3655" s="22"/>
    </row>
    <row r="3656">
      <c r="E3656" s="22"/>
    </row>
    <row r="3657">
      <c r="E3657" s="22"/>
    </row>
    <row r="3658">
      <c r="E3658" s="22"/>
    </row>
    <row r="3659">
      <c r="E3659" s="22"/>
    </row>
    <row r="3660">
      <c r="E3660" s="22"/>
    </row>
    <row r="3661">
      <c r="E3661" s="22"/>
    </row>
    <row r="3662">
      <c r="E3662" s="22"/>
    </row>
    <row r="3663">
      <c r="E3663" s="22"/>
    </row>
    <row r="3664">
      <c r="E3664" s="22"/>
    </row>
    <row r="3665">
      <c r="E3665" s="22"/>
    </row>
    <row r="3666">
      <c r="E3666" s="22"/>
    </row>
    <row r="3667">
      <c r="E3667" s="22"/>
    </row>
    <row r="3668">
      <c r="E3668" s="22"/>
    </row>
    <row r="3669">
      <c r="E3669" s="22"/>
    </row>
    <row r="3670">
      <c r="E3670" s="22"/>
    </row>
    <row r="3671">
      <c r="E3671" s="22"/>
    </row>
    <row r="3672">
      <c r="E3672" s="22"/>
    </row>
    <row r="3673">
      <c r="E3673" s="22"/>
    </row>
    <row r="3674">
      <c r="E3674" s="22"/>
    </row>
    <row r="3675">
      <c r="E3675" s="22"/>
    </row>
    <row r="3676">
      <c r="E3676" s="22"/>
    </row>
    <row r="3677">
      <c r="E3677" s="22"/>
    </row>
    <row r="3678">
      <c r="E3678" s="22"/>
    </row>
    <row r="3679">
      <c r="E3679" s="22"/>
    </row>
    <row r="3680">
      <c r="E3680" s="22"/>
    </row>
    <row r="3681">
      <c r="E3681" s="22"/>
    </row>
    <row r="3682">
      <c r="E3682" s="22"/>
    </row>
    <row r="3683">
      <c r="E3683" s="22"/>
    </row>
    <row r="3684">
      <c r="E3684" s="22"/>
    </row>
    <row r="3685">
      <c r="E3685" s="22"/>
    </row>
    <row r="3686">
      <c r="E3686" s="22"/>
    </row>
    <row r="3687">
      <c r="E3687" s="22"/>
    </row>
    <row r="3688">
      <c r="E3688" s="22"/>
    </row>
    <row r="3689">
      <c r="E3689" s="22"/>
    </row>
    <row r="3690">
      <c r="E3690" s="22"/>
    </row>
    <row r="3691">
      <c r="E3691" s="22"/>
    </row>
    <row r="3692">
      <c r="E3692" s="22"/>
    </row>
    <row r="3693">
      <c r="E3693" s="22"/>
    </row>
    <row r="3694">
      <c r="E3694" s="22"/>
    </row>
    <row r="3695">
      <c r="E3695" s="22"/>
    </row>
    <row r="3696">
      <c r="E3696" s="22"/>
    </row>
    <row r="3697">
      <c r="E3697" s="22"/>
    </row>
    <row r="3698">
      <c r="E3698" s="22"/>
    </row>
    <row r="3699">
      <c r="E3699" s="22"/>
    </row>
    <row r="3700">
      <c r="E3700" s="22"/>
    </row>
    <row r="3701">
      <c r="E3701" s="22"/>
    </row>
    <row r="3702">
      <c r="E3702" s="22"/>
    </row>
    <row r="3703">
      <c r="E3703" s="22"/>
    </row>
    <row r="3704">
      <c r="E3704" s="22"/>
    </row>
    <row r="3705">
      <c r="E3705" s="22"/>
    </row>
    <row r="3706">
      <c r="E3706" s="22"/>
    </row>
    <row r="3707">
      <c r="E3707" s="22"/>
    </row>
    <row r="3708">
      <c r="E3708" s="22"/>
    </row>
    <row r="3709">
      <c r="E3709" s="22"/>
    </row>
    <row r="3710">
      <c r="E3710" s="22"/>
    </row>
    <row r="3711">
      <c r="E3711" s="22"/>
    </row>
    <row r="3712">
      <c r="E3712" s="22"/>
    </row>
    <row r="3713">
      <c r="E3713" s="22"/>
    </row>
    <row r="3714">
      <c r="E3714" s="22"/>
    </row>
    <row r="3715">
      <c r="E3715" s="22"/>
    </row>
    <row r="3716">
      <c r="E3716" s="22"/>
    </row>
    <row r="3717">
      <c r="E3717" s="22"/>
    </row>
    <row r="3718">
      <c r="E3718" s="22"/>
    </row>
    <row r="3719">
      <c r="E3719" s="22"/>
    </row>
    <row r="3720">
      <c r="E3720" s="22"/>
    </row>
    <row r="3721">
      <c r="E3721" s="22"/>
    </row>
    <row r="3722">
      <c r="E3722" s="22"/>
    </row>
    <row r="3723">
      <c r="E3723" s="22"/>
    </row>
    <row r="3724">
      <c r="E3724" s="22"/>
    </row>
    <row r="3725">
      <c r="E3725" s="22"/>
    </row>
    <row r="3726">
      <c r="E3726" s="22"/>
    </row>
    <row r="3727">
      <c r="E3727" s="22"/>
    </row>
    <row r="3728">
      <c r="E3728" s="22"/>
    </row>
    <row r="3729">
      <c r="E3729" s="22"/>
    </row>
    <row r="3730">
      <c r="E3730" s="22"/>
    </row>
    <row r="3731">
      <c r="E3731" s="22"/>
    </row>
    <row r="3732">
      <c r="E3732" s="22"/>
    </row>
    <row r="3733">
      <c r="E3733" s="22"/>
    </row>
    <row r="3734">
      <c r="E3734" s="22"/>
    </row>
    <row r="3735">
      <c r="E3735" s="22"/>
    </row>
    <row r="3736">
      <c r="E3736" s="22"/>
    </row>
    <row r="3737">
      <c r="E3737" s="22"/>
    </row>
    <row r="3738">
      <c r="E3738" s="22"/>
    </row>
    <row r="3739">
      <c r="E3739" s="22"/>
    </row>
    <row r="3740">
      <c r="E3740" s="22"/>
    </row>
    <row r="3741">
      <c r="E3741" s="22"/>
    </row>
    <row r="3742">
      <c r="E3742" s="22"/>
    </row>
    <row r="3743">
      <c r="E3743" s="22"/>
    </row>
    <row r="3744">
      <c r="E3744" s="22"/>
    </row>
    <row r="3745">
      <c r="E3745" s="22"/>
    </row>
    <row r="3746">
      <c r="E3746" s="22"/>
    </row>
    <row r="3747">
      <c r="E3747" s="22"/>
    </row>
    <row r="3748">
      <c r="E3748" s="22"/>
    </row>
    <row r="3749">
      <c r="E3749" s="22"/>
    </row>
    <row r="3750">
      <c r="E3750" s="22"/>
    </row>
    <row r="3751">
      <c r="E3751" s="22"/>
    </row>
    <row r="3752">
      <c r="E3752" s="22"/>
    </row>
    <row r="3753">
      <c r="E3753" s="22"/>
    </row>
    <row r="3754">
      <c r="E3754" s="22"/>
    </row>
    <row r="3755">
      <c r="E3755" s="22"/>
    </row>
    <row r="3756">
      <c r="E3756" s="22"/>
    </row>
    <row r="3757">
      <c r="E3757" s="22"/>
    </row>
    <row r="3758">
      <c r="E3758" s="22"/>
    </row>
    <row r="3759">
      <c r="E3759" s="22"/>
    </row>
    <row r="3760">
      <c r="E3760" s="22"/>
    </row>
    <row r="3761">
      <c r="E3761" s="22"/>
    </row>
    <row r="3762">
      <c r="E3762" s="22"/>
    </row>
    <row r="3763">
      <c r="E3763" s="22"/>
    </row>
    <row r="3764">
      <c r="E3764" s="22"/>
    </row>
    <row r="3765">
      <c r="E3765" s="22"/>
    </row>
    <row r="3766">
      <c r="E3766" s="22"/>
    </row>
    <row r="3767">
      <c r="E3767" s="22"/>
    </row>
    <row r="3768">
      <c r="E3768" s="22"/>
    </row>
    <row r="3769">
      <c r="E3769" s="22"/>
    </row>
    <row r="3770">
      <c r="E3770" s="22"/>
    </row>
    <row r="3771">
      <c r="E3771" s="22"/>
    </row>
    <row r="3772">
      <c r="E3772" s="22"/>
    </row>
    <row r="3773">
      <c r="E3773" s="22"/>
    </row>
    <row r="3774">
      <c r="E3774" s="22"/>
    </row>
    <row r="3775">
      <c r="E3775" s="22"/>
    </row>
    <row r="3776">
      <c r="E3776" s="22"/>
    </row>
    <row r="3777">
      <c r="E3777" s="22"/>
    </row>
    <row r="3778">
      <c r="E3778" s="22"/>
    </row>
    <row r="3779">
      <c r="E3779" s="22"/>
    </row>
    <row r="3780">
      <c r="E3780" s="22"/>
    </row>
    <row r="3781">
      <c r="E3781" s="22"/>
    </row>
    <row r="3782">
      <c r="E3782" s="22"/>
    </row>
    <row r="3783">
      <c r="E3783" s="22"/>
    </row>
    <row r="3784">
      <c r="E3784" s="22"/>
    </row>
    <row r="3785">
      <c r="E3785" s="22"/>
    </row>
    <row r="3786">
      <c r="E3786" s="22"/>
    </row>
    <row r="3787">
      <c r="E3787" s="22"/>
    </row>
    <row r="3788">
      <c r="E3788" s="22"/>
    </row>
    <row r="3789">
      <c r="E3789" s="22"/>
    </row>
    <row r="3790">
      <c r="E3790" s="22"/>
    </row>
    <row r="3791">
      <c r="E3791" s="22"/>
    </row>
    <row r="3792">
      <c r="E3792" s="22"/>
    </row>
    <row r="3793">
      <c r="E3793" s="22"/>
    </row>
    <row r="3794">
      <c r="E3794" s="22"/>
    </row>
    <row r="3795">
      <c r="E3795" s="22"/>
    </row>
    <row r="3796">
      <c r="E3796" s="22"/>
    </row>
    <row r="3797">
      <c r="E3797" s="22"/>
    </row>
    <row r="3798">
      <c r="E3798" s="22"/>
    </row>
    <row r="3799">
      <c r="E3799" s="22"/>
    </row>
    <row r="3800">
      <c r="E3800" s="22"/>
    </row>
    <row r="3801">
      <c r="E3801" s="22"/>
    </row>
    <row r="3802">
      <c r="E3802" s="22"/>
    </row>
    <row r="3803">
      <c r="E3803" s="22"/>
    </row>
    <row r="3804">
      <c r="E3804" s="22"/>
    </row>
    <row r="3805">
      <c r="E3805" s="22"/>
    </row>
    <row r="3806">
      <c r="E3806" s="22"/>
    </row>
    <row r="3807">
      <c r="E3807" s="22"/>
    </row>
    <row r="3808">
      <c r="E3808" s="22"/>
    </row>
    <row r="3809">
      <c r="E3809" s="22"/>
    </row>
    <row r="3810">
      <c r="E3810" s="22"/>
    </row>
    <row r="3811">
      <c r="E3811" s="22"/>
    </row>
    <row r="3812">
      <c r="E3812" s="22"/>
    </row>
    <row r="3813">
      <c r="E3813" s="22"/>
    </row>
    <row r="3814">
      <c r="E3814" s="22"/>
    </row>
    <row r="3815">
      <c r="E3815" s="22"/>
    </row>
    <row r="3816">
      <c r="E3816" s="22"/>
    </row>
    <row r="3817">
      <c r="E3817" s="22"/>
    </row>
    <row r="3818">
      <c r="E3818" s="22"/>
    </row>
    <row r="3819">
      <c r="E3819" s="22"/>
    </row>
    <row r="3820">
      <c r="E3820" s="22"/>
    </row>
    <row r="3821">
      <c r="E3821" s="22"/>
    </row>
    <row r="3822">
      <c r="E3822" s="22"/>
    </row>
    <row r="3823">
      <c r="E3823" s="22"/>
    </row>
    <row r="3824">
      <c r="E3824" s="22"/>
    </row>
    <row r="3825">
      <c r="E3825" s="22"/>
    </row>
    <row r="3826">
      <c r="E3826" s="22"/>
    </row>
    <row r="3827">
      <c r="E3827" s="22"/>
    </row>
    <row r="3828">
      <c r="E3828" s="22"/>
    </row>
    <row r="3829">
      <c r="E3829" s="22"/>
    </row>
    <row r="3830">
      <c r="E3830" s="22"/>
    </row>
    <row r="3831">
      <c r="E3831" s="22"/>
    </row>
    <row r="3832">
      <c r="E3832" s="22"/>
    </row>
    <row r="3833">
      <c r="E3833" s="22"/>
    </row>
    <row r="3834">
      <c r="E3834" s="22"/>
    </row>
    <row r="3835">
      <c r="E3835" s="22"/>
    </row>
    <row r="3836">
      <c r="E3836" s="22"/>
    </row>
    <row r="3837">
      <c r="E3837" s="22"/>
    </row>
    <row r="3838">
      <c r="E3838" s="22"/>
    </row>
    <row r="3839">
      <c r="E3839" s="22"/>
    </row>
    <row r="3840">
      <c r="E3840" s="22"/>
    </row>
    <row r="3841">
      <c r="E3841" s="22"/>
    </row>
    <row r="3842">
      <c r="E3842" s="22"/>
    </row>
    <row r="3843">
      <c r="E3843" s="22"/>
    </row>
    <row r="3844">
      <c r="E3844" s="22"/>
    </row>
    <row r="3845">
      <c r="E3845" s="22"/>
    </row>
    <row r="3846">
      <c r="E3846" s="22"/>
    </row>
    <row r="3847">
      <c r="E3847" s="22"/>
    </row>
    <row r="3848">
      <c r="E3848" s="22"/>
    </row>
    <row r="3849">
      <c r="E3849" s="22"/>
    </row>
    <row r="3850">
      <c r="E3850" s="22"/>
    </row>
    <row r="3851">
      <c r="E3851" s="22"/>
    </row>
    <row r="3852">
      <c r="E3852" s="22"/>
    </row>
    <row r="3853">
      <c r="E3853" s="22"/>
    </row>
    <row r="3854">
      <c r="E3854" s="22"/>
    </row>
    <row r="3855">
      <c r="E3855" s="22"/>
    </row>
    <row r="3856">
      <c r="E3856" s="22"/>
    </row>
    <row r="3857">
      <c r="E3857" s="22"/>
    </row>
    <row r="3858">
      <c r="E3858" s="22"/>
    </row>
    <row r="3859">
      <c r="E3859" s="22"/>
    </row>
    <row r="3860">
      <c r="E3860" s="22"/>
    </row>
    <row r="3861">
      <c r="E3861" s="22"/>
    </row>
    <row r="3862">
      <c r="E3862" s="22"/>
    </row>
    <row r="3863">
      <c r="E3863" s="22"/>
    </row>
    <row r="3864">
      <c r="E3864" s="22"/>
    </row>
    <row r="3865">
      <c r="E3865" s="22"/>
    </row>
    <row r="3866">
      <c r="E3866" s="22"/>
    </row>
    <row r="3867">
      <c r="E3867" s="22"/>
    </row>
    <row r="3868">
      <c r="E3868" s="22"/>
    </row>
    <row r="3869">
      <c r="E3869" s="22"/>
    </row>
    <row r="3870">
      <c r="E3870" s="22"/>
    </row>
    <row r="3871">
      <c r="E3871" s="22"/>
    </row>
    <row r="3872">
      <c r="E3872" s="22"/>
    </row>
    <row r="3873">
      <c r="E3873" s="22"/>
    </row>
    <row r="3874">
      <c r="E3874" s="22"/>
    </row>
    <row r="3875">
      <c r="E3875" s="22"/>
    </row>
    <row r="3876">
      <c r="E3876" s="22"/>
    </row>
    <row r="3877">
      <c r="E3877" s="22"/>
    </row>
    <row r="3878">
      <c r="E3878" s="22"/>
    </row>
    <row r="3879">
      <c r="E3879" s="22"/>
    </row>
    <row r="3880">
      <c r="E3880" s="22"/>
    </row>
    <row r="3881">
      <c r="E3881" s="22"/>
    </row>
    <row r="3882">
      <c r="E3882" s="22"/>
    </row>
    <row r="3883">
      <c r="E3883" s="22"/>
    </row>
    <row r="3884">
      <c r="E3884" s="22"/>
    </row>
    <row r="3885">
      <c r="E3885" s="22"/>
    </row>
    <row r="3886">
      <c r="E3886" s="22"/>
    </row>
    <row r="3887">
      <c r="E3887" s="22"/>
    </row>
    <row r="3888">
      <c r="E3888" s="22"/>
    </row>
    <row r="3889">
      <c r="E3889" s="22"/>
    </row>
    <row r="3890">
      <c r="E3890" s="22"/>
    </row>
    <row r="3891">
      <c r="E3891" s="22"/>
    </row>
    <row r="3892">
      <c r="E3892" s="22"/>
    </row>
    <row r="3893">
      <c r="E3893" s="22"/>
    </row>
    <row r="3894">
      <c r="E3894" s="22"/>
    </row>
    <row r="3895">
      <c r="E3895" s="22"/>
    </row>
    <row r="3896">
      <c r="E3896" s="22"/>
    </row>
    <row r="3897">
      <c r="E3897" s="22"/>
    </row>
    <row r="3898">
      <c r="E3898" s="22"/>
    </row>
    <row r="3899">
      <c r="E3899" s="22"/>
    </row>
    <row r="3900">
      <c r="E3900" s="22"/>
    </row>
    <row r="3901">
      <c r="E3901" s="22"/>
    </row>
    <row r="3902">
      <c r="E3902" s="22"/>
    </row>
    <row r="3903">
      <c r="E3903" s="22"/>
    </row>
    <row r="3904">
      <c r="E3904" s="22"/>
    </row>
    <row r="3905">
      <c r="E3905" s="22"/>
    </row>
    <row r="3906">
      <c r="E3906" s="22"/>
    </row>
    <row r="3907">
      <c r="E3907" s="22"/>
    </row>
    <row r="3908">
      <c r="E3908" s="22"/>
    </row>
    <row r="3909">
      <c r="E3909" s="22"/>
    </row>
    <row r="3910">
      <c r="E3910" s="22"/>
    </row>
    <row r="3911">
      <c r="E3911" s="22"/>
    </row>
    <row r="3912">
      <c r="E3912" s="22"/>
    </row>
    <row r="3913">
      <c r="E3913" s="22"/>
    </row>
    <row r="3914">
      <c r="E3914" s="22"/>
    </row>
    <row r="3915">
      <c r="E3915" s="22"/>
    </row>
    <row r="3916">
      <c r="E3916" s="22"/>
    </row>
    <row r="3917">
      <c r="E3917" s="22"/>
    </row>
    <row r="3918">
      <c r="E3918" s="22"/>
    </row>
    <row r="3919">
      <c r="E3919" s="22"/>
    </row>
    <row r="3920">
      <c r="E3920" s="22"/>
    </row>
    <row r="3921">
      <c r="E3921" s="22"/>
    </row>
    <row r="3922">
      <c r="E3922" s="22"/>
    </row>
    <row r="3923">
      <c r="E3923" s="22"/>
    </row>
    <row r="3924">
      <c r="E3924" s="22"/>
    </row>
    <row r="3925">
      <c r="E3925" s="22"/>
    </row>
    <row r="3926">
      <c r="E3926" s="22"/>
    </row>
    <row r="3927">
      <c r="E3927" s="22"/>
    </row>
    <row r="3928">
      <c r="E3928" s="22"/>
    </row>
    <row r="3929">
      <c r="E3929" s="22"/>
    </row>
    <row r="3930">
      <c r="E3930" s="22"/>
    </row>
    <row r="3931">
      <c r="E3931" s="22"/>
    </row>
    <row r="3932">
      <c r="E3932" s="22"/>
    </row>
    <row r="3933">
      <c r="E3933" s="22"/>
    </row>
    <row r="3934">
      <c r="E3934" s="22"/>
    </row>
    <row r="3935">
      <c r="E3935" s="22"/>
    </row>
    <row r="3936">
      <c r="E3936" s="22"/>
    </row>
    <row r="3937">
      <c r="E3937" s="22"/>
    </row>
    <row r="3938">
      <c r="E3938" s="22"/>
    </row>
    <row r="3939">
      <c r="E3939" s="22"/>
    </row>
    <row r="3940">
      <c r="E3940" s="22"/>
    </row>
    <row r="3941">
      <c r="E3941" s="22"/>
    </row>
    <row r="3942">
      <c r="E3942" s="22"/>
    </row>
    <row r="3943">
      <c r="E3943" s="22"/>
    </row>
    <row r="3944">
      <c r="E3944" s="22"/>
    </row>
    <row r="3945">
      <c r="E3945" s="22"/>
    </row>
    <row r="3946">
      <c r="E3946" s="22"/>
    </row>
    <row r="3947">
      <c r="E3947" s="22"/>
    </row>
    <row r="3948">
      <c r="E3948" s="22"/>
    </row>
    <row r="3949">
      <c r="E3949" s="22"/>
    </row>
    <row r="3950">
      <c r="E3950" s="22"/>
    </row>
    <row r="3951">
      <c r="E3951" s="22"/>
    </row>
    <row r="3952">
      <c r="E3952" s="22"/>
    </row>
    <row r="3953">
      <c r="E3953" s="22"/>
    </row>
    <row r="3954">
      <c r="E3954" s="22"/>
    </row>
    <row r="3955">
      <c r="E3955" s="22"/>
    </row>
    <row r="3956">
      <c r="E3956" s="22"/>
    </row>
    <row r="3957">
      <c r="E3957" s="22"/>
    </row>
    <row r="3958">
      <c r="E3958" s="22"/>
    </row>
    <row r="3959">
      <c r="E3959" s="22"/>
    </row>
    <row r="3960">
      <c r="E3960" s="22"/>
    </row>
    <row r="3961">
      <c r="E3961" s="22"/>
    </row>
    <row r="3962">
      <c r="E3962" s="22"/>
    </row>
    <row r="3963">
      <c r="E3963" s="22"/>
    </row>
    <row r="3964">
      <c r="E3964" s="22"/>
    </row>
    <row r="3965">
      <c r="E3965" s="22"/>
    </row>
    <row r="3966">
      <c r="E3966" s="22"/>
    </row>
    <row r="3967">
      <c r="E3967" s="22"/>
    </row>
    <row r="3968">
      <c r="E3968" s="22"/>
    </row>
    <row r="3969">
      <c r="E3969" s="22"/>
    </row>
    <row r="3970">
      <c r="E3970" s="22"/>
    </row>
    <row r="3971">
      <c r="E3971" s="22"/>
    </row>
    <row r="3972">
      <c r="E3972" s="22"/>
    </row>
    <row r="3973">
      <c r="E3973" s="22"/>
    </row>
    <row r="3974">
      <c r="E3974" s="22"/>
    </row>
    <row r="3975">
      <c r="E3975" s="22"/>
    </row>
    <row r="3976">
      <c r="E3976" s="22"/>
    </row>
    <row r="3977">
      <c r="E3977" s="22"/>
    </row>
    <row r="3978">
      <c r="E3978" s="22"/>
    </row>
    <row r="3979">
      <c r="E3979" s="22"/>
    </row>
    <row r="3980">
      <c r="E3980" s="22"/>
    </row>
    <row r="3981">
      <c r="E3981" s="22"/>
    </row>
    <row r="3982">
      <c r="E3982" s="22"/>
    </row>
    <row r="3983">
      <c r="E3983" s="22"/>
    </row>
    <row r="3984">
      <c r="E3984" s="22"/>
    </row>
    <row r="3985">
      <c r="E3985" s="22"/>
    </row>
    <row r="3986">
      <c r="E3986" s="22"/>
    </row>
    <row r="3987">
      <c r="E3987" s="22"/>
    </row>
    <row r="3988">
      <c r="E3988" s="22"/>
    </row>
    <row r="3989">
      <c r="E3989" s="22"/>
    </row>
    <row r="3990">
      <c r="E3990" s="22"/>
    </row>
    <row r="3991">
      <c r="E3991" s="22"/>
    </row>
    <row r="3992">
      <c r="E3992" s="22"/>
    </row>
    <row r="3993">
      <c r="E3993" s="22"/>
    </row>
    <row r="3994">
      <c r="E3994" s="22"/>
    </row>
    <row r="3995">
      <c r="E3995" s="22"/>
    </row>
    <row r="3996">
      <c r="E3996" s="22"/>
    </row>
    <row r="3997">
      <c r="E3997" s="22"/>
    </row>
    <row r="3998">
      <c r="E3998" s="22"/>
    </row>
    <row r="3999">
      <c r="E3999" s="22"/>
    </row>
    <row r="4000">
      <c r="E4000" s="22"/>
    </row>
    <row r="4001">
      <c r="E4001" s="22"/>
    </row>
    <row r="4002">
      <c r="E4002" s="22"/>
    </row>
    <row r="4003">
      <c r="E4003" s="22"/>
    </row>
    <row r="4004">
      <c r="E4004" s="22"/>
    </row>
    <row r="4005">
      <c r="E4005" s="22"/>
    </row>
    <row r="4006">
      <c r="E4006" s="22"/>
    </row>
    <row r="4007">
      <c r="E4007" s="22"/>
    </row>
    <row r="4008">
      <c r="E4008" s="22"/>
    </row>
    <row r="4009">
      <c r="E4009" s="22"/>
    </row>
    <row r="4010">
      <c r="E4010" s="22"/>
    </row>
    <row r="4011">
      <c r="E4011" s="22"/>
    </row>
    <row r="4012">
      <c r="E4012" s="22"/>
    </row>
    <row r="4013">
      <c r="E4013" s="22"/>
    </row>
    <row r="4014">
      <c r="E4014" s="22"/>
    </row>
    <row r="4015">
      <c r="E4015" s="22"/>
    </row>
    <row r="4016">
      <c r="E4016" s="22"/>
    </row>
    <row r="4017">
      <c r="E4017" s="22"/>
    </row>
    <row r="4018">
      <c r="E4018" s="22"/>
    </row>
    <row r="4019">
      <c r="E4019" s="22"/>
    </row>
    <row r="4020">
      <c r="E4020" s="22"/>
    </row>
    <row r="4021">
      <c r="E4021" s="22"/>
    </row>
    <row r="4022">
      <c r="E4022" s="22"/>
    </row>
    <row r="4023">
      <c r="E4023" s="22"/>
    </row>
    <row r="4024">
      <c r="E4024" s="22"/>
    </row>
    <row r="4025">
      <c r="E4025" s="22"/>
    </row>
    <row r="4026">
      <c r="E4026" s="22"/>
    </row>
    <row r="4027">
      <c r="E4027" s="22"/>
    </row>
    <row r="4028">
      <c r="E4028" s="22"/>
    </row>
    <row r="4029">
      <c r="E4029" s="22"/>
    </row>
    <row r="4030">
      <c r="E4030" s="22"/>
    </row>
    <row r="4031">
      <c r="E4031" s="22"/>
    </row>
    <row r="4032">
      <c r="E4032" s="22"/>
    </row>
    <row r="4033">
      <c r="E4033" s="22"/>
    </row>
    <row r="4034">
      <c r="E4034" s="22"/>
    </row>
    <row r="4035">
      <c r="E4035" s="22"/>
    </row>
    <row r="4036">
      <c r="E4036" s="22"/>
    </row>
    <row r="4037">
      <c r="E4037" s="22"/>
    </row>
    <row r="4038">
      <c r="E4038" s="22"/>
    </row>
    <row r="4039">
      <c r="E4039" s="22"/>
    </row>
    <row r="4040">
      <c r="E4040" s="22"/>
    </row>
    <row r="4041">
      <c r="E4041" s="22"/>
    </row>
    <row r="4042">
      <c r="E4042" s="22"/>
    </row>
    <row r="4043">
      <c r="E4043" s="22"/>
    </row>
    <row r="4044">
      <c r="E4044" s="22"/>
    </row>
    <row r="4045">
      <c r="E4045" s="22"/>
    </row>
    <row r="4046">
      <c r="E4046" s="22"/>
    </row>
    <row r="4047">
      <c r="E4047" s="22"/>
    </row>
    <row r="4048">
      <c r="E4048" s="22"/>
    </row>
    <row r="4049">
      <c r="E4049" s="22"/>
    </row>
    <row r="4050">
      <c r="E4050" s="22"/>
    </row>
    <row r="4051">
      <c r="E4051" s="22"/>
    </row>
    <row r="4052">
      <c r="E4052" s="22"/>
    </row>
    <row r="4053">
      <c r="E4053" s="22"/>
    </row>
    <row r="4054">
      <c r="E4054" s="22"/>
    </row>
    <row r="4055">
      <c r="E4055" s="22"/>
    </row>
    <row r="4056">
      <c r="E4056" s="22"/>
    </row>
    <row r="4057">
      <c r="E4057" s="22"/>
    </row>
    <row r="4058">
      <c r="E4058" s="22"/>
    </row>
    <row r="4059">
      <c r="E4059" s="22"/>
    </row>
    <row r="4060">
      <c r="E4060" s="22"/>
    </row>
    <row r="4061">
      <c r="E4061" s="22"/>
    </row>
    <row r="4062">
      <c r="E4062" s="22"/>
    </row>
    <row r="4063">
      <c r="E4063" s="22"/>
    </row>
    <row r="4064">
      <c r="E4064" s="22"/>
    </row>
    <row r="4065">
      <c r="E4065" s="22"/>
    </row>
    <row r="4066">
      <c r="E4066" s="22"/>
    </row>
    <row r="4067">
      <c r="E4067" s="22"/>
    </row>
    <row r="4068">
      <c r="E4068" s="22"/>
    </row>
    <row r="4069">
      <c r="E4069" s="22"/>
    </row>
    <row r="4070">
      <c r="E4070" s="22"/>
    </row>
    <row r="4071">
      <c r="E4071" s="22"/>
    </row>
    <row r="4072">
      <c r="E4072" s="22"/>
    </row>
    <row r="4073">
      <c r="E4073" s="22"/>
    </row>
    <row r="4074">
      <c r="E4074" s="22"/>
    </row>
    <row r="4075">
      <c r="E4075" s="22"/>
    </row>
    <row r="4076">
      <c r="E4076" s="22"/>
    </row>
    <row r="4077">
      <c r="E4077" s="22"/>
    </row>
    <row r="4078">
      <c r="E4078" s="22"/>
    </row>
    <row r="4079">
      <c r="E4079" s="22"/>
    </row>
    <row r="4080">
      <c r="E4080" s="22"/>
    </row>
    <row r="4081">
      <c r="E4081" s="22"/>
    </row>
    <row r="4082">
      <c r="E4082" s="22"/>
    </row>
    <row r="4083">
      <c r="E4083" s="22"/>
    </row>
    <row r="4084">
      <c r="E4084" s="22"/>
    </row>
    <row r="4085">
      <c r="E4085" s="22"/>
    </row>
    <row r="4086">
      <c r="E4086" s="22"/>
    </row>
    <row r="4087">
      <c r="E4087" s="22"/>
    </row>
    <row r="4088">
      <c r="E4088" s="22"/>
    </row>
    <row r="4089">
      <c r="E4089" s="22"/>
    </row>
    <row r="4090">
      <c r="E4090" s="22"/>
    </row>
    <row r="4091">
      <c r="E4091" s="22"/>
    </row>
    <row r="4092">
      <c r="E4092" s="22"/>
    </row>
    <row r="4093">
      <c r="E4093" s="22"/>
    </row>
    <row r="4094">
      <c r="E4094" s="22"/>
    </row>
    <row r="4095">
      <c r="E4095" s="22"/>
    </row>
    <row r="4096">
      <c r="E4096" s="22"/>
    </row>
    <row r="4097">
      <c r="E4097" s="22"/>
    </row>
    <row r="4098">
      <c r="E4098" s="22"/>
    </row>
    <row r="4099">
      <c r="E4099" s="22"/>
    </row>
    <row r="4100">
      <c r="E4100" s="22"/>
    </row>
    <row r="4101">
      <c r="E4101" s="22"/>
    </row>
    <row r="4102">
      <c r="E4102" s="22"/>
    </row>
    <row r="4103">
      <c r="E4103" s="22"/>
    </row>
    <row r="4104">
      <c r="E4104" s="22"/>
    </row>
    <row r="4105">
      <c r="E4105" s="22"/>
    </row>
    <row r="4106">
      <c r="E4106" s="22"/>
    </row>
    <row r="4107">
      <c r="E4107" s="22"/>
    </row>
    <row r="4108">
      <c r="E4108" s="22"/>
    </row>
    <row r="4109">
      <c r="E4109" s="22"/>
    </row>
    <row r="4110">
      <c r="E4110" s="22"/>
    </row>
    <row r="4111">
      <c r="E4111" s="22"/>
    </row>
    <row r="4112">
      <c r="E4112" s="22"/>
    </row>
    <row r="4113">
      <c r="E4113" s="22"/>
    </row>
    <row r="4114">
      <c r="E4114" s="22"/>
    </row>
    <row r="4115">
      <c r="E4115" s="22"/>
    </row>
    <row r="4116">
      <c r="E4116" s="22"/>
    </row>
    <row r="4117">
      <c r="E4117" s="22"/>
    </row>
    <row r="4118">
      <c r="E4118" s="22"/>
    </row>
    <row r="4119">
      <c r="E4119" s="22"/>
    </row>
    <row r="4120">
      <c r="E4120" s="22"/>
    </row>
    <row r="4121">
      <c r="E4121" s="22"/>
    </row>
    <row r="4122">
      <c r="E4122" s="22"/>
    </row>
    <row r="4123">
      <c r="E4123" s="22"/>
    </row>
    <row r="4124">
      <c r="E4124" s="22"/>
    </row>
    <row r="4125">
      <c r="E4125" s="22"/>
    </row>
    <row r="4126">
      <c r="E4126" s="22"/>
    </row>
    <row r="4127">
      <c r="E4127" s="22"/>
    </row>
    <row r="4128">
      <c r="E4128" s="22"/>
    </row>
    <row r="4129">
      <c r="E4129" s="22"/>
    </row>
    <row r="4130">
      <c r="E4130" s="22"/>
    </row>
    <row r="4131">
      <c r="E4131" s="22"/>
    </row>
    <row r="4132">
      <c r="E4132" s="22"/>
    </row>
    <row r="4133">
      <c r="E4133" s="22"/>
    </row>
    <row r="4134">
      <c r="E4134" s="22"/>
    </row>
    <row r="4135">
      <c r="E4135" s="22"/>
    </row>
    <row r="4136">
      <c r="E4136" s="22"/>
    </row>
    <row r="4137">
      <c r="E4137" s="22"/>
    </row>
    <row r="4138">
      <c r="E4138" s="22"/>
    </row>
    <row r="4139">
      <c r="E4139" s="22"/>
    </row>
    <row r="4140">
      <c r="E4140" s="22"/>
    </row>
    <row r="4141">
      <c r="E4141" s="22"/>
    </row>
    <row r="4142">
      <c r="E4142" s="22"/>
    </row>
    <row r="4143">
      <c r="E4143" s="22"/>
    </row>
    <row r="4144">
      <c r="E4144" s="22"/>
    </row>
    <row r="4145">
      <c r="E4145" s="22"/>
    </row>
    <row r="4146">
      <c r="E4146" s="22"/>
    </row>
    <row r="4147">
      <c r="E4147" s="22"/>
    </row>
    <row r="4148">
      <c r="E4148" s="22"/>
    </row>
    <row r="4149">
      <c r="E4149" s="22"/>
    </row>
    <row r="4150">
      <c r="E4150" s="22"/>
    </row>
    <row r="4151">
      <c r="E4151" s="22"/>
    </row>
    <row r="4152">
      <c r="E4152" s="22"/>
    </row>
    <row r="4153">
      <c r="E4153" s="22"/>
    </row>
    <row r="4154">
      <c r="E4154" s="22"/>
    </row>
    <row r="4155">
      <c r="E4155" s="22"/>
    </row>
    <row r="4156">
      <c r="E4156" s="22"/>
    </row>
    <row r="4157">
      <c r="E4157" s="22"/>
    </row>
    <row r="4158">
      <c r="E4158" s="22"/>
    </row>
    <row r="4159">
      <c r="E4159" s="22"/>
    </row>
    <row r="4160">
      <c r="E4160" s="22"/>
    </row>
    <row r="4161">
      <c r="E4161" s="22"/>
    </row>
    <row r="4162">
      <c r="E4162" s="22"/>
    </row>
    <row r="4163">
      <c r="E4163" s="22"/>
    </row>
    <row r="4164">
      <c r="E4164" s="22"/>
    </row>
    <row r="4165">
      <c r="E4165" s="22"/>
    </row>
    <row r="4166">
      <c r="E4166" s="22"/>
    </row>
    <row r="4167">
      <c r="E4167" s="22"/>
    </row>
    <row r="4168">
      <c r="E4168" s="22"/>
    </row>
    <row r="4169">
      <c r="E4169" s="22"/>
    </row>
    <row r="4170">
      <c r="E4170" s="22"/>
    </row>
    <row r="4171">
      <c r="E4171" s="22"/>
    </row>
    <row r="4172">
      <c r="E4172" s="22"/>
    </row>
    <row r="4173">
      <c r="E4173" s="22"/>
    </row>
    <row r="4174">
      <c r="E4174" s="22"/>
    </row>
    <row r="4175">
      <c r="E4175" s="22"/>
    </row>
    <row r="4176">
      <c r="E4176" s="22"/>
    </row>
    <row r="4177">
      <c r="E4177" s="22"/>
    </row>
    <row r="4178">
      <c r="E4178" s="22"/>
    </row>
    <row r="4179">
      <c r="E4179" s="22"/>
    </row>
    <row r="4180">
      <c r="E4180" s="22"/>
    </row>
    <row r="4181">
      <c r="E4181" s="22"/>
    </row>
    <row r="4182">
      <c r="E4182" s="22"/>
    </row>
    <row r="4183">
      <c r="E4183" s="22"/>
    </row>
    <row r="4184">
      <c r="E4184" s="22"/>
    </row>
    <row r="4185">
      <c r="E4185" s="22"/>
    </row>
    <row r="4186">
      <c r="E4186" s="22"/>
    </row>
    <row r="4187">
      <c r="E4187" s="22"/>
    </row>
    <row r="4188">
      <c r="E4188" s="22"/>
    </row>
    <row r="4189">
      <c r="E4189" s="22"/>
    </row>
    <row r="4190">
      <c r="E4190" s="22"/>
    </row>
    <row r="4191">
      <c r="E4191" s="22"/>
    </row>
    <row r="4192">
      <c r="E4192" s="22"/>
    </row>
    <row r="4193">
      <c r="E4193" s="22"/>
    </row>
    <row r="4194">
      <c r="E4194" s="22"/>
    </row>
    <row r="4195">
      <c r="E4195" s="22"/>
    </row>
    <row r="4196">
      <c r="E4196" s="22"/>
    </row>
    <row r="4197">
      <c r="E4197" s="22"/>
    </row>
    <row r="4198">
      <c r="E4198" s="22"/>
    </row>
    <row r="4199">
      <c r="E4199" s="22"/>
    </row>
    <row r="4200">
      <c r="E4200" s="22"/>
    </row>
    <row r="4201">
      <c r="E4201" s="22"/>
    </row>
    <row r="4202">
      <c r="E4202" s="22"/>
    </row>
    <row r="4203">
      <c r="E4203" s="22"/>
    </row>
    <row r="4204">
      <c r="E4204" s="22"/>
    </row>
    <row r="4205">
      <c r="E4205" s="22"/>
    </row>
    <row r="4206">
      <c r="E4206" s="22"/>
    </row>
    <row r="4207">
      <c r="E4207" s="22"/>
    </row>
    <row r="4208">
      <c r="E4208" s="22"/>
    </row>
    <row r="4209">
      <c r="E4209" s="22"/>
    </row>
    <row r="4210">
      <c r="E4210" s="22"/>
    </row>
    <row r="4211">
      <c r="E4211" s="22"/>
    </row>
    <row r="4212">
      <c r="E4212" s="22"/>
    </row>
    <row r="4213">
      <c r="E4213" s="22"/>
    </row>
    <row r="4214">
      <c r="E4214" s="22"/>
    </row>
    <row r="4215">
      <c r="E4215" s="22"/>
    </row>
    <row r="4216">
      <c r="E4216" s="22"/>
    </row>
    <row r="4217">
      <c r="E4217" s="22"/>
    </row>
    <row r="4218">
      <c r="E4218" s="22"/>
    </row>
    <row r="4219">
      <c r="E4219" s="22"/>
    </row>
    <row r="4220">
      <c r="E4220" s="22"/>
    </row>
    <row r="4221">
      <c r="E4221" s="22"/>
    </row>
    <row r="4222">
      <c r="E4222" s="22"/>
    </row>
    <row r="4223">
      <c r="E4223" s="22"/>
    </row>
    <row r="4224">
      <c r="E4224" s="22"/>
    </row>
    <row r="4225">
      <c r="E4225" s="22"/>
    </row>
    <row r="4226">
      <c r="E4226" s="22"/>
    </row>
    <row r="4227">
      <c r="E4227" s="22"/>
    </row>
    <row r="4228">
      <c r="E4228" s="22"/>
    </row>
    <row r="4229">
      <c r="E4229" s="22"/>
    </row>
    <row r="4230">
      <c r="E4230" s="22"/>
    </row>
    <row r="4231">
      <c r="E4231" s="22"/>
    </row>
    <row r="4232">
      <c r="E4232" s="22"/>
    </row>
    <row r="4233">
      <c r="E4233" s="22"/>
    </row>
    <row r="4234">
      <c r="E4234" s="22"/>
    </row>
    <row r="4235">
      <c r="E4235" s="22"/>
    </row>
    <row r="4236">
      <c r="E4236" s="22"/>
    </row>
    <row r="4237">
      <c r="E4237" s="22"/>
    </row>
    <row r="4238">
      <c r="E4238" s="22"/>
    </row>
    <row r="4239">
      <c r="E4239" s="22"/>
    </row>
    <row r="4240">
      <c r="E4240" s="22"/>
    </row>
    <row r="4241">
      <c r="E4241" s="22"/>
    </row>
    <row r="4242">
      <c r="E4242" s="22"/>
    </row>
    <row r="4243">
      <c r="E4243" s="22"/>
    </row>
    <row r="4244">
      <c r="E4244" s="22"/>
    </row>
    <row r="4245">
      <c r="E4245" s="22"/>
    </row>
    <row r="4246">
      <c r="E4246" s="22"/>
    </row>
    <row r="4247">
      <c r="E4247" s="22"/>
    </row>
    <row r="4248">
      <c r="E4248" s="22"/>
    </row>
    <row r="4249">
      <c r="E4249" s="22"/>
    </row>
    <row r="4250">
      <c r="E4250" s="22"/>
    </row>
    <row r="4251">
      <c r="E4251" s="22"/>
    </row>
    <row r="4252">
      <c r="E4252" s="22"/>
    </row>
    <row r="4253">
      <c r="E4253" s="22"/>
    </row>
    <row r="4254">
      <c r="E4254" s="22"/>
    </row>
    <row r="4255">
      <c r="E4255" s="22"/>
    </row>
    <row r="4256">
      <c r="E4256" s="22"/>
    </row>
    <row r="4257">
      <c r="E4257" s="22"/>
    </row>
    <row r="4258">
      <c r="E4258" s="22"/>
    </row>
    <row r="4259">
      <c r="E4259" s="22"/>
    </row>
    <row r="4260">
      <c r="E4260" s="22"/>
    </row>
    <row r="4261">
      <c r="E4261" s="22"/>
    </row>
    <row r="4262">
      <c r="E4262" s="22"/>
    </row>
    <row r="4263">
      <c r="E4263" s="22"/>
    </row>
    <row r="4264">
      <c r="E4264" s="22"/>
    </row>
    <row r="4265">
      <c r="E4265" s="22"/>
    </row>
    <row r="4266">
      <c r="E4266" s="22"/>
    </row>
    <row r="4267">
      <c r="E4267" s="22"/>
    </row>
    <row r="4268">
      <c r="E4268" s="22"/>
    </row>
    <row r="4269">
      <c r="E4269" s="22"/>
    </row>
    <row r="4270">
      <c r="E4270" s="22"/>
    </row>
    <row r="4271">
      <c r="E4271" s="22"/>
    </row>
    <row r="4272">
      <c r="E4272" s="22"/>
    </row>
    <row r="4273">
      <c r="E4273" s="22"/>
    </row>
    <row r="4274">
      <c r="E4274" s="22"/>
    </row>
    <row r="4275">
      <c r="E4275" s="22"/>
    </row>
    <row r="4276">
      <c r="E4276" s="22"/>
    </row>
    <row r="4277">
      <c r="E4277" s="22"/>
    </row>
    <row r="4278">
      <c r="E4278" s="22"/>
    </row>
    <row r="4279">
      <c r="E4279" s="22"/>
    </row>
    <row r="4280">
      <c r="E4280" s="22"/>
    </row>
    <row r="4281">
      <c r="E4281" s="22"/>
    </row>
    <row r="4282">
      <c r="E4282" s="22"/>
    </row>
    <row r="4283">
      <c r="E4283" s="22"/>
    </row>
    <row r="4284">
      <c r="E4284" s="22"/>
    </row>
    <row r="4285">
      <c r="E4285" s="22"/>
    </row>
    <row r="4286">
      <c r="E4286" s="22"/>
    </row>
    <row r="4287">
      <c r="E4287" s="22"/>
    </row>
    <row r="4288">
      <c r="E4288" s="22"/>
    </row>
    <row r="4289">
      <c r="E4289" s="22"/>
    </row>
    <row r="4290">
      <c r="E4290" s="22"/>
    </row>
    <row r="4291">
      <c r="E4291" s="22"/>
    </row>
    <row r="4292">
      <c r="E4292" s="22"/>
    </row>
    <row r="4293">
      <c r="E4293" s="22"/>
    </row>
    <row r="4294">
      <c r="E4294" s="22"/>
    </row>
    <row r="4295">
      <c r="E4295" s="22"/>
    </row>
    <row r="4296">
      <c r="E4296" s="22"/>
    </row>
    <row r="4297">
      <c r="E4297" s="22"/>
    </row>
    <row r="4298">
      <c r="E4298" s="22"/>
    </row>
    <row r="4299">
      <c r="E4299" s="22"/>
    </row>
    <row r="4300">
      <c r="E4300" s="22"/>
    </row>
    <row r="4301">
      <c r="E4301" s="22"/>
    </row>
    <row r="4302">
      <c r="E4302" s="22"/>
    </row>
    <row r="4303">
      <c r="E4303" s="22"/>
    </row>
    <row r="4304">
      <c r="E4304" s="22"/>
    </row>
    <row r="4305">
      <c r="E4305" s="22"/>
    </row>
    <row r="4306">
      <c r="E4306" s="22"/>
    </row>
    <row r="4307">
      <c r="E4307" s="22"/>
    </row>
    <row r="4308">
      <c r="E4308" s="22"/>
    </row>
    <row r="4309">
      <c r="E4309" s="22"/>
    </row>
    <row r="4310">
      <c r="E4310" s="22"/>
    </row>
    <row r="4311">
      <c r="E4311" s="22"/>
    </row>
    <row r="4312">
      <c r="E4312" s="22"/>
    </row>
    <row r="4313">
      <c r="E4313" s="22"/>
    </row>
    <row r="4314">
      <c r="E4314" s="22"/>
    </row>
    <row r="4315">
      <c r="E4315" s="22"/>
    </row>
    <row r="4316">
      <c r="E4316" s="22"/>
    </row>
    <row r="4317">
      <c r="E4317" s="22"/>
    </row>
    <row r="4318">
      <c r="E4318" s="22"/>
    </row>
    <row r="4319">
      <c r="E4319" s="22"/>
    </row>
    <row r="4320">
      <c r="E4320" s="22"/>
    </row>
    <row r="4321">
      <c r="E4321" s="22"/>
    </row>
    <row r="4322">
      <c r="E4322" s="22"/>
    </row>
    <row r="4323">
      <c r="E4323" s="22"/>
    </row>
    <row r="4324">
      <c r="E4324" s="22"/>
    </row>
    <row r="4325">
      <c r="E4325" s="22"/>
    </row>
    <row r="4326">
      <c r="E4326" s="22"/>
    </row>
    <row r="4327">
      <c r="E4327" s="22"/>
    </row>
    <row r="4328">
      <c r="E4328" s="22"/>
    </row>
    <row r="4329">
      <c r="E4329" s="22"/>
    </row>
    <row r="4330">
      <c r="E4330" s="22"/>
    </row>
    <row r="4331">
      <c r="E4331" s="22"/>
    </row>
    <row r="4332">
      <c r="E4332" s="22"/>
    </row>
    <row r="4333">
      <c r="E4333" s="22"/>
    </row>
    <row r="4334">
      <c r="E4334" s="22"/>
    </row>
    <row r="4335">
      <c r="E4335" s="22"/>
    </row>
    <row r="4336">
      <c r="E4336" s="22"/>
    </row>
    <row r="4337">
      <c r="E4337" s="22"/>
    </row>
    <row r="4338">
      <c r="E4338" s="22"/>
    </row>
    <row r="4339">
      <c r="E4339" s="22"/>
    </row>
    <row r="4340">
      <c r="E4340" s="22"/>
    </row>
    <row r="4341">
      <c r="E4341" s="22"/>
    </row>
    <row r="4342">
      <c r="E4342" s="22"/>
    </row>
    <row r="4343">
      <c r="E4343" s="22"/>
    </row>
    <row r="4344">
      <c r="E4344" s="22"/>
    </row>
    <row r="4345">
      <c r="E4345" s="22"/>
    </row>
    <row r="4346">
      <c r="E4346" s="22"/>
    </row>
    <row r="4347">
      <c r="E4347" s="22"/>
    </row>
    <row r="4348">
      <c r="E4348" s="22"/>
    </row>
    <row r="4349">
      <c r="E4349" s="22"/>
    </row>
    <row r="4350">
      <c r="E4350" s="22"/>
    </row>
    <row r="4351">
      <c r="E4351" s="22"/>
    </row>
    <row r="4352">
      <c r="E4352" s="22"/>
    </row>
    <row r="4353">
      <c r="E4353" s="22"/>
    </row>
    <row r="4354">
      <c r="E4354" s="22"/>
    </row>
    <row r="4355">
      <c r="E4355" s="22"/>
    </row>
    <row r="4356">
      <c r="E4356" s="22"/>
    </row>
    <row r="4357">
      <c r="E4357" s="22"/>
    </row>
    <row r="4358">
      <c r="E4358" s="22"/>
    </row>
    <row r="4359">
      <c r="E4359" s="22"/>
    </row>
    <row r="4360">
      <c r="E4360" s="22"/>
    </row>
    <row r="4361">
      <c r="E4361" s="22"/>
    </row>
    <row r="4362">
      <c r="E4362" s="22"/>
    </row>
    <row r="4363">
      <c r="E4363" s="22"/>
    </row>
    <row r="4364">
      <c r="E4364" s="22"/>
    </row>
    <row r="4365">
      <c r="E4365" s="22"/>
    </row>
    <row r="4366">
      <c r="E4366" s="22"/>
    </row>
    <row r="4367">
      <c r="E4367" s="22"/>
    </row>
    <row r="4368">
      <c r="E4368" s="22"/>
    </row>
    <row r="4369">
      <c r="E4369" s="22"/>
    </row>
    <row r="4370">
      <c r="E4370" s="22"/>
    </row>
    <row r="4371">
      <c r="E4371" s="22"/>
    </row>
    <row r="4372">
      <c r="E4372" s="22"/>
    </row>
    <row r="4373">
      <c r="E4373" s="22"/>
    </row>
    <row r="4374">
      <c r="E4374" s="22"/>
    </row>
    <row r="4375">
      <c r="E4375" s="22"/>
    </row>
    <row r="4376">
      <c r="E4376" s="22"/>
    </row>
    <row r="4377">
      <c r="E4377" s="22"/>
    </row>
    <row r="4378">
      <c r="E4378" s="22"/>
    </row>
    <row r="4379">
      <c r="E4379" s="22"/>
    </row>
    <row r="4380">
      <c r="E4380" s="22"/>
    </row>
    <row r="4381">
      <c r="E4381" s="22"/>
    </row>
    <row r="4382">
      <c r="E4382" s="22"/>
    </row>
    <row r="4383">
      <c r="E4383" s="22"/>
    </row>
    <row r="4384">
      <c r="E4384" s="22"/>
    </row>
    <row r="4385">
      <c r="E4385" s="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5.75"/>
    <col customWidth="1" min="5" max="5" width="17.63"/>
    <col customWidth="1" min="9" max="9" width="43.0"/>
    <col customWidth="1" min="10" max="10" width="20.75"/>
    <col customWidth="1" min="12" max="12" width="13.75"/>
  </cols>
  <sheetData>
    <row r="1">
      <c r="A1" s="20" t="s">
        <v>199</v>
      </c>
      <c r="B1" s="20" t="s">
        <v>202</v>
      </c>
      <c r="C1" s="20" t="s">
        <v>203</v>
      </c>
      <c r="D1" s="20" t="s">
        <v>204</v>
      </c>
      <c r="E1" s="20" t="s">
        <v>205</v>
      </c>
      <c r="F1" s="20" t="s">
        <v>191</v>
      </c>
      <c r="G1" s="23"/>
      <c r="H1" s="23"/>
      <c r="I1" s="23"/>
      <c r="J1" s="23"/>
      <c r="K1" s="24"/>
      <c r="L1" s="23"/>
      <c r="M1" s="23"/>
      <c r="N1" s="23"/>
      <c r="O1" s="23"/>
      <c r="P1" s="23"/>
      <c r="Q1" s="23"/>
      <c r="R1" s="23"/>
      <c r="S1" s="23"/>
      <c r="T1" s="23"/>
      <c r="U1" s="23"/>
    </row>
    <row r="2">
      <c r="A2" s="25" t="s">
        <v>206</v>
      </c>
      <c r="B2" s="26">
        <v>1.0</v>
      </c>
      <c r="C2" s="27">
        <v>45870.0</v>
      </c>
      <c r="D2" s="28">
        <v>45870.37986111111</v>
      </c>
      <c r="E2" s="28">
        <v>45870.74513888889</v>
      </c>
      <c r="F2" s="21" t="s">
        <v>189</v>
      </c>
      <c r="G2" s="23"/>
      <c r="H2" s="23" t="str">
        <f t="shared" ref="H2:H841" si="1"> "INSERT INTO tblDayAttendanceLog VALUES (" &amp; 
  A2 &amp; ", " &amp; 
  B2 &amp; ", " &amp; 
  "TO_DATE('" &amp; TEXT(C2, "yyyy-mm-dd") &amp; "', 'YYYY-MM-DD'), " &amp; 
  IF(D2="", "NULL", "TO_DATE('" &amp; TEXT(C2, "yyyy-mm-dd") &amp; " " &amp; TEXT(D2, "hh:mm:ss") &amp; "', 'YYYY-MM-DD HH24:MI:SS')") &amp; ", " &amp; 
  IF(E2="", "NULL", "TO_DATE('" &amp; TEXT(C2, "yyyy-mm-dd") &amp; " " &amp; TEXT(E2, "hh:mm:ss") &amp; "', 'YYYY-MM-DD HH24:MI:SS')") &amp; 
  ");"</f>
        <v>INSERT INTO tblDayAttendanceLog VALUES (seqDayAttendanceLog.nextval, 1, TO_DATE('2025-08-01', 'YYYY-MM-DD'), TO_DATE('2025-08-01 09:07:00', 'YYYY-MM-DD HH24:MI:SS'), TO_DATE('2025-08-01 17:53:00', 'YYYY-MM-DD HH24:MI:SS'));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>
      <c r="A3" s="25" t="s">
        <v>206</v>
      </c>
      <c r="B3" s="26">
        <v>2.0</v>
      </c>
      <c r="C3" s="27">
        <v>45870.0</v>
      </c>
      <c r="D3" s="28">
        <v>45870.35138888889</v>
      </c>
      <c r="E3" s="28">
        <v>45870.74652777778</v>
      </c>
      <c r="F3" s="21" t="s">
        <v>184</v>
      </c>
      <c r="G3" s="23"/>
      <c r="H3" s="23" t="str">
        <f t="shared" si="1"/>
        <v>INSERT INTO tblDayAttendanceLog VALUES (seqDayAttendanceLog.nextval, 2, TO_DATE('2025-08-01', 'YYYY-MM-DD'), TO_DATE('2025-08-01 08:26:00', 'YYYY-MM-DD HH24:MI:SS'), TO_DATE('2025-08-01 17:55:00', 'YYYY-MM-DD HH24:MI:SS'));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>
      <c r="A4" s="25" t="s">
        <v>206</v>
      </c>
      <c r="B4" s="26">
        <v>3.0</v>
      </c>
      <c r="C4" s="27">
        <v>45870.0</v>
      </c>
      <c r="D4" s="28">
        <v>45870.38402777778</v>
      </c>
      <c r="E4" s="28">
        <v>45870.748611111114</v>
      </c>
      <c r="F4" s="21" t="s">
        <v>189</v>
      </c>
      <c r="G4" s="23"/>
      <c r="H4" s="23" t="str">
        <f t="shared" si="1"/>
        <v>INSERT INTO tblDayAttendanceLog VALUES (seqDayAttendanceLog.nextval, 3, TO_DATE('2025-08-01', 'YYYY-MM-DD'), TO_DATE('2025-08-01 09:13:00', 'YYYY-MM-DD HH24:MI:SS'), TO_DATE('2025-08-01 17:58:00', 'YYYY-MM-DD HH24:MI:SS'));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>
      <c r="A5" s="25" t="s">
        <v>206</v>
      </c>
      <c r="B5" s="26">
        <v>4.0</v>
      </c>
      <c r="C5" s="27">
        <v>45870.0</v>
      </c>
      <c r="D5" s="28">
        <v>45870.33472222222</v>
      </c>
      <c r="E5" s="28">
        <v>45870.74513888889</v>
      </c>
      <c r="F5" s="21" t="s">
        <v>184</v>
      </c>
      <c r="G5" s="23"/>
      <c r="H5" s="23" t="str">
        <f t="shared" si="1"/>
        <v>INSERT INTO tblDayAttendanceLog VALUES (seqDayAttendanceLog.nextval, 4, TO_DATE('2025-08-01', 'YYYY-MM-DD'), TO_DATE('2025-08-01 08:02:00', 'YYYY-MM-DD HH24:MI:SS'), TO_DATE('2025-08-01 17:53:00', 'YYYY-MM-DD HH24:MI:SS'));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>
      <c r="A6" s="25" t="s">
        <v>206</v>
      </c>
      <c r="B6" s="26">
        <v>5.0</v>
      </c>
      <c r="C6" s="27">
        <v>45870.0</v>
      </c>
      <c r="D6" s="28">
        <v>45870.37013888889</v>
      </c>
      <c r="E6" s="28">
        <v>45870.74444444444</v>
      </c>
      <c r="F6" s="21" t="s">
        <v>184</v>
      </c>
      <c r="G6" s="23"/>
      <c r="H6" s="23" t="str">
        <f t="shared" si="1"/>
        <v>INSERT INTO tblDayAttendanceLog VALUES (seqDayAttendanceLog.nextval, 5, TO_DATE('2025-08-01', 'YYYY-MM-DD'), TO_DATE('2025-08-01 08:53:00', 'YYYY-MM-DD HH24:MI:SS'), TO_DATE('2025-08-01 17:52:00', 'YYYY-MM-DD HH24:MI:SS'));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>
      <c r="A7" s="25" t="s">
        <v>206</v>
      </c>
      <c r="B7" s="26">
        <v>6.0</v>
      </c>
      <c r="C7" s="27">
        <v>45870.0</v>
      </c>
      <c r="D7" s="28">
        <v>45870.35763888889</v>
      </c>
      <c r="E7" s="28">
        <v>45870.74791666667</v>
      </c>
      <c r="F7" s="21" t="s">
        <v>184</v>
      </c>
      <c r="G7" s="23"/>
      <c r="H7" s="23" t="str">
        <f t="shared" si="1"/>
        <v>INSERT INTO tblDayAttendanceLog VALUES (seqDayAttendanceLog.nextval, 6, TO_DATE('2025-08-01', 'YYYY-MM-DD'), TO_DATE('2025-08-01 08:35:00', 'YYYY-MM-DD HH24:MI:SS'), TO_DATE('2025-08-01 17:57:00', 'YYYY-MM-DD HH24:MI:SS'));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A8" s="25" t="s">
        <v>206</v>
      </c>
      <c r="B8" s="26">
        <v>7.0</v>
      </c>
      <c r="C8" s="27">
        <v>45870.0</v>
      </c>
      <c r="D8" s="28">
        <v>45870.36388888889</v>
      </c>
      <c r="E8" s="28">
        <v>45870.74375</v>
      </c>
      <c r="F8" s="21" t="s">
        <v>184</v>
      </c>
      <c r="G8" s="23"/>
      <c r="H8" s="23" t="str">
        <f t="shared" si="1"/>
        <v>INSERT INTO tblDayAttendanceLog VALUES (seqDayAttendanceLog.nextval, 7, TO_DATE('2025-08-01', 'YYYY-MM-DD'), TO_DATE('2025-08-01 08:44:00', 'YYYY-MM-DD HH24:MI:SS'), TO_DATE('2025-08-01 17:51:00', 'YYYY-MM-DD HH24:MI:SS'));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A9" s="25" t="s">
        <v>206</v>
      </c>
      <c r="B9" s="26">
        <v>8.0</v>
      </c>
      <c r="C9" s="27">
        <v>45870.0</v>
      </c>
      <c r="D9" s="28">
        <v>45870.375</v>
      </c>
      <c r="E9" s="28">
        <v>45870.74513888889</v>
      </c>
      <c r="F9" s="21" t="s">
        <v>189</v>
      </c>
      <c r="G9" s="23"/>
      <c r="H9" s="23" t="str">
        <f t="shared" si="1"/>
        <v>INSERT INTO tblDayAttendanceLog VALUES (seqDayAttendanceLog.nextval, 8, TO_DATE('2025-08-01', 'YYYY-MM-DD'), TO_DATE('2025-08-01 09:00:00', 'YYYY-MM-DD HH24:MI:SS'), TO_DATE('2025-08-01 17:53:00', 'YYYY-MM-DD HH24:MI:SS'));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>
      <c r="A10" s="25" t="s">
        <v>206</v>
      </c>
      <c r="B10" s="26">
        <v>9.0</v>
      </c>
      <c r="C10" s="27">
        <v>45870.0</v>
      </c>
      <c r="D10" s="28">
        <v>45870.364583333336</v>
      </c>
      <c r="E10" s="28">
        <v>45870.74791666667</v>
      </c>
      <c r="F10" s="21" t="s">
        <v>184</v>
      </c>
      <c r="G10" s="23"/>
      <c r="H10" s="23" t="str">
        <f t="shared" si="1"/>
        <v>INSERT INTO tblDayAttendanceLog VALUES (seqDayAttendanceLog.nextval, 9, TO_DATE('2025-08-01', 'YYYY-MM-DD'), TO_DATE('2025-08-01 08:45:00', 'YYYY-MM-DD HH24:MI:SS'), TO_DATE('2025-08-01 17:57:00', 'YYYY-MM-DD HH24:MI:SS'));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>
      <c r="A11" s="25" t="s">
        <v>206</v>
      </c>
      <c r="B11" s="26">
        <v>10.0</v>
      </c>
      <c r="C11" s="27">
        <v>45870.0</v>
      </c>
      <c r="D11" s="28">
        <v>45870.35138888889</v>
      </c>
      <c r="E11" s="28">
        <v>45870.74722222222</v>
      </c>
      <c r="F11" s="21" t="s">
        <v>184</v>
      </c>
      <c r="G11" s="23"/>
      <c r="H11" s="23" t="str">
        <f t="shared" si="1"/>
        <v>INSERT INTO tblDayAttendanceLog VALUES (seqDayAttendanceLog.nextval, 10, TO_DATE('2025-08-01', 'YYYY-MM-DD'), TO_DATE('2025-08-01 08:26:00', 'YYYY-MM-DD HH24:MI:SS'), TO_DATE('2025-08-01 17:56:00', 'YYYY-MM-DD HH24:MI:SS'));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>
      <c r="A12" s="25" t="s">
        <v>206</v>
      </c>
      <c r="B12" s="26">
        <v>11.0</v>
      </c>
      <c r="C12" s="27">
        <v>45870.0</v>
      </c>
      <c r="D12" s="28">
        <v>45870.40347222222</v>
      </c>
      <c r="E12" s="28">
        <v>45870.748611111114</v>
      </c>
      <c r="F12" s="21" t="s">
        <v>189</v>
      </c>
      <c r="G12" s="23"/>
      <c r="H12" s="23" t="str">
        <f t="shared" si="1"/>
        <v>INSERT INTO tblDayAttendanceLog VALUES (seqDayAttendanceLog.nextval, 11, TO_DATE('2025-08-01', 'YYYY-MM-DD'), TO_DATE('2025-08-01 09:41:00', 'YYYY-MM-DD HH24:MI:SS'), TO_DATE('2025-08-01 17:58:00', 'YYYY-MM-DD HH24:MI:SS'));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>
      <c r="A13" s="25" t="s">
        <v>206</v>
      </c>
      <c r="B13" s="26">
        <v>12.0</v>
      </c>
      <c r="C13" s="27">
        <v>45870.0</v>
      </c>
      <c r="D13" s="28">
        <v>45870.40069444444</v>
      </c>
      <c r="E13" s="28">
        <v>45870.743055555555</v>
      </c>
      <c r="F13" s="21" t="s">
        <v>189</v>
      </c>
      <c r="G13" s="23"/>
      <c r="H13" s="23" t="str">
        <f t="shared" si="1"/>
        <v>INSERT INTO tblDayAttendanceLog VALUES (seqDayAttendanceLog.nextval, 12, TO_DATE('2025-08-01', 'YYYY-MM-DD'), TO_DATE('2025-08-01 09:37:00', 'YYYY-MM-DD HH24:MI:SS'), TO_DATE('2025-08-01 17:50:00', 'YYYY-MM-DD HH24:MI:SS'));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>
      <c r="A14" s="25" t="s">
        <v>206</v>
      </c>
      <c r="B14" s="26">
        <v>13.0</v>
      </c>
      <c r="C14" s="27">
        <v>45870.0</v>
      </c>
      <c r="D14" s="28">
        <v>45870.35138888889</v>
      </c>
      <c r="E14" s="28">
        <v>45870.74652777778</v>
      </c>
      <c r="F14" s="21" t="s">
        <v>184</v>
      </c>
      <c r="G14" s="23"/>
      <c r="H14" s="23" t="str">
        <f t="shared" si="1"/>
        <v>INSERT INTO tblDayAttendanceLog VALUES (seqDayAttendanceLog.nextval, 13, TO_DATE('2025-08-01', 'YYYY-MM-DD'), TO_DATE('2025-08-01 08:26:00', 'YYYY-MM-DD HH24:MI:SS'), TO_DATE('2025-08-01 17:55:00', 'YYYY-MM-DD HH24:MI:SS'));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>
      <c r="A15" s="25" t="s">
        <v>206</v>
      </c>
      <c r="B15" s="26">
        <v>14.0</v>
      </c>
      <c r="C15" s="27">
        <v>45870.0</v>
      </c>
      <c r="D15" s="28">
        <v>45870.38055555556</v>
      </c>
      <c r="E15" s="28">
        <v>45870.74444444444</v>
      </c>
      <c r="F15" s="21" t="s">
        <v>189</v>
      </c>
      <c r="G15" s="23"/>
      <c r="H15" s="23" t="str">
        <f t="shared" si="1"/>
        <v>INSERT INTO tblDayAttendanceLog VALUES (seqDayAttendanceLog.nextval, 14, TO_DATE('2025-08-01', 'YYYY-MM-DD'), TO_DATE('2025-08-01 09:08:00', 'YYYY-MM-DD HH24:MI:SS'), TO_DATE('2025-08-01 17:52:00', 'YYYY-MM-DD HH24:MI:SS'));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>
      <c r="A16" s="25" t="s">
        <v>206</v>
      </c>
      <c r="B16" s="26">
        <v>15.0</v>
      </c>
      <c r="C16" s="27">
        <v>45870.0</v>
      </c>
      <c r="D16" s="28">
        <v>45870.40625</v>
      </c>
      <c r="E16" s="28">
        <v>45870.748611111114</v>
      </c>
      <c r="F16" s="21" t="s">
        <v>189</v>
      </c>
      <c r="G16" s="23"/>
      <c r="H16" s="23" t="str">
        <f t="shared" si="1"/>
        <v>INSERT INTO tblDayAttendanceLog VALUES (seqDayAttendanceLog.nextval, 15, TO_DATE('2025-08-01', 'YYYY-MM-DD'), TO_DATE('2025-08-01 09:45:00', 'YYYY-MM-DD HH24:MI:SS'), TO_DATE('2025-08-01 17:58:00', 'YYYY-MM-DD HH24:MI:SS'));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>
      <c r="A17" s="25" t="s">
        <v>206</v>
      </c>
      <c r="B17" s="26">
        <v>16.0</v>
      </c>
      <c r="C17" s="27">
        <v>45870.0</v>
      </c>
      <c r="D17" s="28">
        <v>45870.38958333333</v>
      </c>
      <c r="E17" s="28">
        <v>45870.74652777778</v>
      </c>
      <c r="F17" s="21" t="s">
        <v>189</v>
      </c>
      <c r="G17" s="23"/>
      <c r="H17" s="23" t="str">
        <f t="shared" si="1"/>
        <v>INSERT INTO tblDayAttendanceLog VALUES (seqDayAttendanceLog.nextval, 16, TO_DATE('2025-08-01', 'YYYY-MM-DD'), TO_DATE('2025-08-01 09:21:00', 'YYYY-MM-DD HH24:MI:SS'), TO_DATE('2025-08-01 17:55:00', 'YYYY-MM-DD HH24:MI:SS'));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>
      <c r="A18" s="25" t="s">
        <v>206</v>
      </c>
      <c r="B18" s="26">
        <v>17.0</v>
      </c>
      <c r="C18" s="27">
        <v>45870.0</v>
      </c>
      <c r="D18" s="28">
        <v>45870.39861111111</v>
      </c>
      <c r="E18" s="28">
        <v>45870.748611111114</v>
      </c>
      <c r="F18" s="21" t="s">
        <v>189</v>
      </c>
      <c r="G18" s="23"/>
      <c r="H18" s="23" t="str">
        <f t="shared" si="1"/>
        <v>INSERT INTO tblDayAttendanceLog VALUES (seqDayAttendanceLog.nextval, 17, TO_DATE('2025-08-01', 'YYYY-MM-DD'), TO_DATE('2025-08-01 09:34:00', 'YYYY-MM-DD HH24:MI:SS'), TO_DATE('2025-08-01 17:58:00', 'YYYY-MM-DD HH24:MI:SS'));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>
      <c r="A19" s="25" t="s">
        <v>206</v>
      </c>
      <c r="B19" s="26">
        <v>18.0</v>
      </c>
      <c r="C19" s="27">
        <v>45870.0</v>
      </c>
      <c r="D19" s="28">
        <v>45870.34166666667</v>
      </c>
      <c r="E19" s="28">
        <v>45870.748611111114</v>
      </c>
      <c r="F19" s="21" t="s">
        <v>184</v>
      </c>
      <c r="G19" s="23"/>
      <c r="H19" s="23" t="str">
        <f t="shared" si="1"/>
        <v>INSERT INTO tblDayAttendanceLog VALUES (seqDayAttendanceLog.nextval, 18, TO_DATE('2025-08-01', 'YYYY-MM-DD'), TO_DATE('2025-08-01 08:12:00', 'YYYY-MM-DD HH24:MI:SS'), TO_DATE('2025-08-01 17:58:00', 'YYYY-MM-DD HH24:MI:SS'));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>
      <c r="A20" s="25" t="s">
        <v>206</v>
      </c>
      <c r="B20" s="26">
        <v>19.0</v>
      </c>
      <c r="C20" s="27">
        <v>45870.0</v>
      </c>
      <c r="D20" s="28">
        <v>45870.385416666664</v>
      </c>
      <c r="E20" s="28">
        <v>45870.74652777778</v>
      </c>
      <c r="F20" s="21" t="s">
        <v>189</v>
      </c>
      <c r="G20" s="23"/>
      <c r="H20" s="23" t="str">
        <f t="shared" si="1"/>
        <v>INSERT INTO tblDayAttendanceLog VALUES (seqDayAttendanceLog.nextval, 19, TO_DATE('2025-08-01', 'YYYY-MM-DD'), TO_DATE('2025-08-01 09:15:00', 'YYYY-MM-DD HH24:MI:SS'), TO_DATE('2025-08-01 17:55:00', 'YYYY-MM-DD HH24:MI:SS'));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>
      <c r="A21" s="25" t="s">
        <v>206</v>
      </c>
      <c r="B21" s="26">
        <v>20.0</v>
      </c>
      <c r="C21" s="27">
        <v>45870.0</v>
      </c>
      <c r="D21" s="28">
        <v>45870.40069444444</v>
      </c>
      <c r="E21" s="28">
        <v>45870.74513888889</v>
      </c>
      <c r="F21" s="21" t="s">
        <v>189</v>
      </c>
      <c r="G21" s="23"/>
      <c r="H21" s="23" t="str">
        <f t="shared" si="1"/>
        <v>INSERT INTO tblDayAttendanceLog VALUES (seqDayAttendanceLog.nextval, 20, TO_DATE('2025-08-01', 'YYYY-MM-DD'), TO_DATE('2025-08-01 09:37:00', 'YYYY-MM-DD HH24:MI:SS'), TO_DATE('2025-08-01 17:53:00', 'YYYY-MM-DD HH24:MI:SS'));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A22" s="25" t="s">
        <v>206</v>
      </c>
      <c r="B22" s="26">
        <v>21.0</v>
      </c>
      <c r="C22" s="27">
        <v>45870.0</v>
      </c>
      <c r="D22" s="28">
        <v>45870.40902777778</v>
      </c>
      <c r="E22" s="28">
        <v>45870.74652777778</v>
      </c>
      <c r="F22" s="21" t="s">
        <v>189</v>
      </c>
      <c r="G22" s="23"/>
      <c r="H22" s="23" t="str">
        <f t="shared" si="1"/>
        <v>INSERT INTO tblDayAttendanceLog VALUES (seqDayAttendanceLog.nextval, 21, TO_DATE('2025-08-01', 'YYYY-MM-DD'), TO_DATE('2025-08-01 09:49:00', 'YYYY-MM-DD HH24:MI:SS'), TO_DATE('2025-08-01 17:55:00', 'YYYY-MM-DD HH24:MI:SS'));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A23" s="25" t="s">
        <v>206</v>
      </c>
      <c r="B23" s="26">
        <v>22.0</v>
      </c>
      <c r="C23" s="27">
        <v>45870.0</v>
      </c>
      <c r="D23" s="28">
        <v>45870.40138888889</v>
      </c>
      <c r="E23" s="28">
        <v>45870.748611111114</v>
      </c>
      <c r="F23" s="21" t="s">
        <v>189</v>
      </c>
      <c r="G23" s="23"/>
      <c r="H23" s="23" t="str">
        <f t="shared" si="1"/>
        <v>INSERT INTO tblDayAttendanceLog VALUES (seqDayAttendanceLog.nextval, 22, TO_DATE('2025-08-01', 'YYYY-MM-DD'), TO_DATE('2025-08-01 09:38:00', 'YYYY-MM-DD HH24:MI:SS'), TO_DATE('2025-08-01 17:58:00', 'YYYY-MM-DD HH24:MI:SS'));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25" t="s">
        <v>206</v>
      </c>
      <c r="B24" s="26">
        <v>23.0</v>
      </c>
      <c r="C24" s="27">
        <v>45870.0</v>
      </c>
      <c r="D24" s="28">
        <v>45870.4</v>
      </c>
      <c r="E24" s="28">
        <v>45870.74513888889</v>
      </c>
      <c r="F24" s="21" t="s">
        <v>189</v>
      </c>
      <c r="G24" s="23"/>
      <c r="H24" s="23" t="str">
        <f t="shared" si="1"/>
        <v>INSERT INTO tblDayAttendanceLog VALUES (seqDayAttendanceLog.nextval, 23, TO_DATE('2025-08-01', 'YYYY-MM-DD'), TO_DATE('2025-08-01 09:36:00', 'YYYY-MM-DD HH24:MI:SS'), TO_DATE('2025-08-01 17:53:00', 'YYYY-MM-DD HH24:MI:SS'));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25" t="s">
        <v>206</v>
      </c>
      <c r="B25" s="26">
        <v>24.0</v>
      </c>
      <c r="C25" s="27">
        <v>45870.0</v>
      </c>
      <c r="D25" s="28">
        <v>45870.41111111111</v>
      </c>
      <c r="E25" s="28">
        <v>45870.745833333334</v>
      </c>
      <c r="F25" s="21" t="s">
        <v>189</v>
      </c>
      <c r="G25" s="23"/>
      <c r="H25" s="23" t="str">
        <f t="shared" si="1"/>
        <v>INSERT INTO tblDayAttendanceLog VALUES (seqDayAttendanceLog.nextval, 24, TO_DATE('2025-08-01', 'YYYY-MM-DD'), TO_DATE('2025-08-01 09:52:00', 'YYYY-MM-DD HH24:MI:SS'), TO_DATE('2025-08-01 17:54:00', 'YYYY-MM-DD HH24:MI:SS'));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25" t="s">
        <v>206</v>
      </c>
      <c r="B26" s="26">
        <v>25.0</v>
      </c>
      <c r="C26" s="27">
        <v>45870.0</v>
      </c>
      <c r="D26" s="28">
        <v>45870.4</v>
      </c>
      <c r="E26" s="28">
        <v>45870.74791666667</v>
      </c>
      <c r="F26" s="21" t="s">
        <v>189</v>
      </c>
      <c r="G26" s="23"/>
      <c r="H26" s="23" t="str">
        <f t="shared" si="1"/>
        <v>INSERT INTO tblDayAttendanceLog VALUES (seqDayAttendanceLog.nextval, 25, TO_DATE('2025-08-01', 'YYYY-MM-DD'), TO_DATE('2025-08-01 09:36:00', 'YYYY-MM-DD HH24:MI:SS'), TO_DATE('2025-08-01 17:57:00', 'YYYY-MM-DD HH24:MI:SS'));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25" t="s">
        <v>206</v>
      </c>
      <c r="B27" s="26">
        <v>26.0</v>
      </c>
      <c r="C27" s="27">
        <v>45870.0</v>
      </c>
      <c r="D27" s="28">
        <v>45870.381944444445</v>
      </c>
      <c r="E27" s="28">
        <v>45870.74375</v>
      </c>
      <c r="F27" s="21" t="s">
        <v>189</v>
      </c>
      <c r="G27" s="23"/>
      <c r="H27" s="23" t="str">
        <f t="shared" si="1"/>
        <v>INSERT INTO tblDayAttendanceLog VALUES (seqDayAttendanceLog.nextval, 26, TO_DATE('2025-08-01', 'YYYY-MM-DD'), TO_DATE('2025-08-01 09:10:00', 'YYYY-MM-DD HH24:MI:SS'), TO_DATE('2025-08-01 17:51:00', 'YYYY-MM-DD HH24:MI:SS'));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25" t="s">
        <v>206</v>
      </c>
      <c r="B28" s="26">
        <v>27.0</v>
      </c>
      <c r="C28" s="27">
        <v>45870.0</v>
      </c>
      <c r="D28" s="28">
        <v>45870.365277777775</v>
      </c>
      <c r="E28" s="28">
        <v>45870.743055555555</v>
      </c>
      <c r="F28" s="21" t="s">
        <v>184</v>
      </c>
      <c r="G28" s="23"/>
      <c r="H28" s="23" t="str">
        <f t="shared" si="1"/>
        <v>INSERT INTO tblDayAttendanceLog VALUES (seqDayAttendanceLog.nextval, 27, TO_DATE('2025-08-01', 'YYYY-MM-DD'), TO_DATE('2025-08-01 08:46:00', 'YYYY-MM-DD HH24:MI:SS'), TO_DATE('2025-08-01 17:50:00', 'YYYY-MM-DD HH24:MI:SS'));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25" t="s">
        <v>206</v>
      </c>
      <c r="B29" s="26">
        <v>28.0</v>
      </c>
      <c r="C29" s="27">
        <v>45870.0</v>
      </c>
      <c r="D29" s="28">
        <v>45870.37291666667</v>
      </c>
      <c r="E29" s="28">
        <v>45870.74375</v>
      </c>
      <c r="F29" s="21" t="s">
        <v>184</v>
      </c>
      <c r="G29" s="23"/>
      <c r="H29" s="23" t="str">
        <f t="shared" si="1"/>
        <v>INSERT INTO tblDayAttendanceLog VALUES (seqDayAttendanceLog.nextval, 28, TO_DATE('2025-08-01', 'YYYY-MM-DD'), TO_DATE('2025-08-01 08:57:00', 'YYYY-MM-DD HH24:MI:SS'), TO_DATE('2025-08-01 17:51:00', 'YYYY-MM-DD HH24:MI:SS'));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25" t="s">
        <v>206</v>
      </c>
      <c r="B30" s="26">
        <v>29.0</v>
      </c>
      <c r="C30" s="27">
        <v>45870.0</v>
      </c>
      <c r="D30" s="28">
        <v>45870.353472222225</v>
      </c>
      <c r="E30" s="28">
        <v>45870.74930555555</v>
      </c>
      <c r="F30" s="21" t="s">
        <v>184</v>
      </c>
      <c r="G30" s="23"/>
      <c r="H30" s="23" t="str">
        <f t="shared" si="1"/>
        <v>INSERT INTO tblDayAttendanceLog VALUES (seqDayAttendanceLog.nextval, 29, TO_DATE('2025-08-01', 'YYYY-MM-DD'), TO_DATE('2025-08-01 08:29:00', 'YYYY-MM-DD HH24:MI:SS'), TO_DATE('2025-08-01 17:59:00', 'YYYY-MM-DD HH24:MI:SS'));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25" t="s">
        <v>206</v>
      </c>
      <c r="B31" s="26">
        <v>30.0</v>
      </c>
      <c r="C31" s="27">
        <v>45870.0</v>
      </c>
      <c r="D31" s="28">
        <v>45870.34861111111</v>
      </c>
      <c r="E31" s="28">
        <v>45870.74513888889</v>
      </c>
      <c r="F31" s="21" t="s">
        <v>184</v>
      </c>
      <c r="G31" s="23"/>
      <c r="H31" s="23" t="str">
        <f t="shared" si="1"/>
        <v>INSERT INTO tblDayAttendanceLog VALUES (seqDayAttendanceLog.nextval, 30, TO_DATE('2025-08-01', 'YYYY-MM-DD'), TO_DATE('2025-08-01 08:22:00', 'YYYY-MM-DD HH24:MI:SS'), TO_DATE('2025-08-01 17:53:00', 'YYYY-MM-DD HH24:MI:SS'));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25" t="s">
        <v>206</v>
      </c>
      <c r="B32" s="26">
        <v>31.0</v>
      </c>
      <c r="C32" s="27">
        <v>45870.0</v>
      </c>
      <c r="D32" s="28">
        <v>45870.3875</v>
      </c>
      <c r="E32" s="28">
        <v>45870.748611111114</v>
      </c>
      <c r="F32" s="21" t="s">
        <v>189</v>
      </c>
      <c r="G32" s="23"/>
      <c r="H32" s="23" t="str">
        <f t="shared" si="1"/>
        <v>INSERT INTO tblDayAttendanceLog VALUES (seqDayAttendanceLog.nextval, 31, TO_DATE('2025-08-01', 'YYYY-MM-DD'), TO_DATE('2025-08-01 09:18:00', 'YYYY-MM-DD HH24:MI:SS'), TO_DATE('2025-08-01 17:58:00', 'YYYY-MM-DD HH24:MI:SS'));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>
      <c r="A33" s="25" t="s">
        <v>206</v>
      </c>
      <c r="B33" s="26">
        <v>32.0</v>
      </c>
      <c r="C33" s="27">
        <v>45870.0</v>
      </c>
      <c r="D33" s="28">
        <v>45870.34166666667</v>
      </c>
      <c r="E33" s="28">
        <v>45870.74375</v>
      </c>
      <c r="F33" s="21" t="s">
        <v>184</v>
      </c>
      <c r="G33" s="23"/>
      <c r="H33" s="23" t="str">
        <f t="shared" si="1"/>
        <v>INSERT INTO tblDayAttendanceLog VALUES (seqDayAttendanceLog.nextval, 32, TO_DATE('2025-08-01', 'YYYY-MM-DD'), TO_DATE('2025-08-01 08:12:00', 'YYYY-MM-DD HH24:MI:SS'), TO_DATE('2025-08-01 17:51:00', 'YYYY-MM-DD HH24:MI:SS'));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>
      <c r="A34" s="25" t="s">
        <v>206</v>
      </c>
      <c r="B34" s="26">
        <v>33.0</v>
      </c>
      <c r="C34" s="27">
        <v>45870.0</v>
      </c>
      <c r="D34" s="28">
        <v>45870.38263888889</v>
      </c>
      <c r="E34" s="28">
        <v>45870.748611111114</v>
      </c>
      <c r="F34" s="21" t="s">
        <v>189</v>
      </c>
      <c r="G34" s="23"/>
      <c r="H34" s="23" t="str">
        <f t="shared" si="1"/>
        <v>INSERT INTO tblDayAttendanceLog VALUES (seqDayAttendanceLog.nextval, 33, TO_DATE('2025-08-01', 'YYYY-MM-DD'), TO_DATE('2025-08-01 09:11:00', 'YYYY-MM-DD HH24:MI:SS'), TO_DATE('2025-08-01 17:58:00', 'YYYY-MM-DD HH24:MI:SS'));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>
      <c r="A35" s="25" t="s">
        <v>206</v>
      </c>
      <c r="B35" s="26">
        <v>34.0</v>
      </c>
      <c r="C35" s="27">
        <v>45870.0</v>
      </c>
      <c r="D35" s="28">
        <v>45870.388194444444</v>
      </c>
      <c r="E35" s="28">
        <v>45870.74652777778</v>
      </c>
      <c r="F35" s="21" t="s">
        <v>189</v>
      </c>
      <c r="G35" s="23"/>
      <c r="H35" s="23" t="str">
        <f t="shared" si="1"/>
        <v>INSERT INTO tblDayAttendanceLog VALUES (seqDayAttendanceLog.nextval, 34, TO_DATE('2025-08-01', 'YYYY-MM-DD'), TO_DATE('2025-08-01 09:19:00', 'YYYY-MM-DD HH24:MI:SS'), TO_DATE('2025-08-01 17:55:00', 'YYYY-MM-DD HH24:MI:SS'));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>
      <c r="A36" s="25" t="s">
        <v>206</v>
      </c>
      <c r="B36" s="26">
        <v>35.0</v>
      </c>
      <c r="C36" s="27">
        <v>45870.0</v>
      </c>
      <c r="D36" s="28">
        <v>45870.35902777778</v>
      </c>
      <c r="E36" s="28">
        <v>45870.74722222222</v>
      </c>
      <c r="F36" s="21" t="s">
        <v>184</v>
      </c>
      <c r="G36" s="23"/>
      <c r="H36" s="23" t="str">
        <f t="shared" si="1"/>
        <v>INSERT INTO tblDayAttendanceLog VALUES (seqDayAttendanceLog.nextval, 35, TO_DATE('2025-08-01', 'YYYY-MM-DD'), TO_DATE('2025-08-01 08:37:00', 'YYYY-MM-DD HH24:MI:SS'), TO_DATE('2025-08-01 17:56:00', 'YYYY-MM-DD HH24:MI:SS'));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>
      <c r="A37" s="25" t="s">
        <v>206</v>
      </c>
      <c r="B37" s="26">
        <v>36.0</v>
      </c>
      <c r="C37" s="27">
        <v>45870.0</v>
      </c>
      <c r="D37" s="28">
        <v>45870.333333333336</v>
      </c>
      <c r="E37" s="28">
        <v>45870.74791666667</v>
      </c>
      <c r="F37" s="21" t="s">
        <v>184</v>
      </c>
      <c r="G37" s="23"/>
      <c r="H37" s="23" t="str">
        <f t="shared" si="1"/>
        <v>INSERT INTO tblDayAttendanceLog VALUES (seqDayAttendanceLog.nextval, 36, TO_DATE('2025-08-01', 'YYYY-MM-DD'), TO_DATE('2025-08-01 08:00:00', 'YYYY-MM-DD HH24:MI:SS'), TO_DATE('2025-08-01 17:57:00', 'YYYY-MM-DD HH24:MI:SS'));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>
      <c r="A38" s="25" t="s">
        <v>206</v>
      </c>
      <c r="B38" s="26">
        <v>37.0</v>
      </c>
      <c r="C38" s="27">
        <v>45870.0</v>
      </c>
      <c r="D38" s="28">
        <v>45870.34722222222</v>
      </c>
      <c r="E38" s="28">
        <v>45870.74513888889</v>
      </c>
      <c r="F38" s="21" t="s">
        <v>184</v>
      </c>
      <c r="G38" s="23"/>
      <c r="H38" s="23" t="str">
        <f t="shared" si="1"/>
        <v>INSERT INTO tblDayAttendanceLog VALUES (seqDayAttendanceLog.nextval, 37, TO_DATE('2025-08-01', 'YYYY-MM-DD'), TO_DATE('2025-08-01 08:20:00', 'YYYY-MM-DD HH24:MI:SS'), TO_DATE('2025-08-01 17:53:00', 'YYYY-MM-DD HH24:MI:SS'));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>
      <c r="A39" s="25" t="s">
        <v>206</v>
      </c>
      <c r="B39" s="26">
        <v>38.0</v>
      </c>
      <c r="C39" s="27">
        <v>45870.0</v>
      </c>
      <c r="D39" s="28">
        <v>45870.33888888889</v>
      </c>
      <c r="E39" s="28">
        <v>45870.74652777778</v>
      </c>
      <c r="F39" s="21" t="s">
        <v>184</v>
      </c>
      <c r="G39" s="23"/>
      <c r="H39" s="23" t="str">
        <f t="shared" si="1"/>
        <v>INSERT INTO tblDayAttendanceLog VALUES (seqDayAttendanceLog.nextval, 38, TO_DATE('2025-08-01', 'YYYY-MM-DD'), TO_DATE('2025-08-01 08:08:00', 'YYYY-MM-DD HH24:MI:SS'), TO_DATE('2025-08-01 17:55:00', 'YYYY-MM-DD HH24:MI:SS'));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>
      <c r="A40" s="25" t="s">
        <v>206</v>
      </c>
      <c r="B40" s="26">
        <v>39.0</v>
      </c>
      <c r="C40" s="27">
        <v>45870.0</v>
      </c>
      <c r="D40" s="28">
        <v>45870.385416666664</v>
      </c>
      <c r="E40" s="28">
        <v>45870.74375</v>
      </c>
      <c r="F40" s="21" t="s">
        <v>189</v>
      </c>
      <c r="G40" s="23"/>
      <c r="H40" s="23" t="str">
        <f t="shared" si="1"/>
        <v>INSERT INTO tblDayAttendanceLog VALUES (seqDayAttendanceLog.nextval, 39, TO_DATE('2025-08-01', 'YYYY-MM-DD'), TO_DATE('2025-08-01 09:15:00', 'YYYY-MM-DD HH24:MI:SS'), TO_DATE('2025-08-01 17:51:00', 'YYYY-MM-DD HH24:MI:SS'));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>
      <c r="A41" s="25" t="s">
        <v>206</v>
      </c>
      <c r="B41" s="26">
        <v>40.0</v>
      </c>
      <c r="C41" s="27">
        <v>45870.0</v>
      </c>
      <c r="D41" s="28">
        <v>45870.393055555556</v>
      </c>
      <c r="E41" s="28">
        <v>45870.74722222222</v>
      </c>
      <c r="F41" s="21" t="s">
        <v>189</v>
      </c>
      <c r="G41" s="23"/>
      <c r="H41" s="23" t="str">
        <f t="shared" si="1"/>
        <v>INSERT INTO tblDayAttendanceLog VALUES (seqDayAttendanceLog.nextval, 40, TO_DATE('2025-08-01', 'YYYY-MM-DD'), TO_DATE('2025-08-01 09:26:00', 'YYYY-MM-DD HH24:MI:SS'), TO_DATE('2025-08-01 17:56:00', 'YYYY-MM-DD HH24:MI:SS'));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>
      <c r="A42" s="25" t="s">
        <v>206</v>
      </c>
      <c r="B42" s="26">
        <v>41.0</v>
      </c>
      <c r="C42" s="27">
        <v>45870.0</v>
      </c>
      <c r="D42" s="28">
        <v>45870.333333333336</v>
      </c>
      <c r="E42" s="28">
        <v>45870.74722222222</v>
      </c>
      <c r="F42" s="21" t="s">
        <v>184</v>
      </c>
      <c r="G42" s="23"/>
      <c r="H42" s="23" t="str">
        <f t="shared" si="1"/>
        <v>INSERT INTO tblDayAttendanceLog VALUES (seqDayAttendanceLog.nextval, 41, TO_DATE('2025-08-01', 'YYYY-MM-DD'), TO_DATE('2025-08-01 08:00:00', 'YYYY-MM-DD HH24:MI:SS'), TO_DATE('2025-08-01 17:56:00', 'YYYY-MM-DD HH24:MI:SS'));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>
      <c r="A43" s="25" t="s">
        <v>206</v>
      </c>
      <c r="B43" s="26">
        <v>42.0</v>
      </c>
      <c r="C43" s="27">
        <v>45870.0</v>
      </c>
      <c r="D43" s="28">
        <v>45870.40277777778</v>
      </c>
      <c r="E43" s="28">
        <v>45870.743055555555</v>
      </c>
      <c r="F43" s="21" t="s">
        <v>189</v>
      </c>
      <c r="G43" s="23"/>
      <c r="H43" s="23" t="str">
        <f t="shared" si="1"/>
        <v>INSERT INTO tblDayAttendanceLog VALUES (seqDayAttendanceLog.nextval, 42, TO_DATE('2025-08-01', 'YYYY-MM-DD'), TO_DATE('2025-08-01 09:40:00', 'YYYY-MM-DD HH24:MI:SS'), TO_DATE('2025-08-01 17:50:00', 'YYYY-MM-DD HH24:MI:SS'));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>
      <c r="A44" s="25" t="s">
        <v>206</v>
      </c>
      <c r="B44" s="26">
        <v>43.0</v>
      </c>
      <c r="C44" s="27">
        <v>45870.0</v>
      </c>
      <c r="D44" s="28">
        <v>45870.35625</v>
      </c>
      <c r="E44" s="28">
        <v>45870.748611111114</v>
      </c>
      <c r="F44" s="21" t="s">
        <v>184</v>
      </c>
      <c r="G44" s="23"/>
      <c r="H44" s="23" t="str">
        <f t="shared" si="1"/>
        <v>INSERT INTO tblDayAttendanceLog VALUES (seqDayAttendanceLog.nextval, 43, TO_DATE('2025-08-01', 'YYYY-MM-DD'), TO_DATE('2025-08-01 08:33:00', 'YYYY-MM-DD HH24:MI:SS'), TO_DATE('2025-08-01 17:58:00', 'YYYY-MM-DD HH24:MI:SS'));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>
      <c r="A45" s="25" t="s">
        <v>206</v>
      </c>
      <c r="B45" s="26">
        <v>44.0</v>
      </c>
      <c r="C45" s="27">
        <v>45870.0</v>
      </c>
      <c r="D45" s="28">
        <v>45870.35902777778</v>
      </c>
      <c r="E45" s="28">
        <v>45870.74444444444</v>
      </c>
      <c r="F45" s="21" t="s">
        <v>184</v>
      </c>
      <c r="G45" s="23"/>
      <c r="H45" s="23" t="str">
        <f t="shared" si="1"/>
        <v>INSERT INTO tblDayAttendanceLog VALUES (seqDayAttendanceLog.nextval, 44, TO_DATE('2025-08-01', 'YYYY-MM-DD'), TO_DATE('2025-08-01 08:37:00', 'YYYY-MM-DD HH24:MI:SS'), TO_DATE('2025-08-01 17:52:00', 'YYYY-MM-DD HH24:MI:SS'));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>
      <c r="A46" s="25" t="s">
        <v>206</v>
      </c>
      <c r="B46" s="26">
        <v>45.0</v>
      </c>
      <c r="C46" s="27">
        <v>45870.0</v>
      </c>
      <c r="D46" s="28">
        <v>45870.373611111114</v>
      </c>
      <c r="E46" s="28">
        <v>45870.745833333334</v>
      </c>
      <c r="F46" s="21" t="s">
        <v>184</v>
      </c>
      <c r="G46" s="23"/>
      <c r="H46" s="23" t="str">
        <f t="shared" si="1"/>
        <v>INSERT INTO tblDayAttendanceLog VALUES (seqDayAttendanceLog.nextval, 45, TO_DATE('2025-08-01', 'YYYY-MM-DD'), TO_DATE('2025-08-01 08:58:00', 'YYYY-MM-DD HH24:MI:SS'), TO_DATE('2025-08-01 17:54:00', 'YYYY-MM-DD HH24:MI:SS'));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>
      <c r="A47" s="25" t="s">
        <v>206</v>
      </c>
      <c r="B47" s="26">
        <v>46.0</v>
      </c>
      <c r="C47" s="27">
        <v>45870.0</v>
      </c>
      <c r="D47" s="28">
        <v>45870.33819444444</v>
      </c>
      <c r="E47" s="28">
        <v>45870.74791666667</v>
      </c>
      <c r="F47" s="21" t="s">
        <v>184</v>
      </c>
      <c r="G47" s="23"/>
      <c r="H47" s="23" t="str">
        <f t="shared" si="1"/>
        <v>INSERT INTO tblDayAttendanceLog VALUES (seqDayAttendanceLog.nextval, 46, TO_DATE('2025-08-01', 'YYYY-MM-DD'), TO_DATE('2025-08-01 08:07:00', 'YYYY-MM-DD HH24:MI:SS'), TO_DATE('2025-08-01 17:57:00', 'YYYY-MM-DD HH24:MI:SS'));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>
      <c r="A48" s="25" t="s">
        <v>206</v>
      </c>
      <c r="B48" s="26">
        <v>47.0</v>
      </c>
      <c r="C48" s="27">
        <v>45870.0</v>
      </c>
      <c r="D48" s="28">
        <v>45870.35902777778</v>
      </c>
      <c r="E48" s="28">
        <v>45870.74722222222</v>
      </c>
      <c r="F48" s="21" t="s">
        <v>184</v>
      </c>
      <c r="G48" s="23"/>
      <c r="H48" s="23" t="str">
        <f t="shared" si="1"/>
        <v>INSERT INTO tblDayAttendanceLog VALUES (seqDayAttendanceLog.nextval, 47, TO_DATE('2025-08-01', 'YYYY-MM-DD'), TO_DATE('2025-08-01 08:37:00', 'YYYY-MM-DD HH24:MI:SS'), TO_DATE('2025-08-01 17:56:00', 'YYYY-MM-DD HH24:MI:SS'));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>
      <c r="A49" s="25" t="s">
        <v>206</v>
      </c>
      <c r="B49" s="26">
        <v>48.0</v>
      </c>
      <c r="C49" s="27">
        <v>45870.0</v>
      </c>
      <c r="D49" s="28">
        <v>45870.40694444445</v>
      </c>
      <c r="E49" s="28">
        <v>45870.74513888889</v>
      </c>
      <c r="F49" s="21" t="s">
        <v>189</v>
      </c>
      <c r="G49" s="23"/>
      <c r="H49" s="23" t="str">
        <f t="shared" si="1"/>
        <v>INSERT INTO tblDayAttendanceLog VALUES (seqDayAttendanceLog.nextval, 48, TO_DATE('2025-08-01', 'YYYY-MM-DD'), TO_DATE('2025-08-01 09:46:00', 'YYYY-MM-DD HH24:MI:SS'), TO_DATE('2025-08-01 17:53:00', 'YYYY-MM-DD HH24:MI:SS'));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>
      <c r="A50" s="25" t="s">
        <v>206</v>
      </c>
      <c r="B50" s="26">
        <v>49.0</v>
      </c>
      <c r="C50" s="27">
        <v>45870.0</v>
      </c>
      <c r="D50" s="28">
        <v>45870.370833333334</v>
      </c>
      <c r="E50" s="28">
        <v>45870.74930555555</v>
      </c>
      <c r="F50" s="21" t="s">
        <v>184</v>
      </c>
      <c r="G50" s="23"/>
      <c r="H50" s="23" t="str">
        <f t="shared" si="1"/>
        <v>INSERT INTO tblDayAttendanceLog VALUES (seqDayAttendanceLog.nextval, 49, TO_DATE('2025-08-01', 'YYYY-MM-DD'), TO_DATE('2025-08-01 08:54:00', 'YYYY-MM-DD HH24:MI:SS'), TO_DATE('2025-08-01 17:59:00', 'YYYY-MM-DD HH24:MI:SS'));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>
      <c r="A51" s="25" t="s">
        <v>206</v>
      </c>
      <c r="B51" s="26">
        <v>50.0</v>
      </c>
      <c r="C51" s="27">
        <v>45870.0</v>
      </c>
      <c r="D51" s="28">
        <v>45870.40833333333</v>
      </c>
      <c r="E51" s="28">
        <v>45870.743055555555</v>
      </c>
      <c r="F51" s="21" t="s">
        <v>189</v>
      </c>
      <c r="G51" s="23"/>
      <c r="H51" s="23" t="str">
        <f t="shared" si="1"/>
        <v>INSERT INTO tblDayAttendanceLog VALUES (seqDayAttendanceLog.nextval, 50, TO_DATE('2025-08-01', 'YYYY-MM-DD'), TO_DATE('2025-08-01 09:48:00', 'YYYY-MM-DD HH24:MI:SS'), TO_DATE('2025-08-01 17:50:00', 'YYYY-MM-DD HH24:MI:SS'));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>
      <c r="A52" s="25" t="s">
        <v>206</v>
      </c>
      <c r="B52" s="26">
        <v>51.0</v>
      </c>
      <c r="C52" s="27">
        <v>45870.0</v>
      </c>
      <c r="D52" s="28">
        <v>45870.35625</v>
      </c>
      <c r="E52" s="28">
        <v>45870.74375</v>
      </c>
      <c r="F52" s="21" t="s">
        <v>184</v>
      </c>
      <c r="G52" s="23"/>
      <c r="H52" s="23" t="str">
        <f t="shared" si="1"/>
        <v>INSERT INTO tblDayAttendanceLog VALUES (seqDayAttendanceLog.nextval, 51, TO_DATE('2025-08-01', 'YYYY-MM-DD'), TO_DATE('2025-08-01 08:33:00', 'YYYY-MM-DD HH24:MI:SS'), TO_DATE('2025-08-01 17:51:00', 'YYYY-MM-DD HH24:MI:SS'));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>
      <c r="A53" s="25" t="s">
        <v>206</v>
      </c>
      <c r="B53" s="26">
        <v>52.0</v>
      </c>
      <c r="C53" s="27">
        <v>45870.0</v>
      </c>
      <c r="D53" s="28">
        <v>45870.37777777778</v>
      </c>
      <c r="E53" s="28">
        <v>45870.74722222222</v>
      </c>
      <c r="F53" s="21" t="s">
        <v>189</v>
      </c>
      <c r="G53" s="23"/>
      <c r="H53" s="23" t="str">
        <f t="shared" si="1"/>
        <v>INSERT INTO tblDayAttendanceLog VALUES (seqDayAttendanceLog.nextval, 52, TO_DATE('2025-08-01', 'YYYY-MM-DD'), TO_DATE('2025-08-01 09:04:00', 'YYYY-MM-DD HH24:MI:SS'), TO_DATE('2025-08-01 17:56:00', 'YYYY-MM-DD HH24:MI:SS'));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>
      <c r="A54" s="25" t="s">
        <v>206</v>
      </c>
      <c r="B54" s="26">
        <v>53.0</v>
      </c>
      <c r="C54" s="27">
        <v>45870.0</v>
      </c>
      <c r="D54" s="28">
        <v>45870.41111111111</v>
      </c>
      <c r="E54" s="28">
        <v>45870.748611111114</v>
      </c>
      <c r="F54" s="21" t="s">
        <v>189</v>
      </c>
      <c r="G54" s="23"/>
      <c r="H54" s="23" t="str">
        <f t="shared" si="1"/>
        <v>INSERT INTO tblDayAttendanceLog VALUES (seqDayAttendanceLog.nextval, 53, TO_DATE('2025-08-01', 'YYYY-MM-DD'), TO_DATE('2025-08-01 09:52:00', 'YYYY-MM-DD HH24:MI:SS'), TO_DATE('2025-08-01 17:58:00', 'YYYY-MM-DD HH24:MI:SS'));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>
      <c r="A55" s="25" t="s">
        <v>206</v>
      </c>
      <c r="B55" s="26">
        <v>54.0</v>
      </c>
      <c r="C55" s="27">
        <v>45870.0</v>
      </c>
      <c r="D55" s="28">
        <v>45870.4125</v>
      </c>
      <c r="E55" s="28">
        <v>45870.745833333334</v>
      </c>
      <c r="F55" s="21" t="s">
        <v>189</v>
      </c>
      <c r="G55" s="23"/>
      <c r="H55" s="23" t="str">
        <f t="shared" si="1"/>
        <v>INSERT INTO tblDayAttendanceLog VALUES (seqDayAttendanceLog.nextval, 54, TO_DATE('2025-08-01', 'YYYY-MM-DD'), TO_DATE('2025-08-01 09:54:00', 'YYYY-MM-DD HH24:MI:SS'), TO_DATE('2025-08-01 17:54:00', 'YYYY-MM-DD HH24:MI:SS'));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>
      <c r="A56" s="25" t="s">
        <v>206</v>
      </c>
      <c r="B56" s="26">
        <v>55.0</v>
      </c>
      <c r="C56" s="27">
        <v>45870.0</v>
      </c>
      <c r="D56" s="28">
        <v>45870.41527777778</v>
      </c>
      <c r="E56" s="28">
        <v>45870.74930555555</v>
      </c>
      <c r="F56" s="21" t="s">
        <v>189</v>
      </c>
      <c r="G56" s="23"/>
      <c r="H56" s="23" t="str">
        <f t="shared" si="1"/>
        <v>INSERT INTO tblDayAttendanceLog VALUES (seqDayAttendanceLog.nextval, 55, TO_DATE('2025-08-01', 'YYYY-MM-DD'), TO_DATE('2025-08-01 09:58:00', 'YYYY-MM-DD HH24:MI:SS'), TO_DATE('2025-08-01 17:59:00', 'YYYY-MM-DD HH24:MI:SS'));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>
      <c r="A57" s="25" t="s">
        <v>206</v>
      </c>
      <c r="B57" s="26">
        <v>56.0</v>
      </c>
      <c r="C57" s="27">
        <v>45870.0</v>
      </c>
      <c r="D57" s="28">
        <v>45870.35902777778</v>
      </c>
      <c r="E57" s="28">
        <v>45870.74375</v>
      </c>
      <c r="F57" s="21" t="s">
        <v>184</v>
      </c>
      <c r="G57" s="23"/>
      <c r="H57" s="23" t="str">
        <f t="shared" si="1"/>
        <v>INSERT INTO tblDayAttendanceLog VALUES (seqDayAttendanceLog.nextval, 56, TO_DATE('2025-08-01', 'YYYY-MM-DD'), TO_DATE('2025-08-01 08:37:00', 'YYYY-MM-DD HH24:MI:SS'), TO_DATE('2025-08-01 17:51:00', 'YYYY-MM-DD HH24:MI:SS'));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>
      <c r="A58" s="25" t="s">
        <v>206</v>
      </c>
      <c r="B58" s="26">
        <v>57.0</v>
      </c>
      <c r="C58" s="27">
        <v>45870.0</v>
      </c>
      <c r="D58" s="28">
        <v>45870.34583333333</v>
      </c>
      <c r="E58" s="28">
        <v>45870.74513888889</v>
      </c>
      <c r="F58" s="21" t="s">
        <v>184</v>
      </c>
      <c r="G58" s="23"/>
      <c r="H58" s="23" t="str">
        <f t="shared" si="1"/>
        <v>INSERT INTO tblDayAttendanceLog VALUES (seqDayAttendanceLog.nextval, 57, TO_DATE('2025-08-01', 'YYYY-MM-DD'), TO_DATE('2025-08-01 08:18:00', 'YYYY-MM-DD HH24:MI:SS'), TO_DATE('2025-08-01 17:53:00', 'YYYY-MM-DD HH24:MI:SS'));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>
      <c r="A59" s="25" t="s">
        <v>206</v>
      </c>
      <c r="B59" s="26">
        <v>58.0</v>
      </c>
      <c r="C59" s="27">
        <v>45870.0</v>
      </c>
      <c r="D59" s="28">
        <v>45870.364583333336</v>
      </c>
      <c r="E59" s="28">
        <v>45870.743055555555</v>
      </c>
      <c r="F59" s="21" t="s">
        <v>184</v>
      </c>
      <c r="G59" s="23"/>
      <c r="H59" s="23" t="str">
        <f t="shared" si="1"/>
        <v>INSERT INTO tblDayAttendanceLog VALUES (seqDayAttendanceLog.nextval, 58, TO_DATE('2025-08-01', 'YYYY-MM-DD'), TO_DATE('2025-08-01 08:45:00', 'YYYY-MM-DD HH24:MI:SS'), TO_DATE('2025-08-01 17:50:00', 'YYYY-MM-DD HH24:MI:SS'));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>
      <c r="A60" s="25" t="s">
        <v>206</v>
      </c>
      <c r="B60" s="26">
        <v>59.0</v>
      </c>
      <c r="C60" s="27">
        <v>45870.0</v>
      </c>
      <c r="D60" s="28">
        <v>45870.38402777778</v>
      </c>
      <c r="E60" s="28">
        <v>45870.74791666667</v>
      </c>
      <c r="F60" s="21" t="s">
        <v>189</v>
      </c>
      <c r="G60" s="23"/>
      <c r="H60" s="23" t="str">
        <f t="shared" si="1"/>
        <v>INSERT INTO tblDayAttendanceLog VALUES (seqDayAttendanceLog.nextval, 59, TO_DATE('2025-08-01', 'YYYY-MM-DD'), TO_DATE('2025-08-01 09:13:00', 'YYYY-MM-DD HH24:MI:SS'), TO_DATE('2025-08-01 17:57:00', 'YYYY-MM-DD HH24:MI:SS'));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>
      <c r="A61" s="25" t="s">
        <v>206</v>
      </c>
      <c r="B61" s="26">
        <v>60.0</v>
      </c>
      <c r="C61" s="27">
        <v>45870.0</v>
      </c>
      <c r="D61" s="28">
        <v>45870.38402777778</v>
      </c>
      <c r="E61" s="28">
        <v>45870.74652777778</v>
      </c>
      <c r="F61" s="21" t="s">
        <v>189</v>
      </c>
      <c r="G61" s="23"/>
      <c r="H61" s="23" t="str">
        <f t="shared" si="1"/>
        <v>INSERT INTO tblDayAttendanceLog VALUES (seqDayAttendanceLog.nextval, 60, TO_DATE('2025-08-01', 'YYYY-MM-DD'), TO_DATE('2025-08-01 09:13:00', 'YYYY-MM-DD HH24:MI:SS'), TO_DATE('2025-08-01 17:55:00', 'YYYY-MM-DD HH24:MI:SS'));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>
      <c r="A62" s="25" t="s">
        <v>206</v>
      </c>
      <c r="B62" s="26">
        <v>61.0</v>
      </c>
      <c r="C62" s="27">
        <v>45870.0</v>
      </c>
      <c r="D62" s="28">
        <v>45870.35208333333</v>
      </c>
      <c r="E62" s="28">
        <v>45870.745833333334</v>
      </c>
      <c r="F62" s="21" t="s">
        <v>184</v>
      </c>
      <c r="G62" s="23"/>
      <c r="H62" s="23" t="str">
        <f t="shared" si="1"/>
        <v>INSERT INTO tblDayAttendanceLog VALUES (seqDayAttendanceLog.nextval, 61, TO_DATE('2025-08-01', 'YYYY-MM-DD'), TO_DATE('2025-08-01 08:27:00', 'YYYY-MM-DD HH24:MI:SS'), TO_DATE('2025-08-01 17:54:00', 'YYYY-MM-DD HH24:MI:SS'));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>
      <c r="A63" s="25" t="s">
        <v>206</v>
      </c>
      <c r="B63" s="26">
        <v>62.0</v>
      </c>
      <c r="C63" s="27">
        <v>45870.0</v>
      </c>
      <c r="D63" s="28">
        <v>45870.34166666667</v>
      </c>
      <c r="E63" s="28">
        <v>45870.748611111114</v>
      </c>
      <c r="F63" s="21" t="s">
        <v>184</v>
      </c>
      <c r="G63" s="23"/>
      <c r="H63" s="23" t="str">
        <f t="shared" si="1"/>
        <v>INSERT INTO tblDayAttendanceLog VALUES (seqDayAttendanceLog.nextval, 62, TO_DATE('2025-08-01', 'YYYY-MM-DD'), TO_DATE('2025-08-01 08:12:00', 'YYYY-MM-DD HH24:MI:SS'), TO_DATE('2025-08-01 17:58:00', 'YYYY-MM-DD HH24:MI:SS'));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>
      <c r="A64" s="25" t="s">
        <v>206</v>
      </c>
      <c r="B64" s="26">
        <v>63.0</v>
      </c>
      <c r="C64" s="27">
        <v>45870.0</v>
      </c>
      <c r="D64" s="28">
        <v>45870.33819444444</v>
      </c>
      <c r="E64" s="28">
        <v>45870.745833333334</v>
      </c>
      <c r="F64" s="21" t="s">
        <v>184</v>
      </c>
      <c r="G64" s="23"/>
      <c r="H64" s="23" t="str">
        <f t="shared" si="1"/>
        <v>INSERT INTO tblDayAttendanceLog VALUES (seqDayAttendanceLog.nextval, 63, TO_DATE('2025-08-01', 'YYYY-MM-DD'), TO_DATE('2025-08-01 08:07:00', 'YYYY-MM-DD HH24:MI:SS'), TO_DATE('2025-08-01 17:54:00', 'YYYY-MM-DD HH24:MI:SS'));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>
      <c r="A65" s="25" t="s">
        <v>206</v>
      </c>
      <c r="B65" s="26">
        <v>64.0</v>
      </c>
      <c r="C65" s="27">
        <v>45870.0</v>
      </c>
      <c r="D65" s="28">
        <v>45870.336805555555</v>
      </c>
      <c r="E65" s="28">
        <v>45870.74444444444</v>
      </c>
      <c r="F65" s="21" t="s">
        <v>184</v>
      </c>
      <c r="G65" s="23"/>
      <c r="H65" s="23" t="str">
        <f t="shared" si="1"/>
        <v>INSERT INTO tblDayAttendanceLog VALUES (seqDayAttendanceLog.nextval, 64, TO_DATE('2025-08-01', 'YYYY-MM-DD'), TO_DATE('2025-08-01 08:05:00', 'YYYY-MM-DD HH24:MI:SS'), TO_DATE('2025-08-01 17:52:00', 'YYYY-MM-DD HH24:MI:SS'));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>
      <c r="A66" s="25" t="s">
        <v>206</v>
      </c>
      <c r="B66" s="26">
        <v>65.0</v>
      </c>
      <c r="C66" s="27">
        <v>45870.0</v>
      </c>
      <c r="D66" s="28">
        <v>45870.35208333333</v>
      </c>
      <c r="E66" s="28">
        <v>45870.74722222222</v>
      </c>
      <c r="F66" s="21" t="s">
        <v>184</v>
      </c>
      <c r="G66" s="23"/>
      <c r="H66" s="23" t="str">
        <f t="shared" si="1"/>
        <v>INSERT INTO tblDayAttendanceLog VALUES (seqDayAttendanceLog.nextval, 65, TO_DATE('2025-08-01', 'YYYY-MM-DD'), TO_DATE('2025-08-01 08:27:00', 'YYYY-MM-DD HH24:MI:SS'), TO_DATE('2025-08-01 17:56:00', 'YYYY-MM-DD HH24:MI:SS'));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>
      <c r="A67" s="25" t="s">
        <v>206</v>
      </c>
      <c r="B67" s="26">
        <v>66.0</v>
      </c>
      <c r="C67" s="27">
        <v>45870.0</v>
      </c>
      <c r="D67" s="28">
        <v>45870.388194444444</v>
      </c>
      <c r="E67" s="28">
        <v>45870.74513888889</v>
      </c>
      <c r="F67" s="21" t="s">
        <v>189</v>
      </c>
      <c r="G67" s="23"/>
      <c r="H67" s="23" t="str">
        <f t="shared" si="1"/>
        <v>INSERT INTO tblDayAttendanceLog VALUES (seqDayAttendanceLog.nextval, 66, TO_DATE('2025-08-01', 'YYYY-MM-DD'), TO_DATE('2025-08-01 09:19:00', 'YYYY-MM-DD HH24:MI:SS'), TO_DATE('2025-08-01 17:53:00', 'YYYY-MM-DD HH24:MI:SS'));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>
      <c r="A68" s="25" t="s">
        <v>206</v>
      </c>
      <c r="B68" s="26">
        <v>67.0</v>
      </c>
      <c r="C68" s="27">
        <v>45870.0</v>
      </c>
      <c r="D68" s="28">
        <v>45870.34166666667</v>
      </c>
      <c r="E68" s="28">
        <v>45870.74791666667</v>
      </c>
      <c r="F68" s="21" t="s">
        <v>184</v>
      </c>
      <c r="G68" s="23"/>
      <c r="H68" s="23" t="str">
        <f t="shared" si="1"/>
        <v>INSERT INTO tblDayAttendanceLog VALUES (seqDayAttendanceLog.nextval, 67, TO_DATE('2025-08-01', 'YYYY-MM-DD'), TO_DATE('2025-08-01 08:12:00', 'YYYY-MM-DD HH24:MI:SS'), TO_DATE('2025-08-01 17:57:00', 'YYYY-MM-DD HH24:MI:SS'));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>
      <c r="A69" s="25" t="s">
        <v>206</v>
      </c>
      <c r="B69" s="26">
        <v>68.0</v>
      </c>
      <c r="C69" s="27">
        <v>45870.0</v>
      </c>
      <c r="D69" s="28">
        <v>45870.40277777778</v>
      </c>
      <c r="E69" s="28">
        <v>45870.743055555555</v>
      </c>
      <c r="F69" s="21" t="s">
        <v>189</v>
      </c>
      <c r="G69" s="23"/>
      <c r="H69" s="23" t="str">
        <f t="shared" si="1"/>
        <v>INSERT INTO tblDayAttendanceLog VALUES (seqDayAttendanceLog.nextval, 68, TO_DATE('2025-08-01', 'YYYY-MM-DD'), TO_DATE('2025-08-01 09:40:00', 'YYYY-MM-DD HH24:MI:SS'), TO_DATE('2025-08-01 17:50:00', 'YYYY-MM-DD HH24:MI:SS'));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>
      <c r="A70" s="25" t="s">
        <v>206</v>
      </c>
      <c r="B70" s="26">
        <v>69.0</v>
      </c>
      <c r="C70" s="27">
        <v>45870.0</v>
      </c>
      <c r="D70" s="28">
        <v>45870.333333333336</v>
      </c>
      <c r="E70" s="28">
        <v>45870.745833333334</v>
      </c>
      <c r="F70" s="21" t="s">
        <v>184</v>
      </c>
      <c r="G70" s="23"/>
      <c r="H70" s="23" t="str">
        <f t="shared" si="1"/>
        <v>INSERT INTO tblDayAttendanceLog VALUES (seqDayAttendanceLog.nextval, 69, TO_DATE('2025-08-01', 'YYYY-MM-DD'), TO_DATE('2025-08-01 08:00:00', 'YYYY-MM-DD HH24:MI:SS'), TO_DATE('2025-08-01 17:54:00', 'YYYY-MM-DD HH24:MI:SS'));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>
      <c r="A71" s="25" t="s">
        <v>206</v>
      </c>
      <c r="B71" s="26">
        <v>70.0</v>
      </c>
      <c r="C71" s="27">
        <v>45870.0</v>
      </c>
      <c r="D71" s="28">
        <v>45870.40416666667</v>
      </c>
      <c r="E71" s="28">
        <v>45870.748611111114</v>
      </c>
      <c r="F71" s="21" t="s">
        <v>189</v>
      </c>
      <c r="G71" s="23"/>
      <c r="H71" s="23" t="str">
        <f t="shared" si="1"/>
        <v>INSERT INTO tblDayAttendanceLog VALUES (seqDayAttendanceLog.nextval, 70, TO_DATE('2025-08-01', 'YYYY-MM-DD'), TO_DATE('2025-08-01 09:42:00', 'YYYY-MM-DD HH24:MI:SS'), TO_DATE('2025-08-01 17:58:00', 'YYYY-MM-DD HH24:MI:SS'));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>
      <c r="A72" s="25" t="s">
        <v>206</v>
      </c>
      <c r="B72" s="26">
        <v>71.0</v>
      </c>
      <c r="C72" s="27">
        <v>45870.0</v>
      </c>
      <c r="D72" s="28">
        <v>45870.37222222222</v>
      </c>
      <c r="E72" s="28">
        <v>45870.745833333334</v>
      </c>
      <c r="F72" s="21" t="s">
        <v>184</v>
      </c>
      <c r="G72" s="23"/>
      <c r="H72" s="23" t="str">
        <f t="shared" si="1"/>
        <v>INSERT INTO tblDayAttendanceLog VALUES (seqDayAttendanceLog.nextval, 71, TO_DATE('2025-08-01', 'YYYY-MM-DD'), TO_DATE('2025-08-01 08:56:00', 'YYYY-MM-DD HH24:MI:SS'), TO_DATE('2025-08-01 17:54:00', 'YYYY-MM-DD HH24:MI:SS'));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>
      <c r="A73" s="25" t="s">
        <v>206</v>
      </c>
      <c r="B73" s="26">
        <v>72.0</v>
      </c>
      <c r="C73" s="27">
        <v>45870.0</v>
      </c>
      <c r="D73" s="28">
        <v>45870.336805555555</v>
      </c>
      <c r="E73" s="28">
        <v>45870.74444444444</v>
      </c>
      <c r="F73" s="21" t="s">
        <v>184</v>
      </c>
      <c r="G73" s="23"/>
      <c r="H73" s="23" t="str">
        <f t="shared" si="1"/>
        <v>INSERT INTO tblDayAttendanceLog VALUES (seqDayAttendanceLog.nextval, 72, TO_DATE('2025-08-01', 'YYYY-MM-DD'), TO_DATE('2025-08-01 08:05:00', 'YYYY-MM-DD HH24:MI:SS'), TO_DATE('2025-08-01 17:52:00', 'YYYY-MM-DD HH24:MI:SS'));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>
      <c r="A74" s="25" t="s">
        <v>206</v>
      </c>
      <c r="B74" s="26">
        <v>73.0</v>
      </c>
      <c r="C74" s="27">
        <v>45870.0</v>
      </c>
      <c r="D74" s="28">
        <v>45870.34305555555</v>
      </c>
      <c r="E74" s="28">
        <v>45870.74375</v>
      </c>
      <c r="F74" s="21" t="s">
        <v>184</v>
      </c>
      <c r="G74" s="23"/>
      <c r="H74" s="23" t="str">
        <f t="shared" si="1"/>
        <v>INSERT INTO tblDayAttendanceLog VALUES (seqDayAttendanceLog.nextval, 73, TO_DATE('2025-08-01', 'YYYY-MM-DD'), TO_DATE('2025-08-01 08:14:00', 'YYYY-MM-DD HH24:MI:SS'), TO_DATE('2025-08-01 17:51:00', 'YYYY-MM-DD HH24:MI:SS'));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>
      <c r="A75" s="25" t="s">
        <v>206</v>
      </c>
      <c r="B75" s="26">
        <v>74.0</v>
      </c>
      <c r="C75" s="27">
        <v>45870.0</v>
      </c>
      <c r="D75" s="28">
        <v>45870.333333333336</v>
      </c>
      <c r="E75" s="28">
        <v>45870.748611111114</v>
      </c>
      <c r="F75" s="21" t="s">
        <v>184</v>
      </c>
      <c r="G75" s="23"/>
      <c r="H75" s="23" t="str">
        <f t="shared" si="1"/>
        <v>INSERT INTO tblDayAttendanceLog VALUES (seqDayAttendanceLog.nextval, 74, TO_DATE('2025-08-01', 'YYYY-MM-DD'), TO_DATE('2025-08-01 08:00:00', 'YYYY-MM-DD HH24:MI:SS'), TO_DATE('2025-08-01 17:58:00', 'YYYY-MM-DD HH24:MI:SS'));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>
      <c r="A76" s="25" t="s">
        <v>206</v>
      </c>
      <c r="B76" s="26">
        <v>75.0</v>
      </c>
      <c r="C76" s="27">
        <v>45870.0</v>
      </c>
      <c r="D76" s="28">
        <v>45870.385416666664</v>
      </c>
      <c r="E76" s="28">
        <v>45870.74791666667</v>
      </c>
      <c r="F76" s="21" t="s">
        <v>189</v>
      </c>
      <c r="G76" s="23"/>
      <c r="H76" s="23" t="str">
        <f t="shared" si="1"/>
        <v>INSERT INTO tblDayAttendanceLog VALUES (seqDayAttendanceLog.nextval, 75, TO_DATE('2025-08-01', 'YYYY-MM-DD'), TO_DATE('2025-08-01 09:15:00', 'YYYY-MM-DD HH24:MI:SS'), TO_DATE('2025-08-01 17:57:00', 'YYYY-MM-DD HH24:MI:SS'));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>
      <c r="A77" s="25" t="s">
        <v>206</v>
      </c>
      <c r="B77" s="26">
        <v>76.0</v>
      </c>
      <c r="C77" s="27">
        <v>45870.0</v>
      </c>
      <c r="D77" s="28">
        <v>45870.41388888889</v>
      </c>
      <c r="E77" s="28">
        <v>45870.74444444444</v>
      </c>
      <c r="F77" s="21" t="s">
        <v>189</v>
      </c>
      <c r="G77" s="23"/>
      <c r="H77" s="23" t="str">
        <f t="shared" si="1"/>
        <v>INSERT INTO tblDayAttendanceLog VALUES (seqDayAttendanceLog.nextval, 76, TO_DATE('2025-08-01', 'YYYY-MM-DD'), TO_DATE('2025-08-01 09:56:00', 'YYYY-MM-DD HH24:MI:SS'), TO_DATE('2025-08-01 17:52:00', 'YYYY-MM-DD HH24:MI:SS'));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>
      <c r="A78" s="25" t="s">
        <v>206</v>
      </c>
      <c r="B78" s="26">
        <v>77.0</v>
      </c>
      <c r="C78" s="27">
        <v>45870.0</v>
      </c>
      <c r="D78" s="28">
        <v>45870.34305555555</v>
      </c>
      <c r="E78" s="28">
        <v>45870.74722222222</v>
      </c>
      <c r="F78" s="21" t="s">
        <v>184</v>
      </c>
      <c r="G78" s="23"/>
      <c r="H78" s="23" t="str">
        <f t="shared" si="1"/>
        <v>INSERT INTO tblDayAttendanceLog VALUES (seqDayAttendanceLog.nextval, 77, TO_DATE('2025-08-01', 'YYYY-MM-DD'), TO_DATE('2025-08-01 08:14:00', 'YYYY-MM-DD HH24:MI:SS'), TO_DATE('2025-08-01 17:56:00', 'YYYY-MM-DD HH24:MI:SS'));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>
      <c r="A79" s="25" t="s">
        <v>206</v>
      </c>
      <c r="B79" s="26">
        <v>78.0</v>
      </c>
      <c r="C79" s="27">
        <v>45870.0</v>
      </c>
      <c r="D79" s="28">
        <v>45870.39027777778</v>
      </c>
      <c r="E79" s="28">
        <v>45870.745833333334</v>
      </c>
      <c r="F79" s="21" t="s">
        <v>189</v>
      </c>
      <c r="G79" s="23"/>
      <c r="H79" s="23" t="str">
        <f t="shared" si="1"/>
        <v>INSERT INTO tblDayAttendanceLog VALUES (seqDayAttendanceLog.nextval, 78, TO_DATE('2025-08-01', 'YYYY-MM-DD'), TO_DATE('2025-08-01 09:22:00', 'YYYY-MM-DD HH24:MI:SS'), TO_DATE('2025-08-01 17:54:00', 'YYYY-MM-DD HH24:MI:SS'));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>
      <c r="A80" s="25" t="s">
        <v>206</v>
      </c>
      <c r="B80" s="26">
        <v>79.0</v>
      </c>
      <c r="C80" s="27">
        <v>45870.0</v>
      </c>
      <c r="D80" s="28">
        <v>45870.373611111114</v>
      </c>
      <c r="E80" s="28">
        <v>45870.74930555555</v>
      </c>
      <c r="F80" s="21" t="s">
        <v>184</v>
      </c>
      <c r="G80" s="23"/>
      <c r="H80" s="23" t="str">
        <f t="shared" si="1"/>
        <v>INSERT INTO tblDayAttendanceLog VALUES (seqDayAttendanceLog.nextval, 79, TO_DATE('2025-08-01', 'YYYY-MM-DD'), TO_DATE('2025-08-01 08:58:00', 'YYYY-MM-DD HH24:MI:SS'), TO_DATE('2025-08-01 17:59:00', 'YYYY-MM-DD HH24:MI:SS'));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>
      <c r="A81" s="25" t="s">
        <v>206</v>
      </c>
      <c r="B81" s="26">
        <v>80.0</v>
      </c>
      <c r="C81" s="27">
        <v>45870.0</v>
      </c>
      <c r="D81" s="28">
        <v>45870.34305555555</v>
      </c>
      <c r="E81" s="28">
        <v>45870.74444444444</v>
      </c>
      <c r="F81" s="21" t="s">
        <v>184</v>
      </c>
      <c r="G81" s="23"/>
      <c r="H81" s="23" t="str">
        <f t="shared" si="1"/>
        <v>INSERT INTO tblDayAttendanceLog VALUES (seqDayAttendanceLog.nextval, 80, TO_DATE('2025-08-01', 'YYYY-MM-DD'), TO_DATE('2025-08-01 08:14:00', 'YYYY-MM-DD HH24:MI:SS'), TO_DATE('2025-08-01 17:52:00', 'YYYY-MM-DD HH24:MI:SS'));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>
      <c r="A82" s="25" t="s">
        <v>206</v>
      </c>
      <c r="B82" s="26">
        <v>81.0</v>
      </c>
      <c r="C82" s="27">
        <v>45870.0</v>
      </c>
      <c r="D82" s="28">
        <v>45870.39236111111</v>
      </c>
      <c r="E82" s="28">
        <v>45870.745833333334</v>
      </c>
      <c r="F82" s="21" t="s">
        <v>189</v>
      </c>
      <c r="G82" s="23"/>
      <c r="H82" s="23" t="str">
        <f t="shared" si="1"/>
        <v>INSERT INTO tblDayAttendanceLog VALUES (seqDayAttendanceLog.nextval, 81, TO_DATE('2025-08-01', 'YYYY-MM-DD'), TO_DATE('2025-08-01 09:25:00', 'YYYY-MM-DD HH24:MI:SS'), TO_DATE('2025-08-01 17:54:00', 'YYYY-MM-DD HH24:MI:SS'));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>
      <c r="A83" s="25" t="s">
        <v>206</v>
      </c>
      <c r="B83" s="26">
        <v>82.0</v>
      </c>
      <c r="C83" s="27">
        <v>45870.0</v>
      </c>
      <c r="D83" s="28">
        <v>45870.350694444445</v>
      </c>
      <c r="E83" s="28">
        <v>45870.748611111114</v>
      </c>
      <c r="F83" s="21" t="s">
        <v>184</v>
      </c>
      <c r="G83" s="23"/>
      <c r="H83" s="23" t="str">
        <f t="shared" si="1"/>
        <v>INSERT INTO tblDayAttendanceLog VALUES (seqDayAttendanceLog.nextval, 82, TO_DATE('2025-08-01', 'YYYY-MM-DD'), TO_DATE('2025-08-01 08:25:00', 'YYYY-MM-DD HH24:MI:SS'), TO_DATE('2025-08-01 17:58:00', 'YYYY-MM-DD HH24:MI:SS'));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>
      <c r="A84" s="25" t="s">
        <v>206</v>
      </c>
      <c r="B84" s="26">
        <v>83.0</v>
      </c>
      <c r="C84" s="27">
        <v>45870.0</v>
      </c>
      <c r="D84" s="28">
        <v>45870.36666666667</v>
      </c>
      <c r="E84" s="28">
        <v>45870.748611111114</v>
      </c>
      <c r="F84" s="21" t="s">
        <v>184</v>
      </c>
      <c r="G84" s="23"/>
      <c r="H84" s="23" t="str">
        <f t="shared" si="1"/>
        <v>INSERT INTO tblDayAttendanceLog VALUES (seqDayAttendanceLog.nextval, 83, TO_DATE('2025-08-01', 'YYYY-MM-DD'), TO_DATE('2025-08-01 08:48:00', 'YYYY-MM-DD HH24:MI:SS'), TO_DATE('2025-08-01 17:58:00', 'YYYY-MM-DD HH24:MI:SS'));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>
      <c r="A85" s="25" t="s">
        <v>206</v>
      </c>
      <c r="B85" s="26">
        <v>84.0</v>
      </c>
      <c r="C85" s="27">
        <v>45870.0</v>
      </c>
      <c r="D85" s="28">
        <v>45870.40277777778</v>
      </c>
      <c r="E85" s="28">
        <v>45870.74652777778</v>
      </c>
      <c r="F85" s="21" t="s">
        <v>189</v>
      </c>
      <c r="G85" s="23"/>
      <c r="H85" s="23" t="str">
        <f t="shared" si="1"/>
        <v>INSERT INTO tblDayAttendanceLog VALUES (seqDayAttendanceLog.nextval, 84, TO_DATE('2025-08-01', 'YYYY-MM-DD'), TO_DATE('2025-08-01 09:40:00', 'YYYY-MM-DD HH24:MI:SS'), TO_DATE('2025-08-01 17:55:00', 'YYYY-MM-DD HH24:MI:SS'));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>
      <c r="A86" s="25" t="s">
        <v>206</v>
      </c>
      <c r="B86" s="26">
        <v>85.0</v>
      </c>
      <c r="C86" s="27">
        <v>45870.0</v>
      </c>
      <c r="D86" s="28">
        <v>45870.34652777778</v>
      </c>
      <c r="E86" s="28">
        <v>45870.748611111114</v>
      </c>
      <c r="F86" s="21" t="s">
        <v>184</v>
      </c>
      <c r="G86" s="23"/>
      <c r="H86" s="23" t="str">
        <f t="shared" si="1"/>
        <v>INSERT INTO tblDayAttendanceLog VALUES (seqDayAttendanceLog.nextval, 85, TO_DATE('2025-08-01', 'YYYY-MM-DD'), TO_DATE('2025-08-01 08:19:00', 'YYYY-MM-DD HH24:MI:SS'), TO_DATE('2025-08-01 17:58:00', 'YYYY-MM-DD HH24:MI:SS'));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>
      <c r="A87" s="25" t="s">
        <v>206</v>
      </c>
      <c r="B87" s="26">
        <v>86.0</v>
      </c>
      <c r="C87" s="27">
        <v>45870.0</v>
      </c>
      <c r="D87" s="28">
        <v>45870.38055555556</v>
      </c>
      <c r="E87" s="28">
        <v>45870.74444444444</v>
      </c>
      <c r="F87" s="21" t="s">
        <v>189</v>
      </c>
      <c r="G87" s="23"/>
      <c r="H87" s="23" t="str">
        <f t="shared" si="1"/>
        <v>INSERT INTO tblDayAttendanceLog VALUES (seqDayAttendanceLog.nextval, 86, TO_DATE('2025-08-01', 'YYYY-MM-DD'), TO_DATE('2025-08-01 09:08:00', 'YYYY-MM-DD HH24:MI:SS'), TO_DATE('2025-08-01 17:52:00', 'YYYY-MM-DD HH24:MI:SS'));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>
      <c r="A88" s="25" t="s">
        <v>206</v>
      </c>
      <c r="B88" s="26">
        <v>87.0</v>
      </c>
      <c r="C88" s="27">
        <v>45870.0</v>
      </c>
      <c r="D88" s="28">
        <v>45870.402083333334</v>
      </c>
      <c r="E88" s="28">
        <v>45870.74444444444</v>
      </c>
      <c r="F88" s="21" t="s">
        <v>189</v>
      </c>
      <c r="G88" s="23"/>
      <c r="H88" s="23" t="str">
        <f t="shared" si="1"/>
        <v>INSERT INTO tblDayAttendanceLog VALUES (seqDayAttendanceLog.nextval, 87, TO_DATE('2025-08-01', 'YYYY-MM-DD'), TO_DATE('2025-08-01 09:39:00', 'YYYY-MM-DD HH24:MI:SS'), TO_DATE('2025-08-01 17:52:00', 'YYYY-MM-DD HH24:MI:SS'));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>
      <c r="A89" s="25" t="s">
        <v>206</v>
      </c>
      <c r="B89" s="26">
        <v>88.0</v>
      </c>
      <c r="C89" s="27">
        <v>45870.0</v>
      </c>
      <c r="D89" s="28">
        <v>45870.36666666667</v>
      </c>
      <c r="E89" s="28">
        <v>45870.74722222222</v>
      </c>
      <c r="F89" s="21" t="s">
        <v>184</v>
      </c>
      <c r="G89" s="23"/>
      <c r="H89" s="23" t="str">
        <f t="shared" si="1"/>
        <v>INSERT INTO tblDayAttendanceLog VALUES (seqDayAttendanceLog.nextval, 88, TO_DATE('2025-08-01', 'YYYY-MM-DD'), TO_DATE('2025-08-01 08:48:00', 'YYYY-MM-DD HH24:MI:SS'), TO_DATE('2025-08-01 17:56:00', 'YYYY-MM-DD HH24:MI:SS'));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>
      <c r="A90" s="25" t="s">
        <v>206</v>
      </c>
      <c r="B90" s="26">
        <v>89.0</v>
      </c>
      <c r="C90" s="27">
        <v>45870.0</v>
      </c>
      <c r="D90" s="28">
        <v>45870.407638888886</v>
      </c>
      <c r="E90" s="28">
        <v>45870.74375</v>
      </c>
      <c r="F90" s="21" t="s">
        <v>189</v>
      </c>
      <c r="G90" s="23"/>
      <c r="H90" s="23" t="str">
        <f t="shared" si="1"/>
        <v>INSERT INTO tblDayAttendanceLog VALUES (seqDayAttendanceLog.nextval, 89, TO_DATE('2025-08-01', 'YYYY-MM-DD'), TO_DATE('2025-08-01 09:47:00', 'YYYY-MM-DD HH24:MI:SS'), TO_DATE('2025-08-01 17:51:00', 'YYYY-MM-DD HH24:MI:SS'));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>
      <c r="A91" s="25" t="s">
        <v>206</v>
      </c>
      <c r="B91" s="26">
        <v>90.0</v>
      </c>
      <c r="C91" s="27">
        <v>45870.0</v>
      </c>
      <c r="D91" s="29"/>
      <c r="E91" s="29"/>
      <c r="F91" s="21" t="s">
        <v>186</v>
      </c>
      <c r="G91" s="23"/>
      <c r="H91" s="23" t="str">
        <f t="shared" si="1"/>
        <v>INSERT INTO tblDayAttendanceLog VALUES (seqDayAttendanceLog.nextval, 90, TO_DATE('2025-08-01', 'YYYY-MM-DD'), NULL, NULL);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>
      <c r="A92" s="25" t="s">
        <v>206</v>
      </c>
      <c r="B92" s="26">
        <v>91.0</v>
      </c>
      <c r="C92" s="27">
        <v>45870.0</v>
      </c>
      <c r="D92" s="29"/>
      <c r="E92" s="29"/>
      <c r="F92" s="21" t="s">
        <v>186</v>
      </c>
      <c r="G92" s="23"/>
      <c r="H92" s="23" t="str">
        <f t="shared" si="1"/>
        <v>INSERT INTO tblDayAttendanceLog VALUES (seqDayAttendanceLog.nextval, 91, TO_DATE('2025-08-01', 'YYYY-MM-DD'), NULL, NULL);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>
      <c r="A93" s="25" t="s">
        <v>206</v>
      </c>
      <c r="B93" s="26">
        <v>92.0</v>
      </c>
      <c r="C93" s="27">
        <v>45870.0</v>
      </c>
      <c r="D93" s="28">
        <v>45870.375</v>
      </c>
      <c r="E93" s="28">
        <v>45870.74513888889</v>
      </c>
      <c r="F93" s="21" t="s">
        <v>189</v>
      </c>
      <c r="G93" s="23"/>
      <c r="H93" s="23" t="str">
        <f t="shared" si="1"/>
        <v>INSERT INTO tblDayAttendanceLog VALUES (seqDayAttendanceLog.nextval, 92, TO_DATE('2025-08-01', 'YYYY-MM-DD'), TO_DATE('2025-08-01 09:00:00', 'YYYY-MM-DD HH24:MI:SS'), TO_DATE('2025-08-01 17:53:00', 'YYYY-MM-DD HH24:MI:SS'));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>
      <c r="A94" s="25" t="s">
        <v>206</v>
      </c>
      <c r="B94" s="26">
        <v>93.0</v>
      </c>
      <c r="C94" s="27">
        <v>45870.0</v>
      </c>
      <c r="D94" s="28">
        <v>45870.39097222222</v>
      </c>
      <c r="E94" s="28">
        <v>45870.74791666667</v>
      </c>
      <c r="F94" s="21" t="s">
        <v>189</v>
      </c>
      <c r="G94" s="23"/>
      <c r="H94" s="23" t="str">
        <f t="shared" si="1"/>
        <v>INSERT INTO tblDayAttendanceLog VALUES (seqDayAttendanceLog.nextval, 93, TO_DATE('2025-08-01', 'YYYY-MM-DD'), TO_DATE('2025-08-01 09:23:00', 'YYYY-MM-DD HH24:MI:SS'), TO_DATE('2025-08-01 17:57:00', 'YYYY-MM-DD HH24:MI:SS'));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>
      <c r="A95" s="25" t="s">
        <v>206</v>
      </c>
      <c r="B95" s="26">
        <v>94.0</v>
      </c>
      <c r="C95" s="27">
        <v>45870.0</v>
      </c>
      <c r="D95" s="28">
        <v>45870.34861111111</v>
      </c>
      <c r="E95" s="28">
        <v>45870.74444444444</v>
      </c>
      <c r="F95" s="21" t="s">
        <v>184</v>
      </c>
      <c r="G95" s="23"/>
      <c r="H95" s="23" t="str">
        <f t="shared" si="1"/>
        <v>INSERT INTO tblDayAttendanceLog VALUES (seqDayAttendanceLog.nextval, 94, TO_DATE('2025-08-01', 'YYYY-MM-DD'), TO_DATE('2025-08-01 08:22:00', 'YYYY-MM-DD HH24:MI:SS'), TO_DATE('2025-08-01 17:52:00', 'YYYY-MM-DD HH24:MI:SS'));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>
      <c r="A96" s="25" t="s">
        <v>206</v>
      </c>
      <c r="B96" s="26">
        <v>95.0</v>
      </c>
      <c r="C96" s="27">
        <v>45870.0</v>
      </c>
      <c r="D96" s="28">
        <v>45870.3875</v>
      </c>
      <c r="E96" s="28">
        <v>45870.745833333334</v>
      </c>
      <c r="F96" s="21" t="s">
        <v>189</v>
      </c>
      <c r="G96" s="23"/>
      <c r="H96" s="23" t="str">
        <f t="shared" si="1"/>
        <v>INSERT INTO tblDayAttendanceLog VALUES (seqDayAttendanceLog.nextval, 95, TO_DATE('2025-08-01', 'YYYY-MM-DD'), TO_DATE('2025-08-01 09:18:00', 'YYYY-MM-DD HH24:MI:SS'), TO_DATE('2025-08-01 17:54:00', 'YYYY-MM-DD HH24:MI:SS'));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>
      <c r="A97" s="25" t="s">
        <v>206</v>
      </c>
      <c r="B97" s="26">
        <v>96.0</v>
      </c>
      <c r="C97" s="27">
        <v>45870.0</v>
      </c>
      <c r="D97" s="28">
        <v>45870.36666666667</v>
      </c>
      <c r="E97" s="28">
        <v>45870.57986111111</v>
      </c>
      <c r="F97" s="21" t="s">
        <v>187</v>
      </c>
      <c r="G97" s="23"/>
      <c r="H97" s="23" t="str">
        <f t="shared" si="1"/>
        <v>INSERT INTO tblDayAttendanceLog VALUES (seqDayAttendanceLog.nextval, 96, TO_DATE('2025-08-01', 'YYYY-MM-DD'), TO_DATE('2025-08-01 08:48:00', 'YYYY-MM-DD HH24:MI:SS'), TO_DATE('2025-08-01 13:55:00', 'YYYY-MM-DD HH24:MI:SS'));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>
      <c r="A98" s="25" t="s">
        <v>206</v>
      </c>
      <c r="B98" s="26">
        <v>97.0</v>
      </c>
      <c r="C98" s="27">
        <v>45870.0</v>
      </c>
      <c r="D98" s="28">
        <v>45870.364583333336</v>
      </c>
      <c r="E98" s="28">
        <v>45870.74375</v>
      </c>
      <c r="F98" s="21" t="s">
        <v>184</v>
      </c>
      <c r="G98" s="23"/>
      <c r="H98" s="23" t="str">
        <f t="shared" si="1"/>
        <v>INSERT INTO tblDayAttendanceLog VALUES (seqDayAttendanceLog.nextval, 97, TO_DATE('2025-08-01', 'YYYY-MM-DD'), TO_DATE('2025-08-01 08:45:00', 'YYYY-MM-DD HH24:MI:SS'), TO_DATE('2025-08-01 17:51:00', 'YYYY-MM-DD HH24:MI:SS'));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>
      <c r="A99" s="25" t="s">
        <v>206</v>
      </c>
      <c r="B99" s="26">
        <v>98.0</v>
      </c>
      <c r="C99" s="27">
        <v>45870.0</v>
      </c>
      <c r="D99" s="28">
        <v>45870.347916666666</v>
      </c>
      <c r="E99" s="28">
        <v>45870.743055555555</v>
      </c>
      <c r="F99" s="21" t="s">
        <v>184</v>
      </c>
      <c r="G99" s="23"/>
      <c r="H99" s="23" t="str">
        <f t="shared" si="1"/>
        <v>INSERT INTO tblDayAttendanceLog VALUES (seqDayAttendanceLog.nextval, 98, TO_DATE('2025-08-01', 'YYYY-MM-DD'), TO_DATE('2025-08-01 08:21:00', 'YYYY-MM-DD HH24:MI:SS'), TO_DATE('2025-08-01 17:50:00', 'YYYY-MM-DD HH24:MI:SS'));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>
      <c r="A100" s="25" t="s">
        <v>206</v>
      </c>
      <c r="B100" s="26">
        <v>99.0</v>
      </c>
      <c r="C100" s="27">
        <v>45870.0</v>
      </c>
      <c r="D100" s="28">
        <v>45870.40069444444</v>
      </c>
      <c r="E100" s="28">
        <v>45870.74513888889</v>
      </c>
      <c r="F100" s="21" t="s">
        <v>189</v>
      </c>
      <c r="G100" s="23"/>
      <c r="H100" s="23" t="str">
        <f t="shared" si="1"/>
        <v>INSERT INTO tblDayAttendanceLog VALUES (seqDayAttendanceLog.nextval, 99, TO_DATE('2025-08-01', 'YYYY-MM-DD'), TO_DATE('2025-08-01 09:37:00', 'YYYY-MM-DD HH24:MI:SS'), TO_DATE('2025-08-01 17:53:00', 'YYYY-MM-DD HH24:MI:SS'));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>
      <c r="A101" s="25" t="s">
        <v>206</v>
      </c>
      <c r="B101" s="26">
        <v>100.0</v>
      </c>
      <c r="C101" s="27">
        <v>45870.0</v>
      </c>
      <c r="D101" s="28">
        <v>45870.34375</v>
      </c>
      <c r="E101" s="28">
        <v>45870.74791666667</v>
      </c>
      <c r="F101" s="21" t="s">
        <v>184</v>
      </c>
      <c r="G101" s="23"/>
      <c r="H101" s="23" t="str">
        <f t="shared" si="1"/>
        <v>INSERT INTO tblDayAttendanceLog VALUES (seqDayAttendanceLog.nextval, 100, TO_DATE('2025-08-01', 'YYYY-MM-DD'), TO_DATE('2025-08-01 08:15:00', 'YYYY-MM-DD HH24:MI:SS'), TO_DATE('2025-08-01 17:57:00', 'YYYY-MM-DD HH24:MI:SS'));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>
      <c r="A102" s="25" t="s">
        <v>206</v>
      </c>
      <c r="B102" s="26">
        <v>101.0</v>
      </c>
      <c r="C102" s="27">
        <v>45870.0</v>
      </c>
      <c r="D102" s="28">
        <v>45870.35208333333</v>
      </c>
      <c r="E102" s="28">
        <v>45870.74791666667</v>
      </c>
      <c r="F102" s="21" t="s">
        <v>184</v>
      </c>
      <c r="G102" s="23"/>
      <c r="H102" s="23" t="str">
        <f t="shared" si="1"/>
        <v>INSERT INTO tblDayAttendanceLog VALUES (seqDayAttendanceLog.nextval, 101, TO_DATE('2025-08-01', 'YYYY-MM-DD'), TO_DATE('2025-08-01 08:27:00', 'YYYY-MM-DD HH24:MI:SS'), TO_DATE('2025-08-01 17:57:00', 'YYYY-MM-DD HH24:MI:SS'));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>
      <c r="A103" s="25" t="s">
        <v>206</v>
      </c>
      <c r="B103" s="26">
        <v>102.0</v>
      </c>
      <c r="C103" s="27">
        <v>45870.0</v>
      </c>
      <c r="D103" s="28">
        <v>45870.37569444445</v>
      </c>
      <c r="E103" s="28">
        <v>45870.74513888889</v>
      </c>
      <c r="F103" s="21" t="s">
        <v>189</v>
      </c>
      <c r="G103" s="23"/>
      <c r="H103" s="23" t="str">
        <f t="shared" si="1"/>
        <v>INSERT INTO tblDayAttendanceLog VALUES (seqDayAttendanceLog.nextval, 102, TO_DATE('2025-08-01', 'YYYY-MM-DD'), TO_DATE('2025-08-01 09:01:00', 'YYYY-MM-DD HH24:MI:SS'), TO_DATE('2025-08-01 17:53:00', 'YYYY-MM-DD HH24:MI:SS'));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>
      <c r="A104" s="25" t="s">
        <v>206</v>
      </c>
      <c r="B104" s="26">
        <v>103.0</v>
      </c>
      <c r="C104" s="27">
        <v>45870.0</v>
      </c>
      <c r="D104" s="28">
        <v>45870.345138888886</v>
      </c>
      <c r="E104" s="28">
        <v>45870.745833333334</v>
      </c>
      <c r="F104" s="21" t="s">
        <v>184</v>
      </c>
      <c r="G104" s="23"/>
      <c r="H104" s="23" t="str">
        <f t="shared" si="1"/>
        <v>INSERT INTO tblDayAttendanceLog VALUES (seqDayAttendanceLog.nextval, 103, TO_DATE('2025-08-01', 'YYYY-MM-DD'), TO_DATE('2025-08-01 08:17:00', 'YYYY-MM-DD HH24:MI:SS'), TO_DATE('2025-08-01 17:54:00', 'YYYY-MM-DD HH24:MI:SS'));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>
      <c r="A105" s="25" t="s">
        <v>206</v>
      </c>
      <c r="B105" s="26">
        <v>104.0</v>
      </c>
      <c r="C105" s="27">
        <v>45870.0</v>
      </c>
      <c r="D105" s="28">
        <v>45870.41458333333</v>
      </c>
      <c r="E105" s="28">
        <v>45870.74375</v>
      </c>
      <c r="F105" s="21" t="s">
        <v>189</v>
      </c>
      <c r="G105" s="23"/>
      <c r="H105" s="23" t="str">
        <f t="shared" si="1"/>
        <v>INSERT INTO tblDayAttendanceLog VALUES (seqDayAttendanceLog.nextval, 104, TO_DATE('2025-08-01', 'YYYY-MM-DD'), TO_DATE('2025-08-01 09:57:00', 'YYYY-MM-DD HH24:MI:SS'), TO_DATE('2025-08-01 17:51:00', 'YYYY-MM-DD HH24:MI:SS'));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>
      <c r="A106" s="25" t="s">
        <v>206</v>
      </c>
      <c r="B106" s="26">
        <v>105.0</v>
      </c>
      <c r="C106" s="27">
        <v>45870.0</v>
      </c>
      <c r="D106" s="28">
        <v>45870.365277777775</v>
      </c>
      <c r="E106" s="28">
        <v>45870.74791666667</v>
      </c>
      <c r="F106" s="21" t="s">
        <v>184</v>
      </c>
      <c r="G106" s="23"/>
      <c r="H106" s="23" t="str">
        <f t="shared" si="1"/>
        <v>INSERT INTO tblDayAttendanceLog VALUES (seqDayAttendanceLog.nextval, 105, TO_DATE('2025-08-01', 'YYYY-MM-DD'), TO_DATE('2025-08-01 08:46:00', 'YYYY-MM-DD HH24:MI:SS'), TO_DATE('2025-08-01 17:57:00', 'YYYY-MM-DD HH24:MI:SS'));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>
      <c r="A107" s="25" t="s">
        <v>206</v>
      </c>
      <c r="B107" s="26">
        <v>106.0</v>
      </c>
      <c r="C107" s="27">
        <v>45870.0</v>
      </c>
      <c r="D107" s="28">
        <v>45870.339583333334</v>
      </c>
      <c r="E107" s="28">
        <v>45870.74652777778</v>
      </c>
      <c r="F107" s="21" t="s">
        <v>184</v>
      </c>
      <c r="G107" s="23"/>
      <c r="H107" s="23" t="str">
        <f t="shared" si="1"/>
        <v>INSERT INTO tblDayAttendanceLog VALUES (seqDayAttendanceLog.nextval, 106, TO_DATE('2025-08-01', 'YYYY-MM-DD'), TO_DATE('2025-08-01 08:09:00', 'YYYY-MM-DD HH24:MI:SS'), TO_DATE('2025-08-01 17:55:00', 'YYYY-MM-DD HH24:MI:SS'));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>
      <c r="A108" s="25" t="s">
        <v>206</v>
      </c>
      <c r="B108" s="26">
        <v>107.0</v>
      </c>
      <c r="C108" s="27">
        <v>45870.0</v>
      </c>
      <c r="D108" s="28">
        <v>45870.345138888886</v>
      </c>
      <c r="E108" s="28">
        <v>45870.743055555555</v>
      </c>
      <c r="F108" s="21" t="s">
        <v>184</v>
      </c>
      <c r="G108" s="23"/>
      <c r="H108" s="23" t="str">
        <f t="shared" si="1"/>
        <v>INSERT INTO tblDayAttendanceLog VALUES (seqDayAttendanceLog.nextval, 107, TO_DATE('2025-08-01', 'YYYY-MM-DD'), TO_DATE('2025-08-01 08:17:00', 'YYYY-MM-DD HH24:MI:SS'), TO_DATE('2025-08-01 17:50:00', 'YYYY-MM-DD HH24:MI:SS'));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>
      <c r="A109" s="25" t="s">
        <v>206</v>
      </c>
      <c r="B109" s="26">
        <v>108.0</v>
      </c>
      <c r="C109" s="27">
        <v>45870.0</v>
      </c>
      <c r="D109" s="28">
        <v>45870.365277777775</v>
      </c>
      <c r="E109" s="28">
        <v>45870.74791666667</v>
      </c>
      <c r="F109" s="21" t="s">
        <v>184</v>
      </c>
      <c r="G109" s="23"/>
      <c r="H109" s="23" t="str">
        <f t="shared" si="1"/>
        <v>INSERT INTO tblDayAttendanceLog VALUES (seqDayAttendanceLog.nextval, 108, TO_DATE('2025-08-01', 'YYYY-MM-DD'), TO_DATE('2025-08-01 08:46:00', 'YYYY-MM-DD HH24:MI:SS'), TO_DATE('2025-08-01 17:57:00', 'YYYY-MM-DD HH24:MI:SS'));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>
      <c r="A110" s="25" t="s">
        <v>206</v>
      </c>
      <c r="B110" s="26">
        <v>109.0</v>
      </c>
      <c r="C110" s="27">
        <v>45870.0</v>
      </c>
      <c r="D110" s="28">
        <v>45870.37708333333</v>
      </c>
      <c r="E110" s="28">
        <v>45870.74722222222</v>
      </c>
      <c r="F110" s="21" t="s">
        <v>189</v>
      </c>
      <c r="G110" s="23"/>
      <c r="H110" s="23" t="str">
        <f t="shared" si="1"/>
        <v>INSERT INTO tblDayAttendanceLog VALUES (seqDayAttendanceLog.nextval, 109, TO_DATE('2025-08-01', 'YYYY-MM-DD'), TO_DATE('2025-08-01 09:03:00', 'YYYY-MM-DD HH24:MI:SS'), TO_DATE('2025-08-01 17:56:00', 'YYYY-MM-DD HH24:MI:SS'));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>
      <c r="A111" s="25" t="s">
        <v>206</v>
      </c>
      <c r="B111" s="26">
        <v>110.0</v>
      </c>
      <c r="C111" s="27">
        <v>45870.0</v>
      </c>
      <c r="D111" s="28">
        <v>45870.41111111111</v>
      </c>
      <c r="E111" s="28">
        <v>45870.745833333334</v>
      </c>
      <c r="F111" s="21" t="s">
        <v>189</v>
      </c>
      <c r="G111" s="23"/>
      <c r="H111" s="23" t="str">
        <f t="shared" si="1"/>
        <v>INSERT INTO tblDayAttendanceLog VALUES (seqDayAttendanceLog.nextval, 110, TO_DATE('2025-08-01', 'YYYY-MM-DD'), TO_DATE('2025-08-01 09:52:00', 'YYYY-MM-DD HH24:MI:SS'), TO_DATE('2025-08-01 17:54:00', 'YYYY-MM-DD HH24:MI:SS'));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>
      <c r="A112" s="25" t="s">
        <v>206</v>
      </c>
      <c r="B112" s="26">
        <v>111.0</v>
      </c>
      <c r="C112" s="27">
        <v>45870.0</v>
      </c>
      <c r="D112" s="28">
        <v>45870.39791666667</v>
      </c>
      <c r="E112" s="28">
        <v>45870.74722222222</v>
      </c>
      <c r="F112" s="21" t="s">
        <v>189</v>
      </c>
      <c r="G112" s="23"/>
      <c r="H112" s="23" t="str">
        <f t="shared" si="1"/>
        <v>INSERT INTO tblDayAttendanceLog VALUES (seqDayAttendanceLog.nextval, 111, TO_DATE('2025-08-01', 'YYYY-MM-DD'), TO_DATE('2025-08-01 09:33:00', 'YYYY-MM-DD HH24:MI:SS'), TO_DATE('2025-08-01 17:56:00', 'YYYY-MM-DD HH24:MI:SS'));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>
      <c r="A113" s="25" t="s">
        <v>206</v>
      </c>
      <c r="B113" s="26">
        <v>112.0</v>
      </c>
      <c r="C113" s="27">
        <v>45870.0</v>
      </c>
      <c r="D113" s="29"/>
      <c r="E113" s="29"/>
      <c r="F113" s="21" t="s">
        <v>186</v>
      </c>
      <c r="G113" s="23"/>
      <c r="H113" s="23" t="str">
        <f t="shared" si="1"/>
        <v>INSERT INTO tblDayAttendanceLog VALUES (seqDayAttendanceLog.nextval, 112, TO_DATE('2025-08-01', 'YYYY-MM-DD'), NULL, NULL);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>
      <c r="A114" s="25" t="s">
        <v>206</v>
      </c>
      <c r="B114" s="26">
        <v>113.0</v>
      </c>
      <c r="C114" s="27">
        <v>45870.0</v>
      </c>
      <c r="D114" s="28">
        <v>45870.342361111114</v>
      </c>
      <c r="E114" s="28">
        <v>45870.74375</v>
      </c>
      <c r="F114" s="21" t="s">
        <v>184</v>
      </c>
      <c r="G114" s="23"/>
      <c r="H114" s="23" t="str">
        <f t="shared" si="1"/>
        <v>INSERT INTO tblDayAttendanceLog VALUES (seqDayAttendanceLog.nextval, 113, TO_DATE('2025-08-01', 'YYYY-MM-DD'), TO_DATE('2025-08-01 08:13:00', 'YYYY-MM-DD HH24:MI:SS'), TO_DATE('2025-08-01 17:51:00', 'YYYY-MM-DD HH24:MI:SS'));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>
      <c r="A115" s="25" t="s">
        <v>206</v>
      </c>
      <c r="B115" s="26">
        <v>114.0</v>
      </c>
      <c r="C115" s="27">
        <v>45870.0</v>
      </c>
      <c r="D115" s="28">
        <v>45870.40625</v>
      </c>
      <c r="E115" s="28">
        <v>45870.74375</v>
      </c>
      <c r="F115" s="21" t="s">
        <v>189</v>
      </c>
      <c r="G115" s="23"/>
      <c r="H115" s="23" t="str">
        <f t="shared" si="1"/>
        <v>INSERT INTO tblDayAttendanceLog VALUES (seqDayAttendanceLog.nextval, 114, TO_DATE('2025-08-01', 'YYYY-MM-DD'), TO_DATE('2025-08-01 09:45:00', 'YYYY-MM-DD HH24:MI:SS'), TO_DATE('2025-08-01 17:51:00', 'YYYY-MM-DD HH24:MI:SS'));</v>
      </c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>
      <c r="A116" s="25" t="s">
        <v>206</v>
      </c>
      <c r="B116" s="26">
        <v>115.0</v>
      </c>
      <c r="C116" s="27">
        <v>45870.0</v>
      </c>
      <c r="D116" s="28">
        <v>45870.36875</v>
      </c>
      <c r="E116" s="28">
        <v>45870.74791666667</v>
      </c>
      <c r="F116" s="21" t="s">
        <v>184</v>
      </c>
      <c r="G116" s="23"/>
      <c r="H116" s="23" t="str">
        <f t="shared" si="1"/>
        <v>INSERT INTO tblDayAttendanceLog VALUES (seqDayAttendanceLog.nextval, 115, TO_DATE('2025-08-01', 'YYYY-MM-DD'), TO_DATE('2025-08-01 08:51:00', 'YYYY-MM-DD HH24:MI:SS'), TO_DATE('2025-08-01 17:57:00', 'YYYY-MM-DD HH24:MI:SS'));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>
      <c r="A117" s="25" t="s">
        <v>206</v>
      </c>
      <c r="B117" s="26">
        <v>116.0</v>
      </c>
      <c r="C117" s="27">
        <v>45870.0</v>
      </c>
      <c r="D117" s="28">
        <v>45870.339583333334</v>
      </c>
      <c r="E117" s="28">
        <v>45870.74513888889</v>
      </c>
      <c r="F117" s="21" t="s">
        <v>184</v>
      </c>
      <c r="G117" s="23"/>
      <c r="H117" s="23" t="str">
        <f t="shared" si="1"/>
        <v>INSERT INTO tblDayAttendanceLog VALUES (seqDayAttendanceLog.nextval, 116, TO_DATE('2025-08-01', 'YYYY-MM-DD'), TO_DATE('2025-08-01 08:09:00', 'YYYY-MM-DD HH24:MI:SS'), TO_DATE('2025-08-01 17:53:00', 'YYYY-MM-DD HH24:MI:SS'));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>
      <c r="A118" s="25" t="s">
        <v>206</v>
      </c>
      <c r="B118" s="26">
        <v>117.0</v>
      </c>
      <c r="C118" s="27">
        <v>45870.0</v>
      </c>
      <c r="D118" s="28">
        <v>45870.34097222222</v>
      </c>
      <c r="E118" s="28">
        <v>45870.743055555555</v>
      </c>
      <c r="F118" s="21" t="s">
        <v>184</v>
      </c>
      <c r="G118" s="23"/>
      <c r="H118" s="23" t="str">
        <f t="shared" si="1"/>
        <v>INSERT INTO tblDayAttendanceLog VALUES (seqDayAttendanceLog.nextval, 117, TO_DATE('2025-08-01', 'YYYY-MM-DD'), TO_DATE('2025-08-01 08:11:00', 'YYYY-MM-DD HH24:MI:SS'), TO_DATE('2025-08-01 17:50:00', 'YYYY-MM-DD HH24:MI:SS'));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>
      <c r="A119" s="25" t="s">
        <v>206</v>
      </c>
      <c r="B119" s="26">
        <v>118.0</v>
      </c>
      <c r="C119" s="27">
        <v>45870.0</v>
      </c>
      <c r="D119" s="28">
        <v>45870.40902777778</v>
      </c>
      <c r="E119" s="28">
        <v>45870.74722222222</v>
      </c>
      <c r="F119" s="21" t="s">
        <v>189</v>
      </c>
      <c r="G119" s="23"/>
      <c r="H119" s="23" t="str">
        <f t="shared" si="1"/>
        <v>INSERT INTO tblDayAttendanceLog VALUES (seqDayAttendanceLog.nextval, 118, TO_DATE('2025-08-01', 'YYYY-MM-DD'), TO_DATE('2025-08-01 09:49:00', 'YYYY-MM-DD HH24:MI:SS'), TO_DATE('2025-08-01 17:56:00', 'YYYY-MM-DD HH24:MI:SS'));</v>
      </c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>
      <c r="A120" s="25" t="s">
        <v>206</v>
      </c>
      <c r="B120" s="26">
        <v>119.0</v>
      </c>
      <c r="C120" s="27">
        <v>45870.0</v>
      </c>
      <c r="D120" s="28">
        <v>45870.41180555556</v>
      </c>
      <c r="E120" s="28">
        <v>45870.74791666667</v>
      </c>
      <c r="F120" s="21" t="s">
        <v>189</v>
      </c>
      <c r="G120" s="23"/>
      <c r="H120" s="23" t="str">
        <f t="shared" si="1"/>
        <v>INSERT INTO tblDayAttendanceLog VALUES (seqDayAttendanceLog.nextval, 119, TO_DATE('2025-08-01', 'YYYY-MM-DD'), TO_DATE('2025-08-01 09:53:00', 'YYYY-MM-DD HH24:MI:SS'), TO_DATE('2025-08-01 17:57:00', 'YYYY-MM-DD HH24:MI:SS'));</v>
      </c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>
      <c r="A121" s="25" t="s">
        <v>206</v>
      </c>
      <c r="B121" s="26">
        <v>120.0</v>
      </c>
      <c r="C121" s="27">
        <v>45870.0</v>
      </c>
      <c r="D121" s="28">
        <v>45870.40625</v>
      </c>
      <c r="E121" s="28">
        <v>45870.74513888889</v>
      </c>
      <c r="F121" s="21" t="s">
        <v>189</v>
      </c>
      <c r="G121" s="23"/>
      <c r="H121" s="23" t="str">
        <f t="shared" si="1"/>
        <v>INSERT INTO tblDayAttendanceLog VALUES (seqDayAttendanceLog.nextval, 120, TO_DATE('2025-08-01', 'YYYY-MM-DD'), TO_DATE('2025-08-01 09:45:00', 'YYYY-MM-DD HH24:MI:SS'), TO_DATE('2025-08-01 17:53:00', 'YYYY-MM-DD HH24:MI:SS'));</v>
      </c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>
      <c r="A122" s="25" t="s">
        <v>206</v>
      </c>
      <c r="B122" s="26">
        <v>121.0</v>
      </c>
      <c r="C122" s="27">
        <v>45870.0</v>
      </c>
      <c r="D122" s="28">
        <v>45870.379166666666</v>
      </c>
      <c r="E122" s="28">
        <v>45870.748611111114</v>
      </c>
      <c r="F122" s="21" t="s">
        <v>189</v>
      </c>
      <c r="G122" s="23"/>
      <c r="H122" s="23" t="str">
        <f t="shared" si="1"/>
        <v>INSERT INTO tblDayAttendanceLog VALUES (seqDayAttendanceLog.nextval, 121, TO_DATE('2025-08-01', 'YYYY-MM-DD'), TO_DATE('2025-08-01 09:06:00', 'YYYY-MM-DD HH24:MI:SS'), TO_DATE('2025-08-01 17:58:00', 'YYYY-MM-DD HH24:MI:SS'));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>
      <c r="A123" s="25" t="s">
        <v>206</v>
      </c>
      <c r="B123" s="26">
        <v>122.0</v>
      </c>
      <c r="C123" s="27">
        <v>45870.0</v>
      </c>
      <c r="D123" s="28">
        <v>45870.342361111114</v>
      </c>
      <c r="E123" s="28">
        <v>45870.743055555555</v>
      </c>
      <c r="F123" s="21" t="s">
        <v>184</v>
      </c>
      <c r="G123" s="23"/>
      <c r="H123" s="23" t="str">
        <f t="shared" si="1"/>
        <v>INSERT INTO tblDayAttendanceLog VALUES (seqDayAttendanceLog.nextval, 122, TO_DATE('2025-08-01', 'YYYY-MM-DD'), TO_DATE('2025-08-01 08:13:00', 'YYYY-MM-DD HH24:MI:SS'), TO_DATE('2025-08-01 17:50:00', 'YYYY-MM-DD HH24:MI:SS'));</v>
      </c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>
      <c r="A124" s="25" t="s">
        <v>206</v>
      </c>
      <c r="B124" s="26">
        <v>123.0</v>
      </c>
      <c r="C124" s="27">
        <v>45870.0</v>
      </c>
      <c r="D124" s="28">
        <v>45870.40902777778</v>
      </c>
      <c r="E124" s="28">
        <v>45870.74375</v>
      </c>
      <c r="F124" s="21" t="s">
        <v>189</v>
      </c>
      <c r="G124" s="23"/>
      <c r="H124" s="23" t="str">
        <f t="shared" si="1"/>
        <v>INSERT INTO tblDayAttendanceLog VALUES (seqDayAttendanceLog.nextval, 123, TO_DATE('2025-08-01', 'YYYY-MM-DD'), TO_DATE('2025-08-01 09:49:00', 'YYYY-MM-DD HH24:MI:SS'), TO_DATE('2025-08-01 17:51:00', 'YYYY-MM-DD HH24:MI:SS'));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>
      <c r="A125" s="25" t="s">
        <v>206</v>
      </c>
      <c r="B125" s="26">
        <v>124.0</v>
      </c>
      <c r="C125" s="27">
        <v>45870.0</v>
      </c>
      <c r="D125" s="28">
        <v>45870.34861111111</v>
      </c>
      <c r="E125" s="28">
        <v>45870.74930555555</v>
      </c>
      <c r="F125" s="21" t="s">
        <v>184</v>
      </c>
      <c r="G125" s="23"/>
      <c r="H125" s="23" t="str">
        <f t="shared" si="1"/>
        <v>INSERT INTO tblDayAttendanceLog VALUES (seqDayAttendanceLog.nextval, 124, TO_DATE('2025-08-01', 'YYYY-MM-DD'), TO_DATE('2025-08-01 08:22:00', 'YYYY-MM-DD HH24:MI:SS'), TO_DATE('2025-08-01 17:59:00', 'YYYY-MM-DD HH24:MI:SS'));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>
      <c r="A126" s="25" t="s">
        <v>206</v>
      </c>
      <c r="B126" s="26">
        <v>125.0</v>
      </c>
      <c r="C126" s="27">
        <v>45870.0</v>
      </c>
      <c r="D126" s="28">
        <v>45870.35208333333</v>
      </c>
      <c r="E126" s="28">
        <v>45870.743055555555</v>
      </c>
      <c r="F126" s="21" t="s">
        <v>184</v>
      </c>
      <c r="G126" s="23"/>
      <c r="H126" s="23" t="str">
        <f t="shared" si="1"/>
        <v>INSERT INTO tblDayAttendanceLog VALUES (seqDayAttendanceLog.nextval, 125, TO_DATE('2025-08-01', 'YYYY-MM-DD'), TO_DATE('2025-08-01 08:27:00', 'YYYY-MM-DD HH24:MI:SS'), TO_DATE('2025-08-01 17:50:00', 'YYYY-MM-DD HH24:MI:SS'));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>
      <c r="A127" s="25" t="s">
        <v>206</v>
      </c>
      <c r="B127" s="26">
        <v>126.0</v>
      </c>
      <c r="C127" s="27">
        <v>45870.0</v>
      </c>
      <c r="D127" s="28">
        <v>45870.356944444444</v>
      </c>
      <c r="E127" s="28">
        <v>45870.743055555555</v>
      </c>
      <c r="F127" s="21" t="s">
        <v>184</v>
      </c>
      <c r="G127" s="23"/>
      <c r="H127" s="23" t="str">
        <f t="shared" si="1"/>
        <v>INSERT INTO tblDayAttendanceLog VALUES (seqDayAttendanceLog.nextval, 126, TO_DATE('2025-08-01', 'YYYY-MM-DD'), TO_DATE('2025-08-01 08:34:00', 'YYYY-MM-DD HH24:MI:SS'), TO_DATE('2025-08-01 17:50:00', 'YYYY-MM-DD HH24:MI:SS'));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>
      <c r="A128" s="25" t="s">
        <v>206</v>
      </c>
      <c r="B128" s="26">
        <v>127.0</v>
      </c>
      <c r="C128" s="27">
        <v>45870.0</v>
      </c>
      <c r="D128" s="28">
        <v>45870.345138888886</v>
      </c>
      <c r="E128" s="28">
        <v>45870.745833333334</v>
      </c>
      <c r="F128" s="21" t="s">
        <v>184</v>
      </c>
      <c r="G128" s="23"/>
      <c r="H128" s="23" t="str">
        <f t="shared" si="1"/>
        <v>INSERT INTO tblDayAttendanceLog VALUES (seqDayAttendanceLog.nextval, 127, TO_DATE('2025-08-01', 'YYYY-MM-DD'), TO_DATE('2025-08-01 08:17:00', 'YYYY-MM-DD HH24:MI:SS'), TO_DATE('2025-08-01 17:54:00', 'YYYY-MM-DD HH24:MI:SS'));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>
      <c r="A129" s="25" t="s">
        <v>206</v>
      </c>
      <c r="B129" s="26">
        <v>128.0</v>
      </c>
      <c r="C129" s="27">
        <v>45870.0</v>
      </c>
      <c r="D129" s="28">
        <v>45870.40694444445</v>
      </c>
      <c r="E129" s="28">
        <v>45870.74930555555</v>
      </c>
      <c r="F129" s="21" t="s">
        <v>189</v>
      </c>
      <c r="G129" s="23"/>
      <c r="H129" s="23" t="str">
        <f t="shared" si="1"/>
        <v>INSERT INTO tblDayAttendanceLog VALUES (seqDayAttendanceLog.nextval, 128, TO_DATE('2025-08-01', 'YYYY-MM-DD'), TO_DATE('2025-08-01 09:46:00', 'YYYY-MM-DD HH24:MI:SS'), TO_DATE('2025-08-01 17:59:00', 'YYYY-MM-DD HH24:MI:SS'));</v>
      </c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>
      <c r="A130" s="25" t="s">
        <v>206</v>
      </c>
      <c r="B130" s="26">
        <v>129.0</v>
      </c>
      <c r="C130" s="27">
        <v>45870.0</v>
      </c>
      <c r="D130" s="28">
        <v>45870.40625</v>
      </c>
      <c r="E130" s="28">
        <v>45870.74722222222</v>
      </c>
      <c r="F130" s="21" t="s">
        <v>189</v>
      </c>
      <c r="G130" s="23"/>
      <c r="H130" s="23" t="str">
        <f t="shared" si="1"/>
        <v>INSERT INTO tblDayAttendanceLog VALUES (seqDayAttendanceLog.nextval, 129, TO_DATE('2025-08-01', 'YYYY-MM-DD'), TO_DATE('2025-08-01 09:45:00', 'YYYY-MM-DD HH24:MI:SS'), TO_DATE('2025-08-01 17:56:00', 'YYYY-MM-DD HH24:MI:SS'));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>
      <c r="A131" s="25" t="s">
        <v>206</v>
      </c>
      <c r="B131" s="26">
        <v>130.0</v>
      </c>
      <c r="C131" s="27">
        <v>45870.0</v>
      </c>
      <c r="D131" s="28">
        <v>45870.375</v>
      </c>
      <c r="E131" s="28">
        <v>45870.745833333334</v>
      </c>
      <c r="F131" s="21" t="s">
        <v>189</v>
      </c>
      <c r="G131" s="23"/>
      <c r="H131" s="23" t="str">
        <f t="shared" si="1"/>
        <v>INSERT INTO tblDayAttendanceLog VALUES (seqDayAttendanceLog.nextval, 130, TO_DATE('2025-08-01', 'YYYY-MM-DD'), TO_DATE('2025-08-01 09:00:00', 'YYYY-MM-DD HH24:MI:SS'), TO_DATE('2025-08-01 17:54:00', 'YYYY-MM-DD HH24:MI:SS'));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>
      <c r="A132" s="25" t="s">
        <v>206</v>
      </c>
      <c r="B132" s="26">
        <v>131.0</v>
      </c>
      <c r="C132" s="27">
        <v>45870.0</v>
      </c>
      <c r="D132" s="28">
        <v>45870.342361111114</v>
      </c>
      <c r="E132" s="28">
        <v>45870.74722222222</v>
      </c>
      <c r="F132" s="21" t="s">
        <v>184</v>
      </c>
      <c r="G132" s="23"/>
      <c r="H132" s="23" t="str">
        <f t="shared" si="1"/>
        <v>INSERT INTO tblDayAttendanceLog VALUES (seqDayAttendanceLog.nextval, 131, TO_DATE('2025-08-01', 'YYYY-MM-DD'), TO_DATE('2025-08-01 08:13:00', 'YYYY-MM-DD HH24:MI:SS'), TO_DATE('2025-08-01 17:56:00', 'YYYY-MM-DD HH24:MI:SS'));</v>
      </c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</row>
    <row r="133">
      <c r="A133" s="25" t="s">
        <v>206</v>
      </c>
      <c r="B133" s="26">
        <v>132.0</v>
      </c>
      <c r="C133" s="27">
        <v>45870.0</v>
      </c>
      <c r="D133" s="28">
        <v>45870.35208333333</v>
      </c>
      <c r="E133" s="28">
        <v>45870.74513888889</v>
      </c>
      <c r="F133" s="21" t="s">
        <v>184</v>
      </c>
      <c r="G133" s="23"/>
      <c r="H133" s="23" t="str">
        <f t="shared" si="1"/>
        <v>INSERT INTO tblDayAttendanceLog VALUES (seqDayAttendanceLog.nextval, 132, TO_DATE('2025-08-01', 'YYYY-MM-DD'), TO_DATE('2025-08-01 08:27:00', 'YYYY-MM-DD HH24:MI:SS'), TO_DATE('2025-08-01 17:53:00', 'YYYY-MM-DD HH24:MI:SS'));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>
      <c r="A134" s="25" t="s">
        <v>206</v>
      </c>
      <c r="B134" s="26">
        <v>133.0</v>
      </c>
      <c r="C134" s="27">
        <v>45870.0</v>
      </c>
      <c r="D134" s="28">
        <v>45870.38888888889</v>
      </c>
      <c r="E134" s="28">
        <v>45870.74375</v>
      </c>
      <c r="F134" s="21" t="s">
        <v>189</v>
      </c>
      <c r="G134" s="23"/>
      <c r="H134" s="23" t="str">
        <f t="shared" si="1"/>
        <v>INSERT INTO tblDayAttendanceLog VALUES (seqDayAttendanceLog.nextval, 133, TO_DATE('2025-08-01', 'YYYY-MM-DD'), TO_DATE('2025-08-01 09:20:00', 'YYYY-MM-DD HH24:MI:SS'), TO_DATE('2025-08-01 17:51:00', 'YYYY-MM-DD HH24:MI:SS'));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>
      <c r="A135" s="25" t="s">
        <v>206</v>
      </c>
      <c r="B135" s="26">
        <v>134.0</v>
      </c>
      <c r="C135" s="27">
        <v>45870.0</v>
      </c>
      <c r="D135" s="28">
        <v>45870.404861111114</v>
      </c>
      <c r="E135" s="28">
        <v>45870.74930555555</v>
      </c>
      <c r="F135" s="21" t="s">
        <v>189</v>
      </c>
      <c r="G135" s="23"/>
      <c r="H135" s="23" t="str">
        <f t="shared" si="1"/>
        <v>INSERT INTO tblDayAttendanceLog VALUES (seqDayAttendanceLog.nextval, 134, TO_DATE('2025-08-01', 'YYYY-MM-DD'), TO_DATE('2025-08-01 09:43:00', 'YYYY-MM-DD HH24:MI:SS'), TO_DATE('2025-08-01 17:59:00', 'YYYY-MM-DD HH24:MI:SS'));</v>
      </c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>
      <c r="A136" s="25" t="s">
        <v>206</v>
      </c>
      <c r="B136" s="26">
        <v>135.0</v>
      </c>
      <c r="C136" s="27">
        <v>45870.0</v>
      </c>
      <c r="D136" s="28">
        <v>45870.39861111111</v>
      </c>
      <c r="E136" s="28">
        <v>45870.74791666667</v>
      </c>
      <c r="F136" s="21" t="s">
        <v>189</v>
      </c>
      <c r="G136" s="23"/>
      <c r="H136" s="23" t="str">
        <f t="shared" si="1"/>
        <v>INSERT INTO tblDayAttendanceLog VALUES (seqDayAttendanceLog.nextval, 135, TO_DATE('2025-08-01', 'YYYY-MM-DD'), TO_DATE('2025-08-01 09:34:00', 'YYYY-MM-DD HH24:MI:SS'), TO_DATE('2025-08-01 17:57:00', 'YYYY-MM-DD HH24:MI:SS'));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</row>
    <row r="137">
      <c r="A137" s="25" t="s">
        <v>206</v>
      </c>
      <c r="B137" s="26">
        <v>136.0</v>
      </c>
      <c r="C137" s="27">
        <v>45870.0</v>
      </c>
      <c r="D137" s="28">
        <v>45870.35486111111</v>
      </c>
      <c r="E137" s="28">
        <v>45870.74652777778</v>
      </c>
      <c r="F137" s="21" t="s">
        <v>184</v>
      </c>
      <c r="G137" s="23"/>
      <c r="H137" s="23" t="str">
        <f t="shared" si="1"/>
        <v>INSERT INTO tblDayAttendanceLog VALUES (seqDayAttendanceLog.nextval, 136, TO_DATE('2025-08-01', 'YYYY-MM-DD'), TO_DATE('2025-08-01 08:31:00', 'YYYY-MM-DD HH24:MI:SS'), TO_DATE('2025-08-01 17:55:00', 'YYYY-MM-DD HH24:MI:SS'));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>
      <c r="A138" s="25" t="s">
        <v>206</v>
      </c>
      <c r="B138" s="26">
        <v>137.0</v>
      </c>
      <c r="C138" s="27">
        <v>45870.0</v>
      </c>
      <c r="D138" s="28">
        <v>45870.35486111111</v>
      </c>
      <c r="E138" s="28">
        <v>45870.74652777778</v>
      </c>
      <c r="F138" s="21" t="s">
        <v>184</v>
      </c>
      <c r="G138" s="23"/>
      <c r="H138" s="23" t="str">
        <f t="shared" si="1"/>
        <v>INSERT INTO tblDayAttendanceLog VALUES (seqDayAttendanceLog.nextval, 137, TO_DATE('2025-08-01', 'YYYY-MM-DD'), TO_DATE('2025-08-01 08:31:00', 'YYYY-MM-DD HH24:MI:SS'), TO_DATE('2025-08-01 17:55:00', 'YYYY-MM-DD HH24:MI:SS'));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>
      <c r="A139" s="25" t="s">
        <v>206</v>
      </c>
      <c r="B139" s="26">
        <v>138.0</v>
      </c>
      <c r="C139" s="27">
        <v>45870.0</v>
      </c>
      <c r="D139" s="28">
        <v>45870.35486111111</v>
      </c>
      <c r="E139" s="28">
        <v>45870.74722222222</v>
      </c>
      <c r="F139" s="21" t="s">
        <v>184</v>
      </c>
      <c r="G139" s="23"/>
      <c r="H139" s="23" t="str">
        <f t="shared" si="1"/>
        <v>INSERT INTO tblDayAttendanceLog VALUES (seqDayAttendanceLog.nextval, 138, TO_DATE('2025-08-01', 'YYYY-MM-DD'), TO_DATE('2025-08-01 08:31:00', 'YYYY-MM-DD HH24:MI:SS'), TO_DATE('2025-08-01 17:56:00', 'YYYY-MM-DD HH24:MI:SS'));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>
      <c r="A140" s="25" t="s">
        <v>206</v>
      </c>
      <c r="B140" s="26">
        <v>139.0</v>
      </c>
      <c r="C140" s="27">
        <v>45870.0</v>
      </c>
      <c r="D140" s="29"/>
      <c r="E140" s="29"/>
      <c r="F140" s="21" t="s">
        <v>186</v>
      </c>
      <c r="G140" s="23"/>
      <c r="H140" s="23" t="str">
        <f t="shared" si="1"/>
        <v>INSERT INTO tblDayAttendanceLog VALUES (seqDayAttendanceLog.nextval, 139, TO_DATE('2025-08-01', 'YYYY-MM-DD'), NULL, NULL);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>
      <c r="A141" s="25" t="s">
        <v>206</v>
      </c>
      <c r="B141" s="26">
        <v>140.0</v>
      </c>
      <c r="C141" s="27">
        <v>45870.0</v>
      </c>
      <c r="D141" s="28">
        <v>45870.34652777778</v>
      </c>
      <c r="E141" s="28">
        <v>45870.74791666667</v>
      </c>
      <c r="F141" s="21" t="s">
        <v>184</v>
      </c>
      <c r="G141" s="23"/>
      <c r="H141" s="23" t="str">
        <f t="shared" si="1"/>
        <v>INSERT INTO tblDayAttendanceLog VALUES (seqDayAttendanceLog.nextval, 140, TO_DATE('2025-08-01', 'YYYY-MM-DD'), TO_DATE('2025-08-01 08:19:00', 'YYYY-MM-DD HH24:MI:SS'), TO_DATE('2025-08-01 17:57:00', 'YYYY-MM-DD HH24:MI:SS'));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>
      <c r="A142" s="25" t="s">
        <v>206</v>
      </c>
      <c r="B142" s="26">
        <v>141.0</v>
      </c>
      <c r="C142" s="27">
        <v>45870.0</v>
      </c>
      <c r="D142" s="28">
        <v>45870.365277777775</v>
      </c>
      <c r="E142" s="28">
        <v>45870.74513888889</v>
      </c>
      <c r="F142" s="21" t="s">
        <v>184</v>
      </c>
      <c r="G142" s="23"/>
      <c r="H142" s="23" t="str">
        <f t="shared" si="1"/>
        <v>INSERT INTO tblDayAttendanceLog VALUES (seqDayAttendanceLog.nextval, 141, TO_DATE('2025-08-01', 'YYYY-MM-DD'), TO_DATE('2025-08-01 08:46:00', 'YYYY-MM-DD HH24:MI:SS'), TO_DATE('2025-08-01 17:53:00', 'YYYY-MM-DD HH24:MI:SS'));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>
      <c r="A143" s="25" t="s">
        <v>206</v>
      </c>
      <c r="B143" s="26">
        <v>142.0</v>
      </c>
      <c r="C143" s="27">
        <v>45870.0</v>
      </c>
      <c r="D143" s="28">
        <v>45870.33541666667</v>
      </c>
      <c r="E143" s="28">
        <v>45870.74791666667</v>
      </c>
      <c r="F143" s="21" t="s">
        <v>184</v>
      </c>
      <c r="G143" s="23"/>
      <c r="H143" s="23" t="str">
        <f t="shared" si="1"/>
        <v>INSERT INTO tblDayAttendanceLog VALUES (seqDayAttendanceLog.nextval, 142, TO_DATE('2025-08-01', 'YYYY-MM-DD'), TO_DATE('2025-08-01 08:03:00', 'YYYY-MM-DD HH24:MI:SS'), TO_DATE('2025-08-01 17:57:00', 'YYYY-MM-DD HH24:MI:SS'));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>
      <c r="A144" s="25" t="s">
        <v>206</v>
      </c>
      <c r="B144" s="26">
        <v>143.0</v>
      </c>
      <c r="C144" s="27">
        <v>45870.0</v>
      </c>
      <c r="D144" s="28">
        <v>45870.36041666667</v>
      </c>
      <c r="E144" s="28">
        <v>45870.569444444445</v>
      </c>
      <c r="F144" s="21" t="s">
        <v>187</v>
      </c>
      <c r="G144" s="23"/>
      <c r="H144" s="23" t="str">
        <f t="shared" si="1"/>
        <v>INSERT INTO tblDayAttendanceLog VALUES (seqDayAttendanceLog.nextval, 143, TO_DATE('2025-08-01', 'YYYY-MM-DD'), TO_DATE('2025-08-01 08:39:00', 'YYYY-MM-DD HH24:MI:SS'), TO_DATE('2025-08-01 13:40:00', 'YYYY-MM-DD HH24:MI:SS'));</v>
      </c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</row>
    <row r="145">
      <c r="A145" s="25" t="s">
        <v>206</v>
      </c>
      <c r="B145" s="26">
        <v>144.0</v>
      </c>
      <c r="C145" s="27">
        <v>45870.0</v>
      </c>
      <c r="D145" s="28">
        <v>45870.350694444445</v>
      </c>
      <c r="E145" s="28">
        <v>45870.748611111114</v>
      </c>
      <c r="F145" s="21" t="s">
        <v>184</v>
      </c>
      <c r="G145" s="23"/>
      <c r="H145" s="23" t="str">
        <f t="shared" si="1"/>
        <v>INSERT INTO tblDayAttendanceLog VALUES (seqDayAttendanceLog.nextval, 144, TO_DATE('2025-08-01', 'YYYY-MM-DD'), TO_DATE('2025-08-01 08:25:00', 'YYYY-MM-DD HH24:MI:SS'), TO_DATE('2025-08-01 17:58:00', 'YYYY-MM-DD HH24:MI:SS'));</v>
      </c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>
      <c r="A146" s="25" t="s">
        <v>206</v>
      </c>
      <c r="B146" s="26">
        <v>145.0</v>
      </c>
      <c r="C146" s="27">
        <v>45870.0</v>
      </c>
      <c r="D146" s="28">
        <v>45870.402083333334</v>
      </c>
      <c r="E146" s="28">
        <v>45870.74930555555</v>
      </c>
      <c r="F146" s="21" t="s">
        <v>189</v>
      </c>
      <c r="G146" s="23"/>
      <c r="H146" s="23" t="str">
        <f t="shared" si="1"/>
        <v>INSERT INTO tblDayAttendanceLog VALUES (seqDayAttendanceLog.nextval, 145, TO_DATE('2025-08-01', 'YYYY-MM-DD'), TO_DATE('2025-08-01 09:39:00', 'YYYY-MM-DD HH24:MI:SS'), TO_DATE('2025-08-01 17:59:00', 'YYYY-MM-DD HH24:MI:SS'));</v>
      </c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>
      <c r="A147" s="25" t="s">
        <v>206</v>
      </c>
      <c r="B147" s="26">
        <v>146.0</v>
      </c>
      <c r="C147" s="27">
        <v>45870.0</v>
      </c>
      <c r="D147" s="28">
        <v>45870.410416666666</v>
      </c>
      <c r="E147" s="28">
        <v>45870.748611111114</v>
      </c>
      <c r="F147" s="21" t="s">
        <v>189</v>
      </c>
      <c r="G147" s="23"/>
      <c r="H147" s="23" t="str">
        <f t="shared" si="1"/>
        <v>INSERT INTO tblDayAttendanceLog VALUES (seqDayAttendanceLog.nextval, 146, TO_DATE('2025-08-01', 'YYYY-MM-DD'), TO_DATE('2025-08-01 09:51:00', 'YYYY-MM-DD HH24:MI:SS'), TO_DATE('2025-08-01 17:58:00', 'YYYY-MM-DD HH24:MI:SS'));</v>
      </c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>
      <c r="A148" s="25" t="s">
        <v>206</v>
      </c>
      <c r="B148" s="26">
        <v>147.0</v>
      </c>
      <c r="C148" s="27">
        <v>45870.0</v>
      </c>
      <c r="D148" s="28">
        <v>45870.342361111114</v>
      </c>
      <c r="E148" s="28">
        <v>45870.743055555555</v>
      </c>
      <c r="F148" s="21" t="s">
        <v>184</v>
      </c>
      <c r="G148" s="23"/>
      <c r="H148" s="23" t="str">
        <f t="shared" si="1"/>
        <v>INSERT INTO tblDayAttendanceLog VALUES (seqDayAttendanceLog.nextval, 147, TO_DATE('2025-08-01', 'YYYY-MM-DD'), TO_DATE('2025-08-01 08:13:00', 'YYYY-MM-DD HH24:MI:SS'), TO_DATE('2025-08-01 17:50:00', 'YYYY-MM-DD HH24:MI:SS'));</v>
      </c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</row>
    <row r="149">
      <c r="A149" s="25" t="s">
        <v>206</v>
      </c>
      <c r="B149" s="26">
        <v>148.0</v>
      </c>
      <c r="C149" s="27">
        <v>45870.0</v>
      </c>
      <c r="D149" s="28">
        <v>45870.39791666667</v>
      </c>
      <c r="E149" s="28">
        <v>45870.74652777778</v>
      </c>
      <c r="F149" s="21" t="s">
        <v>189</v>
      </c>
      <c r="G149" s="23"/>
      <c r="H149" s="23" t="str">
        <f t="shared" si="1"/>
        <v>INSERT INTO tblDayAttendanceLog VALUES (seqDayAttendanceLog.nextval, 148, TO_DATE('2025-08-01', 'YYYY-MM-DD'), TO_DATE('2025-08-01 09:33:00', 'YYYY-MM-DD HH24:MI:SS'), TO_DATE('2025-08-01 17:55:00', 'YYYY-MM-DD HH24:MI:SS'));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>
      <c r="A150" s="25" t="s">
        <v>206</v>
      </c>
      <c r="B150" s="26">
        <v>149.0</v>
      </c>
      <c r="C150" s="27">
        <v>45870.0</v>
      </c>
      <c r="D150" s="28">
        <v>45870.41458333333</v>
      </c>
      <c r="E150" s="28">
        <v>45870.74722222222</v>
      </c>
      <c r="F150" s="21" t="s">
        <v>189</v>
      </c>
      <c r="G150" s="23"/>
      <c r="H150" s="23" t="str">
        <f t="shared" si="1"/>
        <v>INSERT INTO tblDayAttendanceLog VALUES (seqDayAttendanceLog.nextval, 149, TO_DATE('2025-08-01', 'YYYY-MM-DD'), TO_DATE('2025-08-01 09:57:00', 'YYYY-MM-DD HH24:MI:SS'), TO_DATE('2025-08-01 17:56:00', 'YYYY-MM-DD HH24:MI:SS'));</v>
      </c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>
      <c r="A151" s="25" t="s">
        <v>206</v>
      </c>
      <c r="B151" s="26">
        <v>150.0</v>
      </c>
      <c r="C151" s="27">
        <v>45870.0</v>
      </c>
      <c r="D151" s="28">
        <v>45870.37847222222</v>
      </c>
      <c r="E151" s="28">
        <v>45870.74652777778</v>
      </c>
      <c r="F151" s="21" t="s">
        <v>189</v>
      </c>
      <c r="G151" s="23"/>
      <c r="H151" s="23" t="str">
        <f t="shared" si="1"/>
        <v>INSERT INTO tblDayAttendanceLog VALUES (seqDayAttendanceLog.nextval, 150, TO_DATE('2025-08-01', 'YYYY-MM-DD'), TO_DATE('2025-08-01 09:05:00', 'YYYY-MM-DD HH24:MI:SS'), TO_DATE('2025-08-01 17:55:00', 'YYYY-MM-DD HH24:MI:SS'));</v>
      </c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  <row r="152">
      <c r="A152" s="25" t="s">
        <v>206</v>
      </c>
      <c r="B152" s="26">
        <v>151.0</v>
      </c>
      <c r="C152" s="27">
        <v>45870.0</v>
      </c>
      <c r="D152" s="28">
        <v>45870.38055555556</v>
      </c>
      <c r="E152" s="28">
        <v>45870.74722222222</v>
      </c>
      <c r="F152" s="21" t="s">
        <v>189</v>
      </c>
      <c r="G152" s="23"/>
      <c r="H152" s="23" t="str">
        <f t="shared" si="1"/>
        <v>INSERT INTO tblDayAttendanceLog VALUES (seqDayAttendanceLog.nextval, 151, TO_DATE('2025-08-01', 'YYYY-MM-DD'), TO_DATE('2025-08-01 09:08:00', 'YYYY-MM-DD HH24:MI:SS'), TO_DATE('2025-08-01 17:56:00', 'YYYY-MM-DD HH24:MI:SS'));</v>
      </c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</row>
    <row r="153">
      <c r="A153" s="25" t="s">
        <v>206</v>
      </c>
      <c r="B153" s="26">
        <v>152.0</v>
      </c>
      <c r="C153" s="27">
        <v>45870.0</v>
      </c>
      <c r="D153" s="28">
        <v>45870.34444444445</v>
      </c>
      <c r="E153" s="28">
        <v>45870.74444444444</v>
      </c>
      <c r="F153" s="21" t="s">
        <v>184</v>
      </c>
      <c r="G153" s="23"/>
      <c r="H153" s="23" t="str">
        <f t="shared" si="1"/>
        <v>INSERT INTO tblDayAttendanceLog VALUES (seqDayAttendanceLog.nextval, 152, TO_DATE('2025-08-01', 'YYYY-MM-DD'), TO_DATE('2025-08-01 08:16:00', 'YYYY-MM-DD HH24:MI:SS'), TO_DATE('2025-08-01 17:52:00', 'YYYY-MM-DD HH24:MI:SS'));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</row>
    <row r="154">
      <c r="A154" s="25" t="s">
        <v>206</v>
      </c>
      <c r="B154" s="26">
        <v>153.0</v>
      </c>
      <c r="C154" s="27">
        <v>45870.0</v>
      </c>
      <c r="D154" s="28">
        <v>45870.385416666664</v>
      </c>
      <c r="E154" s="28">
        <v>45870.74375</v>
      </c>
      <c r="F154" s="21" t="s">
        <v>189</v>
      </c>
      <c r="G154" s="23"/>
      <c r="H154" s="23" t="str">
        <f t="shared" si="1"/>
        <v>INSERT INTO tblDayAttendanceLog VALUES (seqDayAttendanceLog.nextval, 153, TO_DATE('2025-08-01', 'YYYY-MM-DD'), TO_DATE('2025-08-01 09:15:00', 'YYYY-MM-DD HH24:MI:SS'), TO_DATE('2025-08-01 17:51:00', 'YYYY-MM-DD HH24:MI:SS'));</v>
      </c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</row>
    <row r="155">
      <c r="A155" s="25" t="s">
        <v>206</v>
      </c>
      <c r="B155" s="26">
        <v>154.0</v>
      </c>
      <c r="C155" s="27">
        <v>45870.0</v>
      </c>
      <c r="D155" s="28">
        <v>45870.361805555556</v>
      </c>
      <c r="E155" s="28">
        <v>45870.745833333334</v>
      </c>
      <c r="F155" s="21" t="s">
        <v>184</v>
      </c>
      <c r="G155" s="23"/>
      <c r="H155" s="23" t="str">
        <f t="shared" si="1"/>
        <v>INSERT INTO tblDayAttendanceLog VALUES (seqDayAttendanceLog.nextval, 154, TO_DATE('2025-08-01', 'YYYY-MM-DD'), TO_DATE('2025-08-01 08:41:00', 'YYYY-MM-DD HH24:MI:SS'), TO_DATE('2025-08-01 17:54:00', 'YYYY-MM-DD HH24:MI:SS'));</v>
      </c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</row>
    <row r="156">
      <c r="A156" s="25" t="s">
        <v>206</v>
      </c>
      <c r="B156" s="26">
        <v>155.0</v>
      </c>
      <c r="C156" s="27">
        <v>45870.0</v>
      </c>
      <c r="D156" s="28">
        <v>45870.333333333336</v>
      </c>
      <c r="E156" s="28">
        <v>45870.748611111114</v>
      </c>
      <c r="F156" s="21" t="s">
        <v>184</v>
      </c>
      <c r="G156" s="23"/>
      <c r="H156" s="23" t="str">
        <f t="shared" si="1"/>
        <v>INSERT INTO tblDayAttendanceLog VALUES (seqDayAttendanceLog.nextval, 155, TO_DATE('2025-08-01', 'YYYY-MM-DD'), TO_DATE('2025-08-01 08:00:00', 'YYYY-MM-DD HH24:MI:SS'), TO_DATE('2025-08-01 17:58:00', 'YYYY-MM-DD HH24:MI:SS'));</v>
      </c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</row>
    <row r="157">
      <c r="A157" s="25" t="s">
        <v>206</v>
      </c>
      <c r="B157" s="26">
        <v>156.0</v>
      </c>
      <c r="C157" s="27">
        <v>45870.0</v>
      </c>
      <c r="D157" s="28">
        <v>45870.413194444445</v>
      </c>
      <c r="E157" s="28">
        <v>45870.74444444444</v>
      </c>
      <c r="F157" s="21" t="s">
        <v>189</v>
      </c>
      <c r="G157" s="23"/>
      <c r="H157" s="23" t="str">
        <f t="shared" si="1"/>
        <v>INSERT INTO tblDayAttendanceLog VALUES (seqDayAttendanceLog.nextval, 156, TO_DATE('2025-08-01', 'YYYY-MM-DD'), TO_DATE('2025-08-01 09:55:00', 'YYYY-MM-DD HH24:MI:SS'), TO_DATE('2025-08-01 17:52:00', 'YYYY-MM-DD HH24:MI:SS'));</v>
      </c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</row>
    <row r="158">
      <c r="A158" s="25" t="s">
        <v>206</v>
      </c>
      <c r="B158" s="26">
        <v>157.0</v>
      </c>
      <c r="C158" s="27">
        <v>45870.0</v>
      </c>
      <c r="D158" s="28">
        <v>45870.39444444444</v>
      </c>
      <c r="E158" s="28">
        <v>45870.74444444444</v>
      </c>
      <c r="F158" s="21" t="s">
        <v>189</v>
      </c>
      <c r="G158" s="23"/>
      <c r="H158" s="23" t="str">
        <f t="shared" si="1"/>
        <v>INSERT INTO tblDayAttendanceLog VALUES (seqDayAttendanceLog.nextval, 157, TO_DATE('2025-08-01', 'YYYY-MM-DD'), TO_DATE('2025-08-01 09:28:00', 'YYYY-MM-DD HH24:MI:SS'), TO_DATE('2025-08-01 17:52:00', 'YYYY-MM-DD HH24:MI:SS'));</v>
      </c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</row>
    <row r="159">
      <c r="A159" s="25" t="s">
        <v>206</v>
      </c>
      <c r="B159" s="26">
        <v>158.0</v>
      </c>
      <c r="C159" s="27">
        <v>45870.0</v>
      </c>
      <c r="D159" s="28">
        <v>45870.393055555556</v>
      </c>
      <c r="E159" s="28">
        <v>45870.74444444444</v>
      </c>
      <c r="F159" s="21" t="s">
        <v>189</v>
      </c>
      <c r="G159" s="23"/>
      <c r="H159" s="23" t="str">
        <f t="shared" si="1"/>
        <v>INSERT INTO tblDayAttendanceLog VALUES (seqDayAttendanceLog.nextval, 158, TO_DATE('2025-08-01', 'YYYY-MM-DD'), TO_DATE('2025-08-01 09:26:00', 'YYYY-MM-DD HH24:MI:SS'), TO_DATE('2025-08-01 17:52:00', 'YYYY-MM-DD HH24:MI:SS'));</v>
      </c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</row>
    <row r="160">
      <c r="A160" s="25" t="s">
        <v>206</v>
      </c>
      <c r="B160" s="26">
        <v>159.0</v>
      </c>
      <c r="C160" s="27">
        <v>45870.0</v>
      </c>
      <c r="D160" s="28">
        <v>45870.35902777778</v>
      </c>
      <c r="E160" s="28">
        <v>45870.74652777778</v>
      </c>
      <c r="F160" s="21" t="s">
        <v>184</v>
      </c>
      <c r="G160" s="23"/>
      <c r="H160" s="23" t="str">
        <f t="shared" si="1"/>
        <v>INSERT INTO tblDayAttendanceLog VALUES (seqDayAttendanceLog.nextval, 159, TO_DATE('2025-08-01', 'YYYY-MM-DD'), TO_DATE('2025-08-01 08:37:00', 'YYYY-MM-DD HH24:MI:SS'), TO_DATE('2025-08-01 17:55:00', 'YYYY-MM-DD HH24:MI:SS'));</v>
      </c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</row>
    <row r="161">
      <c r="A161" s="25" t="s">
        <v>206</v>
      </c>
      <c r="B161" s="26">
        <v>160.0</v>
      </c>
      <c r="C161" s="27">
        <v>45870.0</v>
      </c>
      <c r="D161" s="28">
        <v>45870.39722222222</v>
      </c>
      <c r="E161" s="28">
        <v>45870.74930555555</v>
      </c>
      <c r="F161" s="21" t="s">
        <v>189</v>
      </c>
      <c r="G161" s="23"/>
      <c r="H161" s="23" t="str">
        <f t="shared" si="1"/>
        <v>INSERT INTO tblDayAttendanceLog VALUES (seqDayAttendanceLog.nextval, 160, TO_DATE('2025-08-01', 'YYYY-MM-DD'), TO_DATE('2025-08-01 09:32:00', 'YYYY-MM-DD HH24:MI:SS'), TO_DATE('2025-08-01 17:59:00', 'YYYY-MM-DD HH24:MI:SS'));</v>
      </c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</row>
    <row r="162">
      <c r="A162" s="25" t="s">
        <v>206</v>
      </c>
      <c r="B162" s="26">
        <v>161.0</v>
      </c>
      <c r="C162" s="27">
        <v>45870.0</v>
      </c>
      <c r="D162" s="28">
        <v>45870.35138888889</v>
      </c>
      <c r="E162" s="28">
        <v>45870.74513888889</v>
      </c>
      <c r="F162" s="21" t="s">
        <v>184</v>
      </c>
      <c r="G162" s="23"/>
      <c r="H162" s="23" t="str">
        <f t="shared" si="1"/>
        <v>INSERT INTO tblDayAttendanceLog VALUES (seqDayAttendanceLog.nextval, 161, TO_DATE('2025-08-01', 'YYYY-MM-DD'), TO_DATE('2025-08-01 08:26:00', 'YYYY-MM-DD HH24:MI:SS'), TO_DATE('2025-08-01 17:53:00', 'YYYY-MM-DD HH24:MI:SS'));</v>
      </c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>
      <c r="A163" s="25" t="s">
        <v>206</v>
      </c>
      <c r="B163" s="26">
        <v>162.0</v>
      </c>
      <c r="C163" s="27">
        <v>45870.0</v>
      </c>
      <c r="D163" s="28">
        <v>45870.37013888889</v>
      </c>
      <c r="E163" s="28">
        <v>45870.74652777778</v>
      </c>
      <c r="F163" s="21" t="s">
        <v>184</v>
      </c>
      <c r="G163" s="23"/>
      <c r="H163" s="23" t="str">
        <f t="shared" si="1"/>
        <v>INSERT INTO tblDayAttendanceLog VALUES (seqDayAttendanceLog.nextval, 162, TO_DATE('2025-08-01', 'YYYY-MM-DD'), TO_DATE('2025-08-01 08:53:00', 'YYYY-MM-DD HH24:MI:SS'), TO_DATE('2025-08-01 17:55:00', 'YYYY-MM-DD HH24:MI:SS'));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</row>
    <row r="164">
      <c r="A164" s="25" t="s">
        <v>206</v>
      </c>
      <c r="B164" s="26">
        <v>163.0</v>
      </c>
      <c r="C164" s="27">
        <v>45870.0</v>
      </c>
      <c r="D164" s="28">
        <v>45870.41388888889</v>
      </c>
      <c r="E164" s="28">
        <v>45870.748611111114</v>
      </c>
      <c r="F164" s="21" t="s">
        <v>189</v>
      </c>
      <c r="G164" s="23"/>
      <c r="H164" s="23" t="str">
        <f t="shared" si="1"/>
        <v>INSERT INTO tblDayAttendanceLog VALUES (seqDayAttendanceLog.nextval, 163, TO_DATE('2025-08-01', 'YYYY-MM-DD'), TO_DATE('2025-08-01 09:56:00', 'YYYY-MM-DD HH24:MI:SS'), TO_DATE('2025-08-01 17:58:00', 'YYYY-MM-DD HH24:MI:SS'));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</row>
    <row r="165">
      <c r="A165" s="25" t="s">
        <v>206</v>
      </c>
      <c r="B165" s="26">
        <v>164.0</v>
      </c>
      <c r="C165" s="27">
        <v>45870.0</v>
      </c>
      <c r="D165" s="28">
        <v>45870.381944444445</v>
      </c>
      <c r="E165" s="28">
        <v>45870.74444444444</v>
      </c>
      <c r="F165" s="21" t="s">
        <v>189</v>
      </c>
      <c r="G165" s="23"/>
      <c r="H165" s="23" t="str">
        <f t="shared" si="1"/>
        <v>INSERT INTO tblDayAttendanceLog VALUES (seqDayAttendanceLog.nextval, 164, TO_DATE('2025-08-01', 'YYYY-MM-DD'), TO_DATE('2025-08-01 09:10:00', 'YYYY-MM-DD HH24:MI:SS'), TO_DATE('2025-08-01 17:52:00', 'YYYY-MM-DD HH24:MI:SS'));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</row>
    <row r="166">
      <c r="A166" s="25" t="s">
        <v>206</v>
      </c>
      <c r="B166" s="26">
        <v>165.0</v>
      </c>
      <c r="C166" s="27">
        <v>45870.0</v>
      </c>
      <c r="D166" s="28">
        <v>45870.333333333336</v>
      </c>
      <c r="E166" s="28">
        <v>45870.74444444444</v>
      </c>
      <c r="F166" s="21" t="s">
        <v>184</v>
      </c>
      <c r="G166" s="23"/>
      <c r="H166" s="23" t="str">
        <f t="shared" si="1"/>
        <v>INSERT INTO tblDayAttendanceLog VALUES (seqDayAttendanceLog.nextval, 165, TO_DATE('2025-08-01', 'YYYY-MM-DD'), TO_DATE('2025-08-01 08:00:00', 'YYYY-MM-DD HH24:MI:SS'), TO_DATE('2025-08-01 17:52:00', 'YYYY-MM-DD HH24:MI:SS'));</v>
      </c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</row>
    <row r="167">
      <c r="A167" s="25" t="s">
        <v>206</v>
      </c>
      <c r="B167" s="26">
        <v>166.0</v>
      </c>
      <c r="C167" s="27">
        <v>45870.0</v>
      </c>
      <c r="D167" s="28">
        <v>45870.36041666667</v>
      </c>
      <c r="E167" s="28">
        <v>45870.745833333334</v>
      </c>
      <c r="F167" s="21" t="s">
        <v>184</v>
      </c>
      <c r="G167" s="23"/>
      <c r="H167" s="23" t="str">
        <f t="shared" si="1"/>
        <v>INSERT INTO tblDayAttendanceLog VALUES (seqDayAttendanceLog.nextval, 166, TO_DATE('2025-08-01', 'YYYY-MM-DD'), TO_DATE('2025-08-01 08:39:00', 'YYYY-MM-DD HH24:MI:SS'), TO_DATE('2025-08-01 17:54:00', 'YYYY-MM-DD HH24:MI:SS'));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</row>
    <row r="168">
      <c r="A168" s="25" t="s">
        <v>206</v>
      </c>
      <c r="B168" s="26">
        <v>167.0</v>
      </c>
      <c r="C168" s="27">
        <v>45870.0</v>
      </c>
      <c r="D168" s="28">
        <v>45870.347916666666</v>
      </c>
      <c r="E168" s="28">
        <v>45870.74375</v>
      </c>
      <c r="F168" s="21" t="s">
        <v>184</v>
      </c>
      <c r="G168" s="23"/>
      <c r="H168" s="23" t="str">
        <f t="shared" si="1"/>
        <v>INSERT INTO tblDayAttendanceLog VALUES (seqDayAttendanceLog.nextval, 167, TO_DATE('2025-08-01', 'YYYY-MM-DD'), TO_DATE('2025-08-01 08:21:00', 'YYYY-MM-DD HH24:MI:SS'), TO_DATE('2025-08-01 17:51:00', 'YYYY-MM-DD HH24:MI:SS'));</v>
      </c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>
      <c r="A169" s="25" t="s">
        <v>206</v>
      </c>
      <c r="B169" s="26">
        <v>168.0</v>
      </c>
      <c r="C169" s="27">
        <v>45870.0</v>
      </c>
      <c r="D169" s="28">
        <v>45870.35138888889</v>
      </c>
      <c r="E169" s="28">
        <v>45870.74722222222</v>
      </c>
      <c r="F169" s="21" t="s">
        <v>184</v>
      </c>
      <c r="G169" s="23"/>
      <c r="H169" s="23" t="str">
        <f t="shared" si="1"/>
        <v>INSERT INTO tblDayAttendanceLog VALUES (seqDayAttendanceLog.nextval, 168, TO_DATE('2025-08-01', 'YYYY-MM-DD'), TO_DATE('2025-08-01 08:26:00', 'YYYY-MM-DD HH24:MI:SS'), TO_DATE('2025-08-01 17:56:00', 'YYYY-MM-DD HH24:MI:SS'));</v>
      </c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</row>
    <row r="170">
      <c r="A170" s="25" t="s">
        <v>206</v>
      </c>
      <c r="B170" s="26">
        <v>1.0</v>
      </c>
      <c r="C170" s="27">
        <v>45873.0</v>
      </c>
      <c r="D170" s="28">
        <v>45873.407638888886</v>
      </c>
      <c r="E170" s="28">
        <v>45873.74375</v>
      </c>
      <c r="F170" s="21" t="s">
        <v>189</v>
      </c>
      <c r="G170" s="23"/>
      <c r="H170" s="23" t="str">
        <f t="shared" si="1"/>
        <v>INSERT INTO tblDayAttendanceLog VALUES (seqDayAttendanceLog.nextval, 1, TO_DATE('2025-08-04', 'YYYY-MM-DD'), TO_DATE('2025-08-04 09:47:00', 'YYYY-MM-DD HH24:MI:SS'), TO_DATE('2025-08-04 17:51:00', 'YYYY-MM-DD HH24:MI:SS'));</v>
      </c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</row>
    <row r="171">
      <c r="A171" s="25" t="s">
        <v>206</v>
      </c>
      <c r="B171" s="26">
        <v>2.0</v>
      </c>
      <c r="C171" s="27">
        <v>45873.0</v>
      </c>
      <c r="D171" s="28">
        <v>45873.39236111111</v>
      </c>
      <c r="E171" s="28">
        <v>45873.74722222222</v>
      </c>
      <c r="F171" s="21" t="s">
        <v>189</v>
      </c>
      <c r="G171" s="23"/>
      <c r="H171" s="23" t="str">
        <f t="shared" si="1"/>
        <v>INSERT INTO tblDayAttendanceLog VALUES (seqDayAttendanceLog.nextval, 2, TO_DATE('2025-08-04', 'YYYY-MM-DD'), TO_DATE('2025-08-04 09:25:00', 'YYYY-MM-DD HH24:MI:SS'), TO_DATE('2025-08-04 17:56:00', 'YYYY-MM-DD HH24:MI:SS'));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</row>
    <row r="172">
      <c r="A172" s="25" t="s">
        <v>206</v>
      </c>
      <c r="B172" s="26">
        <v>3.0</v>
      </c>
      <c r="C172" s="27">
        <v>45873.0</v>
      </c>
      <c r="D172" s="28">
        <v>45873.413194444445</v>
      </c>
      <c r="E172" s="28">
        <v>45873.74375</v>
      </c>
      <c r="F172" s="21" t="s">
        <v>189</v>
      </c>
      <c r="G172" s="23"/>
      <c r="H172" s="23" t="str">
        <f t="shared" si="1"/>
        <v>INSERT INTO tblDayAttendanceLog VALUES (seqDayAttendanceLog.nextval, 3, TO_DATE('2025-08-04', 'YYYY-MM-DD'), TO_DATE('2025-08-04 09:55:00', 'YYYY-MM-DD HH24:MI:SS'), TO_DATE('2025-08-04 17:51:00', 'YYYY-MM-DD HH24:MI:SS'));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</row>
    <row r="173">
      <c r="A173" s="25" t="s">
        <v>206</v>
      </c>
      <c r="B173" s="26">
        <v>4.0</v>
      </c>
      <c r="C173" s="27">
        <v>45873.0</v>
      </c>
      <c r="D173" s="28">
        <v>45873.35277777778</v>
      </c>
      <c r="E173" s="28">
        <v>45873.74513888889</v>
      </c>
      <c r="F173" s="21" t="s">
        <v>184</v>
      </c>
      <c r="G173" s="23"/>
      <c r="H173" s="23" t="str">
        <f t="shared" si="1"/>
        <v>INSERT INTO tblDayAttendanceLog VALUES (seqDayAttendanceLog.nextval, 4, TO_DATE('2025-08-04', 'YYYY-MM-DD'), TO_DATE('2025-08-04 08:28:00', 'YYYY-MM-DD HH24:MI:SS'), TO_DATE('2025-08-04 17:53:00', 'YYYY-MM-DD HH24:MI:SS'));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</row>
    <row r="174">
      <c r="A174" s="25" t="s">
        <v>206</v>
      </c>
      <c r="B174" s="26">
        <v>5.0</v>
      </c>
      <c r="C174" s="27">
        <v>45873.0</v>
      </c>
      <c r="D174" s="28">
        <v>45873.37777777778</v>
      </c>
      <c r="E174" s="28">
        <v>45873.74930555555</v>
      </c>
      <c r="F174" s="21" t="s">
        <v>189</v>
      </c>
      <c r="G174" s="23"/>
      <c r="H174" s="23" t="str">
        <f t="shared" si="1"/>
        <v>INSERT INTO tblDayAttendanceLog VALUES (seqDayAttendanceLog.nextval, 5, TO_DATE('2025-08-04', 'YYYY-MM-DD'), TO_DATE('2025-08-04 09:04:00', 'YYYY-MM-DD HH24:MI:SS'), TO_DATE('2025-08-04 17:59:00', 'YYYY-MM-DD HH24:MI:SS'));</v>
      </c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</row>
    <row r="175">
      <c r="A175" s="25" t="s">
        <v>206</v>
      </c>
      <c r="B175" s="26">
        <v>6.0</v>
      </c>
      <c r="C175" s="27">
        <v>45873.0</v>
      </c>
      <c r="D175" s="28">
        <v>45873.384722222225</v>
      </c>
      <c r="E175" s="28">
        <v>45873.74652777778</v>
      </c>
      <c r="F175" s="21" t="s">
        <v>189</v>
      </c>
      <c r="G175" s="23"/>
      <c r="H175" s="23" t="str">
        <f t="shared" si="1"/>
        <v>INSERT INTO tblDayAttendanceLog VALUES (seqDayAttendanceLog.nextval, 6, TO_DATE('2025-08-04', 'YYYY-MM-DD'), TO_DATE('2025-08-04 09:14:00', 'YYYY-MM-DD HH24:MI:SS'), TO_DATE('2025-08-04 17:55:00', 'YYYY-MM-DD HH24:MI:SS'));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</row>
    <row r="176">
      <c r="A176" s="25" t="s">
        <v>206</v>
      </c>
      <c r="B176" s="26">
        <v>7.0</v>
      </c>
      <c r="C176" s="27">
        <v>45873.0</v>
      </c>
      <c r="D176" s="28">
        <v>45873.39027777778</v>
      </c>
      <c r="E176" s="28">
        <v>45873.745833333334</v>
      </c>
      <c r="F176" s="21" t="s">
        <v>189</v>
      </c>
      <c r="G176" s="23"/>
      <c r="H176" s="23" t="str">
        <f t="shared" si="1"/>
        <v>INSERT INTO tblDayAttendanceLog VALUES (seqDayAttendanceLog.nextval, 7, TO_DATE('2025-08-04', 'YYYY-MM-DD'), TO_DATE('2025-08-04 09:22:00', 'YYYY-MM-DD HH24:MI:SS'), TO_DATE('2025-08-04 17:54:00', 'YYYY-MM-DD HH24:MI:SS'));</v>
      </c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</row>
    <row r="177">
      <c r="A177" s="25" t="s">
        <v>206</v>
      </c>
      <c r="B177" s="26">
        <v>8.0</v>
      </c>
      <c r="C177" s="27">
        <v>45873.0</v>
      </c>
      <c r="D177" s="28">
        <v>45873.36736111111</v>
      </c>
      <c r="E177" s="28">
        <v>45873.74444444444</v>
      </c>
      <c r="F177" s="21" t="s">
        <v>184</v>
      </c>
      <c r="G177" s="23"/>
      <c r="H177" s="23" t="str">
        <f t="shared" si="1"/>
        <v>INSERT INTO tblDayAttendanceLog VALUES (seqDayAttendanceLog.nextval, 8, TO_DATE('2025-08-04', 'YYYY-MM-DD'), TO_DATE('2025-08-04 08:49:00', 'YYYY-MM-DD HH24:MI:SS'), TO_DATE('2025-08-04 17:52:00', 'YYYY-MM-DD HH24:MI:SS'));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</row>
    <row r="178">
      <c r="A178" s="25" t="s">
        <v>206</v>
      </c>
      <c r="B178" s="26">
        <v>9.0</v>
      </c>
      <c r="C178" s="27">
        <v>45873.0</v>
      </c>
      <c r="D178" s="28">
        <v>45873.376388888886</v>
      </c>
      <c r="E178" s="28">
        <v>45873.74930555555</v>
      </c>
      <c r="F178" s="21" t="s">
        <v>189</v>
      </c>
      <c r="G178" s="23"/>
      <c r="H178" s="23" t="str">
        <f t="shared" si="1"/>
        <v>INSERT INTO tblDayAttendanceLog VALUES (seqDayAttendanceLog.nextval, 9, TO_DATE('2025-08-04', 'YYYY-MM-DD'), TO_DATE('2025-08-04 09:02:00', 'YYYY-MM-DD HH24:MI:SS'), TO_DATE('2025-08-04 17:59:00', 'YYYY-MM-DD HH24:MI:SS'));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</row>
    <row r="179">
      <c r="A179" s="25" t="s">
        <v>206</v>
      </c>
      <c r="B179" s="26">
        <v>10.0</v>
      </c>
      <c r="C179" s="27">
        <v>45873.0</v>
      </c>
      <c r="D179" s="28">
        <v>45873.40069444444</v>
      </c>
      <c r="E179" s="28">
        <v>45873.74513888889</v>
      </c>
      <c r="F179" s="21" t="s">
        <v>189</v>
      </c>
      <c r="G179" s="23"/>
      <c r="H179" s="23" t="str">
        <f t="shared" si="1"/>
        <v>INSERT INTO tblDayAttendanceLog VALUES (seqDayAttendanceLog.nextval, 10, TO_DATE('2025-08-04', 'YYYY-MM-DD'), TO_DATE('2025-08-04 09:37:00', 'YYYY-MM-DD HH24:MI:SS'), TO_DATE('2025-08-04 17:53:00', 'YYYY-MM-DD HH24:MI:SS'));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</row>
    <row r="180">
      <c r="A180" s="25" t="s">
        <v>206</v>
      </c>
      <c r="B180" s="26">
        <v>11.0</v>
      </c>
      <c r="C180" s="27">
        <v>45873.0</v>
      </c>
      <c r="D180" s="28">
        <v>45873.34444444445</v>
      </c>
      <c r="E180" s="28">
        <v>45873.74652777778</v>
      </c>
      <c r="F180" s="21" t="s">
        <v>184</v>
      </c>
      <c r="G180" s="23"/>
      <c r="H180" s="23" t="str">
        <f t="shared" si="1"/>
        <v>INSERT INTO tblDayAttendanceLog VALUES (seqDayAttendanceLog.nextval, 11, TO_DATE('2025-08-04', 'YYYY-MM-DD'), TO_DATE('2025-08-04 08:16:00', 'YYYY-MM-DD HH24:MI:SS'), TO_DATE('2025-08-04 17:55:00', 'YYYY-MM-DD HH24:MI:SS'));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</row>
    <row r="181">
      <c r="A181" s="25" t="s">
        <v>206</v>
      </c>
      <c r="B181" s="26">
        <v>12.0</v>
      </c>
      <c r="C181" s="27">
        <v>45873.0</v>
      </c>
      <c r="D181" s="28">
        <v>45873.34027777778</v>
      </c>
      <c r="E181" s="28">
        <v>45873.745833333334</v>
      </c>
      <c r="F181" s="21" t="s">
        <v>184</v>
      </c>
      <c r="G181" s="23"/>
      <c r="H181" s="23" t="str">
        <f t="shared" si="1"/>
        <v>INSERT INTO tblDayAttendanceLog VALUES (seqDayAttendanceLog.nextval, 12, TO_DATE('2025-08-04', 'YYYY-MM-DD'), TO_DATE('2025-08-04 08:10:00', 'YYYY-MM-DD HH24:MI:SS'), TO_DATE('2025-08-04 17:54:00', 'YYYY-MM-DD HH24:MI:SS'));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</row>
    <row r="182">
      <c r="A182" s="25" t="s">
        <v>206</v>
      </c>
      <c r="B182" s="26">
        <v>13.0</v>
      </c>
      <c r="C182" s="27">
        <v>45873.0</v>
      </c>
      <c r="D182" s="28">
        <v>45873.39027777778</v>
      </c>
      <c r="E182" s="28">
        <v>45873.745833333334</v>
      </c>
      <c r="F182" s="21" t="s">
        <v>189</v>
      </c>
      <c r="G182" s="23"/>
      <c r="H182" s="23" t="str">
        <f t="shared" si="1"/>
        <v>INSERT INTO tblDayAttendanceLog VALUES (seqDayAttendanceLog.nextval, 13, TO_DATE('2025-08-04', 'YYYY-MM-DD'), TO_DATE('2025-08-04 09:22:00', 'YYYY-MM-DD HH24:MI:SS'), TO_DATE('2025-08-04 17:54:00', 'YYYY-MM-DD HH24:MI:SS'));</v>
      </c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</row>
    <row r="183">
      <c r="A183" s="25" t="s">
        <v>206</v>
      </c>
      <c r="B183" s="26">
        <v>14.0</v>
      </c>
      <c r="C183" s="27">
        <v>45873.0</v>
      </c>
      <c r="D183" s="28">
        <v>45873.36597222222</v>
      </c>
      <c r="E183" s="28">
        <v>45873.743055555555</v>
      </c>
      <c r="F183" s="21" t="s">
        <v>184</v>
      </c>
      <c r="G183" s="23"/>
      <c r="H183" s="23" t="str">
        <f t="shared" si="1"/>
        <v>INSERT INTO tblDayAttendanceLog VALUES (seqDayAttendanceLog.nextval, 14, TO_DATE('2025-08-04', 'YYYY-MM-DD'), TO_DATE('2025-08-04 08:47:00', 'YYYY-MM-DD HH24:MI:SS'), TO_DATE('2025-08-04 17:50:00', 'YYYY-MM-DD HH24:MI:SS'));</v>
      </c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</row>
    <row r="184">
      <c r="A184" s="25" t="s">
        <v>206</v>
      </c>
      <c r="B184" s="26">
        <v>15.0</v>
      </c>
      <c r="C184" s="27">
        <v>45873.0</v>
      </c>
      <c r="D184" s="28">
        <v>45873.34097222222</v>
      </c>
      <c r="E184" s="28">
        <v>45873.74930555555</v>
      </c>
      <c r="F184" s="21" t="s">
        <v>184</v>
      </c>
      <c r="G184" s="23"/>
      <c r="H184" s="23" t="str">
        <f t="shared" si="1"/>
        <v>INSERT INTO tblDayAttendanceLog VALUES (seqDayAttendanceLog.nextval, 15, TO_DATE('2025-08-04', 'YYYY-MM-DD'), TO_DATE('2025-08-04 08:11:00', 'YYYY-MM-DD HH24:MI:SS'), TO_DATE('2025-08-04 17:59:00', 'YYYY-MM-DD HH24:MI:SS'));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</row>
    <row r="185">
      <c r="A185" s="25" t="s">
        <v>206</v>
      </c>
      <c r="B185" s="26">
        <v>16.0</v>
      </c>
      <c r="C185" s="27">
        <v>45873.0</v>
      </c>
      <c r="D185" s="28">
        <v>45873.37569444445</v>
      </c>
      <c r="E185" s="28">
        <v>45873.74375</v>
      </c>
      <c r="F185" s="21" t="s">
        <v>189</v>
      </c>
      <c r="G185" s="23"/>
      <c r="H185" s="23" t="str">
        <f t="shared" si="1"/>
        <v>INSERT INTO tblDayAttendanceLog VALUES (seqDayAttendanceLog.nextval, 16, TO_DATE('2025-08-04', 'YYYY-MM-DD'), TO_DATE('2025-08-04 09:01:00', 'YYYY-MM-DD HH24:MI:SS'), TO_DATE('2025-08-04 17:51:00', 'YYYY-MM-DD HH24:MI:SS'));</v>
      </c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</row>
    <row r="186">
      <c r="A186" s="25" t="s">
        <v>206</v>
      </c>
      <c r="B186" s="26">
        <v>17.0</v>
      </c>
      <c r="C186" s="27">
        <v>45873.0</v>
      </c>
      <c r="D186" s="28">
        <v>45873.37986111111</v>
      </c>
      <c r="E186" s="28">
        <v>45873.74722222222</v>
      </c>
      <c r="F186" s="21" t="s">
        <v>189</v>
      </c>
      <c r="G186" s="23"/>
      <c r="H186" s="23" t="str">
        <f t="shared" si="1"/>
        <v>INSERT INTO tblDayAttendanceLog VALUES (seqDayAttendanceLog.nextval, 17, TO_DATE('2025-08-04', 'YYYY-MM-DD'), TO_DATE('2025-08-04 09:07:00', 'YYYY-MM-DD HH24:MI:SS'), TO_DATE('2025-08-04 17:56:00', 'YYYY-MM-DD HH24:MI:SS'));</v>
      </c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</row>
    <row r="187">
      <c r="A187" s="25" t="s">
        <v>206</v>
      </c>
      <c r="B187" s="26">
        <v>18.0</v>
      </c>
      <c r="C187" s="27">
        <v>45873.0</v>
      </c>
      <c r="D187" s="28">
        <v>45873.415972222225</v>
      </c>
      <c r="E187" s="28">
        <v>45873.74930555555</v>
      </c>
      <c r="F187" s="21" t="s">
        <v>189</v>
      </c>
      <c r="G187" s="23"/>
      <c r="H187" s="23" t="str">
        <f t="shared" si="1"/>
        <v>INSERT INTO tblDayAttendanceLog VALUES (seqDayAttendanceLog.nextval, 18, TO_DATE('2025-08-04', 'YYYY-MM-DD'), TO_DATE('2025-08-04 09:59:00', 'YYYY-MM-DD HH24:MI:SS'), TO_DATE('2025-08-04 17:59:00', 'YYYY-MM-DD HH24:MI:SS'));</v>
      </c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</row>
    <row r="188">
      <c r="A188" s="25" t="s">
        <v>206</v>
      </c>
      <c r="B188" s="26">
        <v>19.0</v>
      </c>
      <c r="C188" s="27">
        <v>45873.0</v>
      </c>
      <c r="D188" s="28">
        <v>45873.38958333333</v>
      </c>
      <c r="E188" s="28">
        <v>45873.74375</v>
      </c>
      <c r="F188" s="21" t="s">
        <v>189</v>
      </c>
      <c r="G188" s="23"/>
      <c r="H188" s="23" t="str">
        <f t="shared" si="1"/>
        <v>INSERT INTO tblDayAttendanceLog VALUES (seqDayAttendanceLog.nextval, 19, TO_DATE('2025-08-04', 'YYYY-MM-DD'), TO_DATE('2025-08-04 09:21:00', 'YYYY-MM-DD HH24:MI:SS'), TO_DATE('2025-08-04 17:51:00', 'YYYY-MM-DD HH24:MI:SS'));</v>
      </c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</row>
    <row r="189">
      <c r="A189" s="25" t="s">
        <v>206</v>
      </c>
      <c r="B189" s="26">
        <v>20.0</v>
      </c>
      <c r="C189" s="27">
        <v>45873.0</v>
      </c>
      <c r="D189" s="28">
        <v>45873.36388888889</v>
      </c>
      <c r="E189" s="28">
        <v>45873.74791666667</v>
      </c>
      <c r="F189" s="21" t="s">
        <v>184</v>
      </c>
      <c r="G189" s="23"/>
      <c r="H189" s="23" t="str">
        <f t="shared" si="1"/>
        <v>INSERT INTO tblDayAttendanceLog VALUES (seqDayAttendanceLog.nextval, 20, TO_DATE('2025-08-04', 'YYYY-MM-DD'), TO_DATE('2025-08-04 08:44:00', 'YYYY-MM-DD HH24:MI:SS'), TO_DATE('2025-08-04 17:57:00', 'YYYY-MM-DD HH24:MI:SS'));</v>
      </c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</row>
    <row r="190">
      <c r="A190" s="25" t="s">
        <v>206</v>
      </c>
      <c r="B190" s="26">
        <v>21.0</v>
      </c>
      <c r="C190" s="27">
        <v>45873.0</v>
      </c>
      <c r="D190" s="28">
        <v>45873.399305555555</v>
      </c>
      <c r="E190" s="28">
        <v>45873.74513888889</v>
      </c>
      <c r="F190" s="21" t="s">
        <v>189</v>
      </c>
      <c r="G190" s="23"/>
      <c r="H190" s="23" t="str">
        <f t="shared" si="1"/>
        <v>INSERT INTO tblDayAttendanceLog VALUES (seqDayAttendanceLog.nextval, 21, TO_DATE('2025-08-04', 'YYYY-MM-DD'), TO_DATE('2025-08-04 09:35:00', 'YYYY-MM-DD HH24:MI:SS'), TO_DATE('2025-08-04 17:53:00', 'YYYY-MM-DD HH24:MI:SS'));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</row>
    <row r="191">
      <c r="A191" s="25" t="s">
        <v>206</v>
      </c>
      <c r="B191" s="26">
        <v>22.0</v>
      </c>
      <c r="C191" s="27">
        <v>45873.0</v>
      </c>
      <c r="D191" s="28">
        <v>45873.34930555556</v>
      </c>
      <c r="E191" s="28">
        <v>45873.74930555555</v>
      </c>
      <c r="F191" s="21" t="s">
        <v>184</v>
      </c>
      <c r="G191" s="23"/>
      <c r="H191" s="23" t="str">
        <f t="shared" si="1"/>
        <v>INSERT INTO tblDayAttendanceLog VALUES (seqDayAttendanceLog.nextval, 22, TO_DATE('2025-08-04', 'YYYY-MM-DD'), TO_DATE('2025-08-04 08:23:00', 'YYYY-MM-DD HH24:MI:SS'), TO_DATE('2025-08-04 17:59:00', 'YYYY-MM-DD HH24:MI:SS'));</v>
      </c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</row>
    <row r="192">
      <c r="A192" s="25" t="s">
        <v>206</v>
      </c>
      <c r="B192" s="26">
        <v>23.0</v>
      </c>
      <c r="C192" s="27">
        <v>45873.0</v>
      </c>
      <c r="D192" s="28">
        <v>45873.35833333333</v>
      </c>
      <c r="E192" s="28">
        <v>45873.74791666667</v>
      </c>
      <c r="F192" s="21" t="s">
        <v>184</v>
      </c>
      <c r="G192" s="23"/>
      <c r="H192" s="23" t="str">
        <f t="shared" si="1"/>
        <v>INSERT INTO tblDayAttendanceLog VALUES (seqDayAttendanceLog.nextval, 23, TO_DATE('2025-08-04', 'YYYY-MM-DD'), TO_DATE('2025-08-04 08:36:00', 'YYYY-MM-DD HH24:MI:SS'), TO_DATE('2025-08-04 17:57:00', 'YYYY-MM-DD HH24:MI:SS'));</v>
      </c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</row>
    <row r="193">
      <c r="A193" s="25" t="s">
        <v>206</v>
      </c>
      <c r="B193" s="26">
        <v>24.0</v>
      </c>
      <c r="C193" s="27">
        <v>45873.0</v>
      </c>
      <c r="D193" s="28">
        <v>45873.35138888889</v>
      </c>
      <c r="E193" s="28">
        <v>45873.743055555555</v>
      </c>
      <c r="F193" s="21" t="s">
        <v>184</v>
      </c>
      <c r="G193" s="23"/>
      <c r="H193" s="23" t="str">
        <f t="shared" si="1"/>
        <v>INSERT INTO tblDayAttendanceLog VALUES (seqDayAttendanceLog.nextval, 24, TO_DATE('2025-08-04', 'YYYY-MM-DD'), TO_DATE('2025-08-04 08:26:00', 'YYYY-MM-DD HH24:MI:SS'), TO_DATE('2025-08-04 17:50:00', 'YYYY-MM-DD HH24:MI:SS'));</v>
      </c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</row>
    <row r="194">
      <c r="A194" s="25" t="s">
        <v>206</v>
      </c>
      <c r="B194" s="26">
        <v>25.0</v>
      </c>
      <c r="C194" s="27">
        <v>45873.0</v>
      </c>
      <c r="D194" s="29"/>
      <c r="E194" s="29"/>
      <c r="F194" s="21" t="s">
        <v>186</v>
      </c>
      <c r="G194" s="23"/>
      <c r="H194" s="23" t="str">
        <f t="shared" si="1"/>
        <v>INSERT INTO tblDayAttendanceLog VALUES (seqDayAttendanceLog.nextval, 25, TO_DATE('2025-08-04', 'YYYY-MM-DD'), NULL, NULL);</v>
      </c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</row>
    <row r="195">
      <c r="A195" s="25" t="s">
        <v>206</v>
      </c>
      <c r="B195" s="26">
        <v>26.0</v>
      </c>
      <c r="C195" s="27">
        <v>45873.0</v>
      </c>
      <c r="D195" s="28">
        <v>45873.3625</v>
      </c>
      <c r="E195" s="28">
        <v>45873.74444444444</v>
      </c>
      <c r="F195" s="21" t="s">
        <v>184</v>
      </c>
      <c r="G195" s="23"/>
      <c r="H195" s="23" t="str">
        <f t="shared" si="1"/>
        <v>INSERT INTO tblDayAttendanceLog VALUES (seqDayAttendanceLog.nextval, 26, TO_DATE('2025-08-04', 'YYYY-MM-DD'), TO_DATE('2025-08-04 08:42:00', 'YYYY-MM-DD HH24:MI:SS'), TO_DATE('2025-08-04 17:52:00', 'YYYY-MM-DD HH24:MI:SS'));</v>
      </c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</row>
    <row r="196">
      <c r="A196" s="25" t="s">
        <v>206</v>
      </c>
      <c r="B196" s="26">
        <v>27.0</v>
      </c>
      <c r="C196" s="27">
        <v>45873.0</v>
      </c>
      <c r="D196" s="28">
        <v>45873.37152777778</v>
      </c>
      <c r="E196" s="28">
        <v>45873.748611111114</v>
      </c>
      <c r="F196" s="21" t="s">
        <v>184</v>
      </c>
      <c r="G196" s="23"/>
      <c r="H196" s="23" t="str">
        <f t="shared" si="1"/>
        <v>INSERT INTO tblDayAttendanceLog VALUES (seqDayAttendanceLog.nextval, 27, TO_DATE('2025-08-04', 'YYYY-MM-DD'), TO_DATE('2025-08-04 08:55:00', 'YYYY-MM-DD HH24:MI:SS'), TO_DATE('2025-08-04 17:58:00', 'YYYY-MM-DD HH24:MI:SS'));</v>
      </c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</row>
    <row r="197">
      <c r="A197" s="25" t="s">
        <v>206</v>
      </c>
      <c r="B197" s="26">
        <v>28.0</v>
      </c>
      <c r="C197" s="27">
        <v>45873.0</v>
      </c>
      <c r="D197" s="28">
        <v>45873.404861111114</v>
      </c>
      <c r="E197" s="28">
        <v>45873.74375</v>
      </c>
      <c r="F197" s="21" t="s">
        <v>189</v>
      </c>
      <c r="G197" s="23"/>
      <c r="H197" s="23" t="str">
        <f t="shared" si="1"/>
        <v>INSERT INTO tblDayAttendanceLog VALUES (seqDayAttendanceLog.nextval, 28, TO_DATE('2025-08-04', 'YYYY-MM-DD'), TO_DATE('2025-08-04 09:43:00', 'YYYY-MM-DD HH24:MI:SS'), TO_DATE('2025-08-04 17:51:00', 'YYYY-MM-DD HH24:MI:SS'));</v>
      </c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</row>
    <row r="198">
      <c r="A198" s="25" t="s">
        <v>206</v>
      </c>
      <c r="B198" s="26">
        <v>29.0</v>
      </c>
      <c r="C198" s="27">
        <v>45873.0</v>
      </c>
      <c r="D198" s="28">
        <v>45873.37847222222</v>
      </c>
      <c r="E198" s="28">
        <v>45873.748611111114</v>
      </c>
      <c r="F198" s="21" t="s">
        <v>189</v>
      </c>
      <c r="G198" s="23"/>
      <c r="H198" s="23" t="str">
        <f t="shared" si="1"/>
        <v>INSERT INTO tblDayAttendanceLog VALUES (seqDayAttendanceLog.nextval, 29, TO_DATE('2025-08-04', 'YYYY-MM-DD'), TO_DATE('2025-08-04 09:05:00', 'YYYY-MM-DD HH24:MI:SS'), TO_DATE('2025-08-04 17:58:00', 'YYYY-MM-DD HH24:MI:SS'));</v>
      </c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</row>
    <row r="199">
      <c r="A199" s="25" t="s">
        <v>206</v>
      </c>
      <c r="B199" s="26">
        <v>30.0</v>
      </c>
      <c r="C199" s="27">
        <v>45873.0</v>
      </c>
      <c r="D199" s="28">
        <v>45873.410416666666</v>
      </c>
      <c r="E199" s="28">
        <v>45873.748611111114</v>
      </c>
      <c r="F199" s="21" t="s">
        <v>189</v>
      </c>
      <c r="G199" s="23"/>
      <c r="H199" s="23" t="str">
        <f t="shared" si="1"/>
        <v>INSERT INTO tblDayAttendanceLog VALUES (seqDayAttendanceLog.nextval, 30, TO_DATE('2025-08-04', 'YYYY-MM-DD'), TO_DATE('2025-08-04 09:51:00', 'YYYY-MM-DD HH24:MI:SS'), TO_DATE('2025-08-04 17:58:00', 'YYYY-MM-DD HH24:MI:SS'));</v>
      </c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</row>
    <row r="200">
      <c r="A200" s="25" t="s">
        <v>206</v>
      </c>
      <c r="B200" s="26">
        <v>31.0</v>
      </c>
      <c r="C200" s="27">
        <v>45873.0</v>
      </c>
      <c r="D200" s="28">
        <v>45873.39791666667</v>
      </c>
      <c r="E200" s="28">
        <v>45873.745833333334</v>
      </c>
      <c r="F200" s="21" t="s">
        <v>189</v>
      </c>
      <c r="G200" s="23"/>
      <c r="H200" s="23" t="str">
        <f t="shared" si="1"/>
        <v>INSERT INTO tblDayAttendanceLog VALUES (seqDayAttendanceLog.nextval, 31, TO_DATE('2025-08-04', 'YYYY-MM-DD'), TO_DATE('2025-08-04 09:33:00', 'YYYY-MM-DD HH24:MI:SS'), TO_DATE('2025-08-04 17:54:00', 'YYYY-MM-DD HH24:MI:SS'));</v>
      </c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</row>
    <row r="201">
      <c r="A201" s="25" t="s">
        <v>206</v>
      </c>
      <c r="B201" s="26">
        <v>32.0</v>
      </c>
      <c r="C201" s="27">
        <v>45873.0</v>
      </c>
      <c r="D201" s="28">
        <v>45873.36875</v>
      </c>
      <c r="E201" s="28">
        <v>45873.74444444444</v>
      </c>
      <c r="F201" s="21" t="s">
        <v>184</v>
      </c>
      <c r="G201" s="23"/>
      <c r="H201" s="23" t="str">
        <f t="shared" si="1"/>
        <v>INSERT INTO tblDayAttendanceLog VALUES (seqDayAttendanceLog.nextval, 32, TO_DATE('2025-08-04', 'YYYY-MM-DD'), TO_DATE('2025-08-04 08:51:00', 'YYYY-MM-DD HH24:MI:SS'), TO_DATE('2025-08-04 17:52:00', 'YYYY-MM-DD HH24:MI:SS'));</v>
      </c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</row>
    <row r="202">
      <c r="A202" s="25" t="s">
        <v>206</v>
      </c>
      <c r="B202" s="26">
        <v>33.0</v>
      </c>
      <c r="C202" s="27">
        <v>45873.0</v>
      </c>
      <c r="D202" s="28">
        <v>45873.40069444444</v>
      </c>
      <c r="E202" s="28">
        <v>45873.745833333334</v>
      </c>
      <c r="F202" s="21" t="s">
        <v>189</v>
      </c>
      <c r="G202" s="23"/>
      <c r="H202" s="23" t="str">
        <f t="shared" si="1"/>
        <v>INSERT INTO tblDayAttendanceLog VALUES (seqDayAttendanceLog.nextval, 33, TO_DATE('2025-08-04', 'YYYY-MM-DD'), TO_DATE('2025-08-04 09:37:00', 'YYYY-MM-DD HH24:MI:SS'), TO_DATE('2025-08-04 17:54:00', 'YYYY-MM-DD HH24:MI:SS'));</v>
      </c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</row>
    <row r="203">
      <c r="A203" s="25" t="s">
        <v>206</v>
      </c>
      <c r="B203" s="26">
        <v>34.0</v>
      </c>
      <c r="C203" s="27">
        <v>45873.0</v>
      </c>
      <c r="D203" s="28">
        <v>45873.336805555555</v>
      </c>
      <c r="E203" s="28">
        <v>45873.74444444444</v>
      </c>
      <c r="F203" s="21" t="s">
        <v>184</v>
      </c>
      <c r="G203" s="23"/>
      <c r="H203" s="23" t="str">
        <f t="shared" si="1"/>
        <v>INSERT INTO tblDayAttendanceLog VALUES (seqDayAttendanceLog.nextval, 34, TO_DATE('2025-08-04', 'YYYY-MM-DD'), TO_DATE('2025-08-04 08:05:00', 'YYYY-MM-DD HH24:MI:SS'), TO_DATE('2025-08-04 17:52:00', 'YYYY-MM-DD HH24:MI:SS'));</v>
      </c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</row>
    <row r="204">
      <c r="A204" s="25" t="s">
        <v>206</v>
      </c>
      <c r="B204" s="26">
        <v>35.0</v>
      </c>
      <c r="C204" s="27">
        <v>45873.0</v>
      </c>
      <c r="D204" s="28">
        <v>45873.3875</v>
      </c>
      <c r="E204" s="28">
        <v>45873.74513888889</v>
      </c>
      <c r="F204" s="21" t="s">
        <v>189</v>
      </c>
      <c r="G204" s="23"/>
      <c r="H204" s="23" t="str">
        <f t="shared" si="1"/>
        <v>INSERT INTO tblDayAttendanceLog VALUES (seqDayAttendanceLog.nextval, 35, TO_DATE('2025-08-04', 'YYYY-MM-DD'), TO_DATE('2025-08-04 09:18:00', 'YYYY-MM-DD HH24:MI:SS'), TO_DATE('2025-08-04 17:53:00', 'YYYY-MM-DD HH24:MI:SS'));</v>
      </c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</row>
    <row r="205">
      <c r="A205" s="25" t="s">
        <v>206</v>
      </c>
      <c r="B205" s="26">
        <v>36.0</v>
      </c>
      <c r="C205" s="27">
        <v>45873.0</v>
      </c>
      <c r="D205" s="28">
        <v>45873.3625</v>
      </c>
      <c r="E205" s="28">
        <v>45873.743055555555</v>
      </c>
      <c r="F205" s="21" t="s">
        <v>184</v>
      </c>
      <c r="G205" s="23"/>
      <c r="H205" s="23" t="str">
        <f t="shared" si="1"/>
        <v>INSERT INTO tblDayAttendanceLog VALUES (seqDayAttendanceLog.nextval, 36, TO_DATE('2025-08-04', 'YYYY-MM-DD'), TO_DATE('2025-08-04 08:42:00', 'YYYY-MM-DD HH24:MI:SS'), TO_DATE('2025-08-04 17:50:00', 'YYYY-MM-DD HH24:MI:SS'));</v>
      </c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</row>
    <row r="206">
      <c r="A206" s="25" t="s">
        <v>206</v>
      </c>
      <c r="B206" s="26">
        <v>37.0</v>
      </c>
      <c r="C206" s="27">
        <v>45873.0</v>
      </c>
      <c r="D206" s="28">
        <v>45873.38333333333</v>
      </c>
      <c r="E206" s="28">
        <v>45873.74652777778</v>
      </c>
      <c r="F206" s="21" t="s">
        <v>189</v>
      </c>
      <c r="G206" s="23"/>
      <c r="H206" s="23" t="str">
        <f t="shared" si="1"/>
        <v>INSERT INTO tblDayAttendanceLog VALUES (seqDayAttendanceLog.nextval, 37, TO_DATE('2025-08-04', 'YYYY-MM-DD'), TO_DATE('2025-08-04 09:12:00', 'YYYY-MM-DD HH24:MI:SS'), TO_DATE('2025-08-04 17:55:00', 'YYYY-MM-DD HH24:MI:SS'));</v>
      </c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</row>
    <row r="207">
      <c r="A207" s="25" t="s">
        <v>206</v>
      </c>
      <c r="B207" s="26">
        <v>38.0</v>
      </c>
      <c r="C207" s="27">
        <v>45873.0</v>
      </c>
      <c r="D207" s="28">
        <v>45873.41180555556</v>
      </c>
      <c r="E207" s="28">
        <v>45873.74375</v>
      </c>
      <c r="F207" s="21" t="s">
        <v>189</v>
      </c>
      <c r="G207" s="23"/>
      <c r="H207" s="23" t="str">
        <f t="shared" si="1"/>
        <v>INSERT INTO tblDayAttendanceLog VALUES (seqDayAttendanceLog.nextval, 38, TO_DATE('2025-08-04', 'YYYY-MM-DD'), TO_DATE('2025-08-04 09:53:00', 'YYYY-MM-DD HH24:MI:SS'), TO_DATE('2025-08-04 17:51:00', 'YYYY-MM-DD HH24:MI:SS'));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</row>
    <row r="208">
      <c r="A208" s="25" t="s">
        <v>206</v>
      </c>
      <c r="B208" s="26">
        <v>39.0</v>
      </c>
      <c r="C208" s="27">
        <v>45873.0</v>
      </c>
      <c r="D208" s="29"/>
      <c r="E208" s="29"/>
      <c r="F208" s="21" t="s">
        <v>186</v>
      </c>
      <c r="G208" s="23"/>
      <c r="H208" s="23" t="str">
        <f t="shared" si="1"/>
        <v>INSERT INTO tblDayAttendanceLog VALUES (seqDayAttendanceLog.nextval, 39, TO_DATE('2025-08-04', 'YYYY-MM-DD'), NULL, NULL);</v>
      </c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</row>
    <row r="209">
      <c r="A209" s="25" t="s">
        <v>206</v>
      </c>
      <c r="B209" s="26">
        <v>40.0</v>
      </c>
      <c r="C209" s="27">
        <v>45873.0</v>
      </c>
      <c r="D209" s="28">
        <v>45873.40347222222</v>
      </c>
      <c r="E209" s="28">
        <v>45873.74930555555</v>
      </c>
      <c r="F209" s="21" t="s">
        <v>189</v>
      </c>
      <c r="G209" s="23"/>
      <c r="H209" s="23" t="str">
        <f t="shared" si="1"/>
        <v>INSERT INTO tblDayAttendanceLog VALUES (seqDayAttendanceLog.nextval, 40, TO_DATE('2025-08-04', 'YYYY-MM-DD'), TO_DATE('2025-08-04 09:41:00', 'YYYY-MM-DD HH24:MI:SS'), TO_DATE('2025-08-04 17:59:00', 'YYYY-MM-DD HH24:MI:SS'));</v>
      </c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</row>
    <row r="210">
      <c r="A210" s="25" t="s">
        <v>206</v>
      </c>
      <c r="B210" s="26">
        <v>41.0</v>
      </c>
      <c r="C210" s="27">
        <v>45873.0</v>
      </c>
      <c r="D210" s="28">
        <v>45873.376388888886</v>
      </c>
      <c r="E210" s="28">
        <v>45873.745833333334</v>
      </c>
      <c r="F210" s="21" t="s">
        <v>189</v>
      </c>
      <c r="G210" s="23"/>
      <c r="H210" s="23" t="str">
        <f t="shared" si="1"/>
        <v>INSERT INTO tblDayAttendanceLog VALUES (seqDayAttendanceLog.nextval, 41, TO_DATE('2025-08-04', 'YYYY-MM-DD'), TO_DATE('2025-08-04 09:02:00', 'YYYY-MM-DD HH24:MI:SS'), TO_DATE('2025-08-04 17:54:00', 'YYYY-MM-DD HH24:MI:SS'));</v>
      </c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</row>
    <row r="211">
      <c r="A211" s="25" t="s">
        <v>206</v>
      </c>
      <c r="B211" s="26">
        <v>42.0</v>
      </c>
      <c r="C211" s="27">
        <v>45873.0</v>
      </c>
      <c r="D211" s="28">
        <v>45873.37152777778</v>
      </c>
      <c r="E211" s="28">
        <v>45873.74791666667</v>
      </c>
      <c r="F211" s="21" t="s">
        <v>184</v>
      </c>
      <c r="G211" s="23"/>
      <c r="H211" s="23" t="str">
        <f t="shared" si="1"/>
        <v>INSERT INTO tblDayAttendanceLog VALUES (seqDayAttendanceLog.nextval, 42, TO_DATE('2025-08-04', 'YYYY-MM-DD'), TO_DATE('2025-08-04 08:55:00', 'YYYY-MM-DD HH24:MI:SS'), TO_DATE('2025-08-04 17:57:00', 'YYYY-MM-DD HH24:MI:SS'));</v>
      </c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</row>
    <row r="212">
      <c r="A212" s="25" t="s">
        <v>206</v>
      </c>
      <c r="B212" s="26">
        <v>43.0</v>
      </c>
      <c r="C212" s="27">
        <v>45873.0</v>
      </c>
      <c r="D212" s="28">
        <v>45873.39166666667</v>
      </c>
      <c r="E212" s="28">
        <v>45873.745833333334</v>
      </c>
      <c r="F212" s="21" t="s">
        <v>189</v>
      </c>
      <c r="G212" s="23"/>
      <c r="H212" s="23" t="str">
        <f t="shared" si="1"/>
        <v>INSERT INTO tblDayAttendanceLog VALUES (seqDayAttendanceLog.nextval, 43, TO_DATE('2025-08-04', 'YYYY-MM-DD'), TO_DATE('2025-08-04 09:24:00', 'YYYY-MM-DD HH24:MI:SS'), TO_DATE('2025-08-04 17:54:00', 'YYYY-MM-DD HH24:MI:SS'));</v>
      </c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</row>
    <row r="213">
      <c r="A213" s="25" t="s">
        <v>206</v>
      </c>
      <c r="B213" s="26">
        <v>44.0</v>
      </c>
      <c r="C213" s="27">
        <v>45873.0</v>
      </c>
      <c r="D213" s="28">
        <v>45873.3625</v>
      </c>
      <c r="E213" s="28">
        <v>45873.74791666667</v>
      </c>
      <c r="F213" s="21" t="s">
        <v>184</v>
      </c>
      <c r="G213" s="23"/>
      <c r="H213" s="23" t="str">
        <f t="shared" si="1"/>
        <v>INSERT INTO tblDayAttendanceLog VALUES (seqDayAttendanceLog.nextval, 44, TO_DATE('2025-08-04', 'YYYY-MM-DD'), TO_DATE('2025-08-04 08:42:00', 'YYYY-MM-DD HH24:MI:SS'), TO_DATE('2025-08-04 17:57:00', 'YYYY-MM-DD HH24:MI:SS'));</v>
      </c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</row>
    <row r="214">
      <c r="A214" s="25" t="s">
        <v>206</v>
      </c>
      <c r="B214" s="26">
        <v>45.0</v>
      </c>
      <c r="C214" s="27">
        <v>45873.0</v>
      </c>
      <c r="D214" s="29"/>
      <c r="E214" s="29"/>
      <c r="F214" s="21" t="s">
        <v>186</v>
      </c>
      <c r="G214" s="23"/>
      <c r="H214" s="23" t="str">
        <f t="shared" si="1"/>
        <v>INSERT INTO tblDayAttendanceLog VALUES (seqDayAttendanceLog.nextval, 45, TO_DATE('2025-08-04', 'YYYY-MM-DD'), NULL, NULL);</v>
      </c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</row>
    <row r="215">
      <c r="A215" s="25" t="s">
        <v>206</v>
      </c>
      <c r="B215" s="26">
        <v>46.0</v>
      </c>
      <c r="C215" s="27">
        <v>45873.0</v>
      </c>
      <c r="D215" s="28">
        <v>45873.36944444444</v>
      </c>
      <c r="E215" s="28">
        <v>45873.743055555555</v>
      </c>
      <c r="F215" s="21" t="s">
        <v>184</v>
      </c>
      <c r="G215" s="23"/>
      <c r="H215" s="23" t="str">
        <f t="shared" si="1"/>
        <v>INSERT INTO tblDayAttendanceLog VALUES (seqDayAttendanceLog.nextval, 46, TO_DATE('2025-08-04', 'YYYY-MM-DD'), TO_DATE('2025-08-04 08:52:00', 'YYYY-MM-DD HH24:MI:SS'), TO_DATE('2025-08-04 17:50:00', 'YYYY-MM-DD HH24:MI:SS'));</v>
      </c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</row>
    <row r="216">
      <c r="A216" s="25" t="s">
        <v>206</v>
      </c>
      <c r="B216" s="26">
        <v>47.0</v>
      </c>
      <c r="C216" s="27">
        <v>45873.0</v>
      </c>
      <c r="D216" s="28">
        <v>45873.353472222225</v>
      </c>
      <c r="E216" s="28">
        <v>45873.743055555555</v>
      </c>
      <c r="F216" s="21" t="s">
        <v>184</v>
      </c>
      <c r="G216" s="23"/>
      <c r="H216" s="23" t="str">
        <f t="shared" si="1"/>
        <v>INSERT INTO tblDayAttendanceLog VALUES (seqDayAttendanceLog.nextval, 47, TO_DATE('2025-08-04', 'YYYY-MM-DD'), TO_DATE('2025-08-04 08:29:00', 'YYYY-MM-DD HH24:MI:SS'), TO_DATE('2025-08-04 17:50:00', 'YYYY-MM-DD HH24:MI:SS'));</v>
      </c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</row>
    <row r="217">
      <c r="A217" s="25" t="s">
        <v>206</v>
      </c>
      <c r="B217" s="26">
        <v>48.0</v>
      </c>
      <c r="C217" s="27">
        <v>45873.0</v>
      </c>
      <c r="D217" s="28">
        <v>45873.35277777778</v>
      </c>
      <c r="E217" s="28">
        <v>45873.6375</v>
      </c>
      <c r="F217" s="21" t="s">
        <v>187</v>
      </c>
      <c r="G217" s="23"/>
      <c r="H217" s="23" t="str">
        <f t="shared" si="1"/>
        <v>INSERT INTO tblDayAttendanceLog VALUES (seqDayAttendanceLog.nextval, 48, TO_DATE('2025-08-04', 'YYYY-MM-DD'), TO_DATE('2025-08-04 08:28:00', 'YYYY-MM-DD HH24:MI:SS'), TO_DATE('2025-08-04 15:18:00', 'YYYY-MM-DD HH24:MI:SS'));</v>
      </c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</row>
    <row r="218">
      <c r="A218" s="25" t="s">
        <v>206</v>
      </c>
      <c r="B218" s="26">
        <v>49.0</v>
      </c>
      <c r="C218" s="27">
        <v>45873.0</v>
      </c>
      <c r="D218" s="28">
        <v>45873.40902777778</v>
      </c>
      <c r="E218" s="28">
        <v>45873.74722222222</v>
      </c>
      <c r="F218" s="21" t="s">
        <v>189</v>
      </c>
      <c r="G218" s="23"/>
      <c r="H218" s="23" t="str">
        <f t="shared" si="1"/>
        <v>INSERT INTO tblDayAttendanceLog VALUES (seqDayAttendanceLog.nextval, 49, TO_DATE('2025-08-04', 'YYYY-MM-DD'), TO_DATE('2025-08-04 09:49:00', 'YYYY-MM-DD HH24:MI:SS'), TO_DATE('2025-08-04 17:56:00', 'YYYY-MM-DD HH24:MI:SS'));</v>
      </c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</row>
    <row r="219">
      <c r="A219" s="25" t="s">
        <v>206</v>
      </c>
      <c r="B219" s="26">
        <v>50.0</v>
      </c>
      <c r="C219" s="27">
        <v>45873.0</v>
      </c>
      <c r="D219" s="28">
        <v>45873.33888888889</v>
      </c>
      <c r="E219" s="28">
        <v>45873.743055555555</v>
      </c>
      <c r="F219" s="21" t="s">
        <v>184</v>
      </c>
      <c r="G219" s="23"/>
      <c r="H219" s="23" t="str">
        <f t="shared" si="1"/>
        <v>INSERT INTO tblDayAttendanceLog VALUES (seqDayAttendanceLog.nextval, 50, TO_DATE('2025-08-04', 'YYYY-MM-DD'), TO_DATE('2025-08-04 08:08:00', 'YYYY-MM-DD HH24:MI:SS'), TO_DATE('2025-08-04 17:50:00', 'YYYY-MM-DD HH24:MI:SS'));</v>
      </c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</row>
    <row r="220">
      <c r="A220" s="25" t="s">
        <v>206</v>
      </c>
      <c r="B220" s="26">
        <v>51.0</v>
      </c>
      <c r="C220" s="27">
        <v>45873.0</v>
      </c>
      <c r="D220" s="28">
        <v>45873.35972222222</v>
      </c>
      <c r="E220" s="28">
        <v>45873.748611111114</v>
      </c>
      <c r="F220" s="21" t="s">
        <v>184</v>
      </c>
      <c r="G220" s="23"/>
      <c r="H220" s="23" t="str">
        <f t="shared" si="1"/>
        <v>INSERT INTO tblDayAttendanceLog VALUES (seqDayAttendanceLog.nextval, 51, TO_DATE('2025-08-04', 'YYYY-MM-DD'), TO_DATE('2025-08-04 08:38:00', 'YYYY-MM-DD HH24:MI:SS'), TO_DATE('2025-08-04 17:58:00', 'YYYY-MM-DD HH24:MI:SS'));</v>
      </c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</row>
    <row r="221">
      <c r="A221" s="25" t="s">
        <v>206</v>
      </c>
      <c r="B221" s="26">
        <v>52.0</v>
      </c>
      <c r="C221" s="27">
        <v>45873.0</v>
      </c>
      <c r="D221" s="28">
        <v>45873.407638888886</v>
      </c>
      <c r="E221" s="28">
        <v>45873.74791666667</v>
      </c>
      <c r="F221" s="21" t="s">
        <v>189</v>
      </c>
      <c r="G221" s="23"/>
      <c r="H221" s="23" t="str">
        <f t="shared" si="1"/>
        <v>INSERT INTO tblDayAttendanceLog VALUES (seqDayAttendanceLog.nextval, 52, TO_DATE('2025-08-04', 'YYYY-MM-DD'), TO_DATE('2025-08-04 09:47:00', 'YYYY-MM-DD HH24:MI:SS'), TO_DATE('2025-08-04 17:57:00', 'YYYY-MM-DD HH24:MI:SS'));</v>
      </c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>
      <c r="A222" s="25" t="s">
        <v>206</v>
      </c>
      <c r="B222" s="26">
        <v>53.0</v>
      </c>
      <c r="C222" s="27">
        <v>45873.0</v>
      </c>
      <c r="D222" s="28">
        <v>45873.38402777778</v>
      </c>
      <c r="E222" s="28">
        <v>45873.74791666667</v>
      </c>
      <c r="F222" s="21" t="s">
        <v>189</v>
      </c>
      <c r="G222" s="23"/>
      <c r="H222" s="23" t="str">
        <f t="shared" si="1"/>
        <v>INSERT INTO tblDayAttendanceLog VALUES (seqDayAttendanceLog.nextval, 53, TO_DATE('2025-08-04', 'YYYY-MM-DD'), TO_DATE('2025-08-04 09:13:00', 'YYYY-MM-DD HH24:MI:SS'), TO_DATE('2025-08-04 17:57:00', 'YYYY-MM-DD HH24:MI:SS'));</v>
      </c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</row>
    <row r="223">
      <c r="A223" s="25" t="s">
        <v>206</v>
      </c>
      <c r="B223" s="26">
        <v>54.0</v>
      </c>
      <c r="C223" s="27">
        <v>45873.0</v>
      </c>
      <c r="D223" s="28">
        <v>45873.39097222222</v>
      </c>
      <c r="E223" s="28">
        <v>45873.74791666667</v>
      </c>
      <c r="F223" s="21" t="s">
        <v>189</v>
      </c>
      <c r="G223" s="23"/>
      <c r="H223" s="23" t="str">
        <f t="shared" si="1"/>
        <v>INSERT INTO tblDayAttendanceLog VALUES (seqDayAttendanceLog.nextval, 54, TO_DATE('2025-08-04', 'YYYY-MM-DD'), TO_DATE('2025-08-04 09:23:00', 'YYYY-MM-DD HH24:MI:SS'), TO_DATE('2025-08-04 17:57:00', 'YYYY-MM-DD HH24:MI:SS'));</v>
      </c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</row>
    <row r="224">
      <c r="A224" s="25" t="s">
        <v>206</v>
      </c>
      <c r="B224" s="26">
        <v>55.0</v>
      </c>
      <c r="C224" s="27">
        <v>45873.0</v>
      </c>
      <c r="D224" s="28">
        <v>45873.333333333336</v>
      </c>
      <c r="E224" s="28">
        <v>45873.74722222222</v>
      </c>
      <c r="F224" s="21" t="s">
        <v>184</v>
      </c>
      <c r="G224" s="23"/>
      <c r="H224" s="23" t="str">
        <f t="shared" si="1"/>
        <v>INSERT INTO tblDayAttendanceLog VALUES (seqDayAttendanceLog.nextval, 55, TO_DATE('2025-08-04', 'YYYY-MM-DD'), TO_DATE('2025-08-04 08:00:00', 'YYYY-MM-DD HH24:MI:SS'), TO_DATE('2025-08-04 17:56:00', 'YYYY-MM-DD HH24:MI:SS'));</v>
      </c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</row>
    <row r="225">
      <c r="A225" s="25" t="s">
        <v>206</v>
      </c>
      <c r="B225" s="26">
        <v>56.0</v>
      </c>
      <c r="C225" s="27">
        <v>45873.0</v>
      </c>
      <c r="D225" s="28">
        <v>45873.38333333333</v>
      </c>
      <c r="E225" s="28">
        <v>45873.74791666667</v>
      </c>
      <c r="F225" s="21" t="s">
        <v>189</v>
      </c>
      <c r="G225" s="23"/>
      <c r="H225" s="23" t="str">
        <f t="shared" si="1"/>
        <v>INSERT INTO tblDayAttendanceLog VALUES (seqDayAttendanceLog.nextval, 56, TO_DATE('2025-08-04', 'YYYY-MM-DD'), TO_DATE('2025-08-04 09:12:00', 'YYYY-MM-DD HH24:MI:SS'), TO_DATE('2025-08-04 17:57:00', 'YYYY-MM-DD HH24:MI:SS'));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</row>
    <row r="226">
      <c r="A226" s="25" t="s">
        <v>206</v>
      </c>
      <c r="B226" s="26">
        <v>57.0</v>
      </c>
      <c r="C226" s="27">
        <v>45873.0</v>
      </c>
      <c r="D226" s="28">
        <v>45873.40069444444</v>
      </c>
      <c r="E226" s="28">
        <v>45873.74513888889</v>
      </c>
      <c r="F226" s="21" t="s">
        <v>189</v>
      </c>
      <c r="G226" s="23"/>
      <c r="H226" s="23" t="str">
        <f t="shared" si="1"/>
        <v>INSERT INTO tblDayAttendanceLog VALUES (seqDayAttendanceLog.nextval, 57, TO_DATE('2025-08-04', 'YYYY-MM-DD'), TO_DATE('2025-08-04 09:37:00', 'YYYY-MM-DD HH24:MI:SS'), TO_DATE('2025-08-04 17:53:00', 'YYYY-MM-DD HH24:MI:SS'));</v>
      </c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</row>
    <row r="227">
      <c r="A227" s="25" t="s">
        <v>206</v>
      </c>
      <c r="B227" s="26">
        <v>58.0</v>
      </c>
      <c r="C227" s="27">
        <v>45873.0</v>
      </c>
      <c r="D227" s="28">
        <v>45873.37777777778</v>
      </c>
      <c r="E227" s="28">
        <v>45873.745833333334</v>
      </c>
      <c r="F227" s="21" t="s">
        <v>189</v>
      </c>
      <c r="G227" s="23"/>
      <c r="H227" s="23" t="str">
        <f t="shared" si="1"/>
        <v>INSERT INTO tblDayAttendanceLog VALUES (seqDayAttendanceLog.nextval, 58, TO_DATE('2025-08-04', 'YYYY-MM-DD'), TO_DATE('2025-08-04 09:04:00', 'YYYY-MM-DD HH24:MI:SS'), TO_DATE('2025-08-04 17:54:00', 'YYYY-MM-DD HH24:MI:SS'));</v>
      </c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</row>
    <row r="228">
      <c r="A228" s="25" t="s">
        <v>206</v>
      </c>
      <c r="B228" s="26">
        <v>59.0</v>
      </c>
      <c r="C228" s="27">
        <v>45873.0</v>
      </c>
      <c r="D228" s="28">
        <v>45873.37152777778</v>
      </c>
      <c r="E228" s="28">
        <v>45873.50486111111</v>
      </c>
      <c r="F228" s="21" t="s">
        <v>187</v>
      </c>
      <c r="G228" s="23"/>
      <c r="H228" s="23" t="str">
        <f t="shared" si="1"/>
        <v>INSERT INTO tblDayAttendanceLog VALUES (seqDayAttendanceLog.nextval, 59, TO_DATE('2025-08-04', 'YYYY-MM-DD'), TO_DATE('2025-08-04 08:55:00', 'YYYY-MM-DD HH24:MI:SS'), TO_DATE('2025-08-04 12:07:00', 'YYYY-MM-DD HH24:MI:SS'));</v>
      </c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</row>
    <row r="229">
      <c r="A229" s="25" t="s">
        <v>206</v>
      </c>
      <c r="B229" s="26">
        <v>60.0</v>
      </c>
      <c r="C229" s="27">
        <v>45873.0</v>
      </c>
      <c r="D229" s="28">
        <v>45873.36944444444</v>
      </c>
      <c r="E229" s="28">
        <v>45873.74791666667</v>
      </c>
      <c r="F229" s="21" t="s">
        <v>184</v>
      </c>
      <c r="G229" s="23"/>
      <c r="H229" s="23" t="str">
        <f t="shared" si="1"/>
        <v>INSERT INTO tblDayAttendanceLog VALUES (seqDayAttendanceLog.nextval, 60, TO_DATE('2025-08-04', 'YYYY-MM-DD'), TO_DATE('2025-08-04 08:52:00', 'YYYY-MM-DD HH24:MI:SS'), TO_DATE('2025-08-04 17:57:00', 'YYYY-MM-DD HH24:MI:SS'));</v>
      </c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</row>
    <row r="230">
      <c r="A230" s="25" t="s">
        <v>206</v>
      </c>
      <c r="B230" s="26">
        <v>61.0</v>
      </c>
      <c r="C230" s="27">
        <v>45873.0</v>
      </c>
      <c r="D230" s="28">
        <v>45873.396527777775</v>
      </c>
      <c r="E230" s="28">
        <v>45873.74930555555</v>
      </c>
      <c r="F230" s="21" t="s">
        <v>189</v>
      </c>
      <c r="G230" s="23"/>
      <c r="H230" s="23" t="str">
        <f t="shared" si="1"/>
        <v>INSERT INTO tblDayAttendanceLog VALUES (seqDayAttendanceLog.nextval, 61, TO_DATE('2025-08-04', 'YYYY-MM-DD'), TO_DATE('2025-08-04 09:31:00', 'YYYY-MM-DD HH24:MI:SS'), TO_DATE('2025-08-04 17:59:00', 'YYYY-MM-DD HH24:MI:SS'));</v>
      </c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</row>
    <row r="231">
      <c r="A231" s="25" t="s">
        <v>206</v>
      </c>
      <c r="B231" s="26">
        <v>62.0</v>
      </c>
      <c r="C231" s="27">
        <v>45873.0</v>
      </c>
      <c r="D231" s="28">
        <v>45873.393055555556</v>
      </c>
      <c r="E231" s="28">
        <v>45873.74722222222</v>
      </c>
      <c r="F231" s="21" t="s">
        <v>189</v>
      </c>
      <c r="G231" s="23"/>
      <c r="H231" s="23" t="str">
        <f t="shared" si="1"/>
        <v>INSERT INTO tblDayAttendanceLog VALUES (seqDayAttendanceLog.nextval, 62, TO_DATE('2025-08-04', 'YYYY-MM-DD'), TO_DATE('2025-08-04 09:26:00', 'YYYY-MM-DD HH24:MI:SS'), TO_DATE('2025-08-04 17:56:00', 'YYYY-MM-DD HH24:MI:SS'));</v>
      </c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</row>
    <row r="232">
      <c r="A232" s="25" t="s">
        <v>206</v>
      </c>
      <c r="B232" s="26">
        <v>63.0</v>
      </c>
      <c r="C232" s="27">
        <v>45873.0</v>
      </c>
      <c r="D232" s="29"/>
      <c r="E232" s="29"/>
      <c r="F232" s="21" t="s">
        <v>186</v>
      </c>
      <c r="G232" s="23"/>
      <c r="H232" s="23" t="str">
        <f t="shared" si="1"/>
        <v>INSERT INTO tblDayAttendanceLog VALUES (seqDayAttendanceLog.nextval, 63, TO_DATE('2025-08-04', 'YYYY-MM-DD'), NULL, NULL);</v>
      </c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</row>
    <row r="233">
      <c r="A233" s="25" t="s">
        <v>206</v>
      </c>
      <c r="B233" s="26">
        <v>64.0</v>
      </c>
      <c r="C233" s="27">
        <v>45873.0</v>
      </c>
      <c r="D233" s="28">
        <v>45873.38125</v>
      </c>
      <c r="E233" s="28">
        <v>45873.74652777778</v>
      </c>
      <c r="F233" s="21" t="s">
        <v>189</v>
      </c>
      <c r="G233" s="23"/>
      <c r="H233" s="23" t="str">
        <f t="shared" si="1"/>
        <v>INSERT INTO tblDayAttendanceLog VALUES (seqDayAttendanceLog.nextval, 64, TO_DATE('2025-08-04', 'YYYY-MM-DD'), TO_DATE('2025-08-04 09:09:00', 'YYYY-MM-DD HH24:MI:SS'), TO_DATE('2025-08-04 17:55:00', 'YYYY-MM-DD HH24:MI:SS'));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</row>
    <row r="234">
      <c r="A234" s="25" t="s">
        <v>206</v>
      </c>
      <c r="B234" s="26">
        <v>65.0</v>
      </c>
      <c r="C234" s="27">
        <v>45873.0</v>
      </c>
      <c r="D234" s="28">
        <v>45873.40138888889</v>
      </c>
      <c r="E234" s="28">
        <v>45873.74375</v>
      </c>
      <c r="F234" s="21" t="s">
        <v>189</v>
      </c>
      <c r="G234" s="23"/>
      <c r="H234" s="23" t="str">
        <f t="shared" si="1"/>
        <v>INSERT INTO tblDayAttendanceLog VALUES (seqDayAttendanceLog.nextval, 65, TO_DATE('2025-08-04', 'YYYY-MM-DD'), TO_DATE('2025-08-04 09:38:00', 'YYYY-MM-DD HH24:MI:SS'), TO_DATE('2025-08-04 17:51:00', 'YYYY-MM-DD HH24:MI:SS'));</v>
      </c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</row>
    <row r="235">
      <c r="A235" s="25" t="s">
        <v>206</v>
      </c>
      <c r="B235" s="26">
        <v>66.0</v>
      </c>
      <c r="C235" s="27">
        <v>45873.0</v>
      </c>
      <c r="D235" s="28">
        <v>45873.40694444445</v>
      </c>
      <c r="E235" s="28">
        <v>45873.74722222222</v>
      </c>
      <c r="F235" s="21" t="s">
        <v>189</v>
      </c>
      <c r="G235" s="23"/>
      <c r="H235" s="23" t="str">
        <f t="shared" si="1"/>
        <v>INSERT INTO tblDayAttendanceLog VALUES (seqDayAttendanceLog.nextval, 66, TO_DATE('2025-08-04', 'YYYY-MM-DD'), TO_DATE('2025-08-04 09:46:00', 'YYYY-MM-DD HH24:MI:SS'), TO_DATE('2025-08-04 17:56:00', 'YYYY-MM-DD HH24:MI:SS'));</v>
      </c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</row>
    <row r="236">
      <c r="A236" s="25" t="s">
        <v>206</v>
      </c>
      <c r="B236" s="26">
        <v>67.0</v>
      </c>
      <c r="C236" s="27">
        <v>45873.0</v>
      </c>
      <c r="D236" s="28">
        <v>45873.40694444445</v>
      </c>
      <c r="E236" s="28">
        <v>45873.74930555555</v>
      </c>
      <c r="F236" s="21" t="s">
        <v>189</v>
      </c>
      <c r="G236" s="23"/>
      <c r="H236" s="23" t="str">
        <f t="shared" si="1"/>
        <v>INSERT INTO tblDayAttendanceLog VALUES (seqDayAttendanceLog.nextval, 67, TO_DATE('2025-08-04', 'YYYY-MM-DD'), TO_DATE('2025-08-04 09:46:00', 'YYYY-MM-DD HH24:MI:SS'), TO_DATE('2025-08-04 17:59:00', 'YYYY-MM-DD HH24:MI:SS'));</v>
      </c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</row>
    <row r="237">
      <c r="A237" s="25" t="s">
        <v>206</v>
      </c>
      <c r="B237" s="26">
        <v>68.0</v>
      </c>
      <c r="C237" s="27">
        <v>45873.0</v>
      </c>
      <c r="D237" s="28">
        <v>45873.40347222222</v>
      </c>
      <c r="E237" s="28">
        <v>45873.74722222222</v>
      </c>
      <c r="F237" s="21" t="s">
        <v>189</v>
      </c>
      <c r="G237" s="23"/>
      <c r="H237" s="23" t="str">
        <f t="shared" si="1"/>
        <v>INSERT INTO tblDayAttendanceLog VALUES (seqDayAttendanceLog.nextval, 68, TO_DATE('2025-08-04', 'YYYY-MM-DD'), TO_DATE('2025-08-04 09:41:00', 'YYYY-MM-DD HH24:MI:SS'), TO_DATE('2025-08-04 17:56:00', 'YYYY-MM-DD HH24:MI:SS'));</v>
      </c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</row>
    <row r="238">
      <c r="A238" s="25" t="s">
        <v>206</v>
      </c>
      <c r="B238" s="26">
        <v>69.0</v>
      </c>
      <c r="C238" s="27">
        <v>45873.0</v>
      </c>
      <c r="D238" s="28">
        <v>45873.36666666667</v>
      </c>
      <c r="E238" s="28">
        <v>45873.74513888889</v>
      </c>
      <c r="F238" s="21" t="s">
        <v>184</v>
      </c>
      <c r="G238" s="23"/>
      <c r="H238" s="23" t="str">
        <f t="shared" si="1"/>
        <v>INSERT INTO tblDayAttendanceLog VALUES (seqDayAttendanceLog.nextval, 69, TO_DATE('2025-08-04', 'YYYY-MM-DD'), TO_DATE('2025-08-04 08:48:00', 'YYYY-MM-DD HH24:MI:SS'), TO_DATE('2025-08-04 17:53:00', 'YYYY-MM-DD HH24:MI:SS'));</v>
      </c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</row>
    <row r="239">
      <c r="A239" s="25" t="s">
        <v>206</v>
      </c>
      <c r="B239" s="26">
        <v>70.0</v>
      </c>
      <c r="C239" s="27">
        <v>45873.0</v>
      </c>
      <c r="D239" s="28">
        <v>45873.37152777778</v>
      </c>
      <c r="E239" s="28">
        <v>45873.74444444444</v>
      </c>
      <c r="F239" s="21" t="s">
        <v>184</v>
      </c>
      <c r="G239" s="23"/>
      <c r="H239" s="23" t="str">
        <f t="shared" si="1"/>
        <v>INSERT INTO tblDayAttendanceLog VALUES (seqDayAttendanceLog.nextval, 70, TO_DATE('2025-08-04', 'YYYY-MM-DD'), TO_DATE('2025-08-04 08:55:00', 'YYYY-MM-DD HH24:MI:SS'), TO_DATE('2025-08-04 17:52:00', 'YYYY-MM-DD HH24:MI:SS'));</v>
      </c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</row>
    <row r="240">
      <c r="A240" s="25" t="s">
        <v>206</v>
      </c>
      <c r="B240" s="26">
        <v>71.0</v>
      </c>
      <c r="C240" s="27">
        <v>45873.0</v>
      </c>
      <c r="D240" s="28">
        <v>45873.376388888886</v>
      </c>
      <c r="E240" s="28">
        <v>45873.74791666667</v>
      </c>
      <c r="F240" s="21" t="s">
        <v>189</v>
      </c>
      <c r="G240" s="23"/>
      <c r="H240" s="23" t="str">
        <f t="shared" si="1"/>
        <v>INSERT INTO tblDayAttendanceLog VALUES (seqDayAttendanceLog.nextval, 71, TO_DATE('2025-08-04', 'YYYY-MM-DD'), TO_DATE('2025-08-04 09:02:00', 'YYYY-MM-DD HH24:MI:SS'), TO_DATE('2025-08-04 17:57:00', 'YYYY-MM-DD HH24:MI:SS'));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</row>
    <row r="241">
      <c r="A241" s="25" t="s">
        <v>206</v>
      </c>
      <c r="B241" s="26">
        <v>72.0</v>
      </c>
      <c r="C241" s="27">
        <v>45873.0</v>
      </c>
      <c r="D241" s="28">
        <v>45873.38888888889</v>
      </c>
      <c r="E241" s="28">
        <v>45873.74722222222</v>
      </c>
      <c r="F241" s="21" t="s">
        <v>189</v>
      </c>
      <c r="G241" s="23"/>
      <c r="H241" s="23" t="str">
        <f t="shared" si="1"/>
        <v>INSERT INTO tblDayAttendanceLog VALUES (seqDayAttendanceLog.nextval, 72, TO_DATE('2025-08-04', 'YYYY-MM-DD'), TO_DATE('2025-08-04 09:20:00', 'YYYY-MM-DD HH24:MI:SS'), TO_DATE('2025-08-04 17:56:00', 'YYYY-MM-DD HH24:MI:SS'));</v>
      </c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</row>
    <row r="242">
      <c r="A242" s="25" t="s">
        <v>206</v>
      </c>
      <c r="B242" s="26">
        <v>73.0</v>
      </c>
      <c r="C242" s="27">
        <v>45873.0</v>
      </c>
      <c r="D242" s="28">
        <v>45873.38263888889</v>
      </c>
      <c r="E242" s="28">
        <v>45873.74513888889</v>
      </c>
      <c r="F242" s="21" t="s">
        <v>189</v>
      </c>
      <c r="G242" s="23"/>
      <c r="H242" s="23" t="str">
        <f t="shared" si="1"/>
        <v>INSERT INTO tblDayAttendanceLog VALUES (seqDayAttendanceLog.nextval, 73, TO_DATE('2025-08-04', 'YYYY-MM-DD'), TO_DATE('2025-08-04 09:11:00', 'YYYY-MM-DD HH24:MI:SS'), TO_DATE('2025-08-04 17:53:00', 'YYYY-MM-DD HH24:MI:SS'));</v>
      </c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</row>
    <row r="243">
      <c r="A243" s="25" t="s">
        <v>206</v>
      </c>
      <c r="B243" s="26">
        <v>74.0</v>
      </c>
      <c r="C243" s="27">
        <v>45873.0</v>
      </c>
      <c r="D243" s="28">
        <v>45873.38263888889</v>
      </c>
      <c r="E243" s="28">
        <v>45873.74375</v>
      </c>
      <c r="F243" s="21" t="s">
        <v>189</v>
      </c>
      <c r="G243" s="23"/>
      <c r="H243" s="23" t="str">
        <f t="shared" si="1"/>
        <v>INSERT INTO tblDayAttendanceLog VALUES (seqDayAttendanceLog.nextval, 74, TO_DATE('2025-08-04', 'YYYY-MM-DD'), TO_DATE('2025-08-04 09:11:00', 'YYYY-MM-DD HH24:MI:SS'), TO_DATE('2025-08-04 17:51:00', 'YYYY-MM-DD HH24:MI:SS'));</v>
      </c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</row>
    <row r="244">
      <c r="A244" s="25" t="s">
        <v>206</v>
      </c>
      <c r="B244" s="26">
        <v>75.0</v>
      </c>
      <c r="C244" s="27">
        <v>45873.0</v>
      </c>
      <c r="D244" s="28">
        <v>45873.40347222222</v>
      </c>
      <c r="E244" s="28">
        <v>45873.74513888889</v>
      </c>
      <c r="F244" s="21" t="s">
        <v>189</v>
      </c>
      <c r="G244" s="23"/>
      <c r="H244" s="23" t="str">
        <f t="shared" si="1"/>
        <v>INSERT INTO tblDayAttendanceLog VALUES (seqDayAttendanceLog.nextval, 75, TO_DATE('2025-08-04', 'YYYY-MM-DD'), TO_DATE('2025-08-04 09:41:00', 'YYYY-MM-DD HH24:MI:SS'), TO_DATE('2025-08-04 17:53:00', 'YYYY-MM-DD HH24:MI:SS'));</v>
      </c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</row>
    <row r="245">
      <c r="A245" s="25" t="s">
        <v>206</v>
      </c>
      <c r="B245" s="26">
        <v>76.0</v>
      </c>
      <c r="C245" s="27">
        <v>45873.0</v>
      </c>
      <c r="D245" s="28">
        <v>45873.35</v>
      </c>
      <c r="E245" s="28">
        <v>45873.74444444444</v>
      </c>
      <c r="F245" s="21" t="s">
        <v>184</v>
      </c>
      <c r="G245" s="23"/>
      <c r="H245" s="23" t="str">
        <f t="shared" si="1"/>
        <v>INSERT INTO tblDayAttendanceLog VALUES (seqDayAttendanceLog.nextval, 76, TO_DATE('2025-08-04', 'YYYY-MM-DD'), TO_DATE('2025-08-04 08:24:00', 'YYYY-MM-DD HH24:MI:SS'), TO_DATE('2025-08-04 17:52:00', 'YYYY-MM-DD HH24:MI:SS'));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</row>
    <row r="246">
      <c r="A246" s="25" t="s">
        <v>206</v>
      </c>
      <c r="B246" s="26">
        <v>77.0</v>
      </c>
      <c r="C246" s="27">
        <v>45873.0</v>
      </c>
      <c r="D246" s="28">
        <v>45873.36041666667</v>
      </c>
      <c r="E246" s="28">
        <v>45873.74444444444</v>
      </c>
      <c r="F246" s="21" t="s">
        <v>184</v>
      </c>
      <c r="G246" s="23"/>
      <c r="H246" s="23" t="str">
        <f t="shared" si="1"/>
        <v>INSERT INTO tblDayAttendanceLog VALUES (seqDayAttendanceLog.nextval, 77, TO_DATE('2025-08-04', 'YYYY-MM-DD'), TO_DATE('2025-08-04 08:39:00', 'YYYY-MM-DD HH24:MI:SS'), TO_DATE('2025-08-04 17:52:00', 'YYYY-MM-DD HH24:MI:SS'));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</row>
    <row r="247">
      <c r="A247" s="25" t="s">
        <v>206</v>
      </c>
      <c r="B247" s="26">
        <v>78.0</v>
      </c>
      <c r="C247" s="27">
        <v>45873.0</v>
      </c>
      <c r="D247" s="28">
        <v>45873.35902777778</v>
      </c>
      <c r="E247" s="28">
        <v>45873.745833333334</v>
      </c>
      <c r="F247" s="21" t="s">
        <v>184</v>
      </c>
      <c r="G247" s="23"/>
      <c r="H247" s="23" t="str">
        <f t="shared" si="1"/>
        <v>INSERT INTO tblDayAttendanceLog VALUES (seqDayAttendanceLog.nextval, 78, TO_DATE('2025-08-04', 'YYYY-MM-DD'), TO_DATE('2025-08-04 08:37:00', 'YYYY-MM-DD HH24:MI:SS'), TO_DATE('2025-08-04 17:54:00', 'YYYY-MM-DD HH24:MI:SS'));</v>
      </c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</row>
    <row r="248">
      <c r="A248" s="25" t="s">
        <v>206</v>
      </c>
      <c r="B248" s="26">
        <v>79.0</v>
      </c>
      <c r="C248" s="27">
        <v>45873.0</v>
      </c>
      <c r="D248" s="29"/>
      <c r="E248" s="29"/>
      <c r="F248" s="21" t="s">
        <v>186</v>
      </c>
      <c r="G248" s="23"/>
      <c r="H248" s="23" t="str">
        <f t="shared" si="1"/>
        <v>INSERT INTO tblDayAttendanceLog VALUES (seqDayAttendanceLog.nextval, 79, TO_DATE('2025-08-04', 'YYYY-MM-DD'), NULL, NULL);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</row>
    <row r="249">
      <c r="A249" s="25" t="s">
        <v>206</v>
      </c>
      <c r="B249" s="26">
        <v>80.0</v>
      </c>
      <c r="C249" s="27">
        <v>45873.0</v>
      </c>
      <c r="D249" s="28">
        <v>45873.35555555556</v>
      </c>
      <c r="E249" s="28">
        <v>45873.74791666667</v>
      </c>
      <c r="F249" s="21" t="s">
        <v>184</v>
      </c>
      <c r="G249" s="23"/>
      <c r="H249" s="23" t="str">
        <f t="shared" si="1"/>
        <v>INSERT INTO tblDayAttendanceLog VALUES (seqDayAttendanceLog.nextval, 80, TO_DATE('2025-08-04', 'YYYY-MM-DD'), TO_DATE('2025-08-04 08:32:00', 'YYYY-MM-DD HH24:MI:SS'), TO_DATE('2025-08-04 17:57:00', 'YYYY-MM-DD HH24:MI:SS'));</v>
      </c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</row>
    <row r="250">
      <c r="A250" s="25" t="s">
        <v>206</v>
      </c>
      <c r="B250" s="26">
        <v>81.0</v>
      </c>
      <c r="C250" s="27">
        <v>45873.0</v>
      </c>
      <c r="D250" s="28">
        <v>45873.339583333334</v>
      </c>
      <c r="E250" s="28">
        <v>45873.745833333334</v>
      </c>
      <c r="F250" s="21" t="s">
        <v>184</v>
      </c>
      <c r="G250" s="23"/>
      <c r="H250" s="23" t="str">
        <f t="shared" si="1"/>
        <v>INSERT INTO tblDayAttendanceLog VALUES (seqDayAttendanceLog.nextval, 81, TO_DATE('2025-08-04', 'YYYY-MM-DD'), TO_DATE('2025-08-04 08:09:00', 'YYYY-MM-DD HH24:MI:SS'), TO_DATE('2025-08-04 17:54:00', 'YYYY-MM-DD HH24:MI:SS'));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</row>
    <row r="251">
      <c r="A251" s="25" t="s">
        <v>206</v>
      </c>
      <c r="B251" s="26">
        <v>82.0</v>
      </c>
      <c r="C251" s="27">
        <v>45873.0</v>
      </c>
      <c r="D251" s="28">
        <v>45873.35833333333</v>
      </c>
      <c r="E251" s="28">
        <v>45873.748611111114</v>
      </c>
      <c r="F251" s="21" t="s">
        <v>184</v>
      </c>
      <c r="G251" s="23"/>
      <c r="H251" s="23" t="str">
        <f t="shared" si="1"/>
        <v>INSERT INTO tblDayAttendanceLog VALUES (seqDayAttendanceLog.nextval, 82, TO_DATE('2025-08-04', 'YYYY-MM-DD'), TO_DATE('2025-08-04 08:36:00', 'YYYY-MM-DD HH24:MI:SS'), TO_DATE('2025-08-04 17:58:00', 'YYYY-MM-DD HH24:MI:SS'));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</row>
    <row r="252">
      <c r="A252" s="25" t="s">
        <v>206</v>
      </c>
      <c r="B252" s="26">
        <v>83.0</v>
      </c>
      <c r="C252" s="27">
        <v>45873.0</v>
      </c>
      <c r="D252" s="28">
        <v>45873.375</v>
      </c>
      <c r="E252" s="28">
        <v>45873.74444444444</v>
      </c>
      <c r="F252" s="21" t="s">
        <v>189</v>
      </c>
      <c r="G252" s="23"/>
      <c r="H252" s="23" t="str">
        <f t="shared" si="1"/>
        <v>INSERT INTO tblDayAttendanceLog VALUES (seqDayAttendanceLog.nextval, 83, TO_DATE('2025-08-04', 'YYYY-MM-DD'), TO_DATE('2025-08-04 09:00:00', 'YYYY-MM-DD HH24:MI:SS'), TO_DATE('2025-08-04 17:52:00', 'YYYY-MM-DD HH24:MI:SS'));</v>
      </c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</row>
    <row r="253">
      <c r="A253" s="25" t="s">
        <v>206</v>
      </c>
      <c r="B253" s="26">
        <v>84.0</v>
      </c>
      <c r="C253" s="27">
        <v>45873.0</v>
      </c>
      <c r="D253" s="28">
        <v>45873.37777777778</v>
      </c>
      <c r="E253" s="28">
        <v>45873.743055555555</v>
      </c>
      <c r="F253" s="21" t="s">
        <v>189</v>
      </c>
      <c r="G253" s="23"/>
      <c r="H253" s="23" t="str">
        <f t="shared" si="1"/>
        <v>INSERT INTO tblDayAttendanceLog VALUES (seqDayAttendanceLog.nextval, 84, TO_DATE('2025-08-04', 'YYYY-MM-DD'), TO_DATE('2025-08-04 09:04:00', 'YYYY-MM-DD HH24:MI:SS'), TO_DATE('2025-08-04 17:50:00', 'YYYY-MM-DD HH24:MI:SS'));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</row>
    <row r="254">
      <c r="A254" s="25" t="s">
        <v>206</v>
      </c>
      <c r="B254" s="26">
        <v>85.0</v>
      </c>
      <c r="C254" s="27">
        <v>45873.0</v>
      </c>
      <c r="D254" s="28">
        <v>45873.375</v>
      </c>
      <c r="E254" s="28">
        <v>45873.74722222222</v>
      </c>
      <c r="F254" s="21" t="s">
        <v>189</v>
      </c>
      <c r="G254" s="23"/>
      <c r="H254" s="23" t="str">
        <f t="shared" si="1"/>
        <v>INSERT INTO tblDayAttendanceLog VALUES (seqDayAttendanceLog.nextval, 85, TO_DATE('2025-08-04', 'YYYY-MM-DD'), TO_DATE('2025-08-04 09:00:00', 'YYYY-MM-DD HH24:MI:SS'), TO_DATE('2025-08-04 17:56:00', 'YYYY-MM-DD HH24:MI:SS'));</v>
      </c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</row>
    <row r="255">
      <c r="A255" s="25" t="s">
        <v>206</v>
      </c>
      <c r="B255" s="26">
        <v>86.0</v>
      </c>
      <c r="C255" s="27">
        <v>45873.0</v>
      </c>
      <c r="D255" s="28">
        <v>45873.35972222222</v>
      </c>
      <c r="E255" s="28">
        <v>45873.74930555555</v>
      </c>
      <c r="F255" s="21" t="s">
        <v>184</v>
      </c>
      <c r="G255" s="23"/>
      <c r="H255" s="23" t="str">
        <f t="shared" si="1"/>
        <v>INSERT INTO tblDayAttendanceLog VALUES (seqDayAttendanceLog.nextval, 86, TO_DATE('2025-08-04', 'YYYY-MM-DD'), TO_DATE('2025-08-04 08:38:00', 'YYYY-MM-DD HH24:MI:SS'), TO_DATE('2025-08-04 17:59:00', 'YYYY-MM-DD HH24:MI:SS'));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</row>
    <row r="256">
      <c r="A256" s="25" t="s">
        <v>206</v>
      </c>
      <c r="B256" s="26">
        <v>87.0</v>
      </c>
      <c r="C256" s="27">
        <v>45873.0</v>
      </c>
      <c r="D256" s="28">
        <v>45873.34305555555</v>
      </c>
      <c r="E256" s="28">
        <v>45873.74791666667</v>
      </c>
      <c r="F256" s="21" t="s">
        <v>184</v>
      </c>
      <c r="G256" s="23"/>
      <c r="H256" s="23" t="str">
        <f t="shared" si="1"/>
        <v>INSERT INTO tblDayAttendanceLog VALUES (seqDayAttendanceLog.nextval, 87, TO_DATE('2025-08-04', 'YYYY-MM-DD'), TO_DATE('2025-08-04 08:14:00', 'YYYY-MM-DD HH24:MI:SS'), TO_DATE('2025-08-04 17:57:00', 'YYYY-MM-DD HH24:MI:SS'));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</row>
    <row r="257">
      <c r="A257" s="25" t="s">
        <v>206</v>
      </c>
      <c r="B257" s="26">
        <v>88.0</v>
      </c>
      <c r="C257" s="27">
        <v>45873.0</v>
      </c>
      <c r="D257" s="28">
        <v>45873.40902777778</v>
      </c>
      <c r="E257" s="28">
        <v>45873.74375</v>
      </c>
      <c r="F257" s="21" t="s">
        <v>189</v>
      </c>
      <c r="G257" s="23"/>
      <c r="H257" s="23" t="str">
        <f t="shared" si="1"/>
        <v>INSERT INTO tblDayAttendanceLog VALUES (seqDayAttendanceLog.nextval, 88, TO_DATE('2025-08-04', 'YYYY-MM-DD'), TO_DATE('2025-08-04 09:49:00', 'YYYY-MM-DD HH24:MI:SS'), TO_DATE('2025-08-04 17:51:00', 'YYYY-MM-DD HH24:MI:SS'));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</row>
    <row r="258">
      <c r="A258" s="25" t="s">
        <v>206</v>
      </c>
      <c r="B258" s="26">
        <v>89.0</v>
      </c>
      <c r="C258" s="27">
        <v>45873.0</v>
      </c>
      <c r="D258" s="28">
        <v>45873.40138888889</v>
      </c>
      <c r="E258" s="28">
        <v>45873.743055555555</v>
      </c>
      <c r="F258" s="21" t="s">
        <v>189</v>
      </c>
      <c r="G258" s="23"/>
      <c r="H258" s="23" t="str">
        <f t="shared" si="1"/>
        <v>INSERT INTO tblDayAttendanceLog VALUES (seqDayAttendanceLog.nextval, 89, TO_DATE('2025-08-04', 'YYYY-MM-DD'), TO_DATE('2025-08-04 09:38:00', 'YYYY-MM-DD HH24:MI:SS'), TO_DATE('2025-08-04 17:50:00', 'YYYY-MM-DD HH24:MI:SS'));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</row>
    <row r="259">
      <c r="A259" s="25" t="s">
        <v>206</v>
      </c>
      <c r="B259" s="26">
        <v>90.0</v>
      </c>
      <c r="C259" s="27">
        <v>45873.0</v>
      </c>
      <c r="D259" s="28">
        <v>45873.333333333336</v>
      </c>
      <c r="E259" s="28">
        <v>45873.74375</v>
      </c>
      <c r="F259" s="21" t="s">
        <v>184</v>
      </c>
      <c r="G259" s="23"/>
      <c r="H259" s="23" t="str">
        <f t="shared" si="1"/>
        <v>INSERT INTO tblDayAttendanceLog VALUES (seqDayAttendanceLog.nextval, 90, TO_DATE('2025-08-04', 'YYYY-MM-DD'), TO_DATE('2025-08-04 08:00:00', 'YYYY-MM-DD HH24:MI:SS'), TO_DATE('2025-08-04 17:51:00', 'YYYY-MM-DD HH24:MI:SS'));</v>
      </c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</row>
    <row r="260">
      <c r="A260" s="25" t="s">
        <v>206</v>
      </c>
      <c r="B260" s="26">
        <v>91.0</v>
      </c>
      <c r="C260" s="27">
        <v>45873.0</v>
      </c>
      <c r="D260" s="28">
        <v>45873.37291666667</v>
      </c>
      <c r="E260" s="28">
        <v>45873.74375</v>
      </c>
      <c r="F260" s="21" t="s">
        <v>184</v>
      </c>
      <c r="G260" s="23"/>
      <c r="H260" s="23" t="str">
        <f t="shared" si="1"/>
        <v>INSERT INTO tblDayAttendanceLog VALUES (seqDayAttendanceLog.nextval, 91, TO_DATE('2025-08-04', 'YYYY-MM-DD'), TO_DATE('2025-08-04 08:57:00', 'YYYY-MM-DD HH24:MI:SS'), TO_DATE('2025-08-04 17:51:00', 'YYYY-MM-DD HH24:MI:SS'));</v>
      </c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</row>
    <row r="261">
      <c r="A261" s="25" t="s">
        <v>206</v>
      </c>
      <c r="B261" s="26">
        <v>92.0</v>
      </c>
      <c r="C261" s="27">
        <v>45873.0</v>
      </c>
      <c r="D261" s="28">
        <v>45873.350694444445</v>
      </c>
      <c r="E261" s="28">
        <v>45873.74930555555</v>
      </c>
      <c r="F261" s="21" t="s">
        <v>184</v>
      </c>
      <c r="G261" s="23"/>
      <c r="H261" s="23" t="str">
        <f t="shared" si="1"/>
        <v>INSERT INTO tblDayAttendanceLog VALUES (seqDayAttendanceLog.nextval, 92, TO_DATE('2025-08-04', 'YYYY-MM-DD'), TO_DATE('2025-08-04 08:25:00', 'YYYY-MM-DD HH24:MI:SS'), TO_DATE('2025-08-04 17:59:00', 'YYYY-MM-DD HH24:MI:SS'));</v>
      </c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</row>
    <row r="262">
      <c r="A262" s="25" t="s">
        <v>206</v>
      </c>
      <c r="B262" s="26">
        <v>93.0</v>
      </c>
      <c r="C262" s="27">
        <v>45873.0</v>
      </c>
      <c r="D262" s="28">
        <v>45873.39791666667</v>
      </c>
      <c r="E262" s="28">
        <v>45873.74930555555</v>
      </c>
      <c r="F262" s="21" t="s">
        <v>189</v>
      </c>
      <c r="G262" s="23"/>
      <c r="H262" s="23" t="str">
        <f t="shared" si="1"/>
        <v>INSERT INTO tblDayAttendanceLog VALUES (seqDayAttendanceLog.nextval, 93, TO_DATE('2025-08-04', 'YYYY-MM-DD'), TO_DATE('2025-08-04 09:33:00', 'YYYY-MM-DD HH24:MI:SS'), TO_DATE('2025-08-04 17:59:00', 'YYYY-MM-DD HH24:MI:SS'));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</row>
    <row r="263">
      <c r="A263" s="25" t="s">
        <v>206</v>
      </c>
      <c r="B263" s="26">
        <v>94.0</v>
      </c>
      <c r="C263" s="27">
        <v>45873.0</v>
      </c>
      <c r="D263" s="28">
        <v>45873.41458333333</v>
      </c>
      <c r="E263" s="28">
        <v>45873.74791666667</v>
      </c>
      <c r="F263" s="21" t="s">
        <v>189</v>
      </c>
      <c r="G263" s="23"/>
      <c r="H263" s="23" t="str">
        <f t="shared" si="1"/>
        <v>INSERT INTO tblDayAttendanceLog VALUES (seqDayAttendanceLog.nextval, 94, TO_DATE('2025-08-04', 'YYYY-MM-DD'), TO_DATE('2025-08-04 09:57:00', 'YYYY-MM-DD HH24:MI:SS'), TO_DATE('2025-08-04 17:57:00', 'YYYY-MM-DD HH24:MI:SS'));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</row>
    <row r="264">
      <c r="A264" s="25" t="s">
        <v>206</v>
      </c>
      <c r="B264" s="26">
        <v>95.0</v>
      </c>
      <c r="C264" s="27">
        <v>45873.0</v>
      </c>
      <c r="D264" s="28">
        <v>45873.395833333336</v>
      </c>
      <c r="E264" s="28">
        <v>45873.74375</v>
      </c>
      <c r="F264" s="21" t="s">
        <v>189</v>
      </c>
      <c r="G264" s="23"/>
      <c r="H264" s="23" t="str">
        <f t="shared" si="1"/>
        <v>INSERT INTO tblDayAttendanceLog VALUES (seqDayAttendanceLog.nextval, 95, TO_DATE('2025-08-04', 'YYYY-MM-DD'), TO_DATE('2025-08-04 09:30:00', 'YYYY-MM-DD HH24:MI:SS'), TO_DATE('2025-08-04 17:51:00', 'YYYY-MM-DD HH24:MI:SS'));</v>
      </c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</row>
    <row r="265">
      <c r="A265" s="25" t="s">
        <v>206</v>
      </c>
      <c r="B265" s="26">
        <v>96.0</v>
      </c>
      <c r="C265" s="27">
        <v>45873.0</v>
      </c>
      <c r="D265" s="28">
        <v>45873.37430555555</v>
      </c>
      <c r="E265" s="28">
        <v>45873.74722222222</v>
      </c>
      <c r="F265" s="21" t="s">
        <v>184</v>
      </c>
      <c r="G265" s="23"/>
      <c r="H265" s="23" t="str">
        <f t="shared" si="1"/>
        <v>INSERT INTO tblDayAttendanceLog VALUES (seqDayAttendanceLog.nextval, 96, TO_DATE('2025-08-04', 'YYYY-MM-DD'), TO_DATE('2025-08-04 08:59:00', 'YYYY-MM-DD HH24:MI:SS'), TO_DATE('2025-08-04 17:56:00', 'YYYY-MM-DD HH24:MI:SS'));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</row>
    <row r="266">
      <c r="A266" s="25" t="s">
        <v>206</v>
      </c>
      <c r="B266" s="26">
        <v>97.0</v>
      </c>
      <c r="C266" s="27">
        <v>45873.0</v>
      </c>
      <c r="D266" s="28">
        <v>45873.35138888889</v>
      </c>
      <c r="E266" s="28">
        <v>45873.74444444444</v>
      </c>
      <c r="F266" s="21" t="s">
        <v>184</v>
      </c>
      <c r="G266" s="23"/>
      <c r="H266" s="23" t="str">
        <f t="shared" si="1"/>
        <v>INSERT INTO tblDayAttendanceLog VALUES (seqDayAttendanceLog.nextval, 97, TO_DATE('2025-08-04', 'YYYY-MM-DD'), TO_DATE('2025-08-04 08:26:00', 'YYYY-MM-DD HH24:MI:SS'), TO_DATE('2025-08-04 17:52:00', 'YYYY-MM-DD HH24:MI:SS'));</v>
      </c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</row>
    <row r="267">
      <c r="A267" s="25" t="s">
        <v>206</v>
      </c>
      <c r="B267" s="26">
        <v>98.0</v>
      </c>
      <c r="C267" s="27">
        <v>45873.0</v>
      </c>
      <c r="D267" s="28">
        <v>45873.385416666664</v>
      </c>
      <c r="E267" s="28">
        <v>45873.743055555555</v>
      </c>
      <c r="F267" s="21" t="s">
        <v>189</v>
      </c>
      <c r="G267" s="23"/>
      <c r="H267" s="23" t="str">
        <f t="shared" si="1"/>
        <v>INSERT INTO tblDayAttendanceLog VALUES (seqDayAttendanceLog.nextval, 98, TO_DATE('2025-08-04', 'YYYY-MM-DD'), TO_DATE('2025-08-04 09:15:00', 'YYYY-MM-DD HH24:MI:SS'), TO_DATE('2025-08-04 17:50:00', 'YYYY-MM-DD HH24:MI:SS'));</v>
      </c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</row>
    <row r="268">
      <c r="A268" s="25" t="s">
        <v>206</v>
      </c>
      <c r="B268" s="26">
        <v>99.0</v>
      </c>
      <c r="C268" s="27">
        <v>45873.0</v>
      </c>
      <c r="D268" s="28">
        <v>45873.3625</v>
      </c>
      <c r="E268" s="28">
        <v>45873.74791666667</v>
      </c>
      <c r="F268" s="21" t="s">
        <v>184</v>
      </c>
      <c r="G268" s="23"/>
      <c r="H268" s="23" t="str">
        <f t="shared" si="1"/>
        <v>INSERT INTO tblDayAttendanceLog VALUES (seqDayAttendanceLog.nextval, 99, TO_DATE('2025-08-04', 'YYYY-MM-DD'), TO_DATE('2025-08-04 08:42:00', 'YYYY-MM-DD HH24:MI:SS'), TO_DATE('2025-08-04 17:57:00', 'YYYY-MM-DD HH24:MI:SS'));</v>
      </c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</row>
    <row r="269">
      <c r="A269" s="25" t="s">
        <v>206</v>
      </c>
      <c r="B269" s="26">
        <v>100.0</v>
      </c>
      <c r="C269" s="27">
        <v>45873.0</v>
      </c>
      <c r="D269" s="28">
        <v>45873.373611111114</v>
      </c>
      <c r="E269" s="28">
        <v>45873.74930555555</v>
      </c>
      <c r="F269" s="21" t="s">
        <v>184</v>
      </c>
      <c r="G269" s="23"/>
      <c r="H269" s="23" t="str">
        <f t="shared" si="1"/>
        <v>INSERT INTO tblDayAttendanceLog VALUES (seqDayAttendanceLog.nextval, 100, TO_DATE('2025-08-04', 'YYYY-MM-DD'), TO_DATE('2025-08-04 08:58:00', 'YYYY-MM-DD HH24:MI:SS'), TO_DATE('2025-08-04 17:59:00', 'YYYY-MM-DD HH24:MI:SS'));</v>
      </c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</row>
    <row r="270">
      <c r="A270" s="25" t="s">
        <v>206</v>
      </c>
      <c r="B270" s="26">
        <v>101.0</v>
      </c>
      <c r="C270" s="27">
        <v>45873.0</v>
      </c>
      <c r="D270" s="28">
        <v>45873.38402777778</v>
      </c>
      <c r="E270" s="28">
        <v>45873.74444444444</v>
      </c>
      <c r="F270" s="21" t="s">
        <v>189</v>
      </c>
      <c r="G270" s="23"/>
      <c r="H270" s="23" t="str">
        <f t="shared" si="1"/>
        <v>INSERT INTO tblDayAttendanceLog VALUES (seqDayAttendanceLog.nextval, 101, TO_DATE('2025-08-04', 'YYYY-MM-DD'), TO_DATE('2025-08-04 09:13:00', 'YYYY-MM-DD HH24:MI:SS'), TO_DATE('2025-08-04 17:52:00', 'YYYY-MM-DD HH24:MI:SS'));</v>
      </c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</row>
    <row r="271">
      <c r="A271" s="25" t="s">
        <v>206</v>
      </c>
      <c r="B271" s="26">
        <v>102.0</v>
      </c>
      <c r="C271" s="27">
        <v>45873.0</v>
      </c>
      <c r="D271" s="28">
        <v>45873.395833333336</v>
      </c>
      <c r="E271" s="28">
        <v>45873.74652777778</v>
      </c>
      <c r="F271" s="21" t="s">
        <v>189</v>
      </c>
      <c r="G271" s="23"/>
      <c r="H271" s="23" t="str">
        <f t="shared" si="1"/>
        <v>INSERT INTO tblDayAttendanceLog VALUES (seqDayAttendanceLog.nextval, 102, TO_DATE('2025-08-04', 'YYYY-MM-DD'), TO_DATE('2025-08-04 09:30:00', 'YYYY-MM-DD HH24:MI:SS'), TO_DATE('2025-08-04 17:55:00', 'YYYY-MM-DD HH24:MI:SS'));</v>
      </c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</row>
    <row r="272">
      <c r="A272" s="25" t="s">
        <v>206</v>
      </c>
      <c r="B272" s="26">
        <v>103.0</v>
      </c>
      <c r="C272" s="27">
        <v>45873.0</v>
      </c>
      <c r="D272" s="28">
        <v>45873.39722222222</v>
      </c>
      <c r="E272" s="28">
        <v>45873.74930555555</v>
      </c>
      <c r="F272" s="21" t="s">
        <v>189</v>
      </c>
      <c r="G272" s="23"/>
      <c r="H272" s="23" t="str">
        <f t="shared" si="1"/>
        <v>INSERT INTO tblDayAttendanceLog VALUES (seqDayAttendanceLog.nextval, 103, TO_DATE('2025-08-04', 'YYYY-MM-DD'), TO_DATE('2025-08-04 09:32:00', 'YYYY-MM-DD HH24:MI:SS'), TO_DATE('2025-08-04 17:59:00', 'YYYY-MM-DD HH24:MI:SS'));</v>
      </c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</row>
    <row r="273">
      <c r="A273" s="25" t="s">
        <v>206</v>
      </c>
      <c r="B273" s="26">
        <v>104.0</v>
      </c>
      <c r="C273" s="27">
        <v>45873.0</v>
      </c>
      <c r="D273" s="28">
        <v>45873.39444444444</v>
      </c>
      <c r="E273" s="28">
        <v>45873.74375</v>
      </c>
      <c r="F273" s="21" t="s">
        <v>189</v>
      </c>
      <c r="G273" s="23"/>
      <c r="H273" s="23" t="str">
        <f t="shared" si="1"/>
        <v>INSERT INTO tblDayAttendanceLog VALUES (seqDayAttendanceLog.nextval, 104, TO_DATE('2025-08-04', 'YYYY-MM-DD'), TO_DATE('2025-08-04 09:28:00', 'YYYY-MM-DD HH24:MI:SS'), TO_DATE('2025-08-04 17:51:00', 'YYYY-MM-DD HH24:MI:SS'));</v>
      </c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</row>
    <row r="274">
      <c r="A274" s="25" t="s">
        <v>206</v>
      </c>
      <c r="B274" s="26">
        <v>105.0</v>
      </c>
      <c r="C274" s="27">
        <v>45873.0</v>
      </c>
      <c r="D274" s="28">
        <v>45873.40972222222</v>
      </c>
      <c r="E274" s="28">
        <v>45873.74930555555</v>
      </c>
      <c r="F274" s="21" t="s">
        <v>189</v>
      </c>
      <c r="G274" s="23"/>
      <c r="H274" s="23" t="str">
        <f t="shared" si="1"/>
        <v>INSERT INTO tblDayAttendanceLog VALUES (seqDayAttendanceLog.nextval, 105, TO_DATE('2025-08-04', 'YYYY-MM-DD'), TO_DATE('2025-08-04 09:50:00', 'YYYY-MM-DD HH24:MI:SS'), TO_DATE('2025-08-04 17:59:00', 'YYYY-MM-DD HH24:MI:SS'));</v>
      </c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</row>
    <row r="275">
      <c r="A275" s="25" t="s">
        <v>206</v>
      </c>
      <c r="B275" s="26">
        <v>106.0</v>
      </c>
      <c r="C275" s="27">
        <v>45873.0</v>
      </c>
      <c r="D275" s="28">
        <v>45873.381944444445</v>
      </c>
      <c r="E275" s="28">
        <v>45873.74930555555</v>
      </c>
      <c r="F275" s="21" t="s">
        <v>189</v>
      </c>
      <c r="G275" s="23"/>
      <c r="H275" s="23" t="str">
        <f t="shared" si="1"/>
        <v>INSERT INTO tblDayAttendanceLog VALUES (seqDayAttendanceLog.nextval, 106, TO_DATE('2025-08-04', 'YYYY-MM-DD'), TO_DATE('2025-08-04 09:10:00', 'YYYY-MM-DD HH24:MI:SS'), TO_DATE('2025-08-04 17:59:00', 'YYYY-MM-DD HH24:MI:SS'));</v>
      </c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</row>
    <row r="276">
      <c r="A276" s="25" t="s">
        <v>206</v>
      </c>
      <c r="B276" s="26">
        <v>107.0</v>
      </c>
      <c r="C276" s="27">
        <v>45873.0</v>
      </c>
      <c r="D276" s="28">
        <v>45873.40902777778</v>
      </c>
      <c r="E276" s="28">
        <v>45873.748611111114</v>
      </c>
      <c r="F276" s="21" t="s">
        <v>189</v>
      </c>
      <c r="G276" s="23"/>
      <c r="H276" s="23" t="str">
        <f t="shared" si="1"/>
        <v>INSERT INTO tblDayAttendanceLog VALUES (seqDayAttendanceLog.nextval, 107, TO_DATE('2025-08-04', 'YYYY-MM-DD'), TO_DATE('2025-08-04 09:49:00', 'YYYY-MM-DD HH24:MI:SS'), TO_DATE('2025-08-04 17:58:00', 'YYYY-MM-DD HH24:MI:SS'));</v>
      </c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</row>
    <row r="277">
      <c r="A277" s="25" t="s">
        <v>206</v>
      </c>
      <c r="B277" s="26">
        <v>108.0</v>
      </c>
      <c r="C277" s="27">
        <v>45873.0</v>
      </c>
      <c r="D277" s="28">
        <v>45873.39027777778</v>
      </c>
      <c r="E277" s="28">
        <v>45873.74513888889</v>
      </c>
      <c r="F277" s="21" t="s">
        <v>189</v>
      </c>
      <c r="G277" s="23"/>
      <c r="H277" s="23" t="str">
        <f t="shared" si="1"/>
        <v>INSERT INTO tblDayAttendanceLog VALUES (seqDayAttendanceLog.nextval, 108, TO_DATE('2025-08-04', 'YYYY-MM-DD'), TO_DATE('2025-08-04 09:22:00', 'YYYY-MM-DD HH24:MI:SS'), TO_DATE('2025-08-04 17:53:00', 'YYYY-MM-DD HH24:MI:SS'));</v>
      </c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</row>
    <row r="278">
      <c r="A278" s="25" t="s">
        <v>206</v>
      </c>
      <c r="B278" s="26">
        <v>109.0</v>
      </c>
      <c r="C278" s="27">
        <v>45873.0</v>
      </c>
      <c r="D278" s="28">
        <v>45873.36944444444</v>
      </c>
      <c r="E278" s="28">
        <v>45873.74791666667</v>
      </c>
      <c r="F278" s="21" t="s">
        <v>184</v>
      </c>
      <c r="G278" s="23"/>
      <c r="H278" s="23" t="str">
        <f t="shared" si="1"/>
        <v>INSERT INTO tblDayAttendanceLog VALUES (seqDayAttendanceLog.nextval, 109, TO_DATE('2025-08-04', 'YYYY-MM-DD'), TO_DATE('2025-08-04 08:52:00', 'YYYY-MM-DD HH24:MI:SS'), TO_DATE('2025-08-04 17:57:00', 'YYYY-MM-DD HH24:MI:SS'));</v>
      </c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</row>
    <row r="279">
      <c r="A279" s="25" t="s">
        <v>206</v>
      </c>
      <c r="B279" s="26">
        <v>110.0</v>
      </c>
      <c r="C279" s="27">
        <v>45873.0</v>
      </c>
      <c r="D279" s="28">
        <v>45873.336805555555</v>
      </c>
      <c r="E279" s="28">
        <v>45873.74652777778</v>
      </c>
      <c r="F279" s="21" t="s">
        <v>184</v>
      </c>
      <c r="G279" s="23"/>
      <c r="H279" s="23" t="str">
        <f t="shared" si="1"/>
        <v>INSERT INTO tblDayAttendanceLog VALUES (seqDayAttendanceLog.nextval, 110, TO_DATE('2025-08-04', 'YYYY-MM-DD'), TO_DATE('2025-08-04 08:05:00', 'YYYY-MM-DD HH24:MI:SS'), TO_DATE('2025-08-04 17:55:00', 'YYYY-MM-DD HH24:MI:SS'));</v>
      </c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</row>
    <row r="280">
      <c r="A280" s="25" t="s">
        <v>206</v>
      </c>
      <c r="B280" s="26">
        <v>111.0</v>
      </c>
      <c r="C280" s="27">
        <v>45873.0</v>
      </c>
      <c r="D280" s="28">
        <v>45873.38611111111</v>
      </c>
      <c r="E280" s="28">
        <v>45873.74652777778</v>
      </c>
      <c r="F280" s="21" t="s">
        <v>189</v>
      </c>
      <c r="G280" s="23"/>
      <c r="H280" s="23" t="str">
        <f t="shared" si="1"/>
        <v>INSERT INTO tblDayAttendanceLog VALUES (seqDayAttendanceLog.nextval, 111, TO_DATE('2025-08-04', 'YYYY-MM-DD'), TO_DATE('2025-08-04 09:16:00', 'YYYY-MM-DD HH24:MI:SS'), TO_DATE('2025-08-04 17:55:00', 'YYYY-MM-DD HH24:MI:SS'));</v>
      </c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</row>
    <row r="281">
      <c r="A281" s="25" t="s">
        <v>206</v>
      </c>
      <c r="B281" s="26">
        <v>112.0</v>
      </c>
      <c r="C281" s="27">
        <v>45873.0</v>
      </c>
      <c r="D281" s="28">
        <v>45873.339583333334</v>
      </c>
      <c r="E281" s="28">
        <v>45873.74375</v>
      </c>
      <c r="F281" s="21" t="s">
        <v>184</v>
      </c>
      <c r="G281" s="23"/>
      <c r="H281" s="23" t="str">
        <f t="shared" si="1"/>
        <v>INSERT INTO tblDayAttendanceLog VALUES (seqDayAttendanceLog.nextval, 112, TO_DATE('2025-08-04', 'YYYY-MM-DD'), TO_DATE('2025-08-04 08:09:00', 'YYYY-MM-DD HH24:MI:SS'), TO_DATE('2025-08-04 17:51:00', 'YYYY-MM-DD HH24:MI:SS'));</v>
      </c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</row>
    <row r="282">
      <c r="A282" s="25" t="s">
        <v>206</v>
      </c>
      <c r="B282" s="26">
        <v>113.0</v>
      </c>
      <c r="C282" s="27">
        <v>45873.0</v>
      </c>
      <c r="D282" s="28">
        <v>45873.40347222222</v>
      </c>
      <c r="E282" s="28">
        <v>45873.743055555555</v>
      </c>
      <c r="F282" s="21" t="s">
        <v>189</v>
      </c>
      <c r="G282" s="23"/>
      <c r="H282" s="23" t="str">
        <f t="shared" si="1"/>
        <v>INSERT INTO tblDayAttendanceLog VALUES (seqDayAttendanceLog.nextval, 113, TO_DATE('2025-08-04', 'YYYY-MM-DD'), TO_DATE('2025-08-04 09:41:00', 'YYYY-MM-DD HH24:MI:SS'), TO_DATE('2025-08-04 17:50:00', 'YYYY-MM-DD HH24:MI:SS'));</v>
      </c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</row>
    <row r="283">
      <c r="A283" s="25" t="s">
        <v>206</v>
      </c>
      <c r="B283" s="26">
        <v>114.0</v>
      </c>
      <c r="C283" s="27">
        <v>45873.0</v>
      </c>
      <c r="D283" s="28">
        <v>45873.410416666666</v>
      </c>
      <c r="E283" s="28">
        <v>45873.74652777778</v>
      </c>
      <c r="F283" s="21" t="s">
        <v>189</v>
      </c>
      <c r="G283" s="23"/>
      <c r="H283" s="23" t="str">
        <f t="shared" si="1"/>
        <v>INSERT INTO tblDayAttendanceLog VALUES (seqDayAttendanceLog.nextval, 114, TO_DATE('2025-08-04', 'YYYY-MM-DD'), TO_DATE('2025-08-04 09:51:00', 'YYYY-MM-DD HH24:MI:SS'), TO_DATE('2025-08-04 17:55:00', 'YYYY-MM-DD HH24:MI:SS'));</v>
      </c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</row>
    <row r="284">
      <c r="A284" s="25" t="s">
        <v>206</v>
      </c>
      <c r="B284" s="26">
        <v>115.0</v>
      </c>
      <c r="C284" s="27">
        <v>45873.0</v>
      </c>
      <c r="D284" s="28">
        <v>45873.34652777778</v>
      </c>
      <c r="E284" s="28">
        <v>45873.74722222222</v>
      </c>
      <c r="F284" s="21" t="s">
        <v>184</v>
      </c>
      <c r="G284" s="23"/>
      <c r="H284" s="23" t="str">
        <f t="shared" si="1"/>
        <v>INSERT INTO tblDayAttendanceLog VALUES (seqDayAttendanceLog.nextval, 115, TO_DATE('2025-08-04', 'YYYY-MM-DD'), TO_DATE('2025-08-04 08:19:00', 'YYYY-MM-DD HH24:MI:SS'), TO_DATE('2025-08-04 17:56:00', 'YYYY-MM-DD HH24:MI:SS'));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</row>
    <row r="285">
      <c r="A285" s="25" t="s">
        <v>206</v>
      </c>
      <c r="B285" s="26">
        <v>116.0</v>
      </c>
      <c r="C285" s="27">
        <v>45873.0</v>
      </c>
      <c r="D285" s="28">
        <v>45873.34444444445</v>
      </c>
      <c r="E285" s="28">
        <v>45873.74375</v>
      </c>
      <c r="F285" s="21" t="s">
        <v>184</v>
      </c>
      <c r="G285" s="23"/>
      <c r="H285" s="23" t="str">
        <f t="shared" si="1"/>
        <v>INSERT INTO tblDayAttendanceLog VALUES (seqDayAttendanceLog.nextval, 116, TO_DATE('2025-08-04', 'YYYY-MM-DD'), TO_DATE('2025-08-04 08:16:00', 'YYYY-MM-DD HH24:MI:SS'), TO_DATE('2025-08-04 17:51:00', 'YYYY-MM-DD HH24:MI:SS'));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</row>
    <row r="286">
      <c r="A286" s="25" t="s">
        <v>206</v>
      </c>
      <c r="B286" s="26">
        <v>117.0</v>
      </c>
      <c r="C286" s="27">
        <v>45873.0</v>
      </c>
      <c r="D286" s="28">
        <v>45873.37291666667</v>
      </c>
      <c r="E286" s="28">
        <v>45873.74722222222</v>
      </c>
      <c r="F286" s="21" t="s">
        <v>184</v>
      </c>
      <c r="G286" s="23"/>
      <c r="H286" s="23" t="str">
        <f t="shared" si="1"/>
        <v>INSERT INTO tblDayAttendanceLog VALUES (seqDayAttendanceLog.nextval, 117, TO_DATE('2025-08-04', 'YYYY-MM-DD'), TO_DATE('2025-08-04 08:57:00', 'YYYY-MM-DD HH24:MI:SS'), TO_DATE('2025-08-04 17:56:00', 'YYYY-MM-DD HH24:MI:SS'));</v>
      </c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</row>
    <row r="287">
      <c r="A287" s="25" t="s">
        <v>206</v>
      </c>
      <c r="B287" s="26">
        <v>118.0</v>
      </c>
      <c r="C287" s="27">
        <v>45873.0</v>
      </c>
      <c r="D287" s="28">
        <v>45873.40347222222</v>
      </c>
      <c r="E287" s="28">
        <v>45873.74444444444</v>
      </c>
      <c r="F287" s="21" t="s">
        <v>189</v>
      </c>
      <c r="G287" s="23"/>
      <c r="H287" s="23" t="str">
        <f t="shared" si="1"/>
        <v>INSERT INTO tblDayAttendanceLog VALUES (seqDayAttendanceLog.nextval, 118, TO_DATE('2025-08-04', 'YYYY-MM-DD'), TO_DATE('2025-08-04 09:41:00', 'YYYY-MM-DD HH24:MI:SS'), TO_DATE('2025-08-04 17:52:00', 'YYYY-MM-DD HH24:MI:SS'));</v>
      </c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</row>
    <row r="288">
      <c r="A288" s="25" t="s">
        <v>206</v>
      </c>
      <c r="B288" s="26">
        <v>119.0</v>
      </c>
      <c r="C288" s="27">
        <v>45873.0</v>
      </c>
      <c r="D288" s="28">
        <v>45873.3625</v>
      </c>
      <c r="E288" s="28">
        <v>45873.74375</v>
      </c>
      <c r="F288" s="21" t="s">
        <v>184</v>
      </c>
      <c r="G288" s="23"/>
      <c r="H288" s="23" t="str">
        <f t="shared" si="1"/>
        <v>INSERT INTO tblDayAttendanceLog VALUES (seqDayAttendanceLog.nextval, 119, TO_DATE('2025-08-04', 'YYYY-MM-DD'), TO_DATE('2025-08-04 08:42:00', 'YYYY-MM-DD HH24:MI:SS'), TO_DATE('2025-08-04 17:51:00', 'YYYY-MM-DD HH24:MI:SS'));</v>
      </c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</row>
    <row r="289">
      <c r="A289" s="25" t="s">
        <v>206</v>
      </c>
      <c r="B289" s="26">
        <v>120.0</v>
      </c>
      <c r="C289" s="27">
        <v>45873.0</v>
      </c>
      <c r="D289" s="28">
        <v>45873.37430555555</v>
      </c>
      <c r="E289" s="28">
        <v>45873.74722222222</v>
      </c>
      <c r="F289" s="21" t="s">
        <v>184</v>
      </c>
      <c r="G289" s="23"/>
      <c r="H289" s="23" t="str">
        <f t="shared" si="1"/>
        <v>INSERT INTO tblDayAttendanceLog VALUES (seqDayAttendanceLog.nextval, 120, TO_DATE('2025-08-04', 'YYYY-MM-DD'), TO_DATE('2025-08-04 08:59:00', 'YYYY-MM-DD HH24:MI:SS'), TO_DATE('2025-08-04 17:56:00', 'YYYY-MM-DD HH24:MI:SS'));</v>
      </c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</row>
    <row r="290">
      <c r="A290" s="25" t="s">
        <v>206</v>
      </c>
      <c r="B290" s="26">
        <v>121.0</v>
      </c>
      <c r="C290" s="27">
        <v>45873.0</v>
      </c>
      <c r="D290" s="28">
        <v>45873.384722222225</v>
      </c>
      <c r="E290" s="28">
        <v>45873.74513888889</v>
      </c>
      <c r="F290" s="21" t="s">
        <v>189</v>
      </c>
      <c r="G290" s="23"/>
      <c r="H290" s="23" t="str">
        <f t="shared" si="1"/>
        <v>INSERT INTO tblDayAttendanceLog VALUES (seqDayAttendanceLog.nextval, 121, TO_DATE('2025-08-04', 'YYYY-MM-DD'), TO_DATE('2025-08-04 09:14:00', 'YYYY-MM-DD HH24:MI:SS'), TO_DATE('2025-08-04 17:53:00', 'YYYY-MM-DD HH24:MI:SS'));</v>
      </c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</row>
    <row r="291">
      <c r="A291" s="25" t="s">
        <v>206</v>
      </c>
      <c r="B291" s="26">
        <v>122.0</v>
      </c>
      <c r="C291" s="27">
        <v>45873.0</v>
      </c>
      <c r="D291" s="28">
        <v>45873.34375</v>
      </c>
      <c r="E291" s="28">
        <v>45873.745833333334</v>
      </c>
      <c r="F291" s="21" t="s">
        <v>184</v>
      </c>
      <c r="G291" s="23"/>
      <c r="H291" s="23" t="str">
        <f t="shared" si="1"/>
        <v>INSERT INTO tblDayAttendanceLog VALUES (seqDayAttendanceLog.nextval, 122, TO_DATE('2025-08-04', 'YYYY-MM-DD'), TO_DATE('2025-08-04 08:15:00', 'YYYY-MM-DD HH24:MI:SS'), TO_DATE('2025-08-04 17:54:00', 'YYYY-MM-DD HH24:MI:SS'));</v>
      </c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</row>
    <row r="292">
      <c r="A292" s="25" t="s">
        <v>206</v>
      </c>
      <c r="B292" s="26">
        <v>123.0</v>
      </c>
      <c r="C292" s="27">
        <v>45873.0</v>
      </c>
      <c r="D292" s="28">
        <v>45873.33611111111</v>
      </c>
      <c r="E292" s="28">
        <v>45873.74444444444</v>
      </c>
      <c r="F292" s="21" t="s">
        <v>184</v>
      </c>
      <c r="G292" s="23"/>
      <c r="H292" s="23" t="str">
        <f t="shared" si="1"/>
        <v>INSERT INTO tblDayAttendanceLog VALUES (seqDayAttendanceLog.nextval, 123, TO_DATE('2025-08-04', 'YYYY-MM-DD'), TO_DATE('2025-08-04 08:04:00', 'YYYY-MM-DD HH24:MI:SS'), TO_DATE('2025-08-04 17:52:00', 'YYYY-MM-DD HH24:MI:SS'));</v>
      </c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</row>
    <row r="293">
      <c r="A293" s="25" t="s">
        <v>206</v>
      </c>
      <c r="B293" s="26">
        <v>124.0</v>
      </c>
      <c r="C293" s="27">
        <v>45873.0</v>
      </c>
      <c r="D293" s="28">
        <v>45873.35972222222</v>
      </c>
      <c r="E293" s="28">
        <v>45873.748611111114</v>
      </c>
      <c r="F293" s="21" t="s">
        <v>184</v>
      </c>
      <c r="G293" s="23"/>
      <c r="H293" s="23" t="str">
        <f t="shared" si="1"/>
        <v>INSERT INTO tblDayAttendanceLog VALUES (seqDayAttendanceLog.nextval, 124, TO_DATE('2025-08-04', 'YYYY-MM-DD'), TO_DATE('2025-08-04 08:38:00', 'YYYY-MM-DD HH24:MI:SS'), TO_DATE('2025-08-04 17:58:00', 'YYYY-MM-DD HH24:MI:SS'));</v>
      </c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</row>
    <row r="294">
      <c r="A294" s="25" t="s">
        <v>206</v>
      </c>
      <c r="B294" s="26">
        <v>125.0</v>
      </c>
      <c r="C294" s="27">
        <v>45873.0</v>
      </c>
      <c r="D294" s="28">
        <v>45873.339583333334</v>
      </c>
      <c r="E294" s="28">
        <v>45873.74722222222</v>
      </c>
      <c r="F294" s="21" t="s">
        <v>184</v>
      </c>
      <c r="G294" s="23"/>
      <c r="H294" s="23" t="str">
        <f t="shared" si="1"/>
        <v>INSERT INTO tblDayAttendanceLog VALUES (seqDayAttendanceLog.nextval, 125, TO_DATE('2025-08-04', 'YYYY-MM-DD'), TO_DATE('2025-08-04 08:09:00', 'YYYY-MM-DD HH24:MI:SS'), TO_DATE('2025-08-04 17:56:00', 'YYYY-MM-DD HH24:MI:SS'));</v>
      </c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</row>
    <row r="295">
      <c r="A295" s="25" t="s">
        <v>206</v>
      </c>
      <c r="B295" s="26">
        <v>126.0</v>
      </c>
      <c r="C295" s="27">
        <v>45873.0</v>
      </c>
      <c r="D295" s="28">
        <v>45873.38680555556</v>
      </c>
      <c r="E295" s="28">
        <v>45873.745833333334</v>
      </c>
      <c r="F295" s="21" t="s">
        <v>189</v>
      </c>
      <c r="G295" s="23"/>
      <c r="H295" s="23" t="str">
        <f t="shared" si="1"/>
        <v>INSERT INTO tblDayAttendanceLog VALUES (seqDayAttendanceLog.nextval, 126, TO_DATE('2025-08-04', 'YYYY-MM-DD'), TO_DATE('2025-08-04 09:17:00', 'YYYY-MM-DD HH24:MI:SS'), TO_DATE('2025-08-04 17:54:00', 'YYYY-MM-DD HH24:MI:SS'));</v>
      </c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</row>
    <row r="296">
      <c r="A296" s="25" t="s">
        <v>206</v>
      </c>
      <c r="B296" s="26">
        <v>127.0</v>
      </c>
      <c r="C296" s="27">
        <v>45873.0</v>
      </c>
      <c r="D296" s="28">
        <v>45873.402083333334</v>
      </c>
      <c r="E296" s="28">
        <v>45873.74652777778</v>
      </c>
      <c r="F296" s="21" t="s">
        <v>189</v>
      </c>
      <c r="G296" s="23"/>
      <c r="H296" s="23" t="str">
        <f t="shared" si="1"/>
        <v>INSERT INTO tblDayAttendanceLog VALUES (seqDayAttendanceLog.nextval, 127, TO_DATE('2025-08-04', 'YYYY-MM-DD'), TO_DATE('2025-08-04 09:39:00', 'YYYY-MM-DD HH24:MI:SS'), TO_DATE('2025-08-04 17:55:00', 'YYYY-MM-DD HH24:MI:SS'));</v>
      </c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</row>
    <row r="297">
      <c r="A297" s="25" t="s">
        <v>206</v>
      </c>
      <c r="B297" s="26">
        <v>128.0</v>
      </c>
      <c r="C297" s="27">
        <v>45873.0</v>
      </c>
      <c r="D297" s="28">
        <v>45873.347916666666</v>
      </c>
      <c r="E297" s="28">
        <v>45873.74652777778</v>
      </c>
      <c r="F297" s="21" t="s">
        <v>184</v>
      </c>
      <c r="G297" s="23"/>
      <c r="H297" s="23" t="str">
        <f t="shared" si="1"/>
        <v>INSERT INTO tblDayAttendanceLog VALUES (seqDayAttendanceLog.nextval, 128, TO_DATE('2025-08-04', 'YYYY-MM-DD'), TO_DATE('2025-08-04 08:21:00', 'YYYY-MM-DD HH24:MI:SS'), TO_DATE('2025-08-04 17:55:00', 'YYYY-MM-DD HH24:MI:SS'));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</row>
    <row r="298">
      <c r="A298" s="25" t="s">
        <v>206</v>
      </c>
      <c r="B298" s="26">
        <v>129.0</v>
      </c>
      <c r="C298" s="27">
        <v>45873.0</v>
      </c>
      <c r="D298" s="28">
        <v>45873.4125</v>
      </c>
      <c r="E298" s="28">
        <v>45873.74513888889</v>
      </c>
      <c r="F298" s="21" t="s">
        <v>189</v>
      </c>
      <c r="G298" s="23"/>
      <c r="H298" s="23" t="str">
        <f t="shared" si="1"/>
        <v>INSERT INTO tblDayAttendanceLog VALUES (seqDayAttendanceLog.nextval, 129, TO_DATE('2025-08-04', 'YYYY-MM-DD'), TO_DATE('2025-08-04 09:54:00', 'YYYY-MM-DD HH24:MI:SS'), TO_DATE('2025-08-04 17:53:00', 'YYYY-MM-DD HH24:MI:SS'));</v>
      </c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</row>
    <row r="299">
      <c r="A299" s="25" t="s">
        <v>206</v>
      </c>
      <c r="B299" s="26">
        <v>130.0</v>
      </c>
      <c r="C299" s="27">
        <v>45873.0</v>
      </c>
      <c r="D299" s="28">
        <v>45873.39444444444</v>
      </c>
      <c r="E299" s="28">
        <v>45873.74513888889</v>
      </c>
      <c r="F299" s="21" t="s">
        <v>189</v>
      </c>
      <c r="G299" s="23"/>
      <c r="H299" s="23" t="str">
        <f t="shared" si="1"/>
        <v>INSERT INTO tblDayAttendanceLog VALUES (seqDayAttendanceLog.nextval, 130, TO_DATE('2025-08-04', 'YYYY-MM-DD'), TO_DATE('2025-08-04 09:28:00', 'YYYY-MM-DD HH24:MI:SS'), TO_DATE('2025-08-04 17:53:00', 'YYYY-MM-DD HH24:MI:SS'));</v>
      </c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</row>
    <row r="300">
      <c r="A300" s="25" t="s">
        <v>206</v>
      </c>
      <c r="B300" s="26">
        <v>131.0</v>
      </c>
      <c r="C300" s="27">
        <v>45873.0</v>
      </c>
      <c r="D300" s="28">
        <v>45873.34097222222</v>
      </c>
      <c r="E300" s="28">
        <v>45873.748611111114</v>
      </c>
      <c r="F300" s="21" t="s">
        <v>184</v>
      </c>
      <c r="G300" s="23"/>
      <c r="H300" s="23" t="str">
        <f t="shared" si="1"/>
        <v>INSERT INTO tblDayAttendanceLog VALUES (seqDayAttendanceLog.nextval, 131, TO_DATE('2025-08-04', 'YYYY-MM-DD'), TO_DATE('2025-08-04 08:11:00', 'YYYY-MM-DD HH24:MI:SS'), TO_DATE('2025-08-04 17:58:00', 'YYYY-MM-DD HH24:MI:SS'));</v>
      </c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</row>
    <row r="301">
      <c r="A301" s="25" t="s">
        <v>206</v>
      </c>
      <c r="B301" s="26">
        <v>132.0</v>
      </c>
      <c r="C301" s="27">
        <v>45873.0</v>
      </c>
      <c r="D301" s="28">
        <v>45873.35972222222</v>
      </c>
      <c r="E301" s="28">
        <v>45873.74652777778</v>
      </c>
      <c r="F301" s="21" t="s">
        <v>184</v>
      </c>
      <c r="G301" s="23"/>
      <c r="H301" s="23" t="str">
        <f t="shared" si="1"/>
        <v>INSERT INTO tblDayAttendanceLog VALUES (seqDayAttendanceLog.nextval, 132, TO_DATE('2025-08-04', 'YYYY-MM-DD'), TO_DATE('2025-08-04 08:38:00', 'YYYY-MM-DD HH24:MI:SS'), TO_DATE('2025-08-04 17:55:00', 'YYYY-MM-DD HH24:MI:SS'));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</row>
    <row r="302">
      <c r="A302" s="25" t="s">
        <v>206</v>
      </c>
      <c r="B302" s="26">
        <v>133.0</v>
      </c>
      <c r="C302" s="27">
        <v>45873.0</v>
      </c>
      <c r="D302" s="28">
        <v>45873.36388888889</v>
      </c>
      <c r="E302" s="28">
        <v>45873.74375</v>
      </c>
      <c r="F302" s="21" t="s">
        <v>184</v>
      </c>
      <c r="G302" s="23"/>
      <c r="H302" s="23" t="str">
        <f t="shared" si="1"/>
        <v>INSERT INTO tblDayAttendanceLog VALUES (seqDayAttendanceLog.nextval, 133, TO_DATE('2025-08-04', 'YYYY-MM-DD'), TO_DATE('2025-08-04 08:44:00', 'YYYY-MM-DD HH24:MI:SS'), TO_DATE('2025-08-04 17:51:00', 'YYYY-MM-DD HH24:MI:SS'));</v>
      </c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</row>
    <row r="303">
      <c r="A303" s="25" t="s">
        <v>206</v>
      </c>
      <c r="B303" s="26">
        <v>134.0</v>
      </c>
      <c r="C303" s="27">
        <v>45873.0</v>
      </c>
      <c r="D303" s="28">
        <v>45873.35277777778</v>
      </c>
      <c r="E303" s="28">
        <v>45873.748611111114</v>
      </c>
      <c r="F303" s="21" t="s">
        <v>184</v>
      </c>
      <c r="G303" s="23"/>
      <c r="H303" s="23" t="str">
        <f t="shared" si="1"/>
        <v>INSERT INTO tblDayAttendanceLog VALUES (seqDayAttendanceLog.nextval, 134, TO_DATE('2025-08-04', 'YYYY-MM-DD'), TO_DATE('2025-08-04 08:28:00', 'YYYY-MM-DD HH24:MI:SS'), TO_DATE('2025-08-04 17:58:00', 'YYYY-MM-DD HH24:MI:SS'));</v>
      </c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</row>
    <row r="304">
      <c r="A304" s="25" t="s">
        <v>206</v>
      </c>
      <c r="B304" s="26">
        <v>135.0</v>
      </c>
      <c r="C304" s="27">
        <v>45873.0</v>
      </c>
      <c r="D304" s="28">
        <v>45873.396527777775</v>
      </c>
      <c r="E304" s="28">
        <v>45873.74652777778</v>
      </c>
      <c r="F304" s="21" t="s">
        <v>189</v>
      </c>
      <c r="G304" s="23"/>
      <c r="H304" s="23" t="str">
        <f t="shared" si="1"/>
        <v>INSERT INTO tblDayAttendanceLog VALUES (seqDayAttendanceLog.nextval, 135, TO_DATE('2025-08-04', 'YYYY-MM-DD'), TO_DATE('2025-08-04 09:31:00', 'YYYY-MM-DD HH24:MI:SS'), TO_DATE('2025-08-04 17:55:00', 'YYYY-MM-DD HH24:MI:SS'));</v>
      </c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</row>
    <row r="305">
      <c r="A305" s="25" t="s">
        <v>206</v>
      </c>
      <c r="B305" s="26">
        <v>136.0</v>
      </c>
      <c r="C305" s="27">
        <v>45873.0</v>
      </c>
      <c r="D305" s="28">
        <v>45873.41388888889</v>
      </c>
      <c r="E305" s="28">
        <v>45873.74444444444</v>
      </c>
      <c r="F305" s="21" t="s">
        <v>189</v>
      </c>
      <c r="G305" s="23"/>
      <c r="H305" s="23" t="str">
        <f t="shared" si="1"/>
        <v>INSERT INTO tblDayAttendanceLog VALUES (seqDayAttendanceLog.nextval, 136, TO_DATE('2025-08-04', 'YYYY-MM-DD'), TO_DATE('2025-08-04 09:56:00', 'YYYY-MM-DD HH24:MI:SS'), TO_DATE('2025-08-04 17:52:00', 'YYYY-MM-DD HH24:MI:SS'));</v>
      </c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</row>
    <row r="306">
      <c r="A306" s="25" t="s">
        <v>206</v>
      </c>
      <c r="B306" s="26">
        <v>137.0</v>
      </c>
      <c r="C306" s="27">
        <v>45873.0</v>
      </c>
      <c r="D306" s="28">
        <v>45873.40555555555</v>
      </c>
      <c r="E306" s="28">
        <v>45873.74722222222</v>
      </c>
      <c r="F306" s="21" t="s">
        <v>189</v>
      </c>
      <c r="G306" s="23"/>
      <c r="H306" s="23" t="str">
        <f t="shared" si="1"/>
        <v>INSERT INTO tblDayAttendanceLog VALUES (seqDayAttendanceLog.nextval, 137, TO_DATE('2025-08-04', 'YYYY-MM-DD'), TO_DATE('2025-08-04 09:44:00', 'YYYY-MM-DD HH24:MI:SS'), TO_DATE('2025-08-04 17:56:00', 'YYYY-MM-DD HH24:MI:SS'));</v>
      </c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</row>
    <row r="307">
      <c r="A307" s="25" t="s">
        <v>206</v>
      </c>
      <c r="B307" s="26">
        <v>138.0</v>
      </c>
      <c r="C307" s="27">
        <v>45873.0</v>
      </c>
      <c r="D307" s="28">
        <v>45873.41527777778</v>
      </c>
      <c r="E307" s="28">
        <v>45873.743055555555</v>
      </c>
      <c r="F307" s="21" t="s">
        <v>189</v>
      </c>
      <c r="G307" s="23"/>
      <c r="H307" s="23" t="str">
        <f t="shared" si="1"/>
        <v>INSERT INTO tblDayAttendanceLog VALUES (seqDayAttendanceLog.nextval, 138, TO_DATE('2025-08-04', 'YYYY-MM-DD'), TO_DATE('2025-08-04 09:58:00', 'YYYY-MM-DD HH24:MI:SS'), TO_DATE('2025-08-04 17:50:00', 'YYYY-MM-DD HH24:MI:SS'));</v>
      </c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</row>
    <row r="308">
      <c r="A308" s="25" t="s">
        <v>206</v>
      </c>
      <c r="B308" s="26">
        <v>139.0</v>
      </c>
      <c r="C308" s="27">
        <v>45873.0</v>
      </c>
      <c r="D308" s="28">
        <v>45873.37013888889</v>
      </c>
      <c r="E308" s="28">
        <v>45873.748611111114</v>
      </c>
      <c r="F308" s="21" t="s">
        <v>184</v>
      </c>
      <c r="G308" s="23"/>
      <c r="H308" s="23" t="str">
        <f t="shared" si="1"/>
        <v>INSERT INTO tblDayAttendanceLog VALUES (seqDayAttendanceLog.nextval, 139, TO_DATE('2025-08-04', 'YYYY-MM-DD'), TO_DATE('2025-08-04 08:53:00', 'YYYY-MM-DD HH24:MI:SS'), TO_DATE('2025-08-04 17:58:00', 'YYYY-MM-DD HH24:MI:SS'));</v>
      </c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</row>
    <row r="309">
      <c r="A309" s="25" t="s">
        <v>206</v>
      </c>
      <c r="B309" s="26">
        <v>140.0</v>
      </c>
      <c r="C309" s="27">
        <v>45873.0</v>
      </c>
      <c r="D309" s="28">
        <v>45873.336805555555</v>
      </c>
      <c r="E309" s="28">
        <v>45873.745833333334</v>
      </c>
      <c r="F309" s="21" t="s">
        <v>184</v>
      </c>
      <c r="G309" s="23"/>
      <c r="H309" s="23" t="str">
        <f t="shared" si="1"/>
        <v>INSERT INTO tblDayAttendanceLog VALUES (seqDayAttendanceLog.nextval, 140, TO_DATE('2025-08-04', 'YYYY-MM-DD'), TO_DATE('2025-08-04 08:05:00', 'YYYY-MM-DD HH24:MI:SS'), TO_DATE('2025-08-04 17:54:00', 'YYYY-MM-DD HH24:MI:SS'));</v>
      </c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</row>
    <row r="310">
      <c r="A310" s="25" t="s">
        <v>206</v>
      </c>
      <c r="B310" s="26">
        <v>141.0</v>
      </c>
      <c r="C310" s="27">
        <v>45873.0</v>
      </c>
      <c r="D310" s="29"/>
      <c r="E310" s="29"/>
      <c r="F310" s="21" t="s">
        <v>186</v>
      </c>
      <c r="G310" s="23"/>
      <c r="H310" s="23" t="str">
        <f t="shared" si="1"/>
        <v>INSERT INTO tblDayAttendanceLog VALUES (seqDayAttendanceLog.nextval, 141, TO_DATE('2025-08-04', 'YYYY-MM-DD'), NULL, NULL);</v>
      </c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</row>
    <row r="311">
      <c r="A311" s="25" t="s">
        <v>206</v>
      </c>
      <c r="B311" s="26">
        <v>142.0</v>
      </c>
      <c r="C311" s="27">
        <v>45873.0</v>
      </c>
      <c r="D311" s="28">
        <v>45873.395833333336</v>
      </c>
      <c r="E311" s="28">
        <v>45873.74722222222</v>
      </c>
      <c r="F311" s="21" t="s">
        <v>189</v>
      </c>
      <c r="G311" s="23"/>
      <c r="H311" s="23" t="str">
        <f t="shared" si="1"/>
        <v>INSERT INTO tblDayAttendanceLog VALUES (seqDayAttendanceLog.nextval, 142, TO_DATE('2025-08-04', 'YYYY-MM-DD'), TO_DATE('2025-08-04 09:30:00', 'YYYY-MM-DD HH24:MI:SS'), TO_DATE('2025-08-04 17:56:00', 'YYYY-MM-DD HH24:MI:SS'));</v>
      </c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</row>
    <row r="312">
      <c r="A312" s="25" t="s">
        <v>206</v>
      </c>
      <c r="B312" s="26">
        <v>143.0</v>
      </c>
      <c r="C312" s="27">
        <v>45873.0</v>
      </c>
      <c r="D312" s="28">
        <v>45873.34375</v>
      </c>
      <c r="E312" s="28">
        <v>45873.743055555555</v>
      </c>
      <c r="F312" s="21" t="s">
        <v>184</v>
      </c>
      <c r="G312" s="23"/>
      <c r="H312" s="23" t="str">
        <f t="shared" si="1"/>
        <v>INSERT INTO tblDayAttendanceLog VALUES (seqDayAttendanceLog.nextval, 143, TO_DATE('2025-08-04', 'YYYY-MM-DD'), TO_DATE('2025-08-04 08:15:00', 'YYYY-MM-DD HH24:MI:SS'), TO_DATE('2025-08-04 17:50:00', 'YYYY-MM-DD HH24:MI:SS'));</v>
      </c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</row>
    <row r="313">
      <c r="A313" s="25" t="s">
        <v>206</v>
      </c>
      <c r="B313" s="26">
        <v>144.0</v>
      </c>
      <c r="C313" s="27">
        <v>45873.0</v>
      </c>
      <c r="D313" s="28">
        <v>45873.35486111111</v>
      </c>
      <c r="E313" s="28">
        <v>45873.74444444444</v>
      </c>
      <c r="F313" s="21" t="s">
        <v>184</v>
      </c>
      <c r="G313" s="23"/>
      <c r="H313" s="23" t="str">
        <f t="shared" si="1"/>
        <v>INSERT INTO tblDayAttendanceLog VALUES (seqDayAttendanceLog.nextval, 144, TO_DATE('2025-08-04', 'YYYY-MM-DD'), TO_DATE('2025-08-04 08:31:00', 'YYYY-MM-DD HH24:MI:SS'), TO_DATE('2025-08-04 17:52:00', 'YYYY-MM-DD HH24:MI:SS'));</v>
      </c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</row>
    <row r="314">
      <c r="A314" s="25" t="s">
        <v>206</v>
      </c>
      <c r="B314" s="26">
        <v>145.0</v>
      </c>
      <c r="C314" s="27">
        <v>45873.0</v>
      </c>
      <c r="D314" s="28">
        <v>45873.388194444444</v>
      </c>
      <c r="E314" s="28">
        <v>45873.748611111114</v>
      </c>
      <c r="F314" s="21" t="s">
        <v>189</v>
      </c>
      <c r="G314" s="23"/>
      <c r="H314" s="23" t="str">
        <f t="shared" si="1"/>
        <v>INSERT INTO tblDayAttendanceLog VALUES (seqDayAttendanceLog.nextval, 145, TO_DATE('2025-08-04', 'YYYY-MM-DD'), TO_DATE('2025-08-04 09:19:00', 'YYYY-MM-DD HH24:MI:SS'), TO_DATE('2025-08-04 17:58:00', 'YYYY-MM-DD HH24:MI:SS'));</v>
      </c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</row>
    <row r="315">
      <c r="A315" s="25" t="s">
        <v>206</v>
      </c>
      <c r="B315" s="26">
        <v>146.0</v>
      </c>
      <c r="C315" s="27">
        <v>45873.0</v>
      </c>
      <c r="D315" s="28">
        <v>45873.375</v>
      </c>
      <c r="E315" s="28">
        <v>45873.74444444444</v>
      </c>
      <c r="F315" s="21" t="s">
        <v>189</v>
      </c>
      <c r="G315" s="23"/>
      <c r="H315" s="23" t="str">
        <f t="shared" si="1"/>
        <v>INSERT INTO tblDayAttendanceLog VALUES (seqDayAttendanceLog.nextval, 146, TO_DATE('2025-08-04', 'YYYY-MM-DD'), TO_DATE('2025-08-04 09:00:00', 'YYYY-MM-DD HH24:MI:SS'), TO_DATE('2025-08-04 17:52:00', 'YYYY-MM-DD HH24:MI:SS'));</v>
      </c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</row>
    <row r="316">
      <c r="A316" s="25" t="s">
        <v>206</v>
      </c>
      <c r="B316" s="26">
        <v>147.0</v>
      </c>
      <c r="C316" s="27">
        <v>45873.0</v>
      </c>
      <c r="D316" s="28">
        <v>45873.345138888886</v>
      </c>
      <c r="E316" s="28">
        <v>45873.74652777778</v>
      </c>
      <c r="F316" s="21" t="s">
        <v>184</v>
      </c>
      <c r="G316" s="23"/>
      <c r="H316" s="23" t="str">
        <f t="shared" si="1"/>
        <v>INSERT INTO tblDayAttendanceLog VALUES (seqDayAttendanceLog.nextval, 147, TO_DATE('2025-08-04', 'YYYY-MM-DD'), TO_DATE('2025-08-04 08:17:00', 'YYYY-MM-DD HH24:MI:SS'), TO_DATE('2025-08-04 17:55:00', 'YYYY-MM-DD HH24:MI:SS'));</v>
      </c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</row>
    <row r="317">
      <c r="A317" s="25" t="s">
        <v>206</v>
      </c>
      <c r="B317" s="26">
        <v>148.0</v>
      </c>
      <c r="C317" s="27">
        <v>45873.0</v>
      </c>
      <c r="D317" s="28">
        <v>45873.35208333333</v>
      </c>
      <c r="E317" s="28">
        <v>45873.74652777778</v>
      </c>
      <c r="F317" s="21" t="s">
        <v>184</v>
      </c>
      <c r="G317" s="23"/>
      <c r="H317" s="23" t="str">
        <f t="shared" si="1"/>
        <v>INSERT INTO tblDayAttendanceLog VALUES (seqDayAttendanceLog.nextval, 148, TO_DATE('2025-08-04', 'YYYY-MM-DD'), TO_DATE('2025-08-04 08:27:00', 'YYYY-MM-DD HH24:MI:SS'), TO_DATE('2025-08-04 17:55:00', 'YYYY-MM-DD HH24:MI:SS'));</v>
      </c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</row>
    <row r="318">
      <c r="A318" s="25" t="s">
        <v>206</v>
      </c>
      <c r="B318" s="26">
        <v>149.0</v>
      </c>
      <c r="C318" s="27">
        <v>45873.0</v>
      </c>
      <c r="D318" s="28">
        <v>45873.36111111111</v>
      </c>
      <c r="E318" s="28">
        <v>45873.74722222222</v>
      </c>
      <c r="F318" s="21" t="s">
        <v>184</v>
      </c>
      <c r="G318" s="23"/>
      <c r="H318" s="23" t="str">
        <f t="shared" si="1"/>
        <v>INSERT INTO tblDayAttendanceLog VALUES (seqDayAttendanceLog.nextval, 149, TO_DATE('2025-08-04', 'YYYY-MM-DD'), TO_DATE('2025-08-04 08:40:00', 'YYYY-MM-DD HH24:MI:SS'), TO_DATE('2025-08-04 17:56:00', 'YYYY-MM-DD HH24:MI:SS'));</v>
      </c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</row>
    <row r="319">
      <c r="A319" s="25" t="s">
        <v>206</v>
      </c>
      <c r="B319" s="26">
        <v>150.0</v>
      </c>
      <c r="C319" s="27">
        <v>45873.0</v>
      </c>
      <c r="D319" s="28">
        <v>45873.38888888889</v>
      </c>
      <c r="E319" s="28">
        <v>45873.743055555555</v>
      </c>
      <c r="F319" s="21" t="s">
        <v>189</v>
      </c>
      <c r="G319" s="23"/>
      <c r="H319" s="23" t="str">
        <f t="shared" si="1"/>
        <v>INSERT INTO tblDayAttendanceLog VALUES (seqDayAttendanceLog.nextval, 150, TO_DATE('2025-08-04', 'YYYY-MM-DD'), TO_DATE('2025-08-04 09:20:00', 'YYYY-MM-DD HH24:MI:SS'), TO_DATE('2025-08-04 17:50:00', 'YYYY-MM-DD HH24:MI:SS'));</v>
      </c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</row>
    <row r="320">
      <c r="A320" s="25" t="s">
        <v>206</v>
      </c>
      <c r="B320" s="26">
        <v>151.0</v>
      </c>
      <c r="C320" s="27">
        <v>45873.0</v>
      </c>
      <c r="D320" s="28">
        <v>45873.39236111111</v>
      </c>
      <c r="E320" s="28">
        <v>45873.74652777778</v>
      </c>
      <c r="F320" s="21" t="s">
        <v>189</v>
      </c>
      <c r="G320" s="23"/>
      <c r="H320" s="23" t="str">
        <f t="shared" si="1"/>
        <v>INSERT INTO tblDayAttendanceLog VALUES (seqDayAttendanceLog.nextval, 151, TO_DATE('2025-08-04', 'YYYY-MM-DD'), TO_DATE('2025-08-04 09:25:00', 'YYYY-MM-DD HH24:MI:SS'), TO_DATE('2025-08-04 17:55:00', 'YYYY-MM-DD HH24:MI:SS'));</v>
      </c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</row>
    <row r="321">
      <c r="A321" s="25" t="s">
        <v>206</v>
      </c>
      <c r="B321" s="26">
        <v>152.0</v>
      </c>
      <c r="C321" s="27">
        <v>45873.0</v>
      </c>
      <c r="D321" s="28">
        <v>45873.375</v>
      </c>
      <c r="E321" s="28">
        <v>45873.74513888889</v>
      </c>
      <c r="F321" s="21" t="s">
        <v>189</v>
      </c>
      <c r="G321" s="23"/>
      <c r="H321" s="23" t="str">
        <f t="shared" si="1"/>
        <v>INSERT INTO tblDayAttendanceLog VALUES (seqDayAttendanceLog.nextval, 152, TO_DATE('2025-08-04', 'YYYY-MM-DD'), TO_DATE('2025-08-04 09:00:00', 'YYYY-MM-DD HH24:MI:SS'), TO_DATE('2025-08-04 17:53:00', 'YYYY-MM-DD HH24:MI:SS'));</v>
      </c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</row>
    <row r="322">
      <c r="A322" s="25" t="s">
        <v>206</v>
      </c>
      <c r="B322" s="26">
        <v>153.0</v>
      </c>
      <c r="C322" s="27">
        <v>45873.0</v>
      </c>
      <c r="D322" s="28">
        <v>45873.40902777778</v>
      </c>
      <c r="E322" s="28">
        <v>45873.748611111114</v>
      </c>
      <c r="F322" s="21" t="s">
        <v>189</v>
      </c>
      <c r="G322" s="23"/>
      <c r="H322" s="23" t="str">
        <f t="shared" si="1"/>
        <v>INSERT INTO tblDayAttendanceLog VALUES (seqDayAttendanceLog.nextval, 153, TO_DATE('2025-08-04', 'YYYY-MM-DD'), TO_DATE('2025-08-04 09:49:00', 'YYYY-MM-DD HH24:MI:SS'), TO_DATE('2025-08-04 17:58:00', 'YYYY-MM-DD HH24:MI:SS'));</v>
      </c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</row>
    <row r="323">
      <c r="A323" s="25" t="s">
        <v>206</v>
      </c>
      <c r="B323" s="26">
        <v>154.0</v>
      </c>
      <c r="C323" s="27">
        <v>45873.0</v>
      </c>
      <c r="D323" s="28">
        <v>45873.34305555555</v>
      </c>
      <c r="E323" s="28">
        <v>45873.74722222222</v>
      </c>
      <c r="F323" s="21" t="s">
        <v>184</v>
      </c>
      <c r="G323" s="23"/>
      <c r="H323" s="23" t="str">
        <f t="shared" si="1"/>
        <v>INSERT INTO tblDayAttendanceLog VALUES (seqDayAttendanceLog.nextval, 154, TO_DATE('2025-08-04', 'YYYY-MM-DD'), TO_DATE('2025-08-04 08:14:00', 'YYYY-MM-DD HH24:MI:SS'), TO_DATE('2025-08-04 17:56:00', 'YYYY-MM-DD HH24:MI:SS'));</v>
      </c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</row>
    <row r="324">
      <c r="A324" s="25" t="s">
        <v>206</v>
      </c>
      <c r="B324" s="26">
        <v>155.0</v>
      </c>
      <c r="C324" s="27">
        <v>45873.0</v>
      </c>
      <c r="D324" s="28">
        <v>45873.35902777778</v>
      </c>
      <c r="E324" s="28">
        <v>45873.74375</v>
      </c>
      <c r="F324" s="21" t="s">
        <v>184</v>
      </c>
      <c r="G324" s="23"/>
      <c r="H324" s="23" t="str">
        <f t="shared" si="1"/>
        <v>INSERT INTO tblDayAttendanceLog VALUES (seqDayAttendanceLog.nextval, 155, TO_DATE('2025-08-04', 'YYYY-MM-DD'), TO_DATE('2025-08-04 08:37:00', 'YYYY-MM-DD HH24:MI:SS'), TO_DATE('2025-08-04 17:51:00', 'YYYY-MM-DD HH24:MI:SS'));</v>
      </c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</row>
    <row r="325">
      <c r="A325" s="25" t="s">
        <v>206</v>
      </c>
      <c r="B325" s="26">
        <v>156.0</v>
      </c>
      <c r="C325" s="27">
        <v>45873.0</v>
      </c>
      <c r="D325" s="28">
        <v>45873.342361111114</v>
      </c>
      <c r="E325" s="28">
        <v>45873.74791666667</v>
      </c>
      <c r="F325" s="21" t="s">
        <v>184</v>
      </c>
      <c r="G325" s="23"/>
      <c r="H325" s="23" t="str">
        <f t="shared" si="1"/>
        <v>INSERT INTO tblDayAttendanceLog VALUES (seqDayAttendanceLog.nextval, 156, TO_DATE('2025-08-04', 'YYYY-MM-DD'), TO_DATE('2025-08-04 08:13:00', 'YYYY-MM-DD HH24:MI:SS'), TO_DATE('2025-08-04 17:57:00', 'YYYY-MM-DD HH24:MI:SS'));</v>
      </c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</row>
    <row r="326">
      <c r="A326" s="25" t="s">
        <v>206</v>
      </c>
      <c r="B326" s="26">
        <v>157.0</v>
      </c>
      <c r="C326" s="27">
        <v>45873.0</v>
      </c>
      <c r="D326" s="29"/>
      <c r="E326" s="29"/>
      <c r="F326" s="21" t="s">
        <v>186</v>
      </c>
      <c r="G326" s="23"/>
      <c r="H326" s="23" t="str">
        <f t="shared" si="1"/>
        <v>INSERT INTO tblDayAttendanceLog VALUES (seqDayAttendanceLog.nextval, 157, TO_DATE('2025-08-04', 'YYYY-MM-DD'), NULL, NULL);</v>
      </c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</row>
    <row r="327">
      <c r="A327" s="25" t="s">
        <v>206</v>
      </c>
      <c r="B327" s="26">
        <v>158.0</v>
      </c>
      <c r="C327" s="27">
        <v>45873.0</v>
      </c>
      <c r="D327" s="28">
        <v>45873.40972222222</v>
      </c>
      <c r="E327" s="28">
        <v>45873.74930555555</v>
      </c>
      <c r="F327" s="21" t="s">
        <v>189</v>
      </c>
      <c r="G327" s="23"/>
      <c r="H327" s="23" t="str">
        <f t="shared" si="1"/>
        <v>INSERT INTO tblDayAttendanceLog VALUES (seqDayAttendanceLog.nextval, 158, TO_DATE('2025-08-04', 'YYYY-MM-DD'), TO_DATE('2025-08-04 09:50:00', 'YYYY-MM-DD HH24:MI:SS'), TO_DATE('2025-08-04 17:59:00', 'YYYY-MM-DD HH24:MI:SS'));</v>
      </c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</row>
    <row r="328">
      <c r="A328" s="25" t="s">
        <v>206</v>
      </c>
      <c r="B328" s="26">
        <v>159.0</v>
      </c>
      <c r="C328" s="27">
        <v>45873.0</v>
      </c>
      <c r="D328" s="28">
        <v>45873.39166666667</v>
      </c>
      <c r="E328" s="28">
        <v>45873.745833333334</v>
      </c>
      <c r="F328" s="21" t="s">
        <v>189</v>
      </c>
      <c r="G328" s="23"/>
      <c r="H328" s="23" t="str">
        <f t="shared" si="1"/>
        <v>INSERT INTO tblDayAttendanceLog VALUES (seqDayAttendanceLog.nextval, 159, TO_DATE('2025-08-04', 'YYYY-MM-DD'), TO_DATE('2025-08-04 09:24:00', 'YYYY-MM-DD HH24:MI:SS'), TO_DATE('2025-08-04 17:54:00', 'YYYY-MM-DD HH24:MI:SS'));</v>
      </c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</row>
    <row r="329">
      <c r="A329" s="25" t="s">
        <v>206</v>
      </c>
      <c r="B329" s="26">
        <v>160.0</v>
      </c>
      <c r="C329" s="27">
        <v>45873.0</v>
      </c>
      <c r="D329" s="28">
        <v>45873.38125</v>
      </c>
      <c r="E329" s="28">
        <v>45873.74375</v>
      </c>
      <c r="F329" s="21" t="s">
        <v>189</v>
      </c>
      <c r="G329" s="23"/>
      <c r="H329" s="23" t="str">
        <f t="shared" si="1"/>
        <v>INSERT INTO tblDayAttendanceLog VALUES (seqDayAttendanceLog.nextval, 160, TO_DATE('2025-08-04', 'YYYY-MM-DD'), TO_DATE('2025-08-04 09:09:00', 'YYYY-MM-DD HH24:MI:SS'), TO_DATE('2025-08-04 17:51:00', 'YYYY-MM-DD HH24:MI:SS'));</v>
      </c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</row>
    <row r="330">
      <c r="A330" s="25" t="s">
        <v>206</v>
      </c>
      <c r="B330" s="26">
        <v>161.0</v>
      </c>
      <c r="C330" s="27">
        <v>45873.0</v>
      </c>
      <c r="D330" s="28">
        <v>45873.35833333333</v>
      </c>
      <c r="E330" s="28">
        <v>45873.743055555555</v>
      </c>
      <c r="F330" s="21" t="s">
        <v>184</v>
      </c>
      <c r="G330" s="23"/>
      <c r="H330" s="23" t="str">
        <f t="shared" si="1"/>
        <v>INSERT INTO tblDayAttendanceLog VALUES (seqDayAttendanceLog.nextval, 161, TO_DATE('2025-08-04', 'YYYY-MM-DD'), TO_DATE('2025-08-04 08:36:00', 'YYYY-MM-DD HH24:MI:SS'), TO_DATE('2025-08-04 17:50:00', 'YYYY-MM-DD HH24:MI:SS'));</v>
      </c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</row>
    <row r="331">
      <c r="A331" s="25" t="s">
        <v>206</v>
      </c>
      <c r="B331" s="26">
        <v>162.0</v>
      </c>
      <c r="C331" s="27">
        <v>45873.0</v>
      </c>
      <c r="D331" s="28">
        <v>45873.40069444444</v>
      </c>
      <c r="E331" s="28">
        <v>45873.74375</v>
      </c>
      <c r="F331" s="21" t="s">
        <v>189</v>
      </c>
      <c r="G331" s="23"/>
      <c r="H331" s="23" t="str">
        <f t="shared" si="1"/>
        <v>INSERT INTO tblDayAttendanceLog VALUES (seqDayAttendanceLog.nextval, 162, TO_DATE('2025-08-04', 'YYYY-MM-DD'), TO_DATE('2025-08-04 09:37:00', 'YYYY-MM-DD HH24:MI:SS'), TO_DATE('2025-08-04 17:51:00', 'YYYY-MM-DD HH24:MI:SS'));</v>
      </c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</row>
    <row r="332">
      <c r="A332" s="25" t="s">
        <v>206</v>
      </c>
      <c r="B332" s="26">
        <v>163.0</v>
      </c>
      <c r="C332" s="27">
        <v>45873.0</v>
      </c>
      <c r="D332" s="28">
        <v>45873.34375</v>
      </c>
      <c r="E332" s="28">
        <v>45873.74513888889</v>
      </c>
      <c r="F332" s="21" t="s">
        <v>184</v>
      </c>
      <c r="G332" s="23"/>
      <c r="H332" s="23" t="str">
        <f t="shared" si="1"/>
        <v>INSERT INTO tblDayAttendanceLog VALUES (seqDayAttendanceLog.nextval, 163, TO_DATE('2025-08-04', 'YYYY-MM-DD'), TO_DATE('2025-08-04 08:15:00', 'YYYY-MM-DD HH24:MI:SS'), TO_DATE('2025-08-04 17:53:00', 'YYYY-MM-DD HH24:MI:SS'));</v>
      </c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</row>
    <row r="333">
      <c r="A333" s="25" t="s">
        <v>206</v>
      </c>
      <c r="B333" s="26">
        <v>164.0</v>
      </c>
      <c r="C333" s="27">
        <v>45873.0</v>
      </c>
      <c r="D333" s="28">
        <v>45873.39027777778</v>
      </c>
      <c r="E333" s="28">
        <v>45873.74513888889</v>
      </c>
      <c r="F333" s="21" t="s">
        <v>189</v>
      </c>
      <c r="G333" s="23"/>
      <c r="H333" s="23" t="str">
        <f t="shared" si="1"/>
        <v>INSERT INTO tblDayAttendanceLog VALUES (seqDayAttendanceLog.nextval, 164, TO_DATE('2025-08-04', 'YYYY-MM-DD'), TO_DATE('2025-08-04 09:22:00', 'YYYY-MM-DD HH24:MI:SS'), TO_DATE('2025-08-04 17:53:00', 'YYYY-MM-DD HH24:MI:SS'));</v>
      </c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</row>
    <row r="334">
      <c r="A334" s="25" t="s">
        <v>206</v>
      </c>
      <c r="B334" s="26">
        <v>165.0</v>
      </c>
      <c r="C334" s="27">
        <v>45873.0</v>
      </c>
      <c r="D334" s="28">
        <v>45873.35833333333</v>
      </c>
      <c r="E334" s="28">
        <v>45873.748611111114</v>
      </c>
      <c r="F334" s="21" t="s">
        <v>184</v>
      </c>
      <c r="G334" s="23"/>
      <c r="H334" s="23" t="str">
        <f t="shared" si="1"/>
        <v>INSERT INTO tblDayAttendanceLog VALUES (seqDayAttendanceLog.nextval, 165, TO_DATE('2025-08-04', 'YYYY-MM-DD'), TO_DATE('2025-08-04 08:36:00', 'YYYY-MM-DD HH24:MI:SS'), TO_DATE('2025-08-04 17:58:00', 'YYYY-MM-DD HH24:MI:SS'));</v>
      </c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</row>
    <row r="335">
      <c r="A335" s="25" t="s">
        <v>206</v>
      </c>
      <c r="B335" s="26">
        <v>166.0</v>
      </c>
      <c r="C335" s="27">
        <v>45873.0</v>
      </c>
      <c r="D335" s="28">
        <v>45873.364583333336</v>
      </c>
      <c r="E335" s="28">
        <v>45873.74722222222</v>
      </c>
      <c r="F335" s="21" t="s">
        <v>184</v>
      </c>
      <c r="G335" s="23"/>
      <c r="H335" s="23" t="str">
        <f t="shared" si="1"/>
        <v>INSERT INTO tblDayAttendanceLog VALUES (seqDayAttendanceLog.nextval, 166, TO_DATE('2025-08-04', 'YYYY-MM-DD'), TO_DATE('2025-08-04 08:45:00', 'YYYY-MM-DD HH24:MI:SS'), TO_DATE('2025-08-04 17:56:00', 'YYYY-MM-DD HH24:MI:SS'));</v>
      </c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</row>
    <row r="336">
      <c r="A336" s="25" t="s">
        <v>206</v>
      </c>
      <c r="B336" s="26">
        <v>167.0</v>
      </c>
      <c r="C336" s="27">
        <v>45873.0</v>
      </c>
      <c r="D336" s="28">
        <v>45873.399305555555</v>
      </c>
      <c r="E336" s="28">
        <v>45873.74652777778</v>
      </c>
      <c r="F336" s="21" t="s">
        <v>189</v>
      </c>
      <c r="G336" s="23"/>
      <c r="H336" s="23" t="str">
        <f t="shared" si="1"/>
        <v>INSERT INTO tblDayAttendanceLog VALUES (seqDayAttendanceLog.nextval, 167, TO_DATE('2025-08-04', 'YYYY-MM-DD'), TO_DATE('2025-08-04 09:35:00', 'YYYY-MM-DD HH24:MI:SS'), TO_DATE('2025-08-04 17:55:00', 'YYYY-MM-DD HH24:MI:SS'));</v>
      </c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</row>
    <row r="337">
      <c r="A337" s="25" t="s">
        <v>206</v>
      </c>
      <c r="B337" s="26">
        <v>168.0</v>
      </c>
      <c r="C337" s="27">
        <v>45873.0</v>
      </c>
      <c r="D337" s="28">
        <v>45873.39513888889</v>
      </c>
      <c r="E337" s="28">
        <v>45873.74930555555</v>
      </c>
      <c r="F337" s="21" t="s">
        <v>189</v>
      </c>
      <c r="G337" s="23"/>
      <c r="H337" s="23" t="str">
        <f t="shared" si="1"/>
        <v>INSERT INTO tblDayAttendanceLog VALUES (seqDayAttendanceLog.nextval, 168, TO_DATE('2025-08-04', 'YYYY-MM-DD'), TO_DATE('2025-08-04 09:29:00', 'YYYY-MM-DD HH24:MI:SS'), TO_DATE('2025-08-04 17:59:00', 'YYYY-MM-DD HH24:MI:SS'));</v>
      </c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</row>
    <row r="338">
      <c r="A338" s="25" t="s">
        <v>206</v>
      </c>
      <c r="B338" s="26">
        <v>1.0</v>
      </c>
      <c r="C338" s="27">
        <v>45874.0</v>
      </c>
      <c r="D338" s="28">
        <v>45874.39513888889</v>
      </c>
      <c r="E338" s="28">
        <v>45874.74444444444</v>
      </c>
      <c r="F338" s="21" t="s">
        <v>189</v>
      </c>
      <c r="G338" s="23"/>
      <c r="H338" s="23" t="str">
        <f t="shared" si="1"/>
        <v>INSERT INTO tblDayAttendanceLog VALUES (seqDayAttendanceLog.nextval, 1, TO_DATE('2025-08-05', 'YYYY-MM-DD'), TO_DATE('2025-08-05 09:29:00', 'YYYY-MM-DD HH24:MI:SS'), TO_DATE('2025-08-05 17:52:00', 'YYYY-MM-DD HH24:MI:SS'));</v>
      </c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</row>
    <row r="339">
      <c r="A339" s="25" t="s">
        <v>206</v>
      </c>
      <c r="B339" s="26">
        <v>2.0</v>
      </c>
      <c r="C339" s="27">
        <v>45874.0</v>
      </c>
      <c r="D339" s="28">
        <v>45874.39097222222</v>
      </c>
      <c r="E339" s="28">
        <v>45874.74375</v>
      </c>
      <c r="F339" s="21" t="s">
        <v>189</v>
      </c>
      <c r="G339" s="23"/>
      <c r="H339" s="23" t="str">
        <f t="shared" si="1"/>
        <v>INSERT INTO tblDayAttendanceLog VALUES (seqDayAttendanceLog.nextval, 2, TO_DATE('2025-08-05', 'YYYY-MM-DD'), TO_DATE('2025-08-05 09:23:00', 'YYYY-MM-DD HH24:MI:SS'), TO_DATE('2025-08-05 17:51:00', 'YYYY-MM-DD HH24:MI:SS'));</v>
      </c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</row>
    <row r="340">
      <c r="A340" s="25" t="s">
        <v>206</v>
      </c>
      <c r="B340" s="26">
        <v>3.0</v>
      </c>
      <c r="C340" s="27">
        <v>45874.0</v>
      </c>
      <c r="D340" s="28">
        <v>45874.40833333333</v>
      </c>
      <c r="E340" s="28">
        <v>45874.748611111114</v>
      </c>
      <c r="F340" s="21" t="s">
        <v>189</v>
      </c>
      <c r="G340" s="23"/>
      <c r="H340" s="23" t="str">
        <f t="shared" si="1"/>
        <v>INSERT INTO tblDayAttendanceLog VALUES (seqDayAttendanceLog.nextval, 3, TO_DATE('2025-08-05', 'YYYY-MM-DD'), TO_DATE('2025-08-05 09:48:00', 'YYYY-MM-DD HH24:MI:SS'), TO_DATE('2025-08-05 17:58:00', 'YYYY-MM-DD HH24:MI:SS'));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</row>
    <row r="341">
      <c r="A341" s="25" t="s">
        <v>206</v>
      </c>
      <c r="B341" s="26">
        <v>4.0</v>
      </c>
      <c r="C341" s="27">
        <v>45874.0</v>
      </c>
      <c r="D341" s="28">
        <v>45874.3625</v>
      </c>
      <c r="E341" s="28">
        <v>45874.68819444445</v>
      </c>
      <c r="F341" s="21" t="s">
        <v>187</v>
      </c>
      <c r="G341" s="23"/>
      <c r="H341" s="23" t="str">
        <f t="shared" si="1"/>
        <v>INSERT INTO tblDayAttendanceLog VALUES (seqDayAttendanceLog.nextval, 4, TO_DATE('2025-08-05', 'YYYY-MM-DD'), TO_DATE('2025-08-05 08:42:00', 'YYYY-MM-DD HH24:MI:SS'), TO_DATE('2025-08-05 16:31:00', 'YYYY-MM-DD HH24:MI:SS'));</v>
      </c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</row>
    <row r="342">
      <c r="A342" s="25" t="s">
        <v>206</v>
      </c>
      <c r="B342" s="26">
        <v>5.0</v>
      </c>
      <c r="C342" s="27">
        <v>45874.0</v>
      </c>
      <c r="D342" s="28">
        <v>45874.376388888886</v>
      </c>
      <c r="E342" s="28">
        <v>45874.74652777778</v>
      </c>
      <c r="F342" s="21" t="s">
        <v>189</v>
      </c>
      <c r="G342" s="23"/>
      <c r="H342" s="23" t="str">
        <f t="shared" si="1"/>
        <v>INSERT INTO tblDayAttendanceLog VALUES (seqDayAttendanceLog.nextval, 5, TO_DATE('2025-08-05', 'YYYY-MM-DD'), TO_DATE('2025-08-05 09:02:00', 'YYYY-MM-DD HH24:MI:SS'), TO_DATE('2025-08-05 17:55:00', 'YYYY-MM-DD HH24:MI:SS'));</v>
      </c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</row>
    <row r="343">
      <c r="A343" s="25" t="s">
        <v>206</v>
      </c>
      <c r="B343" s="26">
        <v>6.0</v>
      </c>
      <c r="C343" s="27">
        <v>45874.0</v>
      </c>
      <c r="D343" s="28">
        <v>45874.3625</v>
      </c>
      <c r="E343" s="28">
        <v>45874.745833333334</v>
      </c>
      <c r="F343" s="21" t="s">
        <v>184</v>
      </c>
      <c r="G343" s="23"/>
      <c r="H343" s="23" t="str">
        <f t="shared" si="1"/>
        <v>INSERT INTO tblDayAttendanceLog VALUES (seqDayAttendanceLog.nextval, 6, TO_DATE('2025-08-05', 'YYYY-MM-DD'), TO_DATE('2025-08-05 08:42:00', 'YYYY-MM-DD HH24:MI:SS'), TO_DATE('2025-08-05 17:54:00', 'YYYY-MM-DD HH24:MI:SS'));</v>
      </c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</row>
    <row r="344">
      <c r="A344" s="25" t="s">
        <v>206</v>
      </c>
      <c r="B344" s="26">
        <v>7.0</v>
      </c>
      <c r="C344" s="27">
        <v>45874.0</v>
      </c>
      <c r="D344" s="28">
        <v>45874.41111111111</v>
      </c>
      <c r="E344" s="28">
        <v>45874.74930555555</v>
      </c>
      <c r="F344" s="21" t="s">
        <v>189</v>
      </c>
      <c r="G344" s="23"/>
      <c r="H344" s="23" t="str">
        <f t="shared" si="1"/>
        <v>INSERT INTO tblDayAttendanceLog VALUES (seqDayAttendanceLog.nextval, 7, TO_DATE('2025-08-05', 'YYYY-MM-DD'), TO_DATE('2025-08-05 09:52:00', 'YYYY-MM-DD HH24:MI:SS'), TO_DATE('2025-08-05 17:59:00', 'YYYY-MM-DD HH24:MI:SS'));</v>
      </c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</row>
    <row r="345">
      <c r="A345" s="25" t="s">
        <v>206</v>
      </c>
      <c r="B345" s="26">
        <v>8.0</v>
      </c>
      <c r="C345" s="27">
        <v>45874.0</v>
      </c>
      <c r="D345" s="28">
        <v>45874.40416666667</v>
      </c>
      <c r="E345" s="28">
        <v>45874.74375</v>
      </c>
      <c r="F345" s="21" t="s">
        <v>189</v>
      </c>
      <c r="G345" s="23"/>
      <c r="H345" s="23" t="str">
        <f t="shared" si="1"/>
        <v>INSERT INTO tblDayAttendanceLog VALUES (seqDayAttendanceLog.nextval, 8, TO_DATE('2025-08-05', 'YYYY-MM-DD'), TO_DATE('2025-08-05 09:42:00', 'YYYY-MM-DD HH24:MI:SS'), TO_DATE('2025-08-05 17:51:00', 'YYYY-MM-DD HH24:MI:SS'));</v>
      </c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</row>
    <row r="346">
      <c r="A346" s="25" t="s">
        <v>206</v>
      </c>
      <c r="B346" s="26">
        <v>9.0</v>
      </c>
      <c r="C346" s="27">
        <v>45874.0</v>
      </c>
      <c r="D346" s="28">
        <v>45874.40555555555</v>
      </c>
      <c r="E346" s="28">
        <v>45874.74513888889</v>
      </c>
      <c r="F346" s="21" t="s">
        <v>189</v>
      </c>
      <c r="G346" s="23"/>
      <c r="H346" s="23" t="str">
        <f t="shared" si="1"/>
        <v>INSERT INTO tblDayAttendanceLog VALUES (seqDayAttendanceLog.nextval, 9, TO_DATE('2025-08-05', 'YYYY-MM-DD'), TO_DATE('2025-08-05 09:44:00', 'YYYY-MM-DD HH24:MI:SS'), TO_DATE('2025-08-05 17:53:00', 'YYYY-MM-DD HH24:MI:SS'));</v>
      </c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</row>
    <row r="347">
      <c r="A347" s="25" t="s">
        <v>206</v>
      </c>
      <c r="B347" s="26">
        <v>10.0</v>
      </c>
      <c r="C347" s="27">
        <v>45874.0</v>
      </c>
      <c r="D347" s="28">
        <v>45874.404861111114</v>
      </c>
      <c r="E347" s="28">
        <v>45874.74791666667</v>
      </c>
      <c r="F347" s="21" t="s">
        <v>189</v>
      </c>
      <c r="G347" s="23"/>
      <c r="H347" s="23" t="str">
        <f t="shared" si="1"/>
        <v>INSERT INTO tblDayAttendanceLog VALUES (seqDayAttendanceLog.nextval, 10, TO_DATE('2025-08-05', 'YYYY-MM-DD'), TO_DATE('2025-08-05 09:43:00', 'YYYY-MM-DD HH24:MI:SS'), TO_DATE('2025-08-05 17:57:00', 'YYYY-MM-DD HH24:MI:SS'));</v>
      </c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</row>
    <row r="348">
      <c r="A348" s="25" t="s">
        <v>206</v>
      </c>
      <c r="B348" s="26">
        <v>11.0</v>
      </c>
      <c r="C348" s="27">
        <v>45874.0</v>
      </c>
      <c r="D348" s="28">
        <v>45874.38333333333</v>
      </c>
      <c r="E348" s="28">
        <v>45874.74444444444</v>
      </c>
      <c r="F348" s="21" t="s">
        <v>189</v>
      </c>
      <c r="G348" s="23"/>
      <c r="H348" s="23" t="str">
        <f t="shared" si="1"/>
        <v>INSERT INTO tblDayAttendanceLog VALUES (seqDayAttendanceLog.nextval, 11, TO_DATE('2025-08-05', 'YYYY-MM-DD'), TO_DATE('2025-08-05 09:12:00', 'YYYY-MM-DD HH24:MI:SS'), TO_DATE('2025-08-05 17:52:00', 'YYYY-MM-DD HH24:MI:SS'));</v>
      </c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</row>
    <row r="349">
      <c r="A349" s="25" t="s">
        <v>206</v>
      </c>
      <c r="B349" s="26">
        <v>12.0</v>
      </c>
      <c r="C349" s="27">
        <v>45874.0</v>
      </c>
      <c r="D349" s="28">
        <v>45874.35555555556</v>
      </c>
      <c r="E349" s="28">
        <v>45874.743055555555</v>
      </c>
      <c r="F349" s="21" t="s">
        <v>184</v>
      </c>
      <c r="G349" s="23"/>
      <c r="H349" s="23" t="str">
        <f t="shared" si="1"/>
        <v>INSERT INTO tblDayAttendanceLog VALUES (seqDayAttendanceLog.nextval, 12, TO_DATE('2025-08-05', 'YYYY-MM-DD'), TO_DATE('2025-08-05 08:32:00', 'YYYY-MM-DD HH24:MI:SS'), TO_DATE('2025-08-05 17:50:00', 'YYYY-MM-DD HH24:MI:SS'));</v>
      </c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</row>
    <row r="350">
      <c r="A350" s="25" t="s">
        <v>206</v>
      </c>
      <c r="B350" s="26">
        <v>13.0</v>
      </c>
      <c r="C350" s="27">
        <v>45874.0</v>
      </c>
      <c r="D350" s="28">
        <v>45874.37777777778</v>
      </c>
      <c r="E350" s="28">
        <v>45874.74652777778</v>
      </c>
      <c r="F350" s="21" t="s">
        <v>189</v>
      </c>
      <c r="G350" s="23"/>
      <c r="H350" s="23" t="str">
        <f t="shared" si="1"/>
        <v>INSERT INTO tblDayAttendanceLog VALUES (seqDayAttendanceLog.nextval, 13, TO_DATE('2025-08-05', 'YYYY-MM-DD'), TO_DATE('2025-08-05 09:04:00', 'YYYY-MM-DD HH24:MI:SS'), TO_DATE('2025-08-05 17:55:00', 'YYYY-MM-DD HH24:MI:SS'));</v>
      </c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</row>
    <row r="351">
      <c r="A351" s="25" t="s">
        <v>206</v>
      </c>
      <c r="B351" s="26">
        <v>14.0</v>
      </c>
      <c r="C351" s="27">
        <v>45874.0</v>
      </c>
      <c r="D351" s="28">
        <v>45874.39722222222</v>
      </c>
      <c r="E351" s="28">
        <v>45874.74791666667</v>
      </c>
      <c r="F351" s="21" t="s">
        <v>189</v>
      </c>
      <c r="G351" s="23"/>
      <c r="H351" s="23" t="str">
        <f t="shared" si="1"/>
        <v>INSERT INTO tblDayAttendanceLog VALUES (seqDayAttendanceLog.nextval, 14, TO_DATE('2025-08-05', 'YYYY-MM-DD'), TO_DATE('2025-08-05 09:32:00', 'YYYY-MM-DD HH24:MI:SS'), TO_DATE('2025-08-05 17:57:00', 'YYYY-MM-DD HH24:MI:SS'));</v>
      </c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</row>
    <row r="352">
      <c r="A352" s="25" t="s">
        <v>206</v>
      </c>
      <c r="B352" s="26">
        <v>15.0</v>
      </c>
      <c r="C352" s="27">
        <v>45874.0</v>
      </c>
      <c r="D352" s="28">
        <v>45874.399305555555</v>
      </c>
      <c r="E352" s="28">
        <v>45874.74513888889</v>
      </c>
      <c r="F352" s="21" t="s">
        <v>189</v>
      </c>
      <c r="G352" s="23"/>
      <c r="H352" s="23" t="str">
        <f t="shared" si="1"/>
        <v>INSERT INTO tblDayAttendanceLog VALUES (seqDayAttendanceLog.nextval, 15, TO_DATE('2025-08-05', 'YYYY-MM-DD'), TO_DATE('2025-08-05 09:35:00', 'YYYY-MM-DD HH24:MI:SS'), TO_DATE('2025-08-05 17:53:00', 'YYYY-MM-DD HH24:MI:SS'));</v>
      </c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</row>
    <row r="353">
      <c r="A353" s="25" t="s">
        <v>206</v>
      </c>
      <c r="B353" s="26">
        <v>16.0</v>
      </c>
      <c r="C353" s="27">
        <v>45874.0</v>
      </c>
      <c r="D353" s="28">
        <v>45874.38402777778</v>
      </c>
      <c r="E353" s="28">
        <v>45874.74513888889</v>
      </c>
      <c r="F353" s="21" t="s">
        <v>189</v>
      </c>
      <c r="G353" s="23"/>
      <c r="H353" s="23" t="str">
        <f t="shared" si="1"/>
        <v>INSERT INTO tblDayAttendanceLog VALUES (seqDayAttendanceLog.nextval, 16, TO_DATE('2025-08-05', 'YYYY-MM-DD'), TO_DATE('2025-08-05 09:13:00', 'YYYY-MM-DD HH24:MI:SS'), TO_DATE('2025-08-05 17:53:00', 'YYYY-MM-DD HH24:MI:SS'));</v>
      </c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</row>
    <row r="354">
      <c r="A354" s="25" t="s">
        <v>206</v>
      </c>
      <c r="B354" s="26">
        <v>17.0</v>
      </c>
      <c r="C354" s="27">
        <v>45874.0</v>
      </c>
      <c r="D354" s="28">
        <v>45874.37777777778</v>
      </c>
      <c r="E354" s="28">
        <v>45874.74722222222</v>
      </c>
      <c r="F354" s="21" t="s">
        <v>189</v>
      </c>
      <c r="G354" s="23"/>
      <c r="H354" s="23" t="str">
        <f t="shared" si="1"/>
        <v>INSERT INTO tblDayAttendanceLog VALUES (seqDayAttendanceLog.nextval, 17, TO_DATE('2025-08-05', 'YYYY-MM-DD'), TO_DATE('2025-08-05 09:04:00', 'YYYY-MM-DD HH24:MI:SS'), TO_DATE('2025-08-05 17:56:00', 'YYYY-MM-DD HH24:MI:SS'));</v>
      </c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</row>
    <row r="355">
      <c r="A355" s="25" t="s">
        <v>206</v>
      </c>
      <c r="B355" s="26">
        <v>18.0</v>
      </c>
      <c r="C355" s="27">
        <v>45874.0</v>
      </c>
      <c r="D355" s="28">
        <v>45874.40347222222</v>
      </c>
      <c r="E355" s="28">
        <v>45874.74930555555</v>
      </c>
      <c r="F355" s="21" t="s">
        <v>189</v>
      </c>
      <c r="G355" s="23"/>
      <c r="H355" s="23" t="str">
        <f t="shared" si="1"/>
        <v>INSERT INTO tblDayAttendanceLog VALUES (seqDayAttendanceLog.nextval, 18, TO_DATE('2025-08-05', 'YYYY-MM-DD'), TO_DATE('2025-08-05 09:41:00', 'YYYY-MM-DD HH24:MI:SS'), TO_DATE('2025-08-05 17:59:00', 'YYYY-MM-DD HH24:MI:SS'));</v>
      </c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</row>
    <row r="356">
      <c r="A356" s="25" t="s">
        <v>206</v>
      </c>
      <c r="B356" s="26">
        <v>19.0</v>
      </c>
      <c r="C356" s="27">
        <v>45874.0</v>
      </c>
      <c r="D356" s="28">
        <v>45874.381944444445</v>
      </c>
      <c r="E356" s="28">
        <v>45874.74444444444</v>
      </c>
      <c r="F356" s="21" t="s">
        <v>189</v>
      </c>
      <c r="G356" s="23"/>
      <c r="H356" s="23" t="str">
        <f t="shared" si="1"/>
        <v>INSERT INTO tblDayAttendanceLog VALUES (seqDayAttendanceLog.nextval, 19, TO_DATE('2025-08-05', 'YYYY-MM-DD'), TO_DATE('2025-08-05 09:10:00', 'YYYY-MM-DD HH24:MI:SS'), TO_DATE('2025-08-05 17:52:00', 'YYYY-MM-DD HH24:MI:SS'));</v>
      </c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</row>
    <row r="357">
      <c r="A357" s="25" t="s">
        <v>206</v>
      </c>
      <c r="B357" s="26">
        <v>20.0</v>
      </c>
      <c r="C357" s="27">
        <v>45874.0</v>
      </c>
      <c r="D357" s="28">
        <v>45874.353472222225</v>
      </c>
      <c r="E357" s="28">
        <v>45874.74375</v>
      </c>
      <c r="F357" s="21" t="s">
        <v>184</v>
      </c>
      <c r="G357" s="23"/>
      <c r="H357" s="23" t="str">
        <f t="shared" si="1"/>
        <v>INSERT INTO tblDayAttendanceLog VALUES (seqDayAttendanceLog.nextval, 20, TO_DATE('2025-08-05', 'YYYY-MM-DD'), TO_DATE('2025-08-05 08:29:00', 'YYYY-MM-DD HH24:MI:SS'), TO_DATE('2025-08-05 17:51:00', 'YYYY-MM-DD HH24:MI:SS'));</v>
      </c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</row>
    <row r="358">
      <c r="A358" s="25" t="s">
        <v>206</v>
      </c>
      <c r="B358" s="26">
        <v>21.0</v>
      </c>
      <c r="C358" s="27">
        <v>45874.0</v>
      </c>
      <c r="D358" s="28">
        <v>45874.373611111114</v>
      </c>
      <c r="E358" s="28">
        <v>45874.74375</v>
      </c>
      <c r="F358" s="21" t="s">
        <v>184</v>
      </c>
      <c r="G358" s="23"/>
      <c r="H358" s="23" t="str">
        <f t="shared" si="1"/>
        <v>INSERT INTO tblDayAttendanceLog VALUES (seqDayAttendanceLog.nextval, 21, TO_DATE('2025-08-05', 'YYYY-MM-DD'), TO_DATE('2025-08-05 08:58:00', 'YYYY-MM-DD HH24:MI:SS'), TO_DATE('2025-08-05 17:51:00', 'YYYY-MM-DD HH24:MI:SS'));</v>
      </c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</row>
    <row r="359">
      <c r="A359" s="25" t="s">
        <v>206</v>
      </c>
      <c r="B359" s="26">
        <v>22.0</v>
      </c>
      <c r="C359" s="27">
        <v>45874.0</v>
      </c>
      <c r="D359" s="28">
        <v>45874.34166666667</v>
      </c>
      <c r="E359" s="28">
        <v>45874.74513888889</v>
      </c>
      <c r="F359" s="21" t="s">
        <v>184</v>
      </c>
      <c r="G359" s="23"/>
      <c r="H359" s="23" t="str">
        <f t="shared" si="1"/>
        <v>INSERT INTO tblDayAttendanceLog VALUES (seqDayAttendanceLog.nextval, 22, TO_DATE('2025-08-05', 'YYYY-MM-DD'), TO_DATE('2025-08-05 08:12:00', 'YYYY-MM-DD HH24:MI:SS'), TO_DATE('2025-08-05 17:53:00', 'YYYY-MM-DD HH24:MI:SS'));</v>
      </c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</row>
    <row r="360">
      <c r="A360" s="25" t="s">
        <v>206</v>
      </c>
      <c r="B360" s="26">
        <v>23.0</v>
      </c>
      <c r="C360" s="27">
        <v>45874.0</v>
      </c>
      <c r="D360" s="28">
        <v>45874.38402777778</v>
      </c>
      <c r="E360" s="28">
        <v>45874.74791666667</v>
      </c>
      <c r="F360" s="21" t="s">
        <v>189</v>
      </c>
      <c r="G360" s="23"/>
      <c r="H360" s="23" t="str">
        <f t="shared" si="1"/>
        <v>INSERT INTO tblDayAttendanceLog VALUES (seqDayAttendanceLog.nextval, 23, TO_DATE('2025-08-05', 'YYYY-MM-DD'), TO_DATE('2025-08-05 09:13:00', 'YYYY-MM-DD HH24:MI:SS'), TO_DATE('2025-08-05 17:57:00', 'YYYY-MM-DD HH24:MI:SS'));</v>
      </c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</row>
    <row r="361">
      <c r="A361" s="25" t="s">
        <v>206</v>
      </c>
      <c r="B361" s="26">
        <v>24.0</v>
      </c>
      <c r="C361" s="27">
        <v>45874.0</v>
      </c>
      <c r="D361" s="28">
        <v>45874.41388888889</v>
      </c>
      <c r="E361" s="28">
        <v>45874.74930555555</v>
      </c>
      <c r="F361" s="21" t="s">
        <v>189</v>
      </c>
      <c r="G361" s="23"/>
      <c r="H361" s="23" t="str">
        <f t="shared" si="1"/>
        <v>INSERT INTO tblDayAttendanceLog VALUES (seqDayAttendanceLog.nextval, 24, TO_DATE('2025-08-05', 'YYYY-MM-DD'), TO_DATE('2025-08-05 09:56:00', 'YYYY-MM-DD HH24:MI:SS'), TO_DATE('2025-08-05 17:59:00', 'YYYY-MM-DD HH24:MI:SS'));</v>
      </c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</row>
    <row r="362">
      <c r="A362" s="25" t="s">
        <v>206</v>
      </c>
      <c r="B362" s="26">
        <v>25.0</v>
      </c>
      <c r="C362" s="27">
        <v>45874.0</v>
      </c>
      <c r="D362" s="28">
        <v>45874.36666666667</v>
      </c>
      <c r="E362" s="28">
        <v>45874.74513888889</v>
      </c>
      <c r="F362" s="21" t="s">
        <v>184</v>
      </c>
      <c r="G362" s="23"/>
      <c r="H362" s="23" t="str">
        <f t="shared" si="1"/>
        <v>INSERT INTO tblDayAttendanceLog VALUES (seqDayAttendanceLog.nextval, 25, TO_DATE('2025-08-05', 'YYYY-MM-DD'), TO_DATE('2025-08-05 08:48:00', 'YYYY-MM-DD HH24:MI:SS'), TO_DATE('2025-08-05 17:53:00', 'YYYY-MM-DD HH24:MI:SS'));</v>
      </c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</row>
    <row r="363">
      <c r="A363" s="25" t="s">
        <v>206</v>
      </c>
      <c r="B363" s="26">
        <v>26.0</v>
      </c>
      <c r="C363" s="27">
        <v>45874.0</v>
      </c>
      <c r="D363" s="28">
        <v>45874.34722222222</v>
      </c>
      <c r="E363" s="28">
        <v>45874.74444444444</v>
      </c>
      <c r="F363" s="21" t="s">
        <v>184</v>
      </c>
      <c r="G363" s="23"/>
      <c r="H363" s="23" t="str">
        <f t="shared" si="1"/>
        <v>INSERT INTO tblDayAttendanceLog VALUES (seqDayAttendanceLog.nextval, 26, TO_DATE('2025-08-05', 'YYYY-MM-DD'), TO_DATE('2025-08-05 08:20:00', 'YYYY-MM-DD HH24:MI:SS'), TO_DATE('2025-08-05 17:52:00', 'YYYY-MM-DD HH24:MI:SS'));</v>
      </c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</row>
    <row r="364">
      <c r="A364" s="25" t="s">
        <v>206</v>
      </c>
      <c r="B364" s="26">
        <v>27.0</v>
      </c>
      <c r="C364" s="27">
        <v>45874.0</v>
      </c>
      <c r="D364" s="28">
        <v>45874.34722222222</v>
      </c>
      <c r="E364" s="28">
        <v>45874.74375</v>
      </c>
      <c r="F364" s="21" t="s">
        <v>184</v>
      </c>
      <c r="G364" s="23"/>
      <c r="H364" s="23" t="str">
        <f t="shared" si="1"/>
        <v>INSERT INTO tblDayAttendanceLog VALUES (seqDayAttendanceLog.nextval, 27, TO_DATE('2025-08-05', 'YYYY-MM-DD'), TO_DATE('2025-08-05 08:20:00', 'YYYY-MM-DD HH24:MI:SS'), TO_DATE('2025-08-05 17:51:00', 'YYYY-MM-DD HH24:MI:SS'));</v>
      </c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</row>
    <row r="365">
      <c r="A365" s="25" t="s">
        <v>206</v>
      </c>
      <c r="B365" s="26">
        <v>28.0</v>
      </c>
      <c r="C365" s="27">
        <v>45874.0</v>
      </c>
      <c r="D365" s="28">
        <v>45874.34027777778</v>
      </c>
      <c r="E365" s="28">
        <v>45874.748611111114</v>
      </c>
      <c r="F365" s="21" t="s">
        <v>184</v>
      </c>
      <c r="G365" s="23"/>
      <c r="H365" s="23" t="str">
        <f t="shared" si="1"/>
        <v>INSERT INTO tblDayAttendanceLog VALUES (seqDayAttendanceLog.nextval, 28, TO_DATE('2025-08-05', 'YYYY-MM-DD'), TO_DATE('2025-08-05 08:10:00', 'YYYY-MM-DD HH24:MI:SS'), TO_DATE('2025-08-05 17:58:00', 'YYYY-MM-DD HH24:MI:SS'));</v>
      </c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</row>
    <row r="366">
      <c r="A366" s="25" t="s">
        <v>206</v>
      </c>
      <c r="B366" s="26">
        <v>29.0</v>
      </c>
      <c r="C366" s="27">
        <v>45874.0</v>
      </c>
      <c r="D366" s="28">
        <v>45874.39722222222</v>
      </c>
      <c r="E366" s="28">
        <v>45874.745833333334</v>
      </c>
      <c r="F366" s="21" t="s">
        <v>189</v>
      </c>
      <c r="G366" s="23"/>
      <c r="H366" s="23" t="str">
        <f t="shared" si="1"/>
        <v>INSERT INTO tblDayAttendanceLog VALUES (seqDayAttendanceLog.nextval, 29, TO_DATE('2025-08-05', 'YYYY-MM-DD'), TO_DATE('2025-08-05 09:32:00', 'YYYY-MM-DD HH24:MI:SS'), TO_DATE('2025-08-05 17:54:00', 'YYYY-MM-DD HH24:MI:SS'));</v>
      </c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</row>
    <row r="367">
      <c r="A367" s="25" t="s">
        <v>206</v>
      </c>
      <c r="B367" s="26">
        <v>30.0</v>
      </c>
      <c r="C367" s="27">
        <v>45874.0</v>
      </c>
      <c r="D367" s="28">
        <v>45874.353472222225</v>
      </c>
      <c r="E367" s="28">
        <v>45874.74930555555</v>
      </c>
      <c r="F367" s="21" t="s">
        <v>184</v>
      </c>
      <c r="G367" s="23"/>
      <c r="H367" s="23" t="str">
        <f t="shared" si="1"/>
        <v>INSERT INTO tblDayAttendanceLog VALUES (seqDayAttendanceLog.nextval, 30, TO_DATE('2025-08-05', 'YYYY-MM-DD'), TO_DATE('2025-08-05 08:29:00', 'YYYY-MM-DD HH24:MI:SS'), TO_DATE('2025-08-05 17:59:00', 'YYYY-MM-DD HH24:MI:SS'));</v>
      </c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</row>
    <row r="368">
      <c r="A368" s="25" t="s">
        <v>206</v>
      </c>
      <c r="B368" s="26">
        <v>31.0</v>
      </c>
      <c r="C368" s="27">
        <v>45874.0</v>
      </c>
      <c r="D368" s="28">
        <v>45874.39027777778</v>
      </c>
      <c r="E368" s="28">
        <v>45874.74444444444</v>
      </c>
      <c r="F368" s="21" t="s">
        <v>189</v>
      </c>
      <c r="G368" s="23"/>
      <c r="H368" s="23" t="str">
        <f t="shared" si="1"/>
        <v>INSERT INTO tblDayAttendanceLog VALUES (seqDayAttendanceLog.nextval, 31, TO_DATE('2025-08-05', 'YYYY-MM-DD'), TO_DATE('2025-08-05 09:22:00', 'YYYY-MM-DD HH24:MI:SS'), TO_DATE('2025-08-05 17:52:00', 'YYYY-MM-DD HH24:MI:SS'));</v>
      </c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</row>
    <row r="369">
      <c r="A369" s="25" t="s">
        <v>206</v>
      </c>
      <c r="B369" s="26">
        <v>32.0</v>
      </c>
      <c r="C369" s="27">
        <v>45874.0</v>
      </c>
      <c r="D369" s="28">
        <v>45874.40625</v>
      </c>
      <c r="E369" s="28">
        <v>45874.74930555555</v>
      </c>
      <c r="F369" s="21" t="s">
        <v>189</v>
      </c>
      <c r="G369" s="23"/>
      <c r="H369" s="23" t="str">
        <f t="shared" si="1"/>
        <v>INSERT INTO tblDayAttendanceLog VALUES (seqDayAttendanceLog.nextval, 32, TO_DATE('2025-08-05', 'YYYY-MM-DD'), TO_DATE('2025-08-05 09:45:00', 'YYYY-MM-DD HH24:MI:SS'), TO_DATE('2025-08-05 17:59:00', 'YYYY-MM-DD HH24:MI:SS'));</v>
      </c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</row>
    <row r="370">
      <c r="A370" s="25" t="s">
        <v>206</v>
      </c>
      <c r="B370" s="26">
        <v>33.0</v>
      </c>
      <c r="C370" s="27">
        <v>45874.0</v>
      </c>
      <c r="D370" s="28">
        <v>45874.3625</v>
      </c>
      <c r="E370" s="28">
        <v>45874.74444444444</v>
      </c>
      <c r="F370" s="21" t="s">
        <v>184</v>
      </c>
      <c r="G370" s="23"/>
      <c r="H370" s="23" t="str">
        <f t="shared" si="1"/>
        <v>INSERT INTO tblDayAttendanceLog VALUES (seqDayAttendanceLog.nextval, 33, TO_DATE('2025-08-05', 'YYYY-MM-DD'), TO_DATE('2025-08-05 08:42:00', 'YYYY-MM-DD HH24:MI:SS'), TO_DATE('2025-08-05 17:52:00', 'YYYY-MM-DD HH24:MI:SS'));</v>
      </c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</row>
    <row r="371">
      <c r="A371" s="25" t="s">
        <v>206</v>
      </c>
      <c r="B371" s="26">
        <v>34.0</v>
      </c>
      <c r="C371" s="27">
        <v>45874.0</v>
      </c>
      <c r="D371" s="28">
        <v>45874.39444444444</v>
      </c>
      <c r="E371" s="28">
        <v>45874.74513888889</v>
      </c>
      <c r="F371" s="21" t="s">
        <v>189</v>
      </c>
      <c r="G371" s="23"/>
      <c r="H371" s="23" t="str">
        <f t="shared" si="1"/>
        <v>INSERT INTO tblDayAttendanceLog VALUES (seqDayAttendanceLog.nextval, 34, TO_DATE('2025-08-05', 'YYYY-MM-DD'), TO_DATE('2025-08-05 09:28:00', 'YYYY-MM-DD HH24:MI:SS'), TO_DATE('2025-08-05 17:53:00', 'YYYY-MM-DD HH24:MI:SS'));</v>
      </c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</row>
    <row r="372">
      <c r="A372" s="25" t="s">
        <v>206</v>
      </c>
      <c r="B372" s="26">
        <v>35.0</v>
      </c>
      <c r="C372" s="27">
        <v>45874.0</v>
      </c>
      <c r="D372" s="28">
        <v>45874.39791666667</v>
      </c>
      <c r="E372" s="28">
        <v>45874.748611111114</v>
      </c>
      <c r="F372" s="21" t="s">
        <v>189</v>
      </c>
      <c r="G372" s="23"/>
      <c r="H372" s="23" t="str">
        <f t="shared" si="1"/>
        <v>INSERT INTO tblDayAttendanceLog VALUES (seqDayAttendanceLog.nextval, 35, TO_DATE('2025-08-05', 'YYYY-MM-DD'), TO_DATE('2025-08-05 09:33:00', 'YYYY-MM-DD HH24:MI:SS'), TO_DATE('2025-08-05 17:58:00', 'YYYY-MM-DD HH24:MI:SS'));</v>
      </c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</row>
    <row r="373">
      <c r="A373" s="25" t="s">
        <v>206</v>
      </c>
      <c r="B373" s="26">
        <v>36.0</v>
      </c>
      <c r="C373" s="27">
        <v>45874.0</v>
      </c>
      <c r="D373" s="28">
        <v>45874.40347222222</v>
      </c>
      <c r="E373" s="28">
        <v>45874.74375</v>
      </c>
      <c r="F373" s="21" t="s">
        <v>189</v>
      </c>
      <c r="G373" s="23"/>
      <c r="H373" s="23" t="str">
        <f t="shared" si="1"/>
        <v>INSERT INTO tblDayAttendanceLog VALUES (seqDayAttendanceLog.nextval, 36, TO_DATE('2025-08-05', 'YYYY-MM-DD'), TO_DATE('2025-08-05 09:41:00', 'YYYY-MM-DD HH24:MI:SS'), TO_DATE('2025-08-05 17:51:00', 'YYYY-MM-DD HH24:MI:SS'));</v>
      </c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</row>
    <row r="374">
      <c r="A374" s="25" t="s">
        <v>206</v>
      </c>
      <c r="B374" s="26">
        <v>37.0</v>
      </c>
      <c r="C374" s="27">
        <v>45874.0</v>
      </c>
      <c r="D374" s="28">
        <v>45874.3625</v>
      </c>
      <c r="E374" s="28">
        <v>45874.74513888889</v>
      </c>
      <c r="F374" s="21" t="s">
        <v>184</v>
      </c>
      <c r="G374" s="23"/>
      <c r="H374" s="23" t="str">
        <f t="shared" si="1"/>
        <v>INSERT INTO tblDayAttendanceLog VALUES (seqDayAttendanceLog.nextval, 37, TO_DATE('2025-08-05', 'YYYY-MM-DD'), TO_DATE('2025-08-05 08:42:00', 'YYYY-MM-DD HH24:MI:SS'), TO_DATE('2025-08-05 17:53:00', 'YYYY-MM-DD HH24:MI:SS'));</v>
      </c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</row>
    <row r="375">
      <c r="A375" s="25" t="s">
        <v>206</v>
      </c>
      <c r="B375" s="26">
        <v>38.0</v>
      </c>
      <c r="C375" s="27">
        <v>45874.0</v>
      </c>
      <c r="D375" s="28">
        <v>45874.39513888889</v>
      </c>
      <c r="E375" s="28">
        <v>45874.74375</v>
      </c>
      <c r="F375" s="21" t="s">
        <v>189</v>
      </c>
      <c r="G375" s="23"/>
      <c r="H375" s="23" t="str">
        <f t="shared" si="1"/>
        <v>INSERT INTO tblDayAttendanceLog VALUES (seqDayAttendanceLog.nextval, 38, TO_DATE('2025-08-05', 'YYYY-MM-DD'), TO_DATE('2025-08-05 09:29:00', 'YYYY-MM-DD HH24:MI:SS'), TO_DATE('2025-08-05 17:51:00', 'YYYY-MM-DD HH24:MI:SS'));</v>
      </c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</row>
    <row r="376">
      <c r="A376" s="25" t="s">
        <v>206</v>
      </c>
      <c r="B376" s="26">
        <v>39.0</v>
      </c>
      <c r="C376" s="27">
        <v>45874.0</v>
      </c>
      <c r="D376" s="28">
        <v>45874.376388888886</v>
      </c>
      <c r="E376" s="28">
        <v>45874.74513888889</v>
      </c>
      <c r="F376" s="21" t="s">
        <v>189</v>
      </c>
      <c r="G376" s="23"/>
      <c r="H376" s="23" t="str">
        <f t="shared" si="1"/>
        <v>INSERT INTO tblDayAttendanceLog VALUES (seqDayAttendanceLog.nextval, 39, TO_DATE('2025-08-05', 'YYYY-MM-DD'), TO_DATE('2025-08-05 09:02:00', 'YYYY-MM-DD HH24:MI:SS'), TO_DATE('2025-08-05 17:53:00', 'YYYY-MM-DD HH24:MI:SS'));</v>
      </c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</row>
    <row r="377">
      <c r="A377" s="25" t="s">
        <v>206</v>
      </c>
      <c r="B377" s="26">
        <v>40.0</v>
      </c>
      <c r="C377" s="27">
        <v>45874.0</v>
      </c>
      <c r="D377" s="28">
        <v>45874.33888888889</v>
      </c>
      <c r="E377" s="28">
        <v>45874.74444444444</v>
      </c>
      <c r="F377" s="21" t="s">
        <v>184</v>
      </c>
      <c r="G377" s="23"/>
      <c r="H377" s="23" t="str">
        <f t="shared" si="1"/>
        <v>INSERT INTO tblDayAttendanceLog VALUES (seqDayAttendanceLog.nextval, 40, TO_DATE('2025-08-05', 'YYYY-MM-DD'), TO_DATE('2025-08-05 08:08:00', 'YYYY-MM-DD HH24:MI:SS'), TO_DATE('2025-08-05 17:52:00', 'YYYY-MM-DD HH24:MI:SS'));</v>
      </c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</row>
    <row r="378">
      <c r="A378" s="25" t="s">
        <v>206</v>
      </c>
      <c r="B378" s="26">
        <v>41.0</v>
      </c>
      <c r="C378" s="27">
        <v>45874.0</v>
      </c>
      <c r="D378" s="28">
        <v>45874.34166666667</v>
      </c>
      <c r="E378" s="28">
        <v>45874.74375</v>
      </c>
      <c r="F378" s="21" t="s">
        <v>184</v>
      </c>
      <c r="G378" s="23"/>
      <c r="H378" s="23" t="str">
        <f t="shared" si="1"/>
        <v>INSERT INTO tblDayAttendanceLog VALUES (seqDayAttendanceLog.nextval, 41, TO_DATE('2025-08-05', 'YYYY-MM-DD'), TO_DATE('2025-08-05 08:12:00', 'YYYY-MM-DD HH24:MI:SS'), TO_DATE('2025-08-05 17:51:00', 'YYYY-MM-DD HH24:MI:SS'));</v>
      </c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</row>
    <row r="379">
      <c r="A379" s="25" t="s">
        <v>206</v>
      </c>
      <c r="B379" s="26">
        <v>42.0</v>
      </c>
      <c r="C379" s="27">
        <v>45874.0</v>
      </c>
      <c r="D379" s="28">
        <v>45874.38888888889</v>
      </c>
      <c r="E379" s="28">
        <v>45874.74930555555</v>
      </c>
      <c r="F379" s="21" t="s">
        <v>189</v>
      </c>
      <c r="G379" s="23"/>
      <c r="H379" s="23" t="str">
        <f t="shared" si="1"/>
        <v>INSERT INTO tblDayAttendanceLog VALUES (seqDayAttendanceLog.nextval, 42, TO_DATE('2025-08-05', 'YYYY-MM-DD'), TO_DATE('2025-08-05 09:20:00', 'YYYY-MM-DD HH24:MI:SS'), TO_DATE('2025-08-05 17:59:00', 'YYYY-MM-DD HH24:MI:SS'));</v>
      </c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</row>
    <row r="380">
      <c r="A380" s="25" t="s">
        <v>206</v>
      </c>
      <c r="B380" s="26">
        <v>43.0</v>
      </c>
      <c r="C380" s="27">
        <v>45874.0</v>
      </c>
      <c r="D380" s="28">
        <v>45874.34166666667</v>
      </c>
      <c r="E380" s="28">
        <v>45874.74444444444</v>
      </c>
      <c r="F380" s="21" t="s">
        <v>184</v>
      </c>
      <c r="G380" s="23"/>
      <c r="H380" s="23" t="str">
        <f t="shared" si="1"/>
        <v>INSERT INTO tblDayAttendanceLog VALUES (seqDayAttendanceLog.nextval, 43, TO_DATE('2025-08-05', 'YYYY-MM-DD'), TO_DATE('2025-08-05 08:12:00', 'YYYY-MM-DD HH24:MI:SS'), TO_DATE('2025-08-05 17:52:00', 'YYYY-MM-DD HH24:MI:SS'));</v>
      </c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</row>
    <row r="381">
      <c r="A381" s="25" t="s">
        <v>206</v>
      </c>
      <c r="B381" s="26">
        <v>44.0</v>
      </c>
      <c r="C381" s="27">
        <v>45874.0</v>
      </c>
      <c r="D381" s="28">
        <v>45874.38611111111</v>
      </c>
      <c r="E381" s="28">
        <v>45874.74375</v>
      </c>
      <c r="F381" s="21" t="s">
        <v>189</v>
      </c>
      <c r="G381" s="23"/>
      <c r="H381" s="23" t="str">
        <f t="shared" si="1"/>
        <v>INSERT INTO tblDayAttendanceLog VALUES (seqDayAttendanceLog.nextval, 44, TO_DATE('2025-08-05', 'YYYY-MM-DD'), TO_DATE('2025-08-05 09:16:00', 'YYYY-MM-DD HH24:MI:SS'), TO_DATE('2025-08-05 17:51:00', 'YYYY-MM-DD HH24:MI:SS'));</v>
      </c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</row>
    <row r="382">
      <c r="A382" s="25" t="s">
        <v>206</v>
      </c>
      <c r="B382" s="26">
        <v>45.0</v>
      </c>
      <c r="C382" s="27">
        <v>45874.0</v>
      </c>
      <c r="D382" s="28">
        <v>45874.41527777778</v>
      </c>
      <c r="E382" s="28">
        <v>45874.748611111114</v>
      </c>
      <c r="F382" s="21" t="s">
        <v>189</v>
      </c>
      <c r="G382" s="23"/>
      <c r="H382" s="23" t="str">
        <f t="shared" si="1"/>
        <v>INSERT INTO tblDayAttendanceLog VALUES (seqDayAttendanceLog.nextval, 45, TO_DATE('2025-08-05', 'YYYY-MM-DD'), TO_DATE('2025-08-05 09:58:00', 'YYYY-MM-DD HH24:MI:SS'), TO_DATE('2025-08-05 17:58:00', 'YYYY-MM-DD HH24:MI:SS'));</v>
      </c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</row>
    <row r="383">
      <c r="A383" s="25" t="s">
        <v>206</v>
      </c>
      <c r="B383" s="26">
        <v>46.0</v>
      </c>
      <c r="C383" s="27">
        <v>45874.0</v>
      </c>
      <c r="D383" s="28">
        <v>45874.35208333333</v>
      </c>
      <c r="E383" s="28">
        <v>45874.745833333334</v>
      </c>
      <c r="F383" s="21" t="s">
        <v>184</v>
      </c>
      <c r="G383" s="23"/>
      <c r="H383" s="23" t="str">
        <f t="shared" si="1"/>
        <v>INSERT INTO tblDayAttendanceLog VALUES (seqDayAttendanceLog.nextval, 46, TO_DATE('2025-08-05', 'YYYY-MM-DD'), TO_DATE('2025-08-05 08:27:00', 'YYYY-MM-DD HH24:MI:SS'), TO_DATE('2025-08-05 17:54:00', 'YYYY-MM-DD HH24:MI:SS'));</v>
      </c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</row>
    <row r="384">
      <c r="A384" s="25" t="s">
        <v>206</v>
      </c>
      <c r="B384" s="26">
        <v>47.0</v>
      </c>
      <c r="C384" s="27">
        <v>45874.0</v>
      </c>
      <c r="D384" s="28">
        <v>45874.41180555556</v>
      </c>
      <c r="E384" s="28">
        <v>45874.74375</v>
      </c>
      <c r="F384" s="21" t="s">
        <v>189</v>
      </c>
      <c r="G384" s="23"/>
      <c r="H384" s="23" t="str">
        <f t="shared" si="1"/>
        <v>INSERT INTO tblDayAttendanceLog VALUES (seqDayAttendanceLog.nextval, 47, TO_DATE('2025-08-05', 'YYYY-MM-DD'), TO_DATE('2025-08-05 09:53:00', 'YYYY-MM-DD HH24:MI:SS'), TO_DATE('2025-08-05 17:51:00', 'YYYY-MM-DD HH24:MI:SS'));</v>
      </c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</row>
    <row r="385">
      <c r="A385" s="25" t="s">
        <v>206</v>
      </c>
      <c r="B385" s="26">
        <v>48.0</v>
      </c>
      <c r="C385" s="27">
        <v>45874.0</v>
      </c>
      <c r="D385" s="28">
        <v>45874.396527777775</v>
      </c>
      <c r="E385" s="28">
        <v>45874.743055555555</v>
      </c>
      <c r="F385" s="21" t="s">
        <v>189</v>
      </c>
      <c r="G385" s="23"/>
      <c r="H385" s="23" t="str">
        <f t="shared" si="1"/>
        <v>INSERT INTO tblDayAttendanceLog VALUES (seqDayAttendanceLog.nextval, 48, TO_DATE('2025-08-05', 'YYYY-MM-DD'), TO_DATE('2025-08-05 09:31:00', 'YYYY-MM-DD HH24:MI:SS'), TO_DATE('2025-08-05 17:50:00', 'YYYY-MM-DD HH24:MI:SS'));</v>
      </c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</row>
    <row r="386">
      <c r="A386" s="25" t="s">
        <v>206</v>
      </c>
      <c r="B386" s="26">
        <v>49.0</v>
      </c>
      <c r="C386" s="27">
        <v>45874.0</v>
      </c>
      <c r="D386" s="28">
        <v>45874.34861111111</v>
      </c>
      <c r="E386" s="28">
        <v>45874.74375</v>
      </c>
      <c r="F386" s="21" t="s">
        <v>184</v>
      </c>
      <c r="G386" s="23"/>
      <c r="H386" s="23" t="str">
        <f t="shared" si="1"/>
        <v>INSERT INTO tblDayAttendanceLog VALUES (seqDayAttendanceLog.nextval, 49, TO_DATE('2025-08-05', 'YYYY-MM-DD'), TO_DATE('2025-08-05 08:22:00', 'YYYY-MM-DD HH24:MI:SS'), TO_DATE('2025-08-05 17:51:00', 'YYYY-MM-DD HH24:MI:SS'));</v>
      </c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</row>
    <row r="387">
      <c r="A387" s="25" t="s">
        <v>206</v>
      </c>
      <c r="B387" s="26">
        <v>50.0</v>
      </c>
      <c r="C387" s="27">
        <v>45874.0</v>
      </c>
      <c r="D387" s="28">
        <v>45874.415972222225</v>
      </c>
      <c r="E387" s="28">
        <v>45874.74513888889</v>
      </c>
      <c r="F387" s="21" t="s">
        <v>189</v>
      </c>
      <c r="G387" s="23"/>
      <c r="H387" s="23" t="str">
        <f t="shared" si="1"/>
        <v>INSERT INTO tblDayAttendanceLog VALUES (seqDayAttendanceLog.nextval, 50, TO_DATE('2025-08-05', 'YYYY-MM-DD'), TO_DATE('2025-08-05 09:59:00', 'YYYY-MM-DD HH24:MI:SS'), TO_DATE('2025-08-05 17:53:00', 'YYYY-MM-DD HH24:MI:SS'));</v>
      </c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</row>
    <row r="388">
      <c r="A388" s="25" t="s">
        <v>206</v>
      </c>
      <c r="B388" s="26">
        <v>51.0</v>
      </c>
      <c r="C388" s="27">
        <v>45874.0</v>
      </c>
      <c r="D388" s="28">
        <v>45874.385416666664</v>
      </c>
      <c r="E388" s="28">
        <v>45874.74722222222</v>
      </c>
      <c r="F388" s="21" t="s">
        <v>189</v>
      </c>
      <c r="G388" s="23"/>
      <c r="H388" s="23" t="str">
        <f t="shared" si="1"/>
        <v>INSERT INTO tblDayAttendanceLog VALUES (seqDayAttendanceLog.nextval, 51, TO_DATE('2025-08-05', 'YYYY-MM-DD'), TO_DATE('2025-08-05 09:15:00', 'YYYY-MM-DD HH24:MI:SS'), TO_DATE('2025-08-05 17:56:00', 'YYYY-MM-DD HH24:MI:SS'));</v>
      </c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</row>
    <row r="389">
      <c r="A389" s="25" t="s">
        <v>206</v>
      </c>
      <c r="B389" s="26">
        <v>52.0</v>
      </c>
      <c r="C389" s="27">
        <v>45874.0</v>
      </c>
      <c r="D389" s="28">
        <v>45874.413194444445</v>
      </c>
      <c r="E389" s="28">
        <v>45874.743055555555</v>
      </c>
      <c r="F389" s="21" t="s">
        <v>189</v>
      </c>
      <c r="G389" s="23"/>
      <c r="H389" s="23" t="str">
        <f t="shared" si="1"/>
        <v>INSERT INTO tblDayAttendanceLog VALUES (seqDayAttendanceLog.nextval, 52, TO_DATE('2025-08-05', 'YYYY-MM-DD'), TO_DATE('2025-08-05 09:55:00', 'YYYY-MM-DD HH24:MI:SS'), TO_DATE('2025-08-05 17:50:00', 'YYYY-MM-DD HH24:MI:SS'));</v>
      </c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</row>
    <row r="390">
      <c r="A390" s="25" t="s">
        <v>206</v>
      </c>
      <c r="B390" s="26">
        <v>53.0</v>
      </c>
      <c r="C390" s="27">
        <v>45874.0</v>
      </c>
      <c r="D390" s="29"/>
      <c r="E390" s="29"/>
      <c r="F390" s="21" t="s">
        <v>186</v>
      </c>
      <c r="G390" s="23"/>
      <c r="H390" s="23" t="str">
        <f t="shared" si="1"/>
        <v>INSERT INTO tblDayAttendanceLog VALUES (seqDayAttendanceLog.nextval, 53, TO_DATE('2025-08-05', 'YYYY-MM-DD'), NULL, NULL);</v>
      </c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</row>
    <row r="391">
      <c r="A391" s="25" t="s">
        <v>206</v>
      </c>
      <c r="B391" s="26">
        <v>54.0</v>
      </c>
      <c r="C391" s="27">
        <v>45874.0</v>
      </c>
      <c r="D391" s="28">
        <v>45874.373611111114</v>
      </c>
      <c r="E391" s="28">
        <v>45874.74930555555</v>
      </c>
      <c r="F391" s="21" t="s">
        <v>184</v>
      </c>
      <c r="G391" s="23"/>
      <c r="H391" s="23" t="str">
        <f t="shared" si="1"/>
        <v>INSERT INTO tblDayAttendanceLog VALUES (seqDayAttendanceLog.nextval, 54, TO_DATE('2025-08-05', 'YYYY-MM-DD'), TO_DATE('2025-08-05 08:58:00', 'YYYY-MM-DD HH24:MI:SS'), TO_DATE('2025-08-05 17:59:00', 'YYYY-MM-DD HH24:MI:SS'));</v>
      </c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</row>
    <row r="392">
      <c r="A392" s="25" t="s">
        <v>206</v>
      </c>
      <c r="B392" s="26">
        <v>55.0</v>
      </c>
      <c r="C392" s="27">
        <v>45874.0</v>
      </c>
      <c r="D392" s="28">
        <v>45874.34861111111</v>
      </c>
      <c r="E392" s="28">
        <v>45874.74375</v>
      </c>
      <c r="F392" s="21" t="s">
        <v>184</v>
      </c>
      <c r="G392" s="23"/>
      <c r="H392" s="23" t="str">
        <f t="shared" si="1"/>
        <v>INSERT INTO tblDayAttendanceLog VALUES (seqDayAttendanceLog.nextval, 55, TO_DATE('2025-08-05', 'YYYY-MM-DD'), TO_DATE('2025-08-05 08:22:00', 'YYYY-MM-DD HH24:MI:SS'), TO_DATE('2025-08-05 17:51:00', 'YYYY-MM-DD HH24:MI:SS'));</v>
      </c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</row>
    <row r="393">
      <c r="A393" s="25" t="s">
        <v>206</v>
      </c>
      <c r="B393" s="26">
        <v>56.0</v>
      </c>
      <c r="C393" s="27">
        <v>45874.0</v>
      </c>
      <c r="D393" s="28">
        <v>45874.33611111111</v>
      </c>
      <c r="E393" s="28">
        <v>45874.74652777778</v>
      </c>
      <c r="F393" s="21" t="s">
        <v>184</v>
      </c>
      <c r="G393" s="23"/>
      <c r="H393" s="23" t="str">
        <f t="shared" si="1"/>
        <v>INSERT INTO tblDayAttendanceLog VALUES (seqDayAttendanceLog.nextval, 56, TO_DATE('2025-08-05', 'YYYY-MM-DD'), TO_DATE('2025-08-05 08:04:00', 'YYYY-MM-DD HH24:MI:SS'), TO_DATE('2025-08-05 17:55:00', 'YYYY-MM-DD HH24:MI:SS'));</v>
      </c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</row>
    <row r="394">
      <c r="A394" s="25" t="s">
        <v>206</v>
      </c>
      <c r="B394" s="26">
        <v>57.0</v>
      </c>
      <c r="C394" s="27">
        <v>45874.0</v>
      </c>
      <c r="D394" s="28">
        <v>45874.38611111111</v>
      </c>
      <c r="E394" s="28">
        <v>45874.74375</v>
      </c>
      <c r="F394" s="21" t="s">
        <v>189</v>
      </c>
      <c r="G394" s="23"/>
      <c r="H394" s="23" t="str">
        <f t="shared" si="1"/>
        <v>INSERT INTO tblDayAttendanceLog VALUES (seqDayAttendanceLog.nextval, 57, TO_DATE('2025-08-05', 'YYYY-MM-DD'), TO_DATE('2025-08-05 09:16:00', 'YYYY-MM-DD HH24:MI:SS'), TO_DATE('2025-08-05 17:51:00', 'YYYY-MM-DD HH24:MI:SS'));</v>
      </c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</row>
    <row r="395">
      <c r="A395" s="25" t="s">
        <v>206</v>
      </c>
      <c r="B395" s="26">
        <v>58.0</v>
      </c>
      <c r="C395" s="27">
        <v>45874.0</v>
      </c>
      <c r="D395" s="28">
        <v>45874.404861111114</v>
      </c>
      <c r="E395" s="28">
        <v>45874.74722222222</v>
      </c>
      <c r="F395" s="21" t="s">
        <v>189</v>
      </c>
      <c r="G395" s="23"/>
      <c r="H395" s="23" t="str">
        <f t="shared" si="1"/>
        <v>INSERT INTO tblDayAttendanceLog VALUES (seqDayAttendanceLog.nextval, 58, TO_DATE('2025-08-05', 'YYYY-MM-DD'), TO_DATE('2025-08-05 09:43:00', 'YYYY-MM-DD HH24:MI:SS'), TO_DATE('2025-08-05 17:56:00', 'YYYY-MM-DD HH24:MI:SS'));</v>
      </c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</row>
    <row r="396">
      <c r="A396" s="25" t="s">
        <v>206</v>
      </c>
      <c r="B396" s="26">
        <v>59.0</v>
      </c>
      <c r="C396" s="27">
        <v>45874.0</v>
      </c>
      <c r="D396" s="28">
        <v>45874.41527777778</v>
      </c>
      <c r="E396" s="28">
        <v>45874.748611111114</v>
      </c>
      <c r="F396" s="21" t="s">
        <v>189</v>
      </c>
      <c r="G396" s="23"/>
      <c r="H396" s="23" t="str">
        <f t="shared" si="1"/>
        <v>INSERT INTO tblDayAttendanceLog VALUES (seqDayAttendanceLog.nextval, 59, TO_DATE('2025-08-05', 'YYYY-MM-DD'), TO_DATE('2025-08-05 09:58:00', 'YYYY-MM-DD HH24:MI:SS'), TO_DATE('2025-08-05 17:58:00', 'YYYY-MM-DD HH24:MI:SS'));</v>
      </c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</row>
    <row r="397">
      <c r="A397" s="25" t="s">
        <v>206</v>
      </c>
      <c r="B397" s="26">
        <v>60.0</v>
      </c>
      <c r="C397" s="27">
        <v>45874.0</v>
      </c>
      <c r="D397" s="28">
        <v>45874.415972222225</v>
      </c>
      <c r="E397" s="28">
        <v>45874.74652777778</v>
      </c>
      <c r="F397" s="21" t="s">
        <v>189</v>
      </c>
      <c r="G397" s="23"/>
      <c r="H397" s="23" t="str">
        <f t="shared" si="1"/>
        <v>INSERT INTO tblDayAttendanceLog VALUES (seqDayAttendanceLog.nextval, 60, TO_DATE('2025-08-05', 'YYYY-MM-DD'), TO_DATE('2025-08-05 09:59:00', 'YYYY-MM-DD HH24:MI:SS'), TO_DATE('2025-08-05 17:55:00', 'YYYY-MM-DD HH24:MI:SS'));</v>
      </c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</row>
    <row r="398">
      <c r="A398" s="25" t="s">
        <v>206</v>
      </c>
      <c r="B398" s="26">
        <v>61.0</v>
      </c>
      <c r="C398" s="27">
        <v>45874.0</v>
      </c>
      <c r="D398" s="28">
        <v>45874.34583333333</v>
      </c>
      <c r="E398" s="28">
        <v>45874.74722222222</v>
      </c>
      <c r="F398" s="21" t="s">
        <v>184</v>
      </c>
      <c r="G398" s="23"/>
      <c r="H398" s="23" t="str">
        <f t="shared" si="1"/>
        <v>INSERT INTO tblDayAttendanceLog VALUES (seqDayAttendanceLog.nextval, 61, TO_DATE('2025-08-05', 'YYYY-MM-DD'), TO_DATE('2025-08-05 08:18:00', 'YYYY-MM-DD HH24:MI:SS'), TO_DATE('2025-08-05 17:56:00', 'YYYY-MM-DD HH24:MI:SS'));</v>
      </c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</row>
    <row r="399">
      <c r="A399" s="25" t="s">
        <v>206</v>
      </c>
      <c r="B399" s="26">
        <v>62.0</v>
      </c>
      <c r="C399" s="27">
        <v>45874.0</v>
      </c>
      <c r="D399" s="28">
        <v>45874.34722222222</v>
      </c>
      <c r="E399" s="28">
        <v>45874.748611111114</v>
      </c>
      <c r="F399" s="21" t="s">
        <v>184</v>
      </c>
      <c r="G399" s="23"/>
      <c r="H399" s="23" t="str">
        <f t="shared" si="1"/>
        <v>INSERT INTO tblDayAttendanceLog VALUES (seqDayAttendanceLog.nextval, 62, TO_DATE('2025-08-05', 'YYYY-MM-DD'), TO_DATE('2025-08-05 08:20:00', 'YYYY-MM-DD HH24:MI:SS'), TO_DATE('2025-08-05 17:58:00', 'YYYY-MM-DD HH24:MI:SS'));</v>
      </c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</row>
    <row r="400">
      <c r="A400" s="25" t="s">
        <v>206</v>
      </c>
      <c r="B400" s="26">
        <v>63.0</v>
      </c>
      <c r="C400" s="27">
        <v>45874.0</v>
      </c>
      <c r="D400" s="28">
        <v>45874.3375</v>
      </c>
      <c r="E400" s="28">
        <v>45874.74652777778</v>
      </c>
      <c r="F400" s="21" t="s">
        <v>184</v>
      </c>
      <c r="G400" s="23"/>
      <c r="H400" s="23" t="str">
        <f t="shared" si="1"/>
        <v>INSERT INTO tblDayAttendanceLog VALUES (seqDayAttendanceLog.nextval, 63, TO_DATE('2025-08-05', 'YYYY-MM-DD'), TO_DATE('2025-08-05 08:06:00', 'YYYY-MM-DD HH24:MI:SS'), TO_DATE('2025-08-05 17:55:00', 'YYYY-MM-DD HH24:MI:SS'));</v>
      </c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</row>
    <row r="401">
      <c r="A401" s="25" t="s">
        <v>206</v>
      </c>
      <c r="B401" s="26">
        <v>64.0</v>
      </c>
      <c r="C401" s="27">
        <v>45874.0</v>
      </c>
      <c r="D401" s="28">
        <v>45874.393055555556</v>
      </c>
      <c r="E401" s="28">
        <v>45874.748611111114</v>
      </c>
      <c r="F401" s="21" t="s">
        <v>189</v>
      </c>
      <c r="G401" s="23"/>
      <c r="H401" s="23" t="str">
        <f t="shared" si="1"/>
        <v>INSERT INTO tblDayAttendanceLog VALUES (seqDayAttendanceLog.nextval, 64, TO_DATE('2025-08-05', 'YYYY-MM-DD'), TO_DATE('2025-08-05 09:26:00', 'YYYY-MM-DD HH24:MI:SS'), TO_DATE('2025-08-05 17:58:00', 'YYYY-MM-DD HH24:MI:SS'));</v>
      </c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</row>
    <row r="402">
      <c r="A402" s="25" t="s">
        <v>206</v>
      </c>
      <c r="B402" s="26">
        <v>65.0</v>
      </c>
      <c r="C402" s="27">
        <v>45874.0</v>
      </c>
      <c r="D402" s="28">
        <v>45874.410416666666</v>
      </c>
      <c r="E402" s="28">
        <v>45874.74791666667</v>
      </c>
      <c r="F402" s="21" t="s">
        <v>189</v>
      </c>
      <c r="G402" s="23"/>
      <c r="H402" s="23" t="str">
        <f t="shared" si="1"/>
        <v>INSERT INTO tblDayAttendanceLog VALUES (seqDayAttendanceLog.nextval, 65, TO_DATE('2025-08-05', 'YYYY-MM-DD'), TO_DATE('2025-08-05 09:51:00', 'YYYY-MM-DD HH24:MI:SS'), TO_DATE('2025-08-05 17:57:00', 'YYYY-MM-DD HH24:MI:SS'));</v>
      </c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</row>
    <row r="403">
      <c r="A403" s="25" t="s">
        <v>206</v>
      </c>
      <c r="B403" s="26">
        <v>66.0</v>
      </c>
      <c r="C403" s="27">
        <v>45874.0</v>
      </c>
      <c r="D403" s="28">
        <v>45874.36666666667</v>
      </c>
      <c r="E403" s="28">
        <v>45874.74930555555</v>
      </c>
      <c r="F403" s="21" t="s">
        <v>184</v>
      </c>
      <c r="G403" s="23"/>
      <c r="H403" s="23" t="str">
        <f t="shared" si="1"/>
        <v>INSERT INTO tblDayAttendanceLog VALUES (seqDayAttendanceLog.nextval, 66, TO_DATE('2025-08-05', 'YYYY-MM-DD'), TO_DATE('2025-08-05 08:48:00', 'YYYY-MM-DD HH24:MI:SS'), TO_DATE('2025-08-05 17:59:00', 'YYYY-MM-DD HH24:MI:SS'));</v>
      </c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</row>
    <row r="404">
      <c r="A404" s="25" t="s">
        <v>206</v>
      </c>
      <c r="B404" s="26">
        <v>67.0</v>
      </c>
      <c r="C404" s="27">
        <v>45874.0</v>
      </c>
      <c r="D404" s="28">
        <v>45874.368055555555</v>
      </c>
      <c r="E404" s="28">
        <v>45874.74652777778</v>
      </c>
      <c r="F404" s="21" t="s">
        <v>184</v>
      </c>
      <c r="G404" s="23"/>
      <c r="H404" s="23" t="str">
        <f t="shared" si="1"/>
        <v>INSERT INTO tblDayAttendanceLog VALUES (seqDayAttendanceLog.nextval, 67, TO_DATE('2025-08-05', 'YYYY-MM-DD'), TO_DATE('2025-08-05 08:50:00', 'YYYY-MM-DD HH24:MI:SS'), TO_DATE('2025-08-05 17:55:00', 'YYYY-MM-DD HH24:MI:SS'));</v>
      </c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</row>
    <row r="405">
      <c r="A405" s="25" t="s">
        <v>206</v>
      </c>
      <c r="B405" s="26">
        <v>68.0</v>
      </c>
      <c r="C405" s="27">
        <v>45874.0</v>
      </c>
      <c r="D405" s="28">
        <v>45874.38680555556</v>
      </c>
      <c r="E405" s="28">
        <v>45874.74652777778</v>
      </c>
      <c r="F405" s="21" t="s">
        <v>189</v>
      </c>
      <c r="G405" s="23"/>
      <c r="H405" s="23" t="str">
        <f t="shared" si="1"/>
        <v>INSERT INTO tblDayAttendanceLog VALUES (seqDayAttendanceLog.nextval, 68, TO_DATE('2025-08-05', 'YYYY-MM-DD'), TO_DATE('2025-08-05 09:17:00', 'YYYY-MM-DD HH24:MI:SS'), TO_DATE('2025-08-05 17:55:00', 'YYYY-MM-DD HH24:MI:SS'));</v>
      </c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</row>
    <row r="406">
      <c r="A406" s="25" t="s">
        <v>206</v>
      </c>
      <c r="B406" s="26">
        <v>69.0</v>
      </c>
      <c r="C406" s="27">
        <v>45874.0</v>
      </c>
      <c r="D406" s="28">
        <v>45874.364583333336</v>
      </c>
      <c r="E406" s="28">
        <v>45874.745833333334</v>
      </c>
      <c r="F406" s="21" t="s">
        <v>184</v>
      </c>
      <c r="G406" s="23"/>
      <c r="H406" s="23" t="str">
        <f t="shared" si="1"/>
        <v>INSERT INTO tblDayAttendanceLog VALUES (seqDayAttendanceLog.nextval, 69, TO_DATE('2025-08-05', 'YYYY-MM-DD'), TO_DATE('2025-08-05 08:45:00', 'YYYY-MM-DD HH24:MI:SS'), TO_DATE('2025-08-05 17:54:00', 'YYYY-MM-DD HH24:MI:SS'));</v>
      </c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</row>
    <row r="407">
      <c r="A407" s="25" t="s">
        <v>206</v>
      </c>
      <c r="B407" s="26">
        <v>70.0</v>
      </c>
      <c r="C407" s="27">
        <v>45874.0</v>
      </c>
      <c r="D407" s="28">
        <v>45874.353472222225</v>
      </c>
      <c r="E407" s="28">
        <v>45874.745833333334</v>
      </c>
      <c r="F407" s="21" t="s">
        <v>184</v>
      </c>
      <c r="G407" s="23"/>
      <c r="H407" s="23" t="str">
        <f t="shared" si="1"/>
        <v>INSERT INTO tblDayAttendanceLog VALUES (seqDayAttendanceLog.nextval, 70, TO_DATE('2025-08-05', 'YYYY-MM-DD'), TO_DATE('2025-08-05 08:29:00', 'YYYY-MM-DD HH24:MI:SS'), TO_DATE('2025-08-05 17:54:00', 'YYYY-MM-DD HH24:MI:SS'));</v>
      </c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</row>
    <row r="408">
      <c r="A408" s="25" t="s">
        <v>206</v>
      </c>
      <c r="B408" s="26">
        <v>71.0</v>
      </c>
      <c r="C408" s="27">
        <v>45874.0</v>
      </c>
      <c r="D408" s="28">
        <v>45874.36666666667</v>
      </c>
      <c r="E408" s="28">
        <v>45874.74791666667</v>
      </c>
      <c r="F408" s="21" t="s">
        <v>184</v>
      </c>
      <c r="G408" s="23"/>
      <c r="H408" s="23" t="str">
        <f t="shared" si="1"/>
        <v>INSERT INTO tblDayAttendanceLog VALUES (seqDayAttendanceLog.nextval, 71, TO_DATE('2025-08-05', 'YYYY-MM-DD'), TO_DATE('2025-08-05 08:48:00', 'YYYY-MM-DD HH24:MI:SS'), TO_DATE('2025-08-05 17:57:00', 'YYYY-MM-DD HH24:MI:SS'));</v>
      </c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</row>
    <row r="409">
      <c r="A409" s="25" t="s">
        <v>206</v>
      </c>
      <c r="B409" s="26">
        <v>72.0</v>
      </c>
      <c r="C409" s="27">
        <v>45874.0</v>
      </c>
      <c r="D409" s="28">
        <v>45874.376388888886</v>
      </c>
      <c r="E409" s="28">
        <v>45874.74375</v>
      </c>
      <c r="F409" s="21" t="s">
        <v>189</v>
      </c>
      <c r="G409" s="23"/>
      <c r="H409" s="23" t="str">
        <f t="shared" si="1"/>
        <v>INSERT INTO tblDayAttendanceLog VALUES (seqDayAttendanceLog.nextval, 72, TO_DATE('2025-08-05', 'YYYY-MM-DD'), TO_DATE('2025-08-05 09:02:00', 'YYYY-MM-DD HH24:MI:SS'), TO_DATE('2025-08-05 17:51:00', 'YYYY-MM-DD HH24:MI:SS'));</v>
      </c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</row>
    <row r="410">
      <c r="A410" s="25" t="s">
        <v>206</v>
      </c>
      <c r="B410" s="26">
        <v>73.0</v>
      </c>
      <c r="C410" s="27">
        <v>45874.0</v>
      </c>
      <c r="D410" s="28">
        <v>45874.34027777778</v>
      </c>
      <c r="E410" s="28">
        <v>45874.74375</v>
      </c>
      <c r="F410" s="21" t="s">
        <v>184</v>
      </c>
      <c r="G410" s="23"/>
      <c r="H410" s="23" t="str">
        <f t="shared" si="1"/>
        <v>INSERT INTO tblDayAttendanceLog VALUES (seqDayAttendanceLog.nextval, 73, TO_DATE('2025-08-05', 'YYYY-MM-DD'), TO_DATE('2025-08-05 08:10:00', 'YYYY-MM-DD HH24:MI:SS'), TO_DATE('2025-08-05 17:51:00', 'YYYY-MM-DD HH24:MI:SS'));</v>
      </c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</row>
    <row r="411">
      <c r="A411" s="25" t="s">
        <v>206</v>
      </c>
      <c r="B411" s="26">
        <v>74.0</v>
      </c>
      <c r="C411" s="27">
        <v>45874.0</v>
      </c>
      <c r="D411" s="28">
        <v>45874.37291666667</v>
      </c>
      <c r="E411" s="28">
        <v>45874.74513888889</v>
      </c>
      <c r="F411" s="21" t="s">
        <v>184</v>
      </c>
      <c r="G411" s="23"/>
      <c r="H411" s="23" t="str">
        <f t="shared" si="1"/>
        <v>INSERT INTO tblDayAttendanceLog VALUES (seqDayAttendanceLog.nextval, 74, TO_DATE('2025-08-05', 'YYYY-MM-DD'), TO_DATE('2025-08-05 08:57:00', 'YYYY-MM-DD HH24:MI:SS'), TO_DATE('2025-08-05 17:53:00', 'YYYY-MM-DD HH24:MI:SS'));</v>
      </c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</row>
    <row r="412">
      <c r="A412" s="25" t="s">
        <v>206</v>
      </c>
      <c r="B412" s="26">
        <v>75.0</v>
      </c>
      <c r="C412" s="27">
        <v>45874.0</v>
      </c>
      <c r="D412" s="28">
        <v>45874.3625</v>
      </c>
      <c r="E412" s="28">
        <v>45874.748611111114</v>
      </c>
      <c r="F412" s="21" t="s">
        <v>184</v>
      </c>
      <c r="G412" s="23"/>
      <c r="H412" s="23" t="str">
        <f t="shared" si="1"/>
        <v>INSERT INTO tblDayAttendanceLog VALUES (seqDayAttendanceLog.nextval, 75, TO_DATE('2025-08-05', 'YYYY-MM-DD'), TO_DATE('2025-08-05 08:42:00', 'YYYY-MM-DD HH24:MI:SS'), TO_DATE('2025-08-05 17:58:00', 'YYYY-MM-DD HH24:MI:SS'));</v>
      </c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</row>
    <row r="413">
      <c r="A413" s="25" t="s">
        <v>206</v>
      </c>
      <c r="B413" s="26">
        <v>76.0</v>
      </c>
      <c r="C413" s="27">
        <v>45874.0</v>
      </c>
      <c r="D413" s="28">
        <v>45874.38888888889</v>
      </c>
      <c r="E413" s="28">
        <v>45874.74930555555</v>
      </c>
      <c r="F413" s="21" t="s">
        <v>189</v>
      </c>
      <c r="G413" s="23"/>
      <c r="H413" s="23" t="str">
        <f t="shared" si="1"/>
        <v>INSERT INTO tblDayAttendanceLog VALUES (seqDayAttendanceLog.nextval, 76, TO_DATE('2025-08-05', 'YYYY-MM-DD'), TO_DATE('2025-08-05 09:20:00', 'YYYY-MM-DD HH24:MI:SS'), TO_DATE('2025-08-05 17:59:00', 'YYYY-MM-DD HH24:MI:SS'));</v>
      </c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</row>
    <row r="414">
      <c r="A414" s="25" t="s">
        <v>206</v>
      </c>
      <c r="B414" s="26">
        <v>77.0</v>
      </c>
      <c r="C414" s="27">
        <v>45874.0</v>
      </c>
      <c r="D414" s="28">
        <v>45874.35138888889</v>
      </c>
      <c r="E414" s="28">
        <v>45874.74444444444</v>
      </c>
      <c r="F414" s="21" t="s">
        <v>184</v>
      </c>
      <c r="G414" s="23"/>
      <c r="H414" s="23" t="str">
        <f t="shared" si="1"/>
        <v>INSERT INTO tblDayAttendanceLog VALUES (seqDayAttendanceLog.nextval, 77, TO_DATE('2025-08-05', 'YYYY-MM-DD'), TO_DATE('2025-08-05 08:26:00', 'YYYY-MM-DD HH24:MI:SS'), TO_DATE('2025-08-05 17:52:00', 'YYYY-MM-DD HH24:MI:SS'));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</row>
    <row r="415">
      <c r="A415" s="25" t="s">
        <v>206</v>
      </c>
      <c r="B415" s="26">
        <v>78.0</v>
      </c>
      <c r="C415" s="27">
        <v>45874.0</v>
      </c>
      <c r="D415" s="28">
        <v>45874.350694444445</v>
      </c>
      <c r="E415" s="28">
        <v>45874.748611111114</v>
      </c>
      <c r="F415" s="21" t="s">
        <v>184</v>
      </c>
      <c r="G415" s="23"/>
      <c r="H415" s="23" t="str">
        <f t="shared" si="1"/>
        <v>INSERT INTO tblDayAttendanceLog VALUES (seqDayAttendanceLog.nextval, 78, TO_DATE('2025-08-05', 'YYYY-MM-DD'), TO_DATE('2025-08-05 08:25:00', 'YYYY-MM-DD HH24:MI:SS'), TO_DATE('2025-08-05 17:58:00', 'YYYY-MM-DD HH24:MI:SS'));</v>
      </c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</row>
    <row r="416">
      <c r="A416" s="25" t="s">
        <v>206</v>
      </c>
      <c r="B416" s="26">
        <v>79.0</v>
      </c>
      <c r="C416" s="27">
        <v>45874.0</v>
      </c>
      <c r="D416" s="28">
        <v>45874.3375</v>
      </c>
      <c r="E416" s="28">
        <v>45874.745833333334</v>
      </c>
      <c r="F416" s="21" t="s">
        <v>184</v>
      </c>
      <c r="G416" s="23"/>
      <c r="H416" s="23" t="str">
        <f t="shared" si="1"/>
        <v>INSERT INTO tblDayAttendanceLog VALUES (seqDayAttendanceLog.nextval, 79, TO_DATE('2025-08-05', 'YYYY-MM-DD'), TO_DATE('2025-08-05 08:06:00', 'YYYY-MM-DD HH24:MI:SS'), TO_DATE('2025-08-05 17:54:00', 'YYYY-MM-DD HH24:MI:SS'));</v>
      </c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</row>
    <row r="417">
      <c r="A417" s="25" t="s">
        <v>206</v>
      </c>
      <c r="B417" s="26">
        <v>80.0</v>
      </c>
      <c r="C417" s="27">
        <v>45874.0</v>
      </c>
      <c r="D417" s="28">
        <v>45874.37986111111</v>
      </c>
      <c r="E417" s="28">
        <v>45874.74444444444</v>
      </c>
      <c r="F417" s="21" t="s">
        <v>189</v>
      </c>
      <c r="G417" s="23"/>
      <c r="H417" s="23" t="str">
        <f t="shared" si="1"/>
        <v>INSERT INTO tblDayAttendanceLog VALUES (seqDayAttendanceLog.nextval, 80, TO_DATE('2025-08-05', 'YYYY-MM-DD'), TO_DATE('2025-08-05 09:07:00', 'YYYY-MM-DD HH24:MI:SS'), TO_DATE('2025-08-05 17:52:00', 'YYYY-MM-DD HH24:MI:SS'));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</row>
    <row r="418">
      <c r="A418" s="25" t="s">
        <v>206</v>
      </c>
      <c r="B418" s="26">
        <v>81.0</v>
      </c>
      <c r="C418" s="27">
        <v>45874.0</v>
      </c>
      <c r="D418" s="28">
        <v>45874.34722222222</v>
      </c>
      <c r="E418" s="28">
        <v>45874.745833333334</v>
      </c>
      <c r="F418" s="21" t="s">
        <v>184</v>
      </c>
      <c r="G418" s="23"/>
      <c r="H418" s="23" t="str">
        <f t="shared" si="1"/>
        <v>INSERT INTO tblDayAttendanceLog VALUES (seqDayAttendanceLog.nextval, 81, TO_DATE('2025-08-05', 'YYYY-MM-DD'), TO_DATE('2025-08-05 08:20:00', 'YYYY-MM-DD HH24:MI:SS'), TO_DATE('2025-08-05 17:54:00', 'YYYY-MM-DD HH24:MI:SS'));</v>
      </c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</row>
    <row r="419">
      <c r="A419" s="25" t="s">
        <v>206</v>
      </c>
      <c r="B419" s="26">
        <v>82.0</v>
      </c>
      <c r="C419" s="27">
        <v>45874.0</v>
      </c>
      <c r="D419" s="28">
        <v>45874.38958333333</v>
      </c>
      <c r="E419" s="28">
        <v>45874.74930555555</v>
      </c>
      <c r="F419" s="21" t="s">
        <v>189</v>
      </c>
      <c r="G419" s="23"/>
      <c r="H419" s="23" t="str">
        <f t="shared" si="1"/>
        <v>INSERT INTO tblDayAttendanceLog VALUES (seqDayAttendanceLog.nextval, 82, TO_DATE('2025-08-05', 'YYYY-MM-DD'), TO_DATE('2025-08-05 09:21:00', 'YYYY-MM-DD HH24:MI:SS'), TO_DATE('2025-08-05 17:59:00', 'YYYY-MM-DD HH24:MI:SS'));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</row>
    <row r="420">
      <c r="A420" s="25" t="s">
        <v>206</v>
      </c>
      <c r="B420" s="26">
        <v>83.0</v>
      </c>
      <c r="C420" s="27">
        <v>45874.0</v>
      </c>
      <c r="D420" s="28">
        <v>45874.34583333333</v>
      </c>
      <c r="E420" s="28">
        <v>45874.74722222222</v>
      </c>
      <c r="F420" s="21" t="s">
        <v>184</v>
      </c>
      <c r="G420" s="23"/>
      <c r="H420" s="23" t="str">
        <f t="shared" si="1"/>
        <v>INSERT INTO tblDayAttendanceLog VALUES (seqDayAttendanceLog.nextval, 83, TO_DATE('2025-08-05', 'YYYY-MM-DD'), TO_DATE('2025-08-05 08:18:00', 'YYYY-MM-DD HH24:MI:SS'), TO_DATE('2025-08-05 17:56:00', 'YYYY-MM-DD HH24:MI:SS'));</v>
      </c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</row>
    <row r="421">
      <c r="A421" s="25" t="s">
        <v>206</v>
      </c>
      <c r="B421" s="26">
        <v>84.0</v>
      </c>
      <c r="C421" s="27">
        <v>45874.0</v>
      </c>
      <c r="D421" s="28">
        <v>45874.36319444444</v>
      </c>
      <c r="E421" s="28">
        <v>45874.74444444444</v>
      </c>
      <c r="F421" s="21" t="s">
        <v>184</v>
      </c>
      <c r="G421" s="23"/>
      <c r="H421" s="23" t="str">
        <f t="shared" si="1"/>
        <v>INSERT INTO tblDayAttendanceLog VALUES (seqDayAttendanceLog.nextval, 84, TO_DATE('2025-08-05', 'YYYY-MM-DD'), TO_DATE('2025-08-05 08:43:00', 'YYYY-MM-DD HH24:MI:SS'), TO_DATE('2025-08-05 17:52:00', 'YYYY-MM-DD HH24:MI:SS'));</v>
      </c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</row>
    <row r="422">
      <c r="A422" s="25" t="s">
        <v>206</v>
      </c>
      <c r="B422" s="26">
        <v>85.0</v>
      </c>
      <c r="C422" s="27">
        <v>45874.0</v>
      </c>
      <c r="D422" s="28">
        <v>45874.37291666667</v>
      </c>
      <c r="E422" s="28">
        <v>45874.748611111114</v>
      </c>
      <c r="F422" s="21" t="s">
        <v>184</v>
      </c>
      <c r="G422" s="23"/>
      <c r="H422" s="23" t="str">
        <f t="shared" si="1"/>
        <v>INSERT INTO tblDayAttendanceLog VALUES (seqDayAttendanceLog.nextval, 85, TO_DATE('2025-08-05', 'YYYY-MM-DD'), TO_DATE('2025-08-05 08:57:00', 'YYYY-MM-DD HH24:MI:SS'), TO_DATE('2025-08-05 17:58:00', 'YYYY-MM-DD HH24:MI:SS'));</v>
      </c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</row>
    <row r="423">
      <c r="A423" s="25" t="s">
        <v>206</v>
      </c>
      <c r="B423" s="26">
        <v>86.0</v>
      </c>
      <c r="C423" s="27">
        <v>45874.0</v>
      </c>
      <c r="D423" s="28">
        <v>45874.37291666667</v>
      </c>
      <c r="E423" s="28">
        <v>45874.74652777778</v>
      </c>
      <c r="F423" s="21" t="s">
        <v>184</v>
      </c>
      <c r="G423" s="23"/>
      <c r="H423" s="23" t="str">
        <f t="shared" si="1"/>
        <v>INSERT INTO tblDayAttendanceLog VALUES (seqDayAttendanceLog.nextval, 86, TO_DATE('2025-08-05', 'YYYY-MM-DD'), TO_DATE('2025-08-05 08:57:00', 'YYYY-MM-DD HH24:MI:SS'), TO_DATE('2025-08-05 17:55:00', 'YYYY-MM-DD HH24:MI:SS'));</v>
      </c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</row>
    <row r="424">
      <c r="A424" s="25" t="s">
        <v>206</v>
      </c>
      <c r="B424" s="26">
        <v>87.0</v>
      </c>
      <c r="C424" s="27">
        <v>45874.0</v>
      </c>
      <c r="D424" s="28">
        <v>45874.368055555555</v>
      </c>
      <c r="E424" s="28">
        <v>45874.74652777778</v>
      </c>
      <c r="F424" s="21" t="s">
        <v>184</v>
      </c>
      <c r="G424" s="23"/>
      <c r="H424" s="23" t="str">
        <f t="shared" si="1"/>
        <v>INSERT INTO tblDayAttendanceLog VALUES (seqDayAttendanceLog.nextval, 87, TO_DATE('2025-08-05', 'YYYY-MM-DD'), TO_DATE('2025-08-05 08:50:00', 'YYYY-MM-DD HH24:MI:SS'), TO_DATE('2025-08-05 17:55:00', 'YYYY-MM-DD HH24:MI:SS'));</v>
      </c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</row>
    <row r="425">
      <c r="A425" s="25" t="s">
        <v>206</v>
      </c>
      <c r="B425" s="26">
        <v>88.0</v>
      </c>
      <c r="C425" s="27">
        <v>45874.0</v>
      </c>
      <c r="D425" s="28">
        <v>45874.34097222222</v>
      </c>
      <c r="E425" s="28">
        <v>45874.603472222225</v>
      </c>
      <c r="F425" s="21" t="s">
        <v>187</v>
      </c>
      <c r="G425" s="23"/>
      <c r="H425" s="23" t="str">
        <f t="shared" si="1"/>
        <v>INSERT INTO tblDayAttendanceLog VALUES (seqDayAttendanceLog.nextval, 88, TO_DATE('2025-08-05', 'YYYY-MM-DD'), TO_DATE('2025-08-05 08:11:00', 'YYYY-MM-DD HH24:MI:SS'), TO_DATE('2025-08-05 14:29:00', 'YYYY-MM-DD HH24:MI:SS'));</v>
      </c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</row>
    <row r="426">
      <c r="A426" s="25" t="s">
        <v>206</v>
      </c>
      <c r="B426" s="26">
        <v>89.0</v>
      </c>
      <c r="C426" s="27">
        <v>45874.0</v>
      </c>
      <c r="D426" s="28">
        <v>45874.34652777778</v>
      </c>
      <c r="E426" s="28">
        <v>45874.74375</v>
      </c>
      <c r="F426" s="21" t="s">
        <v>184</v>
      </c>
      <c r="G426" s="23"/>
      <c r="H426" s="23" t="str">
        <f t="shared" si="1"/>
        <v>INSERT INTO tblDayAttendanceLog VALUES (seqDayAttendanceLog.nextval, 89, TO_DATE('2025-08-05', 'YYYY-MM-DD'), TO_DATE('2025-08-05 08:19:00', 'YYYY-MM-DD HH24:MI:SS'), TO_DATE('2025-08-05 17:51:00', 'YYYY-MM-DD HH24:MI:SS'));</v>
      </c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</row>
    <row r="427">
      <c r="A427" s="25" t="s">
        <v>206</v>
      </c>
      <c r="B427" s="26">
        <v>90.0</v>
      </c>
      <c r="C427" s="27">
        <v>45874.0</v>
      </c>
      <c r="D427" s="28">
        <v>45874.35833333333</v>
      </c>
      <c r="E427" s="28">
        <v>45874.74444444444</v>
      </c>
      <c r="F427" s="21" t="s">
        <v>184</v>
      </c>
      <c r="G427" s="23"/>
      <c r="H427" s="23" t="str">
        <f t="shared" si="1"/>
        <v>INSERT INTO tblDayAttendanceLog VALUES (seqDayAttendanceLog.nextval, 90, TO_DATE('2025-08-05', 'YYYY-MM-DD'), TO_DATE('2025-08-05 08:36:00', 'YYYY-MM-DD HH24:MI:SS'), TO_DATE('2025-08-05 17:52:00', 'YYYY-MM-DD HH24:MI:SS'));</v>
      </c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</row>
    <row r="428">
      <c r="A428" s="25" t="s">
        <v>206</v>
      </c>
      <c r="B428" s="26">
        <v>91.0</v>
      </c>
      <c r="C428" s="27">
        <v>45874.0</v>
      </c>
      <c r="D428" s="28">
        <v>45874.41458333333</v>
      </c>
      <c r="E428" s="28">
        <v>45874.74444444444</v>
      </c>
      <c r="F428" s="21" t="s">
        <v>189</v>
      </c>
      <c r="G428" s="23"/>
      <c r="H428" s="23" t="str">
        <f t="shared" si="1"/>
        <v>INSERT INTO tblDayAttendanceLog VALUES (seqDayAttendanceLog.nextval, 91, TO_DATE('2025-08-05', 'YYYY-MM-DD'), TO_DATE('2025-08-05 09:57:00', 'YYYY-MM-DD HH24:MI:SS'), TO_DATE('2025-08-05 17:52:00', 'YYYY-MM-DD HH24:MI:SS'));</v>
      </c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</row>
    <row r="429">
      <c r="A429" s="25" t="s">
        <v>206</v>
      </c>
      <c r="B429" s="26">
        <v>92.0</v>
      </c>
      <c r="C429" s="27">
        <v>45874.0</v>
      </c>
      <c r="D429" s="28">
        <v>45874.368055555555</v>
      </c>
      <c r="E429" s="28">
        <v>45874.745833333334</v>
      </c>
      <c r="F429" s="21" t="s">
        <v>184</v>
      </c>
      <c r="G429" s="23"/>
      <c r="H429" s="23" t="str">
        <f t="shared" si="1"/>
        <v>INSERT INTO tblDayAttendanceLog VALUES (seqDayAttendanceLog.nextval, 92, TO_DATE('2025-08-05', 'YYYY-MM-DD'), TO_DATE('2025-08-05 08:50:00', 'YYYY-MM-DD HH24:MI:SS'), TO_DATE('2025-08-05 17:54:00', 'YYYY-MM-DD HH24:MI:SS'));</v>
      </c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</row>
    <row r="430">
      <c r="A430" s="25" t="s">
        <v>206</v>
      </c>
      <c r="B430" s="26">
        <v>93.0</v>
      </c>
      <c r="C430" s="27">
        <v>45874.0</v>
      </c>
      <c r="D430" s="28">
        <v>45874.34722222222</v>
      </c>
      <c r="E430" s="28">
        <v>45874.74652777778</v>
      </c>
      <c r="F430" s="21" t="s">
        <v>184</v>
      </c>
      <c r="G430" s="23"/>
      <c r="H430" s="23" t="str">
        <f t="shared" si="1"/>
        <v>INSERT INTO tblDayAttendanceLog VALUES (seqDayAttendanceLog.nextval, 93, TO_DATE('2025-08-05', 'YYYY-MM-DD'), TO_DATE('2025-08-05 08:20:00', 'YYYY-MM-DD HH24:MI:SS'), TO_DATE('2025-08-05 17:55:00', 'YYYY-MM-DD HH24:MI:SS'));</v>
      </c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</row>
    <row r="431">
      <c r="A431" s="25" t="s">
        <v>206</v>
      </c>
      <c r="B431" s="26">
        <v>94.0</v>
      </c>
      <c r="C431" s="27">
        <v>45874.0</v>
      </c>
      <c r="D431" s="28">
        <v>45874.37013888889</v>
      </c>
      <c r="E431" s="28">
        <v>45874.74444444444</v>
      </c>
      <c r="F431" s="21" t="s">
        <v>184</v>
      </c>
      <c r="G431" s="23"/>
      <c r="H431" s="23" t="str">
        <f t="shared" si="1"/>
        <v>INSERT INTO tblDayAttendanceLog VALUES (seqDayAttendanceLog.nextval, 94, TO_DATE('2025-08-05', 'YYYY-MM-DD'), TO_DATE('2025-08-05 08:53:00', 'YYYY-MM-DD HH24:MI:SS'), TO_DATE('2025-08-05 17:52:00', 'YYYY-MM-DD HH24:MI:SS'));</v>
      </c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</row>
    <row r="432">
      <c r="A432" s="25" t="s">
        <v>206</v>
      </c>
      <c r="B432" s="26">
        <v>95.0</v>
      </c>
      <c r="C432" s="27">
        <v>45874.0</v>
      </c>
      <c r="D432" s="28">
        <v>45874.37847222222</v>
      </c>
      <c r="E432" s="28">
        <v>45874.74791666667</v>
      </c>
      <c r="F432" s="21" t="s">
        <v>189</v>
      </c>
      <c r="G432" s="23"/>
      <c r="H432" s="23" t="str">
        <f t="shared" si="1"/>
        <v>INSERT INTO tblDayAttendanceLog VALUES (seqDayAttendanceLog.nextval, 95, TO_DATE('2025-08-05', 'YYYY-MM-DD'), TO_DATE('2025-08-05 09:05:00', 'YYYY-MM-DD HH24:MI:SS'), TO_DATE('2025-08-05 17:57:00', 'YYYY-MM-DD HH24:MI:SS'));</v>
      </c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</row>
    <row r="433">
      <c r="A433" s="25" t="s">
        <v>206</v>
      </c>
      <c r="B433" s="26">
        <v>96.0</v>
      </c>
      <c r="C433" s="27">
        <v>45874.0</v>
      </c>
      <c r="D433" s="28">
        <v>45874.41388888889</v>
      </c>
      <c r="E433" s="28">
        <v>45874.74791666667</v>
      </c>
      <c r="F433" s="21" t="s">
        <v>189</v>
      </c>
      <c r="G433" s="23"/>
      <c r="H433" s="23" t="str">
        <f t="shared" si="1"/>
        <v>INSERT INTO tblDayAttendanceLog VALUES (seqDayAttendanceLog.nextval, 96, TO_DATE('2025-08-05', 'YYYY-MM-DD'), TO_DATE('2025-08-05 09:56:00', 'YYYY-MM-DD HH24:MI:SS'), TO_DATE('2025-08-05 17:57:00', 'YYYY-MM-DD HH24:MI:SS'));</v>
      </c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</row>
    <row r="434">
      <c r="A434" s="25" t="s">
        <v>206</v>
      </c>
      <c r="B434" s="26">
        <v>97.0</v>
      </c>
      <c r="C434" s="27">
        <v>45874.0</v>
      </c>
      <c r="D434" s="28">
        <v>45874.34652777778</v>
      </c>
      <c r="E434" s="28">
        <v>45874.743055555555</v>
      </c>
      <c r="F434" s="21" t="s">
        <v>184</v>
      </c>
      <c r="G434" s="23"/>
      <c r="H434" s="23" t="str">
        <f t="shared" si="1"/>
        <v>INSERT INTO tblDayAttendanceLog VALUES (seqDayAttendanceLog.nextval, 97, TO_DATE('2025-08-05', 'YYYY-MM-DD'), TO_DATE('2025-08-05 08:19:00', 'YYYY-MM-DD HH24:MI:SS'), TO_DATE('2025-08-05 17:50:00', 'YYYY-MM-DD HH24:MI:SS'));</v>
      </c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</row>
    <row r="435">
      <c r="A435" s="25" t="s">
        <v>206</v>
      </c>
      <c r="B435" s="26">
        <v>98.0</v>
      </c>
      <c r="C435" s="27">
        <v>45874.0</v>
      </c>
      <c r="D435" s="28">
        <v>45874.4125</v>
      </c>
      <c r="E435" s="28">
        <v>45874.74722222222</v>
      </c>
      <c r="F435" s="21" t="s">
        <v>189</v>
      </c>
      <c r="G435" s="23"/>
      <c r="H435" s="23" t="str">
        <f t="shared" si="1"/>
        <v>INSERT INTO tblDayAttendanceLog VALUES (seqDayAttendanceLog.nextval, 98, TO_DATE('2025-08-05', 'YYYY-MM-DD'), TO_DATE('2025-08-05 09:54:00', 'YYYY-MM-DD HH24:MI:SS'), TO_DATE('2025-08-05 17:56:00', 'YYYY-MM-DD HH24:MI:SS'));</v>
      </c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</row>
    <row r="436">
      <c r="A436" s="25" t="s">
        <v>206</v>
      </c>
      <c r="B436" s="26">
        <v>99.0</v>
      </c>
      <c r="C436" s="27">
        <v>45874.0</v>
      </c>
      <c r="D436" s="28">
        <v>45874.35763888889</v>
      </c>
      <c r="E436" s="28">
        <v>45874.74722222222</v>
      </c>
      <c r="F436" s="21" t="s">
        <v>184</v>
      </c>
      <c r="G436" s="23"/>
      <c r="H436" s="23" t="str">
        <f t="shared" si="1"/>
        <v>INSERT INTO tblDayAttendanceLog VALUES (seqDayAttendanceLog.nextval, 99, TO_DATE('2025-08-05', 'YYYY-MM-DD'), TO_DATE('2025-08-05 08:35:00', 'YYYY-MM-DD HH24:MI:SS'), TO_DATE('2025-08-05 17:56:00', 'YYYY-MM-DD HH24:MI:SS'));</v>
      </c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</row>
    <row r="437">
      <c r="A437" s="25" t="s">
        <v>206</v>
      </c>
      <c r="B437" s="26">
        <v>100.0</v>
      </c>
      <c r="C437" s="27">
        <v>45874.0</v>
      </c>
      <c r="D437" s="28">
        <v>45874.39236111111</v>
      </c>
      <c r="E437" s="28">
        <v>45874.74375</v>
      </c>
      <c r="F437" s="21" t="s">
        <v>189</v>
      </c>
      <c r="G437" s="23"/>
      <c r="H437" s="23" t="str">
        <f t="shared" si="1"/>
        <v>INSERT INTO tblDayAttendanceLog VALUES (seqDayAttendanceLog.nextval, 100, TO_DATE('2025-08-05', 'YYYY-MM-DD'), TO_DATE('2025-08-05 09:25:00', 'YYYY-MM-DD HH24:MI:SS'), TO_DATE('2025-08-05 17:51:00', 'YYYY-MM-DD HH24:MI:SS'));</v>
      </c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</row>
    <row r="438">
      <c r="A438" s="25" t="s">
        <v>206</v>
      </c>
      <c r="B438" s="26">
        <v>101.0</v>
      </c>
      <c r="C438" s="27">
        <v>45874.0</v>
      </c>
      <c r="D438" s="28">
        <v>45874.38680555556</v>
      </c>
      <c r="E438" s="28">
        <v>45874.74444444444</v>
      </c>
      <c r="F438" s="21" t="s">
        <v>189</v>
      </c>
      <c r="G438" s="23"/>
      <c r="H438" s="23" t="str">
        <f t="shared" si="1"/>
        <v>INSERT INTO tblDayAttendanceLog VALUES (seqDayAttendanceLog.nextval, 101, TO_DATE('2025-08-05', 'YYYY-MM-DD'), TO_DATE('2025-08-05 09:17:00', 'YYYY-MM-DD HH24:MI:SS'), TO_DATE('2025-08-05 17:52:00', 'YYYY-MM-DD HH24:MI:SS'));</v>
      </c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</row>
    <row r="439">
      <c r="A439" s="25" t="s">
        <v>206</v>
      </c>
      <c r="B439" s="26">
        <v>102.0</v>
      </c>
      <c r="C439" s="27">
        <v>45874.0</v>
      </c>
      <c r="D439" s="28">
        <v>45874.365277777775</v>
      </c>
      <c r="E439" s="28">
        <v>45874.74513888889</v>
      </c>
      <c r="F439" s="21" t="s">
        <v>184</v>
      </c>
      <c r="G439" s="23"/>
      <c r="H439" s="23" t="str">
        <f t="shared" si="1"/>
        <v>INSERT INTO tblDayAttendanceLog VALUES (seqDayAttendanceLog.nextval, 102, TO_DATE('2025-08-05', 'YYYY-MM-DD'), TO_DATE('2025-08-05 08:46:00', 'YYYY-MM-DD HH24:MI:SS'), TO_DATE('2025-08-05 17:53:00', 'YYYY-MM-DD HH24:MI:SS'));</v>
      </c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</row>
    <row r="440">
      <c r="A440" s="25" t="s">
        <v>206</v>
      </c>
      <c r="B440" s="26">
        <v>103.0</v>
      </c>
      <c r="C440" s="27">
        <v>45874.0</v>
      </c>
      <c r="D440" s="29"/>
      <c r="E440" s="29"/>
      <c r="F440" s="21" t="s">
        <v>186</v>
      </c>
      <c r="G440" s="23"/>
      <c r="H440" s="23" t="str">
        <f t="shared" si="1"/>
        <v>INSERT INTO tblDayAttendanceLog VALUES (seqDayAttendanceLog.nextval, 103, TO_DATE('2025-08-05', 'YYYY-MM-DD'), NULL, NULL);</v>
      </c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</row>
    <row r="441">
      <c r="A441" s="25" t="s">
        <v>206</v>
      </c>
      <c r="B441" s="26">
        <v>104.0</v>
      </c>
      <c r="C441" s="27">
        <v>45874.0</v>
      </c>
      <c r="D441" s="28">
        <v>45874.354166666664</v>
      </c>
      <c r="E441" s="28">
        <v>45874.74652777778</v>
      </c>
      <c r="F441" s="21" t="s">
        <v>184</v>
      </c>
      <c r="G441" s="23"/>
      <c r="H441" s="23" t="str">
        <f t="shared" si="1"/>
        <v>INSERT INTO tblDayAttendanceLog VALUES (seqDayAttendanceLog.nextval, 104, TO_DATE('2025-08-05', 'YYYY-MM-DD'), TO_DATE('2025-08-05 08:30:00', 'YYYY-MM-DD HH24:MI:SS'), TO_DATE('2025-08-05 17:55:00', 'YYYY-MM-DD HH24:MI:SS'));</v>
      </c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</row>
    <row r="442">
      <c r="A442" s="25" t="s">
        <v>206</v>
      </c>
      <c r="B442" s="26">
        <v>105.0</v>
      </c>
      <c r="C442" s="27">
        <v>45874.0</v>
      </c>
      <c r="D442" s="28">
        <v>45874.4</v>
      </c>
      <c r="E442" s="28">
        <v>45874.748611111114</v>
      </c>
      <c r="F442" s="21" t="s">
        <v>189</v>
      </c>
      <c r="G442" s="23"/>
      <c r="H442" s="23" t="str">
        <f t="shared" si="1"/>
        <v>INSERT INTO tblDayAttendanceLog VALUES (seqDayAttendanceLog.nextval, 105, TO_DATE('2025-08-05', 'YYYY-MM-DD'), TO_DATE('2025-08-05 09:36:00', 'YYYY-MM-DD HH24:MI:SS'), TO_DATE('2025-08-05 17:58:00', 'YYYY-MM-DD HH24:MI:SS'));</v>
      </c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</row>
    <row r="443">
      <c r="A443" s="25" t="s">
        <v>206</v>
      </c>
      <c r="B443" s="26">
        <v>106.0</v>
      </c>
      <c r="C443" s="27">
        <v>45874.0</v>
      </c>
      <c r="D443" s="28">
        <v>45874.34861111111</v>
      </c>
      <c r="E443" s="28">
        <v>45874.745833333334</v>
      </c>
      <c r="F443" s="21" t="s">
        <v>184</v>
      </c>
      <c r="G443" s="23"/>
      <c r="H443" s="23" t="str">
        <f t="shared" si="1"/>
        <v>INSERT INTO tblDayAttendanceLog VALUES (seqDayAttendanceLog.nextval, 106, TO_DATE('2025-08-05', 'YYYY-MM-DD'), TO_DATE('2025-08-05 08:22:00', 'YYYY-MM-DD HH24:MI:SS'), TO_DATE('2025-08-05 17:54:00', 'YYYY-MM-DD HH24:MI:SS'));</v>
      </c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</row>
    <row r="444">
      <c r="A444" s="25" t="s">
        <v>206</v>
      </c>
      <c r="B444" s="26">
        <v>107.0</v>
      </c>
      <c r="C444" s="27">
        <v>45874.0</v>
      </c>
      <c r="D444" s="28">
        <v>45874.34166666667</v>
      </c>
      <c r="E444" s="28">
        <v>45874.74722222222</v>
      </c>
      <c r="F444" s="21" t="s">
        <v>184</v>
      </c>
      <c r="G444" s="23"/>
      <c r="H444" s="23" t="str">
        <f t="shared" si="1"/>
        <v>INSERT INTO tblDayAttendanceLog VALUES (seqDayAttendanceLog.nextval, 107, TO_DATE('2025-08-05', 'YYYY-MM-DD'), TO_DATE('2025-08-05 08:12:00', 'YYYY-MM-DD HH24:MI:SS'), TO_DATE('2025-08-05 17:56:00', 'YYYY-MM-DD HH24:MI:SS'));</v>
      </c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</row>
    <row r="445">
      <c r="A445" s="25" t="s">
        <v>206</v>
      </c>
      <c r="B445" s="26">
        <v>108.0</v>
      </c>
      <c r="C445" s="27">
        <v>45874.0</v>
      </c>
      <c r="D445" s="28">
        <v>45874.393055555556</v>
      </c>
      <c r="E445" s="28">
        <v>45874.74930555555</v>
      </c>
      <c r="F445" s="21" t="s">
        <v>189</v>
      </c>
      <c r="G445" s="23"/>
      <c r="H445" s="23" t="str">
        <f t="shared" si="1"/>
        <v>INSERT INTO tblDayAttendanceLog VALUES (seqDayAttendanceLog.nextval, 108, TO_DATE('2025-08-05', 'YYYY-MM-DD'), TO_DATE('2025-08-05 09:26:00', 'YYYY-MM-DD HH24:MI:SS'), TO_DATE('2025-08-05 17:59:00', 'YYYY-MM-DD HH24:MI:SS'));</v>
      </c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</row>
    <row r="446">
      <c r="A446" s="25" t="s">
        <v>206</v>
      </c>
      <c r="B446" s="26">
        <v>109.0</v>
      </c>
      <c r="C446" s="27">
        <v>45874.0</v>
      </c>
      <c r="D446" s="28">
        <v>45874.39236111111</v>
      </c>
      <c r="E446" s="28">
        <v>45874.748611111114</v>
      </c>
      <c r="F446" s="21" t="s">
        <v>189</v>
      </c>
      <c r="G446" s="23"/>
      <c r="H446" s="23" t="str">
        <f t="shared" si="1"/>
        <v>INSERT INTO tblDayAttendanceLog VALUES (seqDayAttendanceLog.nextval, 109, TO_DATE('2025-08-05', 'YYYY-MM-DD'), TO_DATE('2025-08-05 09:25:00', 'YYYY-MM-DD HH24:MI:SS'), TO_DATE('2025-08-05 17:58:00', 'YYYY-MM-DD HH24:MI:SS'));</v>
      </c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</row>
    <row r="447">
      <c r="A447" s="25" t="s">
        <v>206</v>
      </c>
      <c r="B447" s="26">
        <v>110.0</v>
      </c>
      <c r="C447" s="27">
        <v>45874.0</v>
      </c>
      <c r="D447" s="28">
        <v>45874.34583333333</v>
      </c>
      <c r="E447" s="28">
        <v>45874.74791666667</v>
      </c>
      <c r="F447" s="21" t="s">
        <v>184</v>
      </c>
      <c r="G447" s="23"/>
      <c r="H447" s="23" t="str">
        <f t="shared" si="1"/>
        <v>INSERT INTO tblDayAttendanceLog VALUES (seqDayAttendanceLog.nextval, 110, TO_DATE('2025-08-05', 'YYYY-MM-DD'), TO_DATE('2025-08-05 08:18:00', 'YYYY-MM-DD HH24:MI:SS'), TO_DATE('2025-08-05 17:57:00', 'YYYY-MM-DD HH24:MI:SS'));</v>
      </c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</row>
    <row r="448">
      <c r="A448" s="25" t="s">
        <v>206</v>
      </c>
      <c r="B448" s="26">
        <v>111.0</v>
      </c>
      <c r="C448" s="27">
        <v>45874.0</v>
      </c>
      <c r="D448" s="28">
        <v>45874.34305555555</v>
      </c>
      <c r="E448" s="28">
        <v>45874.74652777778</v>
      </c>
      <c r="F448" s="21" t="s">
        <v>184</v>
      </c>
      <c r="G448" s="23"/>
      <c r="H448" s="23" t="str">
        <f t="shared" si="1"/>
        <v>INSERT INTO tblDayAttendanceLog VALUES (seqDayAttendanceLog.nextval, 111, TO_DATE('2025-08-05', 'YYYY-MM-DD'), TO_DATE('2025-08-05 08:14:00', 'YYYY-MM-DD HH24:MI:SS'), TO_DATE('2025-08-05 17:55:00', 'YYYY-MM-DD HH24:MI:SS'));</v>
      </c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</row>
    <row r="449">
      <c r="A449" s="25" t="s">
        <v>206</v>
      </c>
      <c r="B449" s="26">
        <v>112.0</v>
      </c>
      <c r="C449" s="27">
        <v>45874.0</v>
      </c>
      <c r="D449" s="28">
        <v>45874.3875</v>
      </c>
      <c r="E449" s="28">
        <v>45874.74513888889</v>
      </c>
      <c r="F449" s="21" t="s">
        <v>189</v>
      </c>
      <c r="G449" s="23"/>
      <c r="H449" s="23" t="str">
        <f t="shared" si="1"/>
        <v>INSERT INTO tblDayAttendanceLog VALUES (seqDayAttendanceLog.nextval, 112, TO_DATE('2025-08-05', 'YYYY-MM-DD'), TO_DATE('2025-08-05 09:18:00', 'YYYY-MM-DD HH24:MI:SS'), TO_DATE('2025-08-05 17:53:00', 'YYYY-MM-DD HH24:MI:SS'));</v>
      </c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</row>
    <row r="450">
      <c r="A450" s="25" t="s">
        <v>206</v>
      </c>
      <c r="B450" s="26">
        <v>113.0</v>
      </c>
      <c r="C450" s="27">
        <v>45874.0</v>
      </c>
      <c r="D450" s="28">
        <v>45874.38402777778</v>
      </c>
      <c r="E450" s="28">
        <v>45874.74652777778</v>
      </c>
      <c r="F450" s="21" t="s">
        <v>189</v>
      </c>
      <c r="G450" s="23"/>
      <c r="H450" s="23" t="str">
        <f t="shared" si="1"/>
        <v>INSERT INTO tblDayAttendanceLog VALUES (seqDayAttendanceLog.nextval, 113, TO_DATE('2025-08-05', 'YYYY-MM-DD'), TO_DATE('2025-08-05 09:13:00', 'YYYY-MM-DD HH24:MI:SS'), TO_DATE('2025-08-05 17:55:00', 'YYYY-MM-DD HH24:MI:SS'));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</row>
    <row r="451">
      <c r="A451" s="25" t="s">
        <v>206</v>
      </c>
      <c r="B451" s="26">
        <v>114.0</v>
      </c>
      <c r="C451" s="27">
        <v>45874.0</v>
      </c>
      <c r="D451" s="28">
        <v>45874.395833333336</v>
      </c>
      <c r="E451" s="28">
        <v>45874.74375</v>
      </c>
      <c r="F451" s="21" t="s">
        <v>189</v>
      </c>
      <c r="G451" s="23"/>
      <c r="H451" s="23" t="str">
        <f t="shared" si="1"/>
        <v>INSERT INTO tblDayAttendanceLog VALUES (seqDayAttendanceLog.nextval, 114, TO_DATE('2025-08-05', 'YYYY-MM-DD'), TO_DATE('2025-08-05 09:30:00', 'YYYY-MM-DD HH24:MI:SS'), TO_DATE('2025-08-05 17:51:00', 'YYYY-MM-DD HH24:MI:SS'));</v>
      </c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</row>
    <row r="452">
      <c r="A452" s="25" t="s">
        <v>206</v>
      </c>
      <c r="B452" s="26">
        <v>115.0</v>
      </c>
      <c r="C452" s="27">
        <v>45874.0</v>
      </c>
      <c r="D452" s="28">
        <v>45874.365277777775</v>
      </c>
      <c r="E452" s="28">
        <v>45874.74652777778</v>
      </c>
      <c r="F452" s="21" t="s">
        <v>184</v>
      </c>
      <c r="G452" s="23"/>
      <c r="H452" s="23" t="str">
        <f t="shared" si="1"/>
        <v>INSERT INTO tblDayAttendanceLog VALUES (seqDayAttendanceLog.nextval, 115, TO_DATE('2025-08-05', 'YYYY-MM-DD'), TO_DATE('2025-08-05 08:46:00', 'YYYY-MM-DD HH24:MI:SS'), TO_DATE('2025-08-05 17:55:00', 'YYYY-MM-DD HH24:MI:SS'));</v>
      </c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</row>
    <row r="453">
      <c r="A453" s="25" t="s">
        <v>206</v>
      </c>
      <c r="B453" s="26">
        <v>116.0</v>
      </c>
      <c r="C453" s="27">
        <v>45874.0</v>
      </c>
      <c r="D453" s="28">
        <v>45874.361805555556</v>
      </c>
      <c r="E453" s="28">
        <v>45874.74652777778</v>
      </c>
      <c r="F453" s="21" t="s">
        <v>184</v>
      </c>
      <c r="G453" s="23"/>
      <c r="H453" s="23" t="str">
        <f t="shared" si="1"/>
        <v>INSERT INTO tblDayAttendanceLog VALUES (seqDayAttendanceLog.nextval, 116, TO_DATE('2025-08-05', 'YYYY-MM-DD'), TO_DATE('2025-08-05 08:41:00', 'YYYY-MM-DD HH24:MI:SS'), TO_DATE('2025-08-05 17:55:00', 'YYYY-MM-DD HH24:MI:SS'));</v>
      </c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</row>
    <row r="454">
      <c r="A454" s="25" t="s">
        <v>206</v>
      </c>
      <c r="B454" s="26">
        <v>117.0</v>
      </c>
      <c r="C454" s="27">
        <v>45874.0</v>
      </c>
      <c r="D454" s="29"/>
      <c r="E454" s="29"/>
      <c r="F454" s="21" t="s">
        <v>186</v>
      </c>
      <c r="G454" s="23"/>
      <c r="H454" s="23" t="str">
        <f t="shared" si="1"/>
        <v>INSERT INTO tblDayAttendanceLog VALUES (seqDayAttendanceLog.nextval, 117, TO_DATE('2025-08-05', 'YYYY-MM-DD'), NULL, NULL);</v>
      </c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</row>
    <row r="455">
      <c r="A455" s="25" t="s">
        <v>206</v>
      </c>
      <c r="B455" s="26">
        <v>118.0</v>
      </c>
      <c r="C455" s="27">
        <v>45874.0</v>
      </c>
      <c r="D455" s="28">
        <v>45874.333333333336</v>
      </c>
      <c r="E455" s="28">
        <v>45874.743055555555</v>
      </c>
      <c r="F455" s="21" t="s">
        <v>184</v>
      </c>
      <c r="G455" s="23"/>
      <c r="H455" s="23" t="str">
        <f t="shared" si="1"/>
        <v>INSERT INTO tblDayAttendanceLog VALUES (seqDayAttendanceLog.nextval, 118, TO_DATE('2025-08-05', 'YYYY-MM-DD'), TO_DATE('2025-08-05 08:00:00', 'YYYY-MM-DD HH24:MI:SS'), TO_DATE('2025-08-05 17:50:00', 'YYYY-MM-DD HH24:MI:SS'));</v>
      </c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</row>
    <row r="456">
      <c r="A456" s="25" t="s">
        <v>206</v>
      </c>
      <c r="B456" s="26">
        <v>119.0</v>
      </c>
      <c r="C456" s="27">
        <v>45874.0</v>
      </c>
      <c r="D456" s="28">
        <v>45874.34722222222</v>
      </c>
      <c r="E456" s="28">
        <v>45874.74375</v>
      </c>
      <c r="F456" s="21" t="s">
        <v>184</v>
      </c>
      <c r="G456" s="23"/>
      <c r="H456" s="23" t="str">
        <f t="shared" si="1"/>
        <v>INSERT INTO tblDayAttendanceLog VALUES (seqDayAttendanceLog.nextval, 119, TO_DATE('2025-08-05', 'YYYY-MM-DD'), TO_DATE('2025-08-05 08:20:00', 'YYYY-MM-DD HH24:MI:SS'), TO_DATE('2025-08-05 17:51:00', 'YYYY-MM-DD HH24:MI:SS'));</v>
      </c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</row>
    <row r="457">
      <c r="A457" s="25" t="s">
        <v>206</v>
      </c>
      <c r="B457" s="26">
        <v>120.0</v>
      </c>
      <c r="C457" s="27">
        <v>45874.0</v>
      </c>
      <c r="D457" s="28">
        <v>45874.36319444444</v>
      </c>
      <c r="E457" s="28">
        <v>45874.748611111114</v>
      </c>
      <c r="F457" s="21" t="s">
        <v>184</v>
      </c>
      <c r="G457" s="23"/>
      <c r="H457" s="23" t="str">
        <f t="shared" si="1"/>
        <v>INSERT INTO tblDayAttendanceLog VALUES (seqDayAttendanceLog.nextval, 120, TO_DATE('2025-08-05', 'YYYY-MM-DD'), TO_DATE('2025-08-05 08:43:00', 'YYYY-MM-DD HH24:MI:SS'), TO_DATE('2025-08-05 17:58:00', 'YYYY-MM-DD HH24:MI:SS'));</v>
      </c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</row>
    <row r="458">
      <c r="A458" s="25" t="s">
        <v>206</v>
      </c>
      <c r="B458" s="26">
        <v>121.0</v>
      </c>
      <c r="C458" s="27">
        <v>45874.0</v>
      </c>
      <c r="D458" s="28">
        <v>45874.38125</v>
      </c>
      <c r="E458" s="28">
        <v>45874.74652777778</v>
      </c>
      <c r="F458" s="21" t="s">
        <v>189</v>
      </c>
      <c r="G458" s="23"/>
      <c r="H458" s="23" t="str">
        <f t="shared" si="1"/>
        <v>INSERT INTO tblDayAttendanceLog VALUES (seqDayAttendanceLog.nextval, 121, TO_DATE('2025-08-05', 'YYYY-MM-DD'), TO_DATE('2025-08-05 09:09:00', 'YYYY-MM-DD HH24:MI:SS'), TO_DATE('2025-08-05 17:55:00', 'YYYY-MM-DD HH24:MI:SS'));</v>
      </c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</row>
    <row r="459">
      <c r="A459" s="25" t="s">
        <v>206</v>
      </c>
      <c r="B459" s="26">
        <v>122.0</v>
      </c>
      <c r="C459" s="27">
        <v>45874.0</v>
      </c>
      <c r="D459" s="28">
        <v>45874.41458333333</v>
      </c>
      <c r="E459" s="28">
        <v>45874.74791666667</v>
      </c>
      <c r="F459" s="21" t="s">
        <v>189</v>
      </c>
      <c r="G459" s="23"/>
      <c r="H459" s="23" t="str">
        <f t="shared" si="1"/>
        <v>INSERT INTO tblDayAttendanceLog VALUES (seqDayAttendanceLog.nextval, 122, TO_DATE('2025-08-05', 'YYYY-MM-DD'), TO_DATE('2025-08-05 09:57:00', 'YYYY-MM-DD HH24:MI:SS'), TO_DATE('2025-08-05 17:57:00', 'YYYY-MM-DD HH24:MI:SS'));</v>
      </c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</row>
    <row r="460">
      <c r="A460" s="25" t="s">
        <v>206</v>
      </c>
      <c r="B460" s="26">
        <v>123.0</v>
      </c>
      <c r="C460" s="27">
        <v>45874.0</v>
      </c>
      <c r="D460" s="28">
        <v>45874.34305555555</v>
      </c>
      <c r="E460" s="28">
        <v>45874.74722222222</v>
      </c>
      <c r="F460" s="21" t="s">
        <v>184</v>
      </c>
      <c r="G460" s="23"/>
      <c r="H460" s="23" t="str">
        <f t="shared" si="1"/>
        <v>INSERT INTO tblDayAttendanceLog VALUES (seqDayAttendanceLog.nextval, 123, TO_DATE('2025-08-05', 'YYYY-MM-DD'), TO_DATE('2025-08-05 08:14:00', 'YYYY-MM-DD HH24:MI:SS'), TO_DATE('2025-08-05 17:56:00', 'YYYY-MM-DD HH24:MI:SS'));</v>
      </c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</row>
    <row r="461">
      <c r="A461" s="25" t="s">
        <v>206</v>
      </c>
      <c r="B461" s="26">
        <v>124.0</v>
      </c>
      <c r="C461" s="27">
        <v>45874.0</v>
      </c>
      <c r="D461" s="28">
        <v>45874.385416666664</v>
      </c>
      <c r="E461" s="28">
        <v>45874.745833333334</v>
      </c>
      <c r="F461" s="21" t="s">
        <v>189</v>
      </c>
      <c r="G461" s="23"/>
      <c r="H461" s="23" t="str">
        <f t="shared" si="1"/>
        <v>INSERT INTO tblDayAttendanceLog VALUES (seqDayAttendanceLog.nextval, 124, TO_DATE('2025-08-05', 'YYYY-MM-DD'), TO_DATE('2025-08-05 09:15:00', 'YYYY-MM-DD HH24:MI:SS'), TO_DATE('2025-08-05 17:54:00', 'YYYY-MM-DD HH24:MI:SS'));</v>
      </c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</row>
    <row r="462">
      <c r="A462" s="25" t="s">
        <v>206</v>
      </c>
      <c r="B462" s="26">
        <v>125.0</v>
      </c>
      <c r="C462" s="27">
        <v>45874.0</v>
      </c>
      <c r="D462" s="28">
        <v>45874.40833333333</v>
      </c>
      <c r="E462" s="28">
        <v>45874.74652777778</v>
      </c>
      <c r="F462" s="21" t="s">
        <v>189</v>
      </c>
      <c r="G462" s="23"/>
      <c r="H462" s="23" t="str">
        <f t="shared" si="1"/>
        <v>INSERT INTO tblDayAttendanceLog VALUES (seqDayAttendanceLog.nextval, 125, TO_DATE('2025-08-05', 'YYYY-MM-DD'), TO_DATE('2025-08-05 09:48:00', 'YYYY-MM-DD HH24:MI:SS'), TO_DATE('2025-08-05 17:55:00', 'YYYY-MM-DD HH24:MI:SS'));</v>
      </c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</row>
    <row r="463">
      <c r="A463" s="25" t="s">
        <v>206</v>
      </c>
      <c r="B463" s="26">
        <v>126.0</v>
      </c>
      <c r="C463" s="27">
        <v>45874.0</v>
      </c>
      <c r="D463" s="28">
        <v>45874.40972222222</v>
      </c>
      <c r="E463" s="28">
        <v>45874.74513888889</v>
      </c>
      <c r="F463" s="21" t="s">
        <v>189</v>
      </c>
      <c r="G463" s="23"/>
      <c r="H463" s="23" t="str">
        <f t="shared" si="1"/>
        <v>INSERT INTO tblDayAttendanceLog VALUES (seqDayAttendanceLog.nextval, 126, TO_DATE('2025-08-05', 'YYYY-MM-DD'), TO_DATE('2025-08-05 09:50:00', 'YYYY-MM-DD HH24:MI:SS'), TO_DATE('2025-08-05 17:53:00', 'YYYY-MM-DD HH24:MI:SS'));</v>
      </c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</row>
    <row r="464">
      <c r="A464" s="25" t="s">
        <v>206</v>
      </c>
      <c r="B464" s="26">
        <v>127.0</v>
      </c>
      <c r="C464" s="27">
        <v>45874.0</v>
      </c>
      <c r="D464" s="28">
        <v>45874.33541666667</v>
      </c>
      <c r="E464" s="28">
        <v>45874.748611111114</v>
      </c>
      <c r="F464" s="21" t="s">
        <v>184</v>
      </c>
      <c r="G464" s="23"/>
      <c r="H464" s="23" t="str">
        <f t="shared" si="1"/>
        <v>INSERT INTO tblDayAttendanceLog VALUES (seqDayAttendanceLog.nextval, 127, TO_DATE('2025-08-05', 'YYYY-MM-DD'), TO_DATE('2025-08-05 08:03:00', 'YYYY-MM-DD HH24:MI:SS'), TO_DATE('2025-08-05 17:58:00', 'YYYY-MM-DD HH24:MI:SS'));</v>
      </c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</row>
    <row r="465">
      <c r="A465" s="25" t="s">
        <v>206</v>
      </c>
      <c r="B465" s="26">
        <v>128.0</v>
      </c>
      <c r="C465" s="27">
        <v>45874.0</v>
      </c>
      <c r="D465" s="28">
        <v>45874.34097222222</v>
      </c>
      <c r="E465" s="28">
        <v>45874.74722222222</v>
      </c>
      <c r="F465" s="21" t="s">
        <v>184</v>
      </c>
      <c r="G465" s="23"/>
      <c r="H465" s="23" t="str">
        <f t="shared" si="1"/>
        <v>INSERT INTO tblDayAttendanceLog VALUES (seqDayAttendanceLog.nextval, 128, TO_DATE('2025-08-05', 'YYYY-MM-DD'), TO_DATE('2025-08-05 08:11:00', 'YYYY-MM-DD HH24:MI:SS'), TO_DATE('2025-08-05 17:56:00', 'YYYY-MM-DD HH24:MI:SS'));</v>
      </c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</row>
    <row r="466">
      <c r="A466" s="25" t="s">
        <v>206</v>
      </c>
      <c r="B466" s="26">
        <v>129.0</v>
      </c>
      <c r="C466" s="27">
        <v>45874.0</v>
      </c>
      <c r="D466" s="28">
        <v>45874.38055555556</v>
      </c>
      <c r="E466" s="28">
        <v>45874.74722222222</v>
      </c>
      <c r="F466" s="21" t="s">
        <v>189</v>
      </c>
      <c r="G466" s="23"/>
      <c r="H466" s="23" t="str">
        <f t="shared" si="1"/>
        <v>INSERT INTO tblDayAttendanceLog VALUES (seqDayAttendanceLog.nextval, 129, TO_DATE('2025-08-05', 'YYYY-MM-DD'), TO_DATE('2025-08-05 09:08:00', 'YYYY-MM-DD HH24:MI:SS'), TO_DATE('2025-08-05 17:56:00', 'YYYY-MM-DD HH24:MI:SS'));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</row>
    <row r="467">
      <c r="A467" s="25" t="s">
        <v>206</v>
      </c>
      <c r="B467" s="26">
        <v>130.0</v>
      </c>
      <c r="C467" s="27">
        <v>45874.0</v>
      </c>
      <c r="D467" s="28">
        <v>45874.41458333333</v>
      </c>
      <c r="E467" s="28">
        <v>45874.74444444444</v>
      </c>
      <c r="F467" s="21" t="s">
        <v>189</v>
      </c>
      <c r="G467" s="23"/>
      <c r="H467" s="23" t="str">
        <f t="shared" si="1"/>
        <v>INSERT INTO tblDayAttendanceLog VALUES (seqDayAttendanceLog.nextval, 130, TO_DATE('2025-08-05', 'YYYY-MM-DD'), TO_DATE('2025-08-05 09:57:00', 'YYYY-MM-DD HH24:MI:SS'), TO_DATE('2025-08-05 17:52:00', 'YYYY-MM-DD HH24:MI:SS'));</v>
      </c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</row>
    <row r="468">
      <c r="A468" s="25" t="s">
        <v>206</v>
      </c>
      <c r="B468" s="26">
        <v>131.0</v>
      </c>
      <c r="C468" s="27">
        <v>45874.0</v>
      </c>
      <c r="D468" s="28">
        <v>45874.41458333333</v>
      </c>
      <c r="E468" s="28">
        <v>45874.74722222222</v>
      </c>
      <c r="F468" s="21" t="s">
        <v>189</v>
      </c>
      <c r="G468" s="23"/>
      <c r="H468" s="23" t="str">
        <f t="shared" si="1"/>
        <v>INSERT INTO tblDayAttendanceLog VALUES (seqDayAttendanceLog.nextval, 131, TO_DATE('2025-08-05', 'YYYY-MM-DD'), TO_DATE('2025-08-05 09:57:00', 'YYYY-MM-DD HH24:MI:SS'), TO_DATE('2025-08-05 17:56:00', 'YYYY-MM-DD HH24:MI:SS'));</v>
      </c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</row>
    <row r="469">
      <c r="A469" s="25" t="s">
        <v>206</v>
      </c>
      <c r="B469" s="26">
        <v>132.0</v>
      </c>
      <c r="C469" s="27">
        <v>45874.0</v>
      </c>
      <c r="D469" s="28">
        <v>45874.36597222222</v>
      </c>
      <c r="E469" s="28">
        <v>45874.74513888889</v>
      </c>
      <c r="F469" s="21" t="s">
        <v>184</v>
      </c>
      <c r="G469" s="23"/>
      <c r="H469" s="23" t="str">
        <f t="shared" si="1"/>
        <v>INSERT INTO tblDayAttendanceLog VALUES (seqDayAttendanceLog.nextval, 132, TO_DATE('2025-08-05', 'YYYY-MM-DD'), TO_DATE('2025-08-05 08:47:00', 'YYYY-MM-DD HH24:MI:SS'), TO_DATE('2025-08-05 17:53:00', 'YYYY-MM-DD HH24:MI:SS'));</v>
      </c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</row>
    <row r="470">
      <c r="A470" s="25" t="s">
        <v>206</v>
      </c>
      <c r="B470" s="26">
        <v>133.0</v>
      </c>
      <c r="C470" s="27">
        <v>45874.0</v>
      </c>
      <c r="D470" s="28">
        <v>45874.34166666667</v>
      </c>
      <c r="E470" s="28">
        <v>45874.74652777778</v>
      </c>
      <c r="F470" s="21" t="s">
        <v>184</v>
      </c>
      <c r="G470" s="23"/>
      <c r="H470" s="23" t="str">
        <f t="shared" si="1"/>
        <v>INSERT INTO tblDayAttendanceLog VALUES (seqDayAttendanceLog.nextval, 133, TO_DATE('2025-08-05', 'YYYY-MM-DD'), TO_DATE('2025-08-05 08:12:00', 'YYYY-MM-DD HH24:MI:SS'), TO_DATE('2025-08-05 17:55:00', 'YYYY-MM-DD HH24:MI:SS'));</v>
      </c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</row>
    <row r="471">
      <c r="A471" s="25" t="s">
        <v>206</v>
      </c>
      <c r="B471" s="26">
        <v>134.0</v>
      </c>
      <c r="C471" s="27">
        <v>45874.0</v>
      </c>
      <c r="D471" s="28">
        <v>45874.36736111111</v>
      </c>
      <c r="E471" s="28">
        <v>45874.74652777778</v>
      </c>
      <c r="F471" s="21" t="s">
        <v>184</v>
      </c>
      <c r="G471" s="23"/>
      <c r="H471" s="23" t="str">
        <f t="shared" si="1"/>
        <v>INSERT INTO tblDayAttendanceLog VALUES (seqDayAttendanceLog.nextval, 134, TO_DATE('2025-08-05', 'YYYY-MM-DD'), TO_DATE('2025-08-05 08:49:00', 'YYYY-MM-DD HH24:MI:SS'), TO_DATE('2025-08-05 17:55:00', 'YYYY-MM-DD HH24:MI:SS'));</v>
      </c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</row>
    <row r="472">
      <c r="A472" s="25" t="s">
        <v>206</v>
      </c>
      <c r="B472" s="26">
        <v>135.0</v>
      </c>
      <c r="C472" s="27">
        <v>45874.0</v>
      </c>
      <c r="D472" s="28">
        <v>45874.35902777778</v>
      </c>
      <c r="E472" s="28">
        <v>45874.74652777778</v>
      </c>
      <c r="F472" s="21" t="s">
        <v>184</v>
      </c>
      <c r="G472" s="23"/>
      <c r="H472" s="23" t="str">
        <f t="shared" si="1"/>
        <v>INSERT INTO tblDayAttendanceLog VALUES (seqDayAttendanceLog.nextval, 135, TO_DATE('2025-08-05', 'YYYY-MM-DD'), TO_DATE('2025-08-05 08:37:00', 'YYYY-MM-DD HH24:MI:SS'), TO_DATE('2025-08-05 17:55:00', 'YYYY-MM-DD HH24:MI:SS'));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</row>
    <row r="473">
      <c r="A473" s="25" t="s">
        <v>206</v>
      </c>
      <c r="B473" s="26">
        <v>136.0</v>
      </c>
      <c r="C473" s="27">
        <v>45874.0</v>
      </c>
      <c r="D473" s="28">
        <v>45874.39097222222</v>
      </c>
      <c r="E473" s="28">
        <v>45874.74444444444</v>
      </c>
      <c r="F473" s="21" t="s">
        <v>189</v>
      </c>
      <c r="G473" s="23"/>
      <c r="H473" s="23" t="str">
        <f t="shared" si="1"/>
        <v>INSERT INTO tblDayAttendanceLog VALUES (seqDayAttendanceLog.nextval, 136, TO_DATE('2025-08-05', 'YYYY-MM-DD'), TO_DATE('2025-08-05 09:23:00', 'YYYY-MM-DD HH24:MI:SS'), TO_DATE('2025-08-05 17:52:00', 'YYYY-MM-DD HH24:MI:SS'));</v>
      </c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</row>
    <row r="474">
      <c r="A474" s="25" t="s">
        <v>206</v>
      </c>
      <c r="B474" s="26">
        <v>137.0</v>
      </c>
      <c r="C474" s="27">
        <v>45874.0</v>
      </c>
      <c r="D474" s="28">
        <v>45874.342361111114</v>
      </c>
      <c r="E474" s="28">
        <v>45874.743055555555</v>
      </c>
      <c r="F474" s="21" t="s">
        <v>184</v>
      </c>
      <c r="G474" s="23"/>
      <c r="H474" s="23" t="str">
        <f t="shared" si="1"/>
        <v>INSERT INTO tblDayAttendanceLog VALUES (seqDayAttendanceLog.nextval, 137, TO_DATE('2025-08-05', 'YYYY-MM-DD'), TO_DATE('2025-08-05 08:13:00', 'YYYY-MM-DD HH24:MI:SS'), TO_DATE('2025-08-05 17:50:00', 'YYYY-MM-DD HH24:MI:SS'));</v>
      </c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</row>
    <row r="475">
      <c r="A475" s="25" t="s">
        <v>206</v>
      </c>
      <c r="B475" s="26">
        <v>138.0</v>
      </c>
      <c r="C475" s="27">
        <v>45874.0</v>
      </c>
      <c r="D475" s="28">
        <v>45874.37152777778</v>
      </c>
      <c r="E475" s="28">
        <v>45874.743055555555</v>
      </c>
      <c r="F475" s="21" t="s">
        <v>184</v>
      </c>
      <c r="G475" s="23"/>
      <c r="H475" s="23" t="str">
        <f t="shared" si="1"/>
        <v>INSERT INTO tblDayAttendanceLog VALUES (seqDayAttendanceLog.nextval, 138, TO_DATE('2025-08-05', 'YYYY-MM-DD'), TO_DATE('2025-08-05 08:55:00', 'YYYY-MM-DD HH24:MI:SS'), TO_DATE('2025-08-05 17:50:00', 'YYYY-MM-DD HH24:MI:SS'));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</row>
    <row r="476">
      <c r="A476" s="25" t="s">
        <v>206</v>
      </c>
      <c r="B476" s="26">
        <v>139.0</v>
      </c>
      <c r="C476" s="27">
        <v>45874.0</v>
      </c>
      <c r="D476" s="28">
        <v>45874.40069444444</v>
      </c>
      <c r="E476" s="28">
        <v>45874.74930555555</v>
      </c>
      <c r="F476" s="21" t="s">
        <v>189</v>
      </c>
      <c r="G476" s="23"/>
      <c r="H476" s="23" t="str">
        <f t="shared" si="1"/>
        <v>INSERT INTO tblDayAttendanceLog VALUES (seqDayAttendanceLog.nextval, 139, TO_DATE('2025-08-05', 'YYYY-MM-DD'), TO_DATE('2025-08-05 09:37:00', 'YYYY-MM-DD HH24:MI:SS'), TO_DATE('2025-08-05 17:59:00', 'YYYY-MM-DD HH24:MI:SS'));</v>
      </c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</row>
    <row r="477">
      <c r="A477" s="25" t="s">
        <v>206</v>
      </c>
      <c r="B477" s="26">
        <v>140.0</v>
      </c>
      <c r="C477" s="27">
        <v>45874.0</v>
      </c>
      <c r="D477" s="28">
        <v>45874.34861111111</v>
      </c>
      <c r="E477" s="28">
        <v>45874.74375</v>
      </c>
      <c r="F477" s="21" t="s">
        <v>184</v>
      </c>
      <c r="G477" s="23"/>
      <c r="H477" s="23" t="str">
        <f t="shared" si="1"/>
        <v>INSERT INTO tblDayAttendanceLog VALUES (seqDayAttendanceLog.nextval, 140, TO_DATE('2025-08-05', 'YYYY-MM-DD'), TO_DATE('2025-08-05 08:22:00', 'YYYY-MM-DD HH24:MI:SS'), TO_DATE('2025-08-05 17:51:00', 'YYYY-MM-DD HH24:MI:SS'));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</row>
    <row r="478">
      <c r="A478" s="25" t="s">
        <v>206</v>
      </c>
      <c r="B478" s="26">
        <v>141.0</v>
      </c>
      <c r="C478" s="27">
        <v>45874.0</v>
      </c>
      <c r="D478" s="28">
        <v>45874.38125</v>
      </c>
      <c r="E478" s="28">
        <v>45874.745833333334</v>
      </c>
      <c r="F478" s="21" t="s">
        <v>189</v>
      </c>
      <c r="G478" s="23"/>
      <c r="H478" s="23" t="str">
        <f t="shared" si="1"/>
        <v>INSERT INTO tblDayAttendanceLog VALUES (seqDayAttendanceLog.nextval, 141, TO_DATE('2025-08-05', 'YYYY-MM-DD'), TO_DATE('2025-08-05 09:09:00', 'YYYY-MM-DD HH24:MI:SS'), TO_DATE('2025-08-05 17:54:00', 'YYYY-MM-DD HH24:MI:SS'));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</row>
    <row r="479">
      <c r="A479" s="25" t="s">
        <v>206</v>
      </c>
      <c r="B479" s="26">
        <v>142.0</v>
      </c>
      <c r="C479" s="27">
        <v>45874.0</v>
      </c>
      <c r="D479" s="28">
        <v>45874.37569444445</v>
      </c>
      <c r="E479" s="28">
        <v>45874.74652777778</v>
      </c>
      <c r="F479" s="21" t="s">
        <v>189</v>
      </c>
      <c r="G479" s="23"/>
      <c r="H479" s="23" t="str">
        <f t="shared" si="1"/>
        <v>INSERT INTO tblDayAttendanceLog VALUES (seqDayAttendanceLog.nextval, 142, TO_DATE('2025-08-05', 'YYYY-MM-DD'), TO_DATE('2025-08-05 09:01:00', 'YYYY-MM-DD HH24:MI:SS'), TO_DATE('2025-08-05 17:55:00', 'YYYY-MM-DD HH24:MI:SS'));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</row>
    <row r="480">
      <c r="A480" s="25" t="s">
        <v>206</v>
      </c>
      <c r="B480" s="26">
        <v>143.0</v>
      </c>
      <c r="C480" s="27">
        <v>45874.0</v>
      </c>
      <c r="D480" s="28">
        <v>45874.399305555555</v>
      </c>
      <c r="E480" s="28">
        <v>45874.74375</v>
      </c>
      <c r="F480" s="21" t="s">
        <v>189</v>
      </c>
      <c r="G480" s="23"/>
      <c r="H480" s="23" t="str">
        <f t="shared" si="1"/>
        <v>INSERT INTO tblDayAttendanceLog VALUES (seqDayAttendanceLog.nextval, 143, TO_DATE('2025-08-05', 'YYYY-MM-DD'), TO_DATE('2025-08-05 09:35:00', 'YYYY-MM-DD HH24:MI:SS'), TO_DATE('2025-08-05 17:51:00', 'YYYY-MM-DD HH24:MI:SS'));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</row>
    <row r="481">
      <c r="A481" s="25" t="s">
        <v>206</v>
      </c>
      <c r="B481" s="26">
        <v>144.0</v>
      </c>
      <c r="C481" s="27">
        <v>45874.0</v>
      </c>
      <c r="D481" s="28">
        <v>45874.39375</v>
      </c>
      <c r="E481" s="28">
        <v>45874.74513888889</v>
      </c>
      <c r="F481" s="21" t="s">
        <v>189</v>
      </c>
      <c r="G481" s="23"/>
      <c r="H481" s="23" t="str">
        <f t="shared" si="1"/>
        <v>INSERT INTO tblDayAttendanceLog VALUES (seqDayAttendanceLog.nextval, 144, TO_DATE('2025-08-05', 'YYYY-MM-DD'), TO_DATE('2025-08-05 09:27:00', 'YYYY-MM-DD HH24:MI:SS'), TO_DATE('2025-08-05 17:53:00', 'YYYY-MM-DD HH24:MI:SS'));</v>
      </c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</row>
    <row r="482">
      <c r="A482" s="25" t="s">
        <v>206</v>
      </c>
      <c r="B482" s="26">
        <v>145.0</v>
      </c>
      <c r="C482" s="27">
        <v>45874.0</v>
      </c>
      <c r="D482" s="28">
        <v>45874.40625</v>
      </c>
      <c r="E482" s="28">
        <v>45874.74444444444</v>
      </c>
      <c r="F482" s="21" t="s">
        <v>189</v>
      </c>
      <c r="G482" s="23"/>
      <c r="H482" s="23" t="str">
        <f t="shared" si="1"/>
        <v>INSERT INTO tblDayAttendanceLog VALUES (seqDayAttendanceLog.nextval, 145, TO_DATE('2025-08-05', 'YYYY-MM-DD'), TO_DATE('2025-08-05 09:45:00', 'YYYY-MM-DD HH24:MI:SS'), TO_DATE('2025-08-05 17:52:00', 'YYYY-MM-DD HH24:MI:SS'));</v>
      </c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</row>
    <row r="483">
      <c r="A483" s="25" t="s">
        <v>206</v>
      </c>
      <c r="B483" s="26">
        <v>146.0</v>
      </c>
      <c r="C483" s="27">
        <v>45874.0</v>
      </c>
      <c r="D483" s="28">
        <v>45874.384722222225</v>
      </c>
      <c r="E483" s="28">
        <v>45874.74444444444</v>
      </c>
      <c r="F483" s="21" t="s">
        <v>189</v>
      </c>
      <c r="G483" s="23"/>
      <c r="H483" s="23" t="str">
        <f t="shared" si="1"/>
        <v>INSERT INTO tblDayAttendanceLog VALUES (seqDayAttendanceLog.nextval, 146, TO_DATE('2025-08-05', 'YYYY-MM-DD'), TO_DATE('2025-08-05 09:14:00', 'YYYY-MM-DD HH24:MI:SS'), TO_DATE('2025-08-05 17:52:00', 'YYYY-MM-DD HH24:MI:SS'));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</row>
    <row r="484">
      <c r="A484" s="25" t="s">
        <v>206</v>
      </c>
      <c r="B484" s="26">
        <v>147.0</v>
      </c>
      <c r="C484" s="27">
        <v>45874.0</v>
      </c>
      <c r="D484" s="28">
        <v>45874.370833333334</v>
      </c>
      <c r="E484" s="28">
        <v>45874.74444444444</v>
      </c>
      <c r="F484" s="21" t="s">
        <v>184</v>
      </c>
      <c r="G484" s="23"/>
      <c r="H484" s="23" t="str">
        <f t="shared" si="1"/>
        <v>INSERT INTO tblDayAttendanceLog VALUES (seqDayAttendanceLog.nextval, 147, TO_DATE('2025-08-05', 'YYYY-MM-DD'), TO_DATE('2025-08-05 08:54:00', 'YYYY-MM-DD HH24:MI:SS'), TO_DATE('2025-08-05 17:52:00', 'YYYY-MM-DD HH24:MI:SS'));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</row>
    <row r="485">
      <c r="A485" s="25" t="s">
        <v>206</v>
      </c>
      <c r="B485" s="26">
        <v>148.0</v>
      </c>
      <c r="C485" s="27">
        <v>45874.0</v>
      </c>
      <c r="D485" s="28">
        <v>45874.413194444445</v>
      </c>
      <c r="E485" s="28">
        <v>45874.74722222222</v>
      </c>
      <c r="F485" s="21" t="s">
        <v>189</v>
      </c>
      <c r="G485" s="23"/>
      <c r="H485" s="23" t="str">
        <f t="shared" si="1"/>
        <v>INSERT INTO tblDayAttendanceLog VALUES (seqDayAttendanceLog.nextval, 148, TO_DATE('2025-08-05', 'YYYY-MM-DD'), TO_DATE('2025-08-05 09:55:00', 'YYYY-MM-DD HH24:MI:SS'), TO_DATE('2025-08-05 17:56:00', 'YYYY-MM-DD HH24:MI:SS'));</v>
      </c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</row>
    <row r="486">
      <c r="A486" s="25" t="s">
        <v>206</v>
      </c>
      <c r="B486" s="26">
        <v>149.0</v>
      </c>
      <c r="C486" s="27">
        <v>45874.0</v>
      </c>
      <c r="D486" s="28">
        <v>45874.35208333333</v>
      </c>
      <c r="E486" s="28">
        <v>45874.74791666667</v>
      </c>
      <c r="F486" s="21" t="s">
        <v>184</v>
      </c>
      <c r="G486" s="23"/>
      <c r="H486" s="23" t="str">
        <f t="shared" si="1"/>
        <v>INSERT INTO tblDayAttendanceLog VALUES (seqDayAttendanceLog.nextval, 149, TO_DATE('2025-08-05', 'YYYY-MM-DD'), TO_DATE('2025-08-05 08:27:00', 'YYYY-MM-DD HH24:MI:SS'), TO_DATE('2025-08-05 17:57:00', 'YYYY-MM-DD HH24:MI:SS'));</v>
      </c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</row>
    <row r="487">
      <c r="A487" s="25" t="s">
        <v>206</v>
      </c>
      <c r="B487" s="26">
        <v>150.0</v>
      </c>
      <c r="C487" s="27">
        <v>45874.0</v>
      </c>
      <c r="D487" s="28">
        <v>45874.34930555556</v>
      </c>
      <c r="E487" s="28">
        <v>45874.74930555555</v>
      </c>
      <c r="F487" s="21" t="s">
        <v>184</v>
      </c>
      <c r="G487" s="23"/>
      <c r="H487" s="23" t="str">
        <f t="shared" si="1"/>
        <v>INSERT INTO tblDayAttendanceLog VALUES (seqDayAttendanceLog.nextval, 150, TO_DATE('2025-08-05', 'YYYY-MM-DD'), TO_DATE('2025-08-05 08:23:00', 'YYYY-MM-DD HH24:MI:SS'), TO_DATE('2025-08-05 17:59:00', 'YYYY-MM-DD HH24:MI:SS'));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</row>
    <row r="488">
      <c r="A488" s="25" t="s">
        <v>206</v>
      </c>
      <c r="B488" s="26">
        <v>151.0</v>
      </c>
      <c r="C488" s="27">
        <v>45874.0</v>
      </c>
      <c r="D488" s="28">
        <v>45874.39097222222</v>
      </c>
      <c r="E488" s="28">
        <v>45874.74652777778</v>
      </c>
      <c r="F488" s="21" t="s">
        <v>189</v>
      </c>
      <c r="G488" s="23"/>
      <c r="H488" s="23" t="str">
        <f t="shared" si="1"/>
        <v>INSERT INTO tblDayAttendanceLog VALUES (seqDayAttendanceLog.nextval, 151, TO_DATE('2025-08-05', 'YYYY-MM-DD'), TO_DATE('2025-08-05 09:23:00', 'YYYY-MM-DD HH24:MI:SS'), TO_DATE('2025-08-05 17:55:00', 'YYYY-MM-DD HH24:MI:SS'));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</row>
    <row r="489">
      <c r="A489" s="25" t="s">
        <v>206</v>
      </c>
      <c r="B489" s="26">
        <v>152.0</v>
      </c>
      <c r="C489" s="27">
        <v>45874.0</v>
      </c>
      <c r="D489" s="28">
        <v>45874.38680555556</v>
      </c>
      <c r="E489" s="28">
        <v>45874.743055555555</v>
      </c>
      <c r="F489" s="21" t="s">
        <v>189</v>
      </c>
      <c r="G489" s="23"/>
      <c r="H489" s="23" t="str">
        <f t="shared" si="1"/>
        <v>INSERT INTO tblDayAttendanceLog VALUES (seqDayAttendanceLog.nextval, 152, TO_DATE('2025-08-05', 'YYYY-MM-DD'), TO_DATE('2025-08-05 09:17:00', 'YYYY-MM-DD HH24:MI:SS'), TO_DATE('2025-08-05 17:50:00', 'YYYY-MM-DD HH24:MI:SS'));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</row>
    <row r="490">
      <c r="A490" s="25" t="s">
        <v>206</v>
      </c>
      <c r="B490" s="26">
        <v>153.0</v>
      </c>
      <c r="C490" s="27">
        <v>45874.0</v>
      </c>
      <c r="D490" s="28">
        <v>45874.365277777775</v>
      </c>
      <c r="E490" s="28">
        <v>45874.748611111114</v>
      </c>
      <c r="F490" s="21" t="s">
        <v>184</v>
      </c>
      <c r="G490" s="23"/>
      <c r="H490" s="23" t="str">
        <f t="shared" si="1"/>
        <v>INSERT INTO tblDayAttendanceLog VALUES (seqDayAttendanceLog.nextval, 153, TO_DATE('2025-08-05', 'YYYY-MM-DD'), TO_DATE('2025-08-05 08:46:00', 'YYYY-MM-DD HH24:MI:SS'), TO_DATE('2025-08-05 17:58:00', 'YYYY-MM-DD HH24:MI:SS'));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</row>
    <row r="491">
      <c r="A491" s="25" t="s">
        <v>206</v>
      </c>
      <c r="B491" s="26">
        <v>154.0</v>
      </c>
      <c r="C491" s="27">
        <v>45874.0</v>
      </c>
      <c r="D491" s="28">
        <v>45874.38263888889</v>
      </c>
      <c r="E491" s="28">
        <v>45874.74930555555</v>
      </c>
      <c r="F491" s="21" t="s">
        <v>189</v>
      </c>
      <c r="G491" s="23"/>
      <c r="H491" s="23" t="str">
        <f t="shared" si="1"/>
        <v>INSERT INTO tblDayAttendanceLog VALUES (seqDayAttendanceLog.nextval, 154, TO_DATE('2025-08-05', 'YYYY-MM-DD'), TO_DATE('2025-08-05 09:11:00', 'YYYY-MM-DD HH24:MI:SS'), TO_DATE('2025-08-05 17:59:00', 'YYYY-MM-DD HH24:MI:SS'));</v>
      </c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</row>
    <row r="492">
      <c r="A492" s="25" t="s">
        <v>206</v>
      </c>
      <c r="B492" s="26">
        <v>155.0</v>
      </c>
      <c r="C492" s="27">
        <v>45874.0</v>
      </c>
      <c r="D492" s="28">
        <v>45874.342361111114</v>
      </c>
      <c r="E492" s="28">
        <v>45874.74791666667</v>
      </c>
      <c r="F492" s="21" t="s">
        <v>184</v>
      </c>
      <c r="G492" s="23"/>
      <c r="H492" s="23" t="str">
        <f t="shared" si="1"/>
        <v>INSERT INTO tblDayAttendanceLog VALUES (seqDayAttendanceLog.nextval, 155, TO_DATE('2025-08-05', 'YYYY-MM-DD'), TO_DATE('2025-08-05 08:13:00', 'YYYY-MM-DD HH24:MI:SS'), TO_DATE('2025-08-05 17:57:00', 'YYYY-MM-DD HH24:MI:SS'));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</row>
    <row r="493">
      <c r="A493" s="25" t="s">
        <v>206</v>
      </c>
      <c r="B493" s="26">
        <v>156.0</v>
      </c>
      <c r="C493" s="27">
        <v>45874.0</v>
      </c>
      <c r="D493" s="28">
        <v>45874.39861111111</v>
      </c>
      <c r="E493" s="28">
        <v>45874.743055555555</v>
      </c>
      <c r="F493" s="21" t="s">
        <v>189</v>
      </c>
      <c r="G493" s="23"/>
      <c r="H493" s="23" t="str">
        <f t="shared" si="1"/>
        <v>INSERT INTO tblDayAttendanceLog VALUES (seqDayAttendanceLog.nextval, 156, TO_DATE('2025-08-05', 'YYYY-MM-DD'), TO_DATE('2025-08-05 09:34:00', 'YYYY-MM-DD HH24:MI:SS'), TO_DATE('2025-08-05 17:50:00', 'YYYY-MM-DD HH24:MI:SS'));</v>
      </c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</row>
    <row r="494">
      <c r="A494" s="25" t="s">
        <v>206</v>
      </c>
      <c r="B494" s="26">
        <v>157.0</v>
      </c>
      <c r="C494" s="27">
        <v>45874.0</v>
      </c>
      <c r="D494" s="28">
        <v>45874.395833333336</v>
      </c>
      <c r="E494" s="28">
        <v>45874.745833333334</v>
      </c>
      <c r="F494" s="21" t="s">
        <v>189</v>
      </c>
      <c r="G494" s="23"/>
      <c r="H494" s="23" t="str">
        <f t="shared" si="1"/>
        <v>INSERT INTO tblDayAttendanceLog VALUES (seqDayAttendanceLog.nextval, 157, TO_DATE('2025-08-05', 'YYYY-MM-DD'), TO_DATE('2025-08-05 09:30:00', 'YYYY-MM-DD HH24:MI:SS'), TO_DATE('2025-08-05 17:54:00', 'YYYY-MM-DD HH24:MI:SS'));</v>
      </c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</row>
    <row r="495">
      <c r="A495" s="25" t="s">
        <v>206</v>
      </c>
      <c r="B495" s="26">
        <v>158.0</v>
      </c>
      <c r="C495" s="27">
        <v>45874.0</v>
      </c>
      <c r="D495" s="28">
        <v>45874.39236111111</v>
      </c>
      <c r="E495" s="28">
        <v>45874.743055555555</v>
      </c>
      <c r="F495" s="21" t="s">
        <v>189</v>
      </c>
      <c r="G495" s="23"/>
      <c r="H495" s="23" t="str">
        <f t="shared" si="1"/>
        <v>INSERT INTO tblDayAttendanceLog VALUES (seqDayAttendanceLog.nextval, 158, TO_DATE('2025-08-05', 'YYYY-MM-DD'), TO_DATE('2025-08-05 09:25:00', 'YYYY-MM-DD HH24:MI:SS'), TO_DATE('2025-08-05 17:50:00', 'YYYY-MM-DD HH24:MI:SS'));</v>
      </c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</row>
    <row r="496">
      <c r="A496" s="25" t="s">
        <v>206</v>
      </c>
      <c r="B496" s="26">
        <v>159.0</v>
      </c>
      <c r="C496" s="27">
        <v>45874.0</v>
      </c>
      <c r="D496" s="28">
        <v>45874.41388888889</v>
      </c>
      <c r="E496" s="28">
        <v>45874.74652777778</v>
      </c>
      <c r="F496" s="21" t="s">
        <v>189</v>
      </c>
      <c r="G496" s="23"/>
      <c r="H496" s="23" t="str">
        <f t="shared" si="1"/>
        <v>INSERT INTO tblDayAttendanceLog VALUES (seqDayAttendanceLog.nextval, 159, TO_DATE('2025-08-05', 'YYYY-MM-DD'), TO_DATE('2025-08-05 09:56:00', 'YYYY-MM-DD HH24:MI:SS'), TO_DATE('2025-08-05 17:55:00', 'YYYY-MM-DD HH24:MI:SS'));</v>
      </c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</row>
    <row r="497">
      <c r="A497" s="25" t="s">
        <v>206</v>
      </c>
      <c r="B497" s="26">
        <v>160.0</v>
      </c>
      <c r="C497" s="27">
        <v>45874.0</v>
      </c>
      <c r="D497" s="28">
        <v>45874.33472222222</v>
      </c>
      <c r="E497" s="28">
        <v>45874.745833333334</v>
      </c>
      <c r="F497" s="21" t="s">
        <v>184</v>
      </c>
      <c r="G497" s="23"/>
      <c r="H497" s="23" t="str">
        <f t="shared" si="1"/>
        <v>INSERT INTO tblDayAttendanceLog VALUES (seqDayAttendanceLog.nextval, 160, TO_DATE('2025-08-05', 'YYYY-MM-DD'), TO_DATE('2025-08-05 08:02:00', 'YYYY-MM-DD HH24:MI:SS'), TO_DATE('2025-08-05 17:54:00', 'YYYY-MM-DD HH24:MI:SS'));</v>
      </c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</row>
    <row r="498">
      <c r="A498" s="25" t="s">
        <v>206</v>
      </c>
      <c r="B498" s="26">
        <v>161.0</v>
      </c>
      <c r="C498" s="27">
        <v>45874.0</v>
      </c>
      <c r="D498" s="28">
        <v>45874.396527777775</v>
      </c>
      <c r="E498" s="28">
        <v>45874.74722222222</v>
      </c>
      <c r="F498" s="21" t="s">
        <v>189</v>
      </c>
      <c r="G498" s="23"/>
      <c r="H498" s="23" t="str">
        <f t="shared" si="1"/>
        <v>INSERT INTO tblDayAttendanceLog VALUES (seqDayAttendanceLog.nextval, 161, TO_DATE('2025-08-05', 'YYYY-MM-DD'), TO_DATE('2025-08-05 09:31:00', 'YYYY-MM-DD HH24:MI:SS'), TO_DATE('2025-08-05 17:56:00', 'YYYY-MM-DD HH24:MI:SS'));</v>
      </c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</row>
    <row r="499">
      <c r="A499" s="25" t="s">
        <v>206</v>
      </c>
      <c r="B499" s="26">
        <v>162.0</v>
      </c>
      <c r="C499" s="27">
        <v>45874.0</v>
      </c>
      <c r="D499" s="28">
        <v>45874.36666666667</v>
      </c>
      <c r="E499" s="28">
        <v>45874.748611111114</v>
      </c>
      <c r="F499" s="21" t="s">
        <v>184</v>
      </c>
      <c r="G499" s="23"/>
      <c r="H499" s="23" t="str">
        <f t="shared" si="1"/>
        <v>INSERT INTO tblDayAttendanceLog VALUES (seqDayAttendanceLog.nextval, 162, TO_DATE('2025-08-05', 'YYYY-MM-DD'), TO_DATE('2025-08-05 08:48:00', 'YYYY-MM-DD HH24:MI:SS'), TO_DATE('2025-08-05 17:58:00', 'YYYY-MM-DD HH24:MI:SS'));</v>
      </c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</row>
    <row r="500">
      <c r="A500" s="25" t="s">
        <v>206</v>
      </c>
      <c r="B500" s="26">
        <v>163.0</v>
      </c>
      <c r="C500" s="27">
        <v>45874.0</v>
      </c>
      <c r="D500" s="28">
        <v>45874.37569444445</v>
      </c>
      <c r="E500" s="28">
        <v>45874.74375</v>
      </c>
      <c r="F500" s="21" t="s">
        <v>189</v>
      </c>
      <c r="G500" s="23"/>
      <c r="H500" s="23" t="str">
        <f t="shared" si="1"/>
        <v>INSERT INTO tblDayAttendanceLog VALUES (seqDayAttendanceLog.nextval, 163, TO_DATE('2025-08-05', 'YYYY-MM-DD'), TO_DATE('2025-08-05 09:01:00', 'YYYY-MM-DD HH24:MI:SS'), TO_DATE('2025-08-05 17:51:00', 'YYYY-MM-DD HH24:MI:SS'));</v>
      </c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</row>
    <row r="501">
      <c r="A501" s="25" t="s">
        <v>206</v>
      </c>
      <c r="B501" s="26">
        <v>164.0</v>
      </c>
      <c r="C501" s="27">
        <v>45874.0</v>
      </c>
      <c r="D501" s="28">
        <v>45874.33888888889</v>
      </c>
      <c r="E501" s="28">
        <v>45874.743055555555</v>
      </c>
      <c r="F501" s="21" t="s">
        <v>184</v>
      </c>
      <c r="G501" s="23"/>
      <c r="H501" s="23" t="str">
        <f t="shared" si="1"/>
        <v>INSERT INTO tblDayAttendanceLog VALUES (seqDayAttendanceLog.nextval, 164, TO_DATE('2025-08-05', 'YYYY-MM-DD'), TO_DATE('2025-08-05 08:08:00', 'YYYY-MM-DD HH24:MI:SS'), TO_DATE('2025-08-05 17:50:00', 'YYYY-MM-DD HH24:MI:SS'));</v>
      </c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</row>
    <row r="502">
      <c r="A502" s="25" t="s">
        <v>206</v>
      </c>
      <c r="B502" s="26">
        <v>165.0</v>
      </c>
      <c r="C502" s="27">
        <v>45874.0</v>
      </c>
      <c r="D502" s="28">
        <v>45874.396527777775</v>
      </c>
      <c r="E502" s="28">
        <v>45874.743055555555</v>
      </c>
      <c r="F502" s="21" t="s">
        <v>189</v>
      </c>
      <c r="G502" s="23"/>
      <c r="H502" s="23" t="str">
        <f t="shared" si="1"/>
        <v>INSERT INTO tblDayAttendanceLog VALUES (seqDayAttendanceLog.nextval, 165, TO_DATE('2025-08-05', 'YYYY-MM-DD'), TO_DATE('2025-08-05 09:31:00', 'YYYY-MM-DD HH24:MI:SS'), TO_DATE('2025-08-05 17:50:00', 'YYYY-MM-DD HH24:MI:SS'));</v>
      </c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</row>
    <row r="503">
      <c r="A503" s="25" t="s">
        <v>206</v>
      </c>
      <c r="B503" s="26">
        <v>166.0</v>
      </c>
      <c r="C503" s="27">
        <v>45874.0</v>
      </c>
      <c r="D503" s="28">
        <v>45874.413194444445</v>
      </c>
      <c r="E503" s="28">
        <v>45874.74444444444</v>
      </c>
      <c r="F503" s="21" t="s">
        <v>189</v>
      </c>
      <c r="G503" s="23"/>
      <c r="H503" s="23" t="str">
        <f t="shared" si="1"/>
        <v>INSERT INTO tblDayAttendanceLog VALUES (seqDayAttendanceLog.nextval, 166, TO_DATE('2025-08-05', 'YYYY-MM-DD'), TO_DATE('2025-08-05 09:55:00', 'YYYY-MM-DD HH24:MI:SS'), TO_DATE('2025-08-05 17:52:00', 'YYYY-MM-DD HH24:MI:SS'));</v>
      </c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</row>
    <row r="504">
      <c r="A504" s="25" t="s">
        <v>206</v>
      </c>
      <c r="B504" s="26">
        <v>167.0</v>
      </c>
      <c r="C504" s="27">
        <v>45874.0</v>
      </c>
      <c r="D504" s="28">
        <v>45874.39236111111</v>
      </c>
      <c r="E504" s="28">
        <v>45874.74513888889</v>
      </c>
      <c r="F504" s="21" t="s">
        <v>189</v>
      </c>
      <c r="G504" s="23"/>
      <c r="H504" s="23" t="str">
        <f t="shared" si="1"/>
        <v>INSERT INTO tblDayAttendanceLog VALUES (seqDayAttendanceLog.nextval, 167, TO_DATE('2025-08-05', 'YYYY-MM-DD'), TO_DATE('2025-08-05 09:25:00', 'YYYY-MM-DD HH24:MI:SS'), TO_DATE('2025-08-05 17:53:00', 'YYYY-MM-DD HH24:MI:SS'));</v>
      </c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</row>
    <row r="505">
      <c r="A505" s="25" t="s">
        <v>206</v>
      </c>
      <c r="B505" s="26">
        <v>168.0</v>
      </c>
      <c r="C505" s="27">
        <v>45874.0</v>
      </c>
      <c r="D505" s="28">
        <v>45874.336805555555</v>
      </c>
      <c r="E505" s="28">
        <v>45874.745833333334</v>
      </c>
      <c r="F505" s="21" t="s">
        <v>184</v>
      </c>
      <c r="G505" s="23"/>
      <c r="H505" s="23" t="str">
        <f t="shared" si="1"/>
        <v>INSERT INTO tblDayAttendanceLog VALUES (seqDayAttendanceLog.nextval, 168, TO_DATE('2025-08-05', 'YYYY-MM-DD'), TO_DATE('2025-08-05 08:05:00', 'YYYY-MM-DD HH24:MI:SS'), TO_DATE('2025-08-05 17:54:00', 'YYYY-MM-DD HH24:MI:SS'));</v>
      </c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</row>
    <row r="506">
      <c r="A506" s="25" t="s">
        <v>206</v>
      </c>
      <c r="B506" s="26">
        <v>1.0</v>
      </c>
      <c r="C506" s="27">
        <v>45875.0</v>
      </c>
      <c r="D506" s="28">
        <v>45875.350694444445</v>
      </c>
      <c r="E506" s="28">
        <v>45875.745833333334</v>
      </c>
      <c r="F506" s="21" t="s">
        <v>184</v>
      </c>
      <c r="G506" s="23"/>
      <c r="H506" s="23" t="str">
        <f t="shared" si="1"/>
        <v>INSERT INTO tblDayAttendanceLog VALUES (seqDayAttendanceLog.nextval, 1, TO_DATE('2025-08-06', 'YYYY-MM-DD'), TO_DATE('2025-08-06 08:25:00', 'YYYY-MM-DD HH24:MI:SS'), TO_DATE('2025-08-06 17:54:00', 'YYYY-MM-DD HH24:MI:SS'));</v>
      </c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</row>
    <row r="507">
      <c r="A507" s="25" t="s">
        <v>206</v>
      </c>
      <c r="B507" s="26">
        <v>2.0</v>
      </c>
      <c r="C507" s="27">
        <v>45875.0</v>
      </c>
      <c r="D507" s="28">
        <v>45875.339583333334</v>
      </c>
      <c r="E507" s="28">
        <v>45875.743055555555</v>
      </c>
      <c r="F507" s="21" t="s">
        <v>184</v>
      </c>
      <c r="G507" s="23"/>
      <c r="H507" s="23" t="str">
        <f t="shared" si="1"/>
        <v>INSERT INTO tblDayAttendanceLog VALUES (seqDayAttendanceLog.nextval, 2, TO_DATE('2025-08-06', 'YYYY-MM-DD'), TO_DATE('2025-08-06 08:09:00', 'YYYY-MM-DD HH24:MI:SS'), TO_DATE('2025-08-06 17:50:00', 'YYYY-MM-DD HH24:MI:SS'));</v>
      </c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</row>
    <row r="508">
      <c r="A508" s="25" t="s">
        <v>206</v>
      </c>
      <c r="B508" s="26">
        <v>3.0</v>
      </c>
      <c r="C508" s="27">
        <v>45875.0</v>
      </c>
      <c r="D508" s="28">
        <v>45875.38888888889</v>
      </c>
      <c r="E508" s="28">
        <v>45875.74444444444</v>
      </c>
      <c r="F508" s="21" t="s">
        <v>189</v>
      </c>
      <c r="G508" s="23"/>
      <c r="H508" s="23" t="str">
        <f t="shared" si="1"/>
        <v>INSERT INTO tblDayAttendanceLog VALUES (seqDayAttendanceLog.nextval, 3, TO_DATE('2025-08-06', 'YYYY-MM-DD'), TO_DATE('2025-08-06 09:20:00', 'YYYY-MM-DD HH24:MI:SS'), TO_DATE('2025-08-06 17:52:00', 'YYYY-MM-DD HH24:MI:SS'));</v>
      </c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</row>
    <row r="509">
      <c r="A509" s="25" t="s">
        <v>206</v>
      </c>
      <c r="B509" s="26">
        <v>4.0</v>
      </c>
      <c r="C509" s="27">
        <v>45875.0</v>
      </c>
      <c r="D509" s="28">
        <v>45875.40555555555</v>
      </c>
      <c r="E509" s="28">
        <v>45875.745833333334</v>
      </c>
      <c r="F509" s="21" t="s">
        <v>189</v>
      </c>
      <c r="G509" s="23"/>
      <c r="H509" s="23" t="str">
        <f t="shared" si="1"/>
        <v>INSERT INTO tblDayAttendanceLog VALUES (seqDayAttendanceLog.nextval, 4, TO_DATE('2025-08-06', 'YYYY-MM-DD'), TO_DATE('2025-08-06 09:44:00', 'YYYY-MM-DD HH24:MI:SS'), TO_DATE('2025-08-06 17:54:00', 'YYYY-MM-DD HH24:MI:SS'));</v>
      </c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</row>
    <row r="510">
      <c r="A510" s="25" t="s">
        <v>206</v>
      </c>
      <c r="B510" s="26">
        <v>5.0</v>
      </c>
      <c r="C510" s="27">
        <v>45875.0</v>
      </c>
      <c r="D510" s="28">
        <v>45875.37569444445</v>
      </c>
      <c r="E510" s="28">
        <v>45875.74375</v>
      </c>
      <c r="F510" s="21" t="s">
        <v>189</v>
      </c>
      <c r="G510" s="23"/>
      <c r="H510" s="23" t="str">
        <f t="shared" si="1"/>
        <v>INSERT INTO tblDayAttendanceLog VALUES (seqDayAttendanceLog.nextval, 5, TO_DATE('2025-08-06', 'YYYY-MM-DD'), TO_DATE('2025-08-06 09:01:00', 'YYYY-MM-DD HH24:MI:SS'), TO_DATE('2025-08-06 17:51:00', 'YYYY-MM-DD HH24:MI:SS'));</v>
      </c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</row>
    <row r="511">
      <c r="A511" s="25" t="s">
        <v>206</v>
      </c>
      <c r="B511" s="26">
        <v>6.0</v>
      </c>
      <c r="C511" s="27">
        <v>45875.0</v>
      </c>
      <c r="D511" s="28">
        <v>45875.39236111111</v>
      </c>
      <c r="E511" s="28">
        <v>45875.743055555555</v>
      </c>
      <c r="F511" s="21" t="s">
        <v>189</v>
      </c>
      <c r="G511" s="23"/>
      <c r="H511" s="23" t="str">
        <f t="shared" si="1"/>
        <v>INSERT INTO tblDayAttendanceLog VALUES (seqDayAttendanceLog.nextval, 6, TO_DATE('2025-08-06', 'YYYY-MM-DD'), TO_DATE('2025-08-06 09:25:00', 'YYYY-MM-DD HH24:MI:SS'), TO_DATE('2025-08-06 17:50:00', 'YYYY-MM-DD HH24:MI:SS'));</v>
      </c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</row>
    <row r="512">
      <c r="A512" s="25" t="s">
        <v>206</v>
      </c>
      <c r="B512" s="26">
        <v>7.0</v>
      </c>
      <c r="C512" s="27">
        <v>45875.0</v>
      </c>
      <c r="D512" s="28">
        <v>45875.36319444444</v>
      </c>
      <c r="E512" s="28">
        <v>45875.743055555555</v>
      </c>
      <c r="F512" s="21" t="s">
        <v>184</v>
      </c>
      <c r="G512" s="23"/>
      <c r="H512" s="23" t="str">
        <f t="shared" si="1"/>
        <v>INSERT INTO tblDayAttendanceLog VALUES (seqDayAttendanceLog.nextval, 7, TO_DATE('2025-08-06', 'YYYY-MM-DD'), TO_DATE('2025-08-06 08:43:00', 'YYYY-MM-DD HH24:MI:SS'), TO_DATE('2025-08-06 17:50:00', 'YYYY-MM-DD HH24:MI:SS'));</v>
      </c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</row>
    <row r="513">
      <c r="A513" s="25" t="s">
        <v>206</v>
      </c>
      <c r="B513" s="26">
        <v>8.0</v>
      </c>
      <c r="C513" s="27">
        <v>45875.0</v>
      </c>
      <c r="D513" s="28">
        <v>45875.40277777778</v>
      </c>
      <c r="E513" s="28">
        <v>45875.745833333334</v>
      </c>
      <c r="F513" s="21" t="s">
        <v>189</v>
      </c>
      <c r="G513" s="23"/>
      <c r="H513" s="23" t="str">
        <f t="shared" si="1"/>
        <v>INSERT INTO tblDayAttendanceLog VALUES (seqDayAttendanceLog.nextval, 8, TO_DATE('2025-08-06', 'YYYY-MM-DD'), TO_DATE('2025-08-06 09:40:00', 'YYYY-MM-DD HH24:MI:SS'), TO_DATE('2025-08-06 17:54:00', 'YYYY-MM-DD HH24:MI:SS'));</v>
      </c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</row>
    <row r="514">
      <c r="A514" s="25" t="s">
        <v>206</v>
      </c>
      <c r="B514" s="26">
        <v>9.0</v>
      </c>
      <c r="C514" s="27">
        <v>45875.0</v>
      </c>
      <c r="D514" s="28">
        <v>45875.35972222222</v>
      </c>
      <c r="E514" s="28">
        <v>45875.74513888889</v>
      </c>
      <c r="F514" s="21" t="s">
        <v>184</v>
      </c>
      <c r="G514" s="23"/>
      <c r="H514" s="23" t="str">
        <f t="shared" si="1"/>
        <v>INSERT INTO tblDayAttendanceLog VALUES (seqDayAttendanceLog.nextval, 9, TO_DATE('2025-08-06', 'YYYY-MM-DD'), TO_DATE('2025-08-06 08:38:00', 'YYYY-MM-DD HH24:MI:SS'), TO_DATE('2025-08-06 17:53:00', 'YYYY-MM-DD HH24:MI:SS'));</v>
      </c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</row>
    <row r="515">
      <c r="A515" s="25" t="s">
        <v>206</v>
      </c>
      <c r="B515" s="26">
        <v>10.0</v>
      </c>
      <c r="C515" s="27">
        <v>45875.0</v>
      </c>
      <c r="D515" s="28">
        <v>45875.34652777778</v>
      </c>
      <c r="E515" s="28">
        <v>45875.745833333334</v>
      </c>
      <c r="F515" s="21" t="s">
        <v>184</v>
      </c>
      <c r="G515" s="23"/>
      <c r="H515" s="23" t="str">
        <f t="shared" si="1"/>
        <v>INSERT INTO tblDayAttendanceLog VALUES (seqDayAttendanceLog.nextval, 10, TO_DATE('2025-08-06', 'YYYY-MM-DD'), TO_DATE('2025-08-06 08:19:00', 'YYYY-MM-DD HH24:MI:SS'), TO_DATE('2025-08-06 17:54:00', 'YYYY-MM-DD HH24:MI:SS'));</v>
      </c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</row>
    <row r="516">
      <c r="A516" s="25" t="s">
        <v>206</v>
      </c>
      <c r="B516" s="26">
        <v>11.0</v>
      </c>
      <c r="C516" s="27">
        <v>45875.0</v>
      </c>
      <c r="D516" s="28">
        <v>45875.36319444444</v>
      </c>
      <c r="E516" s="28">
        <v>45875.74722222222</v>
      </c>
      <c r="F516" s="21" t="s">
        <v>184</v>
      </c>
      <c r="G516" s="23"/>
      <c r="H516" s="23" t="str">
        <f t="shared" si="1"/>
        <v>INSERT INTO tblDayAttendanceLog VALUES (seqDayAttendanceLog.nextval, 11, TO_DATE('2025-08-06', 'YYYY-MM-DD'), TO_DATE('2025-08-06 08:43:00', 'YYYY-MM-DD HH24:MI:SS'), TO_DATE('2025-08-06 17:56:00', 'YYYY-MM-DD HH24:MI:SS'));</v>
      </c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</row>
    <row r="517">
      <c r="A517" s="25" t="s">
        <v>206</v>
      </c>
      <c r="B517" s="26">
        <v>12.0</v>
      </c>
      <c r="C517" s="27">
        <v>45875.0</v>
      </c>
      <c r="D517" s="28">
        <v>45875.36875</v>
      </c>
      <c r="E517" s="28">
        <v>45875.748611111114</v>
      </c>
      <c r="F517" s="21" t="s">
        <v>184</v>
      </c>
      <c r="G517" s="23"/>
      <c r="H517" s="23" t="str">
        <f t="shared" si="1"/>
        <v>INSERT INTO tblDayAttendanceLog VALUES (seqDayAttendanceLog.nextval, 12, TO_DATE('2025-08-06', 'YYYY-MM-DD'), TO_DATE('2025-08-06 08:51:00', 'YYYY-MM-DD HH24:MI:SS'), TO_DATE('2025-08-06 17:58:00', 'YYYY-MM-DD HH24:MI:SS'));</v>
      </c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</row>
    <row r="518">
      <c r="A518" s="25" t="s">
        <v>206</v>
      </c>
      <c r="B518" s="26">
        <v>13.0</v>
      </c>
      <c r="C518" s="27">
        <v>45875.0</v>
      </c>
      <c r="D518" s="28">
        <v>45875.38055555556</v>
      </c>
      <c r="E518" s="28">
        <v>45875.743055555555</v>
      </c>
      <c r="F518" s="21" t="s">
        <v>189</v>
      </c>
      <c r="G518" s="23"/>
      <c r="H518" s="23" t="str">
        <f t="shared" si="1"/>
        <v>INSERT INTO tblDayAttendanceLog VALUES (seqDayAttendanceLog.nextval, 13, TO_DATE('2025-08-06', 'YYYY-MM-DD'), TO_DATE('2025-08-06 09:08:00', 'YYYY-MM-DD HH24:MI:SS'), TO_DATE('2025-08-06 17:50:00', 'YYYY-MM-DD HH24:MI:SS'));</v>
      </c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</row>
    <row r="519">
      <c r="A519" s="25" t="s">
        <v>206</v>
      </c>
      <c r="B519" s="26">
        <v>14.0</v>
      </c>
      <c r="C519" s="27">
        <v>45875.0</v>
      </c>
      <c r="D519" s="28">
        <v>45875.40625</v>
      </c>
      <c r="E519" s="28">
        <v>45875.743055555555</v>
      </c>
      <c r="F519" s="21" t="s">
        <v>189</v>
      </c>
      <c r="G519" s="23"/>
      <c r="H519" s="23" t="str">
        <f t="shared" si="1"/>
        <v>INSERT INTO tblDayAttendanceLog VALUES (seqDayAttendanceLog.nextval, 14, TO_DATE('2025-08-06', 'YYYY-MM-DD'), TO_DATE('2025-08-06 09:45:00', 'YYYY-MM-DD HH24:MI:SS'), TO_DATE('2025-08-06 17:50:00', 'YYYY-MM-DD HH24:MI:SS'));</v>
      </c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</row>
    <row r="520">
      <c r="A520" s="25" t="s">
        <v>206</v>
      </c>
      <c r="B520" s="26">
        <v>15.0</v>
      </c>
      <c r="C520" s="27">
        <v>45875.0</v>
      </c>
      <c r="D520" s="28">
        <v>45875.345138888886</v>
      </c>
      <c r="E520" s="28">
        <v>45875.74652777778</v>
      </c>
      <c r="F520" s="21" t="s">
        <v>184</v>
      </c>
      <c r="G520" s="23"/>
      <c r="H520" s="23" t="str">
        <f t="shared" si="1"/>
        <v>INSERT INTO tblDayAttendanceLog VALUES (seqDayAttendanceLog.nextval, 15, TO_DATE('2025-08-06', 'YYYY-MM-DD'), TO_DATE('2025-08-06 08:17:00', 'YYYY-MM-DD HH24:MI:SS'), TO_DATE('2025-08-06 17:55:00', 'YYYY-MM-DD HH24:MI:SS'));</v>
      </c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</row>
    <row r="521">
      <c r="A521" s="25" t="s">
        <v>206</v>
      </c>
      <c r="B521" s="26">
        <v>16.0</v>
      </c>
      <c r="C521" s="27">
        <v>45875.0</v>
      </c>
      <c r="D521" s="28">
        <v>45875.39791666667</v>
      </c>
      <c r="E521" s="28">
        <v>45875.74375</v>
      </c>
      <c r="F521" s="21" t="s">
        <v>189</v>
      </c>
      <c r="G521" s="23"/>
      <c r="H521" s="23" t="str">
        <f t="shared" si="1"/>
        <v>INSERT INTO tblDayAttendanceLog VALUES (seqDayAttendanceLog.nextval, 16, TO_DATE('2025-08-06', 'YYYY-MM-DD'), TO_DATE('2025-08-06 09:33:00', 'YYYY-MM-DD HH24:MI:SS'), TO_DATE('2025-08-06 17:51:00', 'YYYY-MM-DD HH24:MI:SS'));</v>
      </c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</row>
    <row r="522">
      <c r="A522" s="25" t="s">
        <v>206</v>
      </c>
      <c r="B522" s="26">
        <v>17.0</v>
      </c>
      <c r="C522" s="27">
        <v>45875.0</v>
      </c>
      <c r="D522" s="28">
        <v>45875.347916666666</v>
      </c>
      <c r="E522" s="28">
        <v>45875.74444444444</v>
      </c>
      <c r="F522" s="21" t="s">
        <v>184</v>
      </c>
      <c r="G522" s="23"/>
      <c r="H522" s="23" t="str">
        <f t="shared" si="1"/>
        <v>INSERT INTO tblDayAttendanceLog VALUES (seqDayAttendanceLog.nextval, 17, TO_DATE('2025-08-06', 'YYYY-MM-DD'), TO_DATE('2025-08-06 08:21:00', 'YYYY-MM-DD HH24:MI:SS'), TO_DATE('2025-08-06 17:52:00', 'YYYY-MM-DD HH24:MI:SS'));</v>
      </c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</row>
    <row r="523">
      <c r="A523" s="25" t="s">
        <v>206</v>
      </c>
      <c r="B523" s="26">
        <v>18.0</v>
      </c>
      <c r="C523" s="27">
        <v>45875.0</v>
      </c>
      <c r="D523" s="28">
        <v>45875.353472222225</v>
      </c>
      <c r="E523" s="28">
        <v>45875.74791666667</v>
      </c>
      <c r="F523" s="21" t="s">
        <v>184</v>
      </c>
      <c r="G523" s="23"/>
      <c r="H523" s="23" t="str">
        <f t="shared" si="1"/>
        <v>INSERT INTO tblDayAttendanceLog VALUES (seqDayAttendanceLog.nextval, 18, TO_DATE('2025-08-06', 'YYYY-MM-DD'), TO_DATE('2025-08-06 08:29:00', 'YYYY-MM-DD HH24:MI:SS'), TO_DATE('2025-08-06 17:57:00', 'YYYY-MM-DD HH24:MI:SS'));</v>
      </c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</row>
    <row r="524">
      <c r="A524" s="25" t="s">
        <v>206</v>
      </c>
      <c r="B524" s="26">
        <v>19.0</v>
      </c>
      <c r="C524" s="27">
        <v>45875.0</v>
      </c>
      <c r="D524" s="28">
        <v>45875.407638888886</v>
      </c>
      <c r="E524" s="28">
        <v>45875.74513888889</v>
      </c>
      <c r="F524" s="21" t="s">
        <v>189</v>
      </c>
      <c r="G524" s="23"/>
      <c r="H524" s="23" t="str">
        <f t="shared" si="1"/>
        <v>INSERT INTO tblDayAttendanceLog VALUES (seqDayAttendanceLog.nextval, 19, TO_DATE('2025-08-06', 'YYYY-MM-DD'), TO_DATE('2025-08-06 09:47:00', 'YYYY-MM-DD HH24:MI:SS'), TO_DATE('2025-08-06 17:53:00', 'YYYY-MM-DD HH24:MI:SS'));</v>
      </c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</row>
    <row r="525">
      <c r="A525" s="25" t="s">
        <v>206</v>
      </c>
      <c r="B525" s="26">
        <v>20.0</v>
      </c>
      <c r="C525" s="27">
        <v>45875.0</v>
      </c>
      <c r="D525" s="28">
        <v>45875.40138888889</v>
      </c>
      <c r="E525" s="28">
        <v>45875.74513888889</v>
      </c>
      <c r="F525" s="21" t="s">
        <v>189</v>
      </c>
      <c r="G525" s="23"/>
      <c r="H525" s="23" t="str">
        <f t="shared" si="1"/>
        <v>INSERT INTO tblDayAttendanceLog VALUES (seqDayAttendanceLog.nextval, 20, TO_DATE('2025-08-06', 'YYYY-MM-DD'), TO_DATE('2025-08-06 09:38:00', 'YYYY-MM-DD HH24:MI:SS'), TO_DATE('2025-08-06 17:53:00', 'YYYY-MM-DD HH24:MI:SS'));</v>
      </c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</row>
    <row r="526">
      <c r="A526" s="25" t="s">
        <v>206</v>
      </c>
      <c r="B526" s="26">
        <v>21.0</v>
      </c>
      <c r="C526" s="27">
        <v>45875.0</v>
      </c>
      <c r="D526" s="28">
        <v>45875.415972222225</v>
      </c>
      <c r="E526" s="28">
        <v>45875.74444444444</v>
      </c>
      <c r="F526" s="21" t="s">
        <v>189</v>
      </c>
      <c r="G526" s="23"/>
      <c r="H526" s="23" t="str">
        <f t="shared" si="1"/>
        <v>INSERT INTO tblDayAttendanceLog VALUES (seqDayAttendanceLog.nextval, 21, TO_DATE('2025-08-06', 'YYYY-MM-DD'), TO_DATE('2025-08-06 09:59:00', 'YYYY-MM-DD HH24:MI:SS'), TO_DATE('2025-08-06 17:52:00', 'YYYY-MM-DD HH24:MI:SS'));</v>
      </c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</row>
    <row r="527">
      <c r="A527" s="25" t="s">
        <v>206</v>
      </c>
      <c r="B527" s="26">
        <v>22.0</v>
      </c>
      <c r="C527" s="27">
        <v>45875.0</v>
      </c>
      <c r="D527" s="28">
        <v>45875.336805555555</v>
      </c>
      <c r="E527" s="28">
        <v>45875.74444444444</v>
      </c>
      <c r="F527" s="21" t="s">
        <v>184</v>
      </c>
      <c r="G527" s="23"/>
      <c r="H527" s="23" t="str">
        <f t="shared" si="1"/>
        <v>INSERT INTO tblDayAttendanceLog VALUES (seqDayAttendanceLog.nextval, 22, TO_DATE('2025-08-06', 'YYYY-MM-DD'), TO_DATE('2025-08-06 08:05:00', 'YYYY-MM-DD HH24:MI:SS'), TO_DATE('2025-08-06 17:52:00', 'YYYY-MM-DD HH24:MI:SS'));</v>
      </c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</row>
    <row r="528">
      <c r="A528" s="25" t="s">
        <v>206</v>
      </c>
      <c r="B528" s="26">
        <v>23.0</v>
      </c>
      <c r="C528" s="27">
        <v>45875.0</v>
      </c>
      <c r="D528" s="28">
        <v>45875.364583333336</v>
      </c>
      <c r="E528" s="28">
        <v>45875.74513888889</v>
      </c>
      <c r="F528" s="21" t="s">
        <v>184</v>
      </c>
      <c r="G528" s="23"/>
      <c r="H528" s="23" t="str">
        <f t="shared" si="1"/>
        <v>INSERT INTO tblDayAttendanceLog VALUES (seqDayAttendanceLog.nextval, 23, TO_DATE('2025-08-06', 'YYYY-MM-DD'), TO_DATE('2025-08-06 08:45:00', 'YYYY-MM-DD HH24:MI:SS'), TO_DATE('2025-08-06 17:53:00', 'YYYY-MM-DD HH24:MI:SS'));</v>
      </c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</row>
    <row r="529">
      <c r="A529" s="25" t="s">
        <v>206</v>
      </c>
      <c r="B529" s="26">
        <v>24.0</v>
      </c>
      <c r="C529" s="27">
        <v>45875.0</v>
      </c>
      <c r="D529" s="28">
        <v>45875.37847222222</v>
      </c>
      <c r="E529" s="28">
        <v>45875.74930555555</v>
      </c>
      <c r="F529" s="21" t="s">
        <v>189</v>
      </c>
      <c r="G529" s="23"/>
      <c r="H529" s="23" t="str">
        <f t="shared" si="1"/>
        <v>INSERT INTO tblDayAttendanceLog VALUES (seqDayAttendanceLog.nextval, 24, TO_DATE('2025-08-06', 'YYYY-MM-DD'), TO_DATE('2025-08-06 09:05:00', 'YYYY-MM-DD HH24:MI:SS'), TO_DATE('2025-08-06 17:59:00', 'YYYY-MM-DD HH24:MI:SS'));</v>
      </c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</row>
    <row r="530">
      <c r="A530" s="25" t="s">
        <v>206</v>
      </c>
      <c r="B530" s="26">
        <v>25.0</v>
      </c>
      <c r="C530" s="27">
        <v>45875.0</v>
      </c>
      <c r="D530" s="28">
        <v>45875.37569444445</v>
      </c>
      <c r="E530" s="28">
        <v>45875.74930555555</v>
      </c>
      <c r="F530" s="21" t="s">
        <v>189</v>
      </c>
      <c r="G530" s="23"/>
      <c r="H530" s="23" t="str">
        <f t="shared" si="1"/>
        <v>INSERT INTO tblDayAttendanceLog VALUES (seqDayAttendanceLog.nextval, 25, TO_DATE('2025-08-06', 'YYYY-MM-DD'), TO_DATE('2025-08-06 09:01:00', 'YYYY-MM-DD HH24:MI:SS'), TO_DATE('2025-08-06 17:59:00', 'YYYY-MM-DD HH24:MI:SS'));</v>
      </c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</row>
    <row r="531">
      <c r="A531" s="25" t="s">
        <v>206</v>
      </c>
      <c r="B531" s="26">
        <v>26.0</v>
      </c>
      <c r="C531" s="27">
        <v>45875.0</v>
      </c>
      <c r="D531" s="28">
        <v>45875.336805555555</v>
      </c>
      <c r="E531" s="28">
        <v>45875.74652777778</v>
      </c>
      <c r="F531" s="21" t="s">
        <v>184</v>
      </c>
      <c r="G531" s="23"/>
      <c r="H531" s="23" t="str">
        <f t="shared" si="1"/>
        <v>INSERT INTO tblDayAttendanceLog VALUES (seqDayAttendanceLog.nextval, 26, TO_DATE('2025-08-06', 'YYYY-MM-DD'), TO_DATE('2025-08-06 08:05:00', 'YYYY-MM-DD HH24:MI:SS'), TO_DATE('2025-08-06 17:55:00', 'YYYY-MM-DD HH24:MI:SS'));</v>
      </c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</row>
    <row r="532">
      <c r="A532" s="25" t="s">
        <v>206</v>
      </c>
      <c r="B532" s="26">
        <v>27.0</v>
      </c>
      <c r="C532" s="27">
        <v>45875.0</v>
      </c>
      <c r="D532" s="28">
        <v>45875.40694444445</v>
      </c>
      <c r="E532" s="28">
        <v>45875.74375</v>
      </c>
      <c r="F532" s="21" t="s">
        <v>189</v>
      </c>
      <c r="G532" s="23"/>
      <c r="H532" s="23" t="str">
        <f t="shared" si="1"/>
        <v>INSERT INTO tblDayAttendanceLog VALUES (seqDayAttendanceLog.nextval, 27, TO_DATE('2025-08-06', 'YYYY-MM-DD'), TO_DATE('2025-08-06 09:46:00', 'YYYY-MM-DD HH24:MI:SS'), TO_DATE('2025-08-06 17:51:00', 'YYYY-MM-DD HH24:MI:SS'));</v>
      </c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</row>
    <row r="533">
      <c r="A533" s="25" t="s">
        <v>206</v>
      </c>
      <c r="B533" s="26">
        <v>28.0</v>
      </c>
      <c r="C533" s="27">
        <v>45875.0</v>
      </c>
      <c r="D533" s="28">
        <v>45875.38680555556</v>
      </c>
      <c r="E533" s="28">
        <v>45875.74375</v>
      </c>
      <c r="F533" s="21" t="s">
        <v>189</v>
      </c>
      <c r="G533" s="23"/>
      <c r="H533" s="23" t="str">
        <f t="shared" si="1"/>
        <v>INSERT INTO tblDayAttendanceLog VALUES (seqDayAttendanceLog.nextval, 28, TO_DATE('2025-08-06', 'YYYY-MM-DD'), TO_DATE('2025-08-06 09:17:00', 'YYYY-MM-DD HH24:MI:SS'), TO_DATE('2025-08-06 17:51:00', 'YYYY-MM-DD HH24:MI:SS'));</v>
      </c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</row>
    <row r="534">
      <c r="A534" s="25" t="s">
        <v>206</v>
      </c>
      <c r="B534" s="26">
        <v>29.0</v>
      </c>
      <c r="C534" s="27">
        <v>45875.0</v>
      </c>
      <c r="D534" s="29"/>
      <c r="E534" s="29"/>
      <c r="F534" s="21" t="s">
        <v>186</v>
      </c>
      <c r="G534" s="23"/>
      <c r="H534" s="23" t="str">
        <f t="shared" si="1"/>
        <v>INSERT INTO tblDayAttendanceLog VALUES (seqDayAttendanceLog.nextval, 29, TO_DATE('2025-08-06', 'YYYY-MM-DD'), NULL, NULL);</v>
      </c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</row>
    <row r="535">
      <c r="A535" s="25" t="s">
        <v>206</v>
      </c>
      <c r="B535" s="26">
        <v>30.0</v>
      </c>
      <c r="C535" s="27">
        <v>45875.0</v>
      </c>
      <c r="D535" s="28">
        <v>45875.356944444444</v>
      </c>
      <c r="E535" s="28">
        <v>45875.74513888889</v>
      </c>
      <c r="F535" s="21" t="s">
        <v>184</v>
      </c>
      <c r="G535" s="23"/>
      <c r="H535" s="23" t="str">
        <f t="shared" si="1"/>
        <v>INSERT INTO tblDayAttendanceLog VALUES (seqDayAttendanceLog.nextval, 30, TO_DATE('2025-08-06', 'YYYY-MM-DD'), TO_DATE('2025-08-06 08:34:00', 'YYYY-MM-DD HH24:MI:SS'), TO_DATE('2025-08-06 17:53:00', 'YYYY-MM-DD HH24:MI:SS'));</v>
      </c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</row>
    <row r="536">
      <c r="A536" s="25" t="s">
        <v>206</v>
      </c>
      <c r="B536" s="26">
        <v>31.0</v>
      </c>
      <c r="C536" s="27">
        <v>45875.0</v>
      </c>
      <c r="D536" s="28">
        <v>45875.385416666664</v>
      </c>
      <c r="E536" s="28">
        <v>45875.74791666667</v>
      </c>
      <c r="F536" s="21" t="s">
        <v>189</v>
      </c>
      <c r="G536" s="23"/>
      <c r="H536" s="23" t="str">
        <f t="shared" si="1"/>
        <v>INSERT INTO tblDayAttendanceLog VALUES (seqDayAttendanceLog.nextval, 31, TO_DATE('2025-08-06', 'YYYY-MM-DD'), TO_DATE('2025-08-06 09:15:00', 'YYYY-MM-DD HH24:MI:SS'), TO_DATE('2025-08-06 17:57:00', 'YYYY-MM-DD HH24:MI:SS'));</v>
      </c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</row>
    <row r="537">
      <c r="A537" s="25" t="s">
        <v>206</v>
      </c>
      <c r="B537" s="26">
        <v>32.0</v>
      </c>
      <c r="C537" s="27">
        <v>45875.0</v>
      </c>
      <c r="D537" s="28">
        <v>45875.41458333333</v>
      </c>
      <c r="E537" s="28">
        <v>45875.74375</v>
      </c>
      <c r="F537" s="21" t="s">
        <v>189</v>
      </c>
      <c r="G537" s="23"/>
      <c r="H537" s="23" t="str">
        <f t="shared" si="1"/>
        <v>INSERT INTO tblDayAttendanceLog VALUES (seqDayAttendanceLog.nextval, 32, TO_DATE('2025-08-06', 'YYYY-MM-DD'), TO_DATE('2025-08-06 09:57:00', 'YYYY-MM-DD HH24:MI:SS'), TO_DATE('2025-08-06 17:51:00', 'YYYY-MM-DD HH24:MI:SS'));</v>
      </c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</row>
    <row r="538">
      <c r="A538" s="25" t="s">
        <v>206</v>
      </c>
      <c r="B538" s="26">
        <v>33.0</v>
      </c>
      <c r="C538" s="27">
        <v>45875.0</v>
      </c>
      <c r="D538" s="28">
        <v>45875.41388888889</v>
      </c>
      <c r="E538" s="28">
        <v>45875.745833333334</v>
      </c>
      <c r="F538" s="21" t="s">
        <v>189</v>
      </c>
      <c r="G538" s="23"/>
      <c r="H538" s="23" t="str">
        <f t="shared" si="1"/>
        <v>INSERT INTO tblDayAttendanceLog VALUES (seqDayAttendanceLog.nextval, 33, TO_DATE('2025-08-06', 'YYYY-MM-DD'), TO_DATE('2025-08-06 09:56:00', 'YYYY-MM-DD HH24:MI:SS'), TO_DATE('2025-08-06 17:54:00', 'YYYY-MM-DD HH24:MI:SS'));</v>
      </c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</row>
    <row r="539">
      <c r="A539" s="25" t="s">
        <v>206</v>
      </c>
      <c r="B539" s="26">
        <v>34.0</v>
      </c>
      <c r="C539" s="27">
        <v>45875.0</v>
      </c>
      <c r="D539" s="28">
        <v>45875.413194444445</v>
      </c>
      <c r="E539" s="28">
        <v>45875.74444444444</v>
      </c>
      <c r="F539" s="21" t="s">
        <v>189</v>
      </c>
      <c r="G539" s="23"/>
      <c r="H539" s="23" t="str">
        <f t="shared" si="1"/>
        <v>INSERT INTO tblDayAttendanceLog VALUES (seqDayAttendanceLog.nextval, 34, TO_DATE('2025-08-06', 'YYYY-MM-DD'), TO_DATE('2025-08-06 09:55:00', 'YYYY-MM-DD HH24:MI:SS'), TO_DATE('2025-08-06 17:52:00', 'YYYY-MM-DD HH24:MI:SS'));</v>
      </c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</row>
    <row r="540">
      <c r="A540" s="25" t="s">
        <v>206</v>
      </c>
      <c r="B540" s="26">
        <v>35.0</v>
      </c>
      <c r="C540" s="27">
        <v>45875.0</v>
      </c>
      <c r="D540" s="28">
        <v>45875.35486111111</v>
      </c>
      <c r="E540" s="28">
        <v>45875.748611111114</v>
      </c>
      <c r="F540" s="21" t="s">
        <v>184</v>
      </c>
      <c r="G540" s="23"/>
      <c r="H540" s="23" t="str">
        <f t="shared" si="1"/>
        <v>INSERT INTO tblDayAttendanceLog VALUES (seqDayAttendanceLog.nextval, 35, TO_DATE('2025-08-06', 'YYYY-MM-DD'), TO_DATE('2025-08-06 08:31:00', 'YYYY-MM-DD HH24:MI:SS'), TO_DATE('2025-08-06 17:58:00', 'YYYY-MM-DD HH24:MI:SS'));</v>
      </c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</row>
    <row r="541">
      <c r="A541" s="25" t="s">
        <v>206</v>
      </c>
      <c r="B541" s="26">
        <v>36.0</v>
      </c>
      <c r="C541" s="27">
        <v>45875.0</v>
      </c>
      <c r="D541" s="28">
        <v>45875.373611111114</v>
      </c>
      <c r="E541" s="28">
        <v>45875.74444444444</v>
      </c>
      <c r="F541" s="21" t="s">
        <v>184</v>
      </c>
      <c r="G541" s="23"/>
      <c r="H541" s="23" t="str">
        <f t="shared" si="1"/>
        <v>INSERT INTO tblDayAttendanceLog VALUES (seqDayAttendanceLog.nextval, 36, TO_DATE('2025-08-06', 'YYYY-MM-DD'), TO_DATE('2025-08-06 08:58:00', 'YYYY-MM-DD HH24:MI:SS'), TO_DATE('2025-08-06 17:52:00', 'YYYY-MM-DD HH24:MI:SS'));</v>
      </c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</row>
    <row r="542">
      <c r="A542" s="25" t="s">
        <v>206</v>
      </c>
      <c r="B542" s="26">
        <v>37.0</v>
      </c>
      <c r="C542" s="27">
        <v>45875.0</v>
      </c>
      <c r="D542" s="28">
        <v>45875.415972222225</v>
      </c>
      <c r="E542" s="28">
        <v>45875.74375</v>
      </c>
      <c r="F542" s="21" t="s">
        <v>189</v>
      </c>
      <c r="G542" s="23"/>
      <c r="H542" s="23" t="str">
        <f t="shared" si="1"/>
        <v>INSERT INTO tblDayAttendanceLog VALUES (seqDayAttendanceLog.nextval, 37, TO_DATE('2025-08-06', 'YYYY-MM-DD'), TO_DATE('2025-08-06 09:59:00', 'YYYY-MM-DD HH24:MI:SS'), TO_DATE('2025-08-06 17:51:00', 'YYYY-MM-DD HH24:MI:SS'));</v>
      </c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</row>
    <row r="543">
      <c r="A543" s="25" t="s">
        <v>206</v>
      </c>
      <c r="B543" s="26">
        <v>38.0</v>
      </c>
      <c r="C543" s="27">
        <v>45875.0</v>
      </c>
      <c r="D543" s="28">
        <v>45875.39027777778</v>
      </c>
      <c r="E543" s="28">
        <v>45875.74513888889</v>
      </c>
      <c r="F543" s="21" t="s">
        <v>189</v>
      </c>
      <c r="G543" s="23"/>
      <c r="H543" s="23" t="str">
        <f t="shared" si="1"/>
        <v>INSERT INTO tblDayAttendanceLog VALUES (seqDayAttendanceLog.nextval, 38, TO_DATE('2025-08-06', 'YYYY-MM-DD'), TO_DATE('2025-08-06 09:22:00', 'YYYY-MM-DD HH24:MI:SS'), TO_DATE('2025-08-06 17:53:00', 'YYYY-MM-DD HH24:MI:SS'));</v>
      </c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</row>
    <row r="544">
      <c r="A544" s="25" t="s">
        <v>206</v>
      </c>
      <c r="B544" s="26">
        <v>39.0</v>
      </c>
      <c r="C544" s="27">
        <v>45875.0</v>
      </c>
      <c r="D544" s="28">
        <v>45875.34166666667</v>
      </c>
      <c r="E544" s="28">
        <v>45875.745833333334</v>
      </c>
      <c r="F544" s="21" t="s">
        <v>184</v>
      </c>
      <c r="G544" s="23"/>
      <c r="H544" s="23" t="str">
        <f t="shared" si="1"/>
        <v>INSERT INTO tblDayAttendanceLog VALUES (seqDayAttendanceLog.nextval, 39, TO_DATE('2025-08-06', 'YYYY-MM-DD'), TO_DATE('2025-08-06 08:12:00', 'YYYY-MM-DD HH24:MI:SS'), TO_DATE('2025-08-06 17:54:00', 'YYYY-MM-DD HH24:MI:SS'));</v>
      </c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</row>
    <row r="545">
      <c r="A545" s="25" t="s">
        <v>206</v>
      </c>
      <c r="B545" s="26">
        <v>40.0</v>
      </c>
      <c r="C545" s="27">
        <v>45875.0</v>
      </c>
      <c r="D545" s="28">
        <v>45875.40555555555</v>
      </c>
      <c r="E545" s="28">
        <v>45875.74791666667</v>
      </c>
      <c r="F545" s="21" t="s">
        <v>189</v>
      </c>
      <c r="G545" s="23"/>
      <c r="H545" s="23" t="str">
        <f t="shared" si="1"/>
        <v>INSERT INTO tblDayAttendanceLog VALUES (seqDayAttendanceLog.nextval, 40, TO_DATE('2025-08-06', 'YYYY-MM-DD'), TO_DATE('2025-08-06 09:44:00', 'YYYY-MM-DD HH24:MI:SS'), TO_DATE('2025-08-06 17:57:00', 'YYYY-MM-DD HH24:MI:SS'));</v>
      </c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</row>
    <row r="546">
      <c r="A546" s="25" t="s">
        <v>206</v>
      </c>
      <c r="B546" s="26">
        <v>41.0</v>
      </c>
      <c r="C546" s="27">
        <v>45875.0</v>
      </c>
      <c r="D546" s="28">
        <v>45875.39444444444</v>
      </c>
      <c r="E546" s="28">
        <v>45875.743055555555</v>
      </c>
      <c r="F546" s="21" t="s">
        <v>189</v>
      </c>
      <c r="G546" s="23"/>
      <c r="H546" s="23" t="str">
        <f t="shared" si="1"/>
        <v>INSERT INTO tblDayAttendanceLog VALUES (seqDayAttendanceLog.nextval, 41, TO_DATE('2025-08-06', 'YYYY-MM-DD'), TO_DATE('2025-08-06 09:28:00', 'YYYY-MM-DD HH24:MI:SS'), TO_DATE('2025-08-06 17:50:00', 'YYYY-MM-DD HH24:MI:SS'));</v>
      </c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</row>
    <row r="547">
      <c r="A547" s="25" t="s">
        <v>206</v>
      </c>
      <c r="B547" s="26">
        <v>42.0</v>
      </c>
      <c r="C547" s="27">
        <v>45875.0</v>
      </c>
      <c r="D547" s="28">
        <v>45875.34652777778</v>
      </c>
      <c r="E547" s="28">
        <v>45875.74652777778</v>
      </c>
      <c r="F547" s="21" t="s">
        <v>184</v>
      </c>
      <c r="G547" s="23"/>
      <c r="H547" s="23" t="str">
        <f t="shared" si="1"/>
        <v>INSERT INTO tblDayAttendanceLog VALUES (seqDayAttendanceLog.nextval, 42, TO_DATE('2025-08-06', 'YYYY-MM-DD'), TO_DATE('2025-08-06 08:19:00', 'YYYY-MM-DD HH24:MI:SS'), TO_DATE('2025-08-06 17:55:00', 'YYYY-MM-DD HH24:MI:SS'));</v>
      </c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</row>
    <row r="548">
      <c r="A548" s="25" t="s">
        <v>206</v>
      </c>
      <c r="B548" s="26">
        <v>43.0</v>
      </c>
      <c r="C548" s="27">
        <v>45875.0</v>
      </c>
      <c r="D548" s="28">
        <v>45875.365277777775</v>
      </c>
      <c r="E548" s="28">
        <v>45875.748611111114</v>
      </c>
      <c r="F548" s="21" t="s">
        <v>184</v>
      </c>
      <c r="G548" s="23"/>
      <c r="H548" s="23" t="str">
        <f t="shared" si="1"/>
        <v>INSERT INTO tblDayAttendanceLog VALUES (seqDayAttendanceLog.nextval, 43, TO_DATE('2025-08-06', 'YYYY-MM-DD'), TO_DATE('2025-08-06 08:46:00', 'YYYY-MM-DD HH24:MI:SS'), TO_DATE('2025-08-06 17:58:00', 'YYYY-MM-DD HH24:MI:SS'));</v>
      </c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</row>
    <row r="549">
      <c r="A549" s="25" t="s">
        <v>206</v>
      </c>
      <c r="B549" s="26">
        <v>44.0</v>
      </c>
      <c r="C549" s="27">
        <v>45875.0</v>
      </c>
      <c r="D549" s="28">
        <v>45875.40277777778</v>
      </c>
      <c r="E549" s="28">
        <v>45875.74652777778</v>
      </c>
      <c r="F549" s="21" t="s">
        <v>189</v>
      </c>
      <c r="G549" s="23"/>
      <c r="H549" s="23" t="str">
        <f t="shared" si="1"/>
        <v>INSERT INTO tblDayAttendanceLog VALUES (seqDayAttendanceLog.nextval, 44, TO_DATE('2025-08-06', 'YYYY-MM-DD'), TO_DATE('2025-08-06 09:40:00', 'YYYY-MM-DD HH24:MI:SS'), TO_DATE('2025-08-06 17:55:00', 'YYYY-MM-DD HH24:MI:SS'));</v>
      </c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</row>
    <row r="550">
      <c r="A550" s="25" t="s">
        <v>206</v>
      </c>
      <c r="B550" s="26">
        <v>45.0</v>
      </c>
      <c r="C550" s="27">
        <v>45875.0</v>
      </c>
      <c r="D550" s="28">
        <v>45875.35625</v>
      </c>
      <c r="E550" s="28">
        <v>45875.74652777778</v>
      </c>
      <c r="F550" s="21" t="s">
        <v>184</v>
      </c>
      <c r="G550" s="23"/>
      <c r="H550" s="23" t="str">
        <f t="shared" si="1"/>
        <v>INSERT INTO tblDayAttendanceLog VALUES (seqDayAttendanceLog.nextval, 45, TO_DATE('2025-08-06', 'YYYY-MM-DD'), TO_DATE('2025-08-06 08:33:00', 'YYYY-MM-DD HH24:MI:SS'), TO_DATE('2025-08-06 17:55:00', 'YYYY-MM-DD HH24:MI:SS'));</v>
      </c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</row>
    <row r="551">
      <c r="A551" s="25" t="s">
        <v>206</v>
      </c>
      <c r="B551" s="26">
        <v>46.0</v>
      </c>
      <c r="C551" s="27">
        <v>45875.0</v>
      </c>
      <c r="D551" s="28">
        <v>45875.38055555556</v>
      </c>
      <c r="E551" s="28">
        <v>45875.74652777778</v>
      </c>
      <c r="F551" s="21" t="s">
        <v>189</v>
      </c>
      <c r="G551" s="23"/>
      <c r="H551" s="23" t="str">
        <f t="shared" si="1"/>
        <v>INSERT INTO tblDayAttendanceLog VALUES (seqDayAttendanceLog.nextval, 46, TO_DATE('2025-08-06', 'YYYY-MM-DD'), TO_DATE('2025-08-06 09:08:00', 'YYYY-MM-DD HH24:MI:SS'), TO_DATE('2025-08-06 17:55:00', 'YYYY-MM-DD HH24:MI:SS'));</v>
      </c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</row>
    <row r="552">
      <c r="A552" s="25" t="s">
        <v>206</v>
      </c>
      <c r="B552" s="26">
        <v>47.0</v>
      </c>
      <c r="C552" s="27">
        <v>45875.0</v>
      </c>
      <c r="D552" s="28">
        <v>45875.345138888886</v>
      </c>
      <c r="E552" s="28">
        <v>45875.74722222222</v>
      </c>
      <c r="F552" s="21" t="s">
        <v>184</v>
      </c>
      <c r="G552" s="23"/>
      <c r="H552" s="23" t="str">
        <f t="shared" si="1"/>
        <v>INSERT INTO tblDayAttendanceLog VALUES (seqDayAttendanceLog.nextval, 47, TO_DATE('2025-08-06', 'YYYY-MM-DD'), TO_DATE('2025-08-06 08:17:00', 'YYYY-MM-DD HH24:MI:SS'), TO_DATE('2025-08-06 17:56:00', 'YYYY-MM-DD HH24:MI:SS'));</v>
      </c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</row>
    <row r="553">
      <c r="A553" s="25" t="s">
        <v>206</v>
      </c>
      <c r="B553" s="26">
        <v>48.0</v>
      </c>
      <c r="C553" s="27">
        <v>45875.0</v>
      </c>
      <c r="D553" s="28">
        <v>45875.37222222222</v>
      </c>
      <c r="E553" s="28">
        <v>45875.74722222222</v>
      </c>
      <c r="F553" s="21" t="s">
        <v>184</v>
      </c>
      <c r="G553" s="23"/>
      <c r="H553" s="23" t="str">
        <f t="shared" si="1"/>
        <v>INSERT INTO tblDayAttendanceLog VALUES (seqDayAttendanceLog.nextval, 48, TO_DATE('2025-08-06', 'YYYY-MM-DD'), TO_DATE('2025-08-06 08:56:00', 'YYYY-MM-DD HH24:MI:SS'), TO_DATE('2025-08-06 17:56:00', 'YYYY-MM-DD HH24:MI:SS'));</v>
      </c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</row>
    <row r="554">
      <c r="A554" s="25" t="s">
        <v>206</v>
      </c>
      <c r="B554" s="26">
        <v>49.0</v>
      </c>
      <c r="C554" s="27">
        <v>45875.0</v>
      </c>
      <c r="D554" s="28">
        <v>45875.345138888886</v>
      </c>
      <c r="E554" s="28">
        <v>45875.74791666667</v>
      </c>
      <c r="F554" s="21" t="s">
        <v>184</v>
      </c>
      <c r="G554" s="23"/>
      <c r="H554" s="23" t="str">
        <f t="shared" si="1"/>
        <v>INSERT INTO tblDayAttendanceLog VALUES (seqDayAttendanceLog.nextval, 49, TO_DATE('2025-08-06', 'YYYY-MM-DD'), TO_DATE('2025-08-06 08:17:00', 'YYYY-MM-DD HH24:MI:SS'), TO_DATE('2025-08-06 17:57:00', 'YYYY-MM-DD HH24:MI:SS'));</v>
      </c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</row>
    <row r="555">
      <c r="A555" s="25" t="s">
        <v>206</v>
      </c>
      <c r="B555" s="26">
        <v>50.0</v>
      </c>
      <c r="C555" s="27">
        <v>45875.0</v>
      </c>
      <c r="D555" s="28">
        <v>45875.373611111114</v>
      </c>
      <c r="E555" s="28">
        <v>45875.74652777778</v>
      </c>
      <c r="F555" s="21" t="s">
        <v>184</v>
      </c>
      <c r="G555" s="23"/>
      <c r="H555" s="23" t="str">
        <f t="shared" si="1"/>
        <v>INSERT INTO tblDayAttendanceLog VALUES (seqDayAttendanceLog.nextval, 50, TO_DATE('2025-08-06', 'YYYY-MM-DD'), TO_DATE('2025-08-06 08:58:00', 'YYYY-MM-DD HH24:MI:SS'), TO_DATE('2025-08-06 17:55:00', 'YYYY-MM-DD HH24:MI:SS'));</v>
      </c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</row>
    <row r="556">
      <c r="A556" s="25" t="s">
        <v>206</v>
      </c>
      <c r="B556" s="26">
        <v>51.0</v>
      </c>
      <c r="C556" s="27">
        <v>45875.0</v>
      </c>
      <c r="D556" s="28">
        <v>45875.36111111111</v>
      </c>
      <c r="E556" s="28">
        <v>45875.74375</v>
      </c>
      <c r="F556" s="21" t="s">
        <v>184</v>
      </c>
      <c r="G556" s="23"/>
      <c r="H556" s="23" t="str">
        <f t="shared" si="1"/>
        <v>INSERT INTO tblDayAttendanceLog VALUES (seqDayAttendanceLog.nextval, 51, TO_DATE('2025-08-06', 'YYYY-MM-DD'), TO_DATE('2025-08-06 08:40:00', 'YYYY-MM-DD HH24:MI:SS'), TO_DATE('2025-08-06 17:51:00', 'YYYY-MM-DD HH24:MI:SS'));</v>
      </c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</row>
    <row r="557">
      <c r="A557" s="25" t="s">
        <v>206</v>
      </c>
      <c r="B557" s="26">
        <v>52.0</v>
      </c>
      <c r="C557" s="27">
        <v>45875.0</v>
      </c>
      <c r="D557" s="28">
        <v>45875.34444444445</v>
      </c>
      <c r="E557" s="28">
        <v>45875.74375</v>
      </c>
      <c r="F557" s="21" t="s">
        <v>184</v>
      </c>
      <c r="G557" s="23"/>
      <c r="H557" s="23" t="str">
        <f t="shared" si="1"/>
        <v>INSERT INTO tblDayAttendanceLog VALUES (seqDayAttendanceLog.nextval, 52, TO_DATE('2025-08-06', 'YYYY-MM-DD'), TO_DATE('2025-08-06 08:16:00', 'YYYY-MM-DD HH24:MI:SS'), TO_DATE('2025-08-06 17:51:00', 'YYYY-MM-DD HH24:MI:SS'));</v>
      </c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</row>
    <row r="558">
      <c r="A558" s="25" t="s">
        <v>206</v>
      </c>
      <c r="B558" s="26">
        <v>53.0</v>
      </c>
      <c r="C558" s="27">
        <v>45875.0</v>
      </c>
      <c r="D558" s="28">
        <v>45875.41111111111</v>
      </c>
      <c r="E558" s="28">
        <v>45875.74652777778</v>
      </c>
      <c r="F558" s="21" t="s">
        <v>189</v>
      </c>
      <c r="G558" s="23"/>
      <c r="H558" s="23" t="str">
        <f t="shared" si="1"/>
        <v>INSERT INTO tblDayAttendanceLog VALUES (seqDayAttendanceLog.nextval, 53, TO_DATE('2025-08-06', 'YYYY-MM-DD'), TO_DATE('2025-08-06 09:52:00', 'YYYY-MM-DD HH24:MI:SS'), TO_DATE('2025-08-06 17:55:00', 'YYYY-MM-DD HH24:MI:SS'));</v>
      </c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</row>
    <row r="559">
      <c r="A559" s="25" t="s">
        <v>206</v>
      </c>
      <c r="B559" s="26">
        <v>54.0</v>
      </c>
      <c r="C559" s="27">
        <v>45875.0</v>
      </c>
      <c r="D559" s="28">
        <v>45875.388194444444</v>
      </c>
      <c r="E559" s="28">
        <v>45875.74513888889</v>
      </c>
      <c r="F559" s="21" t="s">
        <v>189</v>
      </c>
      <c r="G559" s="23"/>
      <c r="H559" s="23" t="str">
        <f t="shared" si="1"/>
        <v>INSERT INTO tblDayAttendanceLog VALUES (seqDayAttendanceLog.nextval, 54, TO_DATE('2025-08-06', 'YYYY-MM-DD'), TO_DATE('2025-08-06 09:19:00', 'YYYY-MM-DD HH24:MI:SS'), TO_DATE('2025-08-06 17:53:00', 'YYYY-MM-DD HH24:MI:SS'));</v>
      </c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</row>
    <row r="560">
      <c r="A560" s="25" t="s">
        <v>206</v>
      </c>
      <c r="B560" s="26">
        <v>55.0</v>
      </c>
      <c r="C560" s="27">
        <v>45875.0</v>
      </c>
      <c r="D560" s="28">
        <v>45875.407638888886</v>
      </c>
      <c r="E560" s="28">
        <v>45875.74930555555</v>
      </c>
      <c r="F560" s="21" t="s">
        <v>189</v>
      </c>
      <c r="G560" s="23"/>
      <c r="H560" s="23" t="str">
        <f t="shared" si="1"/>
        <v>INSERT INTO tblDayAttendanceLog VALUES (seqDayAttendanceLog.nextval, 55, TO_DATE('2025-08-06', 'YYYY-MM-DD'), TO_DATE('2025-08-06 09:47:00', 'YYYY-MM-DD HH24:MI:SS'), TO_DATE('2025-08-06 17:59:00', 'YYYY-MM-DD HH24:MI:SS'));</v>
      </c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</row>
    <row r="561">
      <c r="A561" s="25" t="s">
        <v>206</v>
      </c>
      <c r="B561" s="26">
        <v>56.0</v>
      </c>
      <c r="C561" s="27">
        <v>45875.0</v>
      </c>
      <c r="D561" s="28">
        <v>45875.339583333334</v>
      </c>
      <c r="E561" s="28">
        <v>45875.74722222222</v>
      </c>
      <c r="F561" s="21" t="s">
        <v>184</v>
      </c>
      <c r="G561" s="23"/>
      <c r="H561" s="23" t="str">
        <f t="shared" si="1"/>
        <v>INSERT INTO tblDayAttendanceLog VALUES (seqDayAttendanceLog.nextval, 56, TO_DATE('2025-08-06', 'YYYY-MM-DD'), TO_DATE('2025-08-06 08:09:00', 'YYYY-MM-DD HH24:MI:SS'), TO_DATE('2025-08-06 17:56:00', 'YYYY-MM-DD HH24:MI:SS'));</v>
      </c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</row>
    <row r="562">
      <c r="A562" s="25" t="s">
        <v>206</v>
      </c>
      <c r="B562" s="26">
        <v>57.0</v>
      </c>
      <c r="C562" s="27">
        <v>45875.0</v>
      </c>
      <c r="D562" s="28">
        <v>45875.36041666667</v>
      </c>
      <c r="E562" s="28">
        <v>45875.74375</v>
      </c>
      <c r="F562" s="21" t="s">
        <v>184</v>
      </c>
      <c r="G562" s="23"/>
      <c r="H562" s="23" t="str">
        <f t="shared" si="1"/>
        <v>INSERT INTO tblDayAttendanceLog VALUES (seqDayAttendanceLog.nextval, 57, TO_DATE('2025-08-06', 'YYYY-MM-DD'), TO_DATE('2025-08-06 08:39:00', 'YYYY-MM-DD HH24:MI:SS'), TO_DATE('2025-08-06 17:51:00', 'YYYY-MM-DD HH24:MI:SS'));</v>
      </c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</row>
    <row r="563">
      <c r="A563" s="25" t="s">
        <v>206</v>
      </c>
      <c r="B563" s="26">
        <v>58.0</v>
      </c>
      <c r="C563" s="27">
        <v>45875.0</v>
      </c>
      <c r="D563" s="28">
        <v>45875.376388888886</v>
      </c>
      <c r="E563" s="28">
        <v>45875.748611111114</v>
      </c>
      <c r="F563" s="21" t="s">
        <v>189</v>
      </c>
      <c r="G563" s="23"/>
      <c r="H563" s="23" t="str">
        <f t="shared" si="1"/>
        <v>INSERT INTO tblDayAttendanceLog VALUES (seqDayAttendanceLog.nextval, 58, TO_DATE('2025-08-06', 'YYYY-MM-DD'), TO_DATE('2025-08-06 09:02:00', 'YYYY-MM-DD HH24:MI:SS'), TO_DATE('2025-08-06 17:58:00', 'YYYY-MM-DD HH24:MI:SS'));</v>
      </c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</row>
    <row r="564">
      <c r="A564" s="25" t="s">
        <v>206</v>
      </c>
      <c r="B564" s="26">
        <v>59.0</v>
      </c>
      <c r="C564" s="27">
        <v>45875.0</v>
      </c>
      <c r="D564" s="28">
        <v>45875.35902777778</v>
      </c>
      <c r="E564" s="28">
        <v>45875.74375</v>
      </c>
      <c r="F564" s="21" t="s">
        <v>184</v>
      </c>
      <c r="G564" s="23"/>
      <c r="H564" s="23" t="str">
        <f t="shared" si="1"/>
        <v>INSERT INTO tblDayAttendanceLog VALUES (seqDayAttendanceLog.nextval, 59, TO_DATE('2025-08-06', 'YYYY-MM-DD'), TO_DATE('2025-08-06 08:37:00', 'YYYY-MM-DD HH24:MI:SS'), TO_DATE('2025-08-06 17:51:00', 'YYYY-MM-DD HH24:MI:SS'));</v>
      </c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</row>
    <row r="565">
      <c r="A565" s="25" t="s">
        <v>206</v>
      </c>
      <c r="B565" s="26">
        <v>60.0</v>
      </c>
      <c r="C565" s="27">
        <v>45875.0</v>
      </c>
      <c r="D565" s="28">
        <v>45875.3625</v>
      </c>
      <c r="E565" s="28">
        <v>45875.74375</v>
      </c>
      <c r="F565" s="21" t="s">
        <v>184</v>
      </c>
      <c r="G565" s="23"/>
      <c r="H565" s="23" t="str">
        <f t="shared" si="1"/>
        <v>INSERT INTO tblDayAttendanceLog VALUES (seqDayAttendanceLog.nextval, 60, TO_DATE('2025-08-06', 'YYYY-MM-DD'), TO_DATE('2025-08-06 08:42:00', 'YYYY-MM-DD HH24:MI:SS'), TO_DATE('2025-08-06 17:51:00', 'YYYY-MM-DD HH24:MI:SS'));</v>
      </c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</row>
    <row r="566">
      <c r="A566" s="25" t="s">
        <v>206</v>
      </c>
      <c r="B566" s="26">
        <v>61.0</v>
      </c>
      <c r="C566" s="27">
        <v>45875.0</v>
      </c>
      <c r="D566" s="28">
        <v>45875.37986111111</v>
      </c>
      <c r="E566" s="28">
        <v>45875.74930555555</v>
      </c>
      <c r="F566" s="21" t="s">
        <v>189</v>
      </c>
      <c r="G566" s="23"/>
      <c r="H566" s="23" t="str">
        <f t="shared" si="1"/>
        <v>INSERT INTO tblDayAttendanceLog VALUES (seqDayAttendanceLog.nextval, 61, TO_DATE('2025-08-06', 'YYYY-MM-DD'), TO_DATE('2025-08-06 09:07:00', 'YYYY-MM-DD HH24:MI:SS'), TO_DATE('2025-08-06 17:59:00', 'YYYY-MM-DD HH24:MI:SS'));</v>
      </c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</row>
    <row r="567">
      <c r="A567" s="25" t="s">
        <v>206</v>
      </c>
      <c r="B567" s="26">
        <v>62.0</v>
      </c>
      <c r="C567" s="27">
        <v>45875.0</v>
      </c>
      <c r="D567" s="28">
        <v>45875.39375</v>
      </c>
      <c r="E567" s="28">
        <v>45875.74652777778</v>
      </c>
      <c r="F567" s="21" t="s">
        <v>189</v>
      </c>
      <c r="G567" s="23"/>
      <c r="H567" s="23" t="str">
        <f t="shared" si="1"/>
        <v>INSERT INTO tblDayAttendanceLog VALUES (seqDayAttendanceLog.nextval, 62, TO_DATE('2025-08-06', 'YYYY-MM-DD'), TO_DATE('2025-08-06 09:27:00', 'YYYY-MM-DD HH24:MI:SS'), TO_DATE('2025-08-06 17:55:00', 'YYYY-MM-DD HH24:MI:SS'));</v>
      </c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</row>
    <row r="568">
      <c r="A568" s="25" t="s">
        <v>206</v>
      </c>
      <c r="B568" s="26">
        <v>63.0</v>
      </c>
      <c r="C568" s="27">
        <v>45875.0</v>
      </c>
      <c r="D568" s="28">
        <v>45875.40694444445</v>
      </c>
      <c r="E568" s="28">
        <v>45875.74375</v>
      </c>
      <c r="F568" s="21" t="s">
        <v>189</v>
      </c>
      <c r="G568" s="23"/>
      <c r="H568" s="23" t="str">
        <f t="shared" si="1"/>
        <v>INSERT INTO tblDayAttendanceLog VALUES (seqDayAttendanceLog.nextval, 63, TO_DATE('2025-08-06', 'YYYY-MM-DD'), TO_DATE('2025-08-06 09:46:00', 'YYYY-MM-DD HH24:MI:SS'), TO_DATE('2025-08-06 17:51:00', 'YYYY-MM-DD HH24:MI:SS'));</v>
      </c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</row>
    <row r="569">
      <c r="A569" s="25" t="s">
        <v>206</v>
      </c>
      <c r="B569" s="26">
        <v>64.0</v>
      </c>
      <c r="C569" s="27">
        <v>45875.0</v>
      </c>
      <c r="D569" s="28">
        <v>45875.415972222225</v>
      </c>
      <c r="E569" s="28">
        <v>45875.74652777778</v>
      </c>
      <c r="F569" s="21" t="s">
        <v>189</v>
      </c>
      <c r="G569" s="23"/>
      <c r="H569" s="23" t="str">
        <f t="shared" si="1"/>
        <v>INSERT INTO tblDayAttendanceLog VALUES (seqDayAttendanceLog.nextval, 64, TO_DATE('2025-08-06', 'YYYY-MM-DD'), TO_DATE('2025-08-06 09:59:00', 'YYYY-MM-DD HH24:MI:SS'), TO_DATE('2025-08-06 17:55:00', 'YYYY-MM-DD HH24:MI:SS'));</v>
      </c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</row>
    <row r="570">
      <c r="A570" s="25" t="s">
        <v>206</v>
      </c>
      <c r="B570" s="26">
        <v>65.0</v>
      </c>
      <c r="C570" s="27">
        <v>45875.0</v>
      </c>
      <c r="D570" s="29"/>
      <c r="E570" s="29"/>
      <c r="F570" s="21" t="s">
        <v>186</v>
      </c>
      <c r="G570" s="23"/>
      <c r="H570" s="23" t="str">
        <f t="shared" si="1"/>
        <v>INSERT INTO tblDayAttendanceLog VALUES (seqDayAttendanceLog.nextval, 65, TO_DATE('2025-08-06', 'YYYY-MM-DD'), NULL, NULL);</v>
      </c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</row>
    <row r="571">
      <c r="A571" s="25" t="s">
        <v>206</v>
      </c>
      <c r="B571" s="26">
        <v>66.0</v>
      </c>
      <c r="C571" s="27">
        <v>45875.0</v>
      </c>
      <c r="D571" s="28">
        <v>45875.347916666666</v>
      </c>
      <c r="E571" s="28">
        <v>45875.74722222222</v>
      </c>
      <c r="F571" s="21" t="s">
        <v>184</v>
      </c>
      <c r="G571" s="23"/>
      <c r="H571" s="23" t="str">
        <f t="shared" si="1"/>
        <v>INSERT INTO tblDayAttendanceLog VALUES (seqDayAttendanceLog.nextval, 66, TO_DATE('2025-08-06', 'YYYY-MM-DD'), TO_DATE('2025-08-06 08:21:00', 'YYYY-MM-DD HH24:MI:SS'), TO_DATE('2025-08-06 17:56:00', 'YYYY-MM-DD HH24:MI:SS'));</v>
      </c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</row>
    <row r="572">
      <c r="A572" s="25" t="s">
        <v>206</v>
      </c>
      <c r="B572" s="26">
        <v>67.0</v>
      </c>
      <c r="C572" s="27">
        <v>45875.0</v>
      </c>
      <c r="D572" s="28">
        <v>45875.36319444444</v>
      </c>
      <c r="E572" s="28">
        <v>45875.74930555555</v>
      </c>
      <c r="F572" s="21" t="s">
        <v>184</v>
      </c>
      <c r="G572" s="23"/>
      <c r="H572" s="23" t="str">
        <f t="shared" si="1"/>
        <v>INSERT INTO tblDayAttendanceLog VALUES (seqDayAttendanceLog.nextval, 67, TO_DATE('2025-08-06', 'YYYY-MM-DD'), TO_DATE('2025-08-06 08:43:00', 'YYYY-MM-DD HH24:MI:SS'), TO_DATE('2025-08-06 17:59:00', 'YYYY-MM-DD HH24:MI:SS'));</v>
      </c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</row>
    <row r="573">
      <c r="A573" s="25" t="s">
        <v>206</v>
      </c>
      <c r="B573" s="26">
        <v>68.0</v>
      </c>
      <c r="C573" s="27">
        <v>45875.0</v>
      </c>
      <c r="D573" s="28">
        <v>45875.36944444444</v>
      </c>
      <c r="E573" s="28">
        <v>45875.74930555555</v>
      </c>
      <c r="F573" s="21" t="s">
        <v>184</v>
      </c>
      <c r="G573" s="23"/>
      <c r="H573" s="23" t="str">
        <f t="shared" si="1"/>
        <v>INSERT INTO tblDayAttendanceLog VALUES (seqDayAttendanceLog.nextval, 68, TO_DATE('2025-08-06', 'YYYY-MM-DD'), TO_DATE('2025-08-06 08:52:00', 'YYYY-MM-DD HH24:MI:SS'), TO_DATE('2025-08-06 17:59:00', 'YYYY-MM-DD HH24:MI:SS'));</v>
      </c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</row>
    <row r="574">
      <c r="A574" s="25" t="s">
        <v>206</v>
      </c>
      <c r="B574" s="26">
        <v>69.0</v>
      </c>
      <c r="C574" s="27">
        <v>45875.0</v>
      </c>
      <c r="D574" s="28">
        <v>45875.36111111111</v>
      </c>
      <c r="E574" s="28">
        <v>45875.74375</v>
      </c>
      <c r="F574" s="21" t="s">
        <v>184</v>
      </c>
      <c r="G574" s="23"/>
      <c r="H574" s="23" t="str">
        <f t="shared" si="1"/>
        <v>INSERT INTO tblDayAttendanceLog VALUES (seqDayAttendanceLog.nextval, 69, TO_DATE('2025-08-06', 'YYYY-MM-DD'), TO_DATE('2025-08-06 08:40:00', 'YYYY-MM-DD HH24:MI:SS'), TO_DATE('2025-08-06 17:51:00', 'YYYY-MM-DD HH24:MI:SS'));</v>
      </c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</row>
    <row r="575">
      <c r="A575" s="25" t="s">
        <v>206</v>
      </c>
      <c r="B575" s="26">
        <v>70.0</v>
      </c>
      <c r="C575" s="27">
        <v>45875.0</v>
      </c>
      <c r="D575" s="28">
        <v>45875.350694444445</v>
      </c>
      <c r="E575" s="28">
        <v>45875.74513888889</v>
      </c>
      <c r="F575" s="21" t="s">
        <v>184</v>
      </c>
      <c r="G575" s="23"/>
      <c r="H575" s="23" t="str">
        <f t="shared" si="1"/>
        <v>INSERT INTO tblDayAttendanceLog VALUES (seqDayAttendanceLog.nextval, 70, TO_DATE('2025-08-06', 'YYYY-MM-DD'), TO_DATE('2025-08-06 08:25:00', 'YYYY-MM-DD HH24:MI:SS'), TO_DATE('2025-08-06 17:53:00', 'YYYY-MM-DD HH24:MI:SS'));</v>
      </c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</row>
    <row r="576">
      <c r="A576" s="25" t="s">
        <v>206</v>
      </c>
      <c r="B576" s="26">
        <v>71.0</v>
      </c>
      <c r="C576" s="27">
        <v>45875.0</v>
      </c>
      <c r="D576" s="28">
        <v>45875.365277777775</v>
      </c>
      <c r="E576" s="28">
        <v>45875.74930555555</v>
      </c>
      <c r="F576" s="21" t="s">
        <v>184</v>
      </c>
      <c r="G576" s="23"/>
      <c r="H576" s="23" t="str">
        <f t="shared" si="1"/>
        <v>INSERT INTO tblDayAttendanceLog VALUES (seqDayAttendanceLog.nextval, 71, TO_DATE('2025-08-06', 'YYYY-MM-DD'), TO_DATE('2025-08-06 08:46:00', 'YYYY-MM-DD HH24:MI:SS'), TO_DATE('2025-08-06 17:59:00', 'YYYY-MM-DD HH24:MI:SS'));</v>
      </c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</row>
    <row r="577">
      <c r="A577" s="25" t="s">
        <v>206</v>
      </c>
      <c r="B577" s="26">
        <v>72.0</v>
      </c>
      <c r="C577" s="27">
        <v>45875.0</v>
      </c>
      <c r="D577" s="28">
        <v>45875.39861111111</v>
      </c>
      <c r="E577" s="28">
        <v>45875.74791666667</v>
      </c>
      <c r="F577" s="21" t="s">
        <v>189</v>
      </c>
      <c r="G577" s="23"/>
      <c r="H577" s="23" t="str">
        <f t="shared" si="1"/>
        <v>INSERT INTO tblDayAttendanceLog VALUES (seqDayAttendanceLog.nextval, 72, TO_DATE('2025-08-06', 'YYYY-MM-DD'), TO_DATE('2025-08-06 09:34:00', 'YYYY-MM-DD HH24:MI:SS'), TO_DATE('2025-08-06 17:57:00', 'YYYY-MM-DD HH24:MI:SS'));</v>
      </c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</row>
    <row r="578">
      <c r="A578" s="25" t="s">
        <v>206</v>
      </c>
      <c r="B578" s="26">
        <v>73.0</v>
      </c>
      <c r="C578" s="27">
        <v>45875.0</v>
      </c>
      <c r="D578" s="29"/>
      <c r="E578" s="29"/>
      <c r="F578" s="21" t="s">
        <v>186</v>
      </c>
      <c r="G578" s="23"/>
      <c r="H578" s="23" t="str">
        <f t="shared" si="1"/>
        <v>INSERT INTO tblDayAttendanceLog VALUES (seqDayAttendanceLog.nextval, 73, TO_DATE('2025-08-06', 'YYYY-MM-DD'), NULL, NULL);</v>
      </c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</row>
    <row r="579">
      <c r="A579" s="25" t="s">
        <v>206</v>
      </c>
      <c r="B579" s="26">
        <v>74.0</v>
      </c>
      <c r="C579" s="27">
        <v>45875.0</v>
      </c>
      <c r="D579" s="28">
        <v>45875.36319444444</v>
      </c>
      <c r="E579" s="28">
        <v>45875.74791666667</v>
      </c>
      <c r="F579" s="21" t="s">
        <v>184</v>
      </c>
      <c r="G579" s="23"/>
      <c r="H579" s="23" t="str">
        <f t="shared" si="1"/>
        <v>INSERT INTO tblDayAttendanceLog VALUES (seqDayAttendanceLog.nextval, 74, TO_DATE('2025-08-06', 'YYYY-MM-DD'), TO_DATE('2025-08-06 08:43:00', 'YYYY-MM-DD HH24:MI:SS'), TO_DATE('2025-08-06 17:57:00', 'YYYY-MM-DD HH24:MI:SS'));</v>
      </c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</row>
    <row r="580">
      <c r="A580" s="25" t="s">
        <v>206</v>
      </c>
      <c r="B580" s="26">
        <v>75.0</v>
      </c>
      <c r="C580" s="27">
        <v>45875.0</v>
      </c>
      <c r="D580" s="28">
        <v>45875.37152777778</v>
      </c>
      <c r="E580" s="28">
        <v>45875.74652777778</v>
      </c>
      <c r="F580" s="21" t="s">
        <v>184</v>
      </c>
      <c r="G580" s="23"/>
      <c r="H580" s="23" t="str">
        <f t="shared" si="1"/>
        <v>INSERT INTO tblDayAttendanceLog VALUES (seqDayAttendanceLog.nextval, 75, TO_DATE('2025-08-06', 'YYYY-MM-DD'), TO_DATE('2025-08-06 08:55:00', 'YYYY-MM-DD HH24:MI:SS'), TO_DATE('2025-08-06 17:55:00', 'YYYY-MM-DD HH24:MI:SS'));</v>
      </c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</row>
    <row r="581">
      <c r="A581" s="25" t="s">
        <v>206</v>
      </c>
      <c r="B581" s="26">
        <v>76.0</v>
      </c>
      <c r="C581" s="27">
        <v>45875.0</v>
      </c>
      <c r="D581" s="28">
        <v>45875.370833333334</v>
      </c>
      <c r="E581" s="28">
        <v>45875.74930555555</v>
      </c>
      <c r="F581" s="21" t="s">
        <v>184</v>
      </c>
      <c r="G581" s="23"/>
      <c r="H581" s="23" t="str">
        <f t="shared" si="1"/>
        <v>INSERT INTO tblDayAttendanceLog VALUES (seqDayAttendanceLog.nextval, 76, TO_DATE('2025-08-06', 'YYYY-MM-DD'), TO_DATE('2025-08-06 08:54:00', 'YYYY-MM-DD HH24:MI:SS'), TO_DATE('2025-08-06 17:59:00', 'YYYY-MM-DD HH24:MI:SS'));</v>
      </c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</row>
    <row r="582">
      <c r="A582" s="25" t="s">
        <v>206</v>
      </c>
      <c r="B582" s="26">
        <v>77.0</v>
      </c>
      <c r="C582" s="27">
        <v>45875.0</v>
      </c>
      <c r="D582" s="28">
        <v>45875.34583333333</v>
      </c>
      <c r="E582" s="28">
        <v>45875.74930555555</v>
      </c>
      <c r="F582" s="21" t="s">
        <v>184</v>
      </c>
      <c r="G582" s="23"/>
      <c r="H582" s="23" t="str">
        <f t="shared" si="1"/>
        <v>INSERT INTO tblDayAttendanceLog VALUES (seqDayAttendanceLog.nextval, 77, TO_DATE('2025-08-06', 'YYYY-MM-DD'), TO_DATE('2025-08-06 08:18:00', 'YYYY-MM-DD HH24:MI:SS'), TO_DATE('2025-08-06 17:59:00', 'YYYY-MM-DD HH24:MI:SS'));</v>
      </c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</row>
    <row r="583">
      <c r="A583" s="25" t="s">
        <v>206</v>
      </c>
      <c r="B583" s="26">
        <v>78.0</v>
      </c>
      <c r="C583" s="27">
        <v>45875.0</v>
      </c>
      <c r="D583" s="28">
        <v>45875.413194444445</v>
      </c>
      <c r="E583" s="28">
        <v>45875.74930555555</v>
      </c>
      <c r="F583" s="21" t="s">
        <v>189</v>
      </c>
      <c r="G583" s="23"/>
      <c r="H583" s="23" t="str">
        <f t="shared" si="1"/>
        <v>INSERT INTO tblDayAttendanceLog VALUES (seqDayAttendanceLog.nextval, 78, TO_DATE('2025-08-06', 'YYYY-MM-DD'), TO_DATE('2025-08-06 09:55:00', 'YYYY-MM-DD HH24:MI:SS'), TO_DATE('2025-08-06 17:59:00', 'YYYY-MM-DD HH24:MI:SS'));</v>
      </c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</row>
    <row r="584">
      <c r="A584" s="25" t="s">
        <v>206</v>
      </c>
      <c r="B584" s="26">
        <v>79.0</v>
      </c>
      <c r="C584" s="27">
        <v>45875.0</v>
      </c>
      <c r="D584" s="29"/>
      <c r="E584" s="29"/>
      <c r="F584" s="21" t="s">
        <v>186</v>
      </c>
      <c r="G584" s="23"/>
      <c r="H584" s="23" t="str">
        <f t="shared" si="1"/>
        <v>INSERT INTO tblDayAttendanceLog VALUES (seqDayAttendanceLog.nextval, 79, TO_DATE('2025-08-06', 'YYYY-MM-DD'), NULL, NULL);</v>
      </c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</row>
    <row r="585">
      <c r="A585" s="25" t="s">
        <v>206</v>
      </c>
      <c r="B585" s="26">
        <v>80.0</v>
      </c>
      <c r="C585" s="27">
        <v>45875.0</v>
      </c>
      <c r="D585" s="28">
        <v>45875.356944444444</v>
      </c>
      <c r="E585" s="28">
        <v>45875.748611111114</v>
      </c>
      <c r="F585" s="21" t="s">
        <v>184</v>
      </c>
      <c r="G585" s="23"/>
      <c r="H585" s="23" t="str">
        <f t="shared" si="1"/>
        <v>INSERT INTO tblDayAttendanceLog VALUES (seqDayAttendanceLog.nextval, 80, TO_DATE('2025-08-06', 'YYYY-MM-DD'), TO_DATE('2025-08-06 08:34:00', 'YYYY-MM-DD HH24:MI:SS'), TO_DATE('2025-08-06 17:58:00', 'YYYY-MM-DD HH24:MI:SS'));</v>
      </c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</row>
    <row r="586">
      <c r="A586" s="25" t="s">
        <v>206</v>
      </c>
      <c r="B586" s="26">
        <v>81.0</v>
      </c>
      <c r="C586" s="27">
        <v>45875.0</v>
      </c>
      <c r="D586" s="28">
        <v>45875.333333333336</v>
      </c>
      <c r="E586" s="28">
        <v>45875.74791666667</v>
      </c>
      <c r="F586" s="21" t="s">
        <v>184</v>
      </c>
      <c r="G586" s="23"/>
      <c r="H586" s="23" t="str">
        <f t="shared" si="1"/>
        <v>INSERT INTO tblDayAttendanceLog VALUES (seqDayAttendanceLog.nextval, 81, TO_DATE('2025-08-06', 'YYYY-MM-DD'), TO_DATE('2025-08-06 08:00:00', 'YYYY-MM-DD HH24:MI:SS'), TO_DATE('2025-08-06 17:57:00', 'YYYY-MM-DD HH24:MI:SS'));</v>
      </c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</row>
    <row r="587">
      <c r="A587" s="25" t="s">
        <v>206</v>
      </c>
      <c r="B587" s="26">
        <v>82.0</v>
      </c>
      <c r="C587" s="27">
        <v>45875.0</v>
      </c>
      <c r="D587" s="28">
        <v>45875.38611111111</v>
      </c>
      <c r="E587" s="28">
        <v>45875.74930555555</v>
      </c>
      <c r="F587" s="21" t="s">
        <v>189</v>
      </c>
      <c r="G587" s="23"/>
      <c r="H587" s="23" t="str">
        <f t="shared" si="1"/>
        <v>INSERT INTO tblDayAttendanceLog VALUES (seqDayAttendanceLog.nextval, 82, TO_DATE('2025-08-06', 'YYYY-MM-DD'), TO_DATE('2025-08-06 09:16:00', 'YYYY-MM-DD HH24:MI:SS'), TO_DATE('2025-08-06 17:59:00', 'YYYY-MM-DD HH24:MI:SS'));</v>
      </c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</row>
    <row r="588">
      <c r="A588" s="25" t="s">
        <v>206</v>
      </c>
      <c r="B588" s="26">
        <v>83.0</v>
      </c>
      <c r="C588" s="27">
        <v>45875.0</v>
      </c>
      <c r="D588" s="28">
        <v>45875.415972222225</v>
      </c>
      <c r="E588" s="28">
        <v>45875.745833333334</v>
      </c>
      <c r="F588" s="21" t="s">
        <v>189</v>
      </c>
      <c r="G588" s="23"/>
      <c r="H588" s="23" t="str">
        <f t="shared" si="1"/>
        <v>INSERT INTO tblDayAttendanceLog VALUES (seqDayAttendanceLog.nextval, 83, TO_DATE('2025-08-06', 'YYYY-MM-DD'), TO_DATE('2025-08-06 09:59:00', 'YYYY-MM-DD HH24:MI:SS'), TO_DATE('2025-08-06 17:54:00', 'YYYY-MM-DD HH24:MI:SS'));</v>
      </c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</row>
    <row r="589">
      <c r="A589" s="25" t="s">
        <v>206</v>
      </c>
      <c r="B589" s="26">
        <v>84.0</v>
      </c>
      <c r="C589" s="27">
        <v>45875.0</v>
      </c>
      <c r="D589" s="28">
        <v>45875.40277777778</v>
      </c>
      <c r="E589" s="28">
        <v>45875.74513888889</v>
      </c>
      <c r="F589" s="21" t="s">
        <v>189</v>
      </c>
      <c r="G589" s="23"/>
      <c r="H589" s="23" t="str">
        <f t="shared" si="1"/>
        <v>INSERT INTO tblDayAttendanceLog VALUES (seqDayAttendanceLog.nextval, 84, TO_DATE('2025-08-06', 'YYYY-MM-DD'), TO_DATE('2025-08-06 09:40:00', 'YYYY-MM-DD HH24:MI:SS'), TO_DATE('2025-08-06 17:53:00', 'YYYY-MM-DD HH24:MI:SS'));</v>
      </c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</row>
    <row r="590">
      <c r="A590" s="25" t="s">
        <v>206</v>
      </c>
      <c r="B590" s="26">
        <v>85.0</v>
      </c>
      <c r="C590" s="27">
        <v>45875.0</v>
      </c>
      <c r="D590" s="28">
        <v>45875.36597222222</v>
      </c>
      <c r="E590" s="28">
        <v>45875.74444444444</v>
      </c>
      <c r="F590" s="21" t="s">
        <v>184</v>
      </c>
      <c r="G590" s="23"/>
      <c r="H590" s="23" t="str">
        <f t="shared" si="1"/>
        <v>INSERT INTO tblDayAttendanceLog VALUES (seqDayAttendanceLog.nextval, 85, TO_DATE('2025-08-06', 'YYYY-MM-DD'), TO_DATE('2025-08-06 08:47:00', 'YYYY-MM-DD HH24:MI:SS'), TO_DATE('2025-08-06 17:52:00', 'YYYY-MM-DD HH24:MI:SS'));</v>
      </c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</row>
    <row r="591">
      <c r="A591" s="25" t="s">
        <v>206</v>
      </c>
      <c r="B591" s="26">
        <v>86.0</v>
      </c>
      <c r="C591" s="27">
        <v>45875.0</v>
      </c>
      <c r="D591" s="28">
        <v>45875.39444444444</v>
      </c>
      <c r="E591" s="28">
        <v>45875.74930555555</v>
      </c>
      <c r="F591" s="21" t="s">
        <v>189</v>
      </c>
      <c r="G591" s="23"/>
      <c r="H591" s="23" t="str">
        <f t="shared" si="1"/>
        <v>INSERT INTO tblDayAttendanceLog VALUES (seqDayAttendanceLog.nextval, 86, TO_DATE('2025-08-06', 'YYYY-MM-DD'), TO_DATE('2025-08-06 09:28:00', 'YYYY-MM-DD HH24:MI:SS'), TO_DATE('2025-08-06 17:59:00', 'YYYY-MM-DD HH24:MI:SS'));</v>
      </c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</row>
    <row r="592">
      <c r="A592" s="25" t="s">
        <v>206</v>
      </c>
      <c r="B592" s="26">
        <v>87.0</v>
      </c>
      <c r="C592" s="27">
        <v>45875.0</v>
      </c>
      <c r="D592" s="29"/>
      <c r="E592" s="29"/>
      <c r="F592" s="21" t="s">
        <v>186</v>
      </c>
      <c r="G592" s="23"/>
      <c r="H592" s="23" t="str">
        <f t="shared" si="1"/>
        <v>INSERT INTO tblDayAttendanceLog VALUES (seqDayAttendanceLog.nextval, 87, TO_DATE('2025-08-06', 'YYYY-MM-DD'), NULL, NULL);</v>
      </c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</row>
    <row r="593">
      <c r="A593" s="25" t="s">
        <v>206</v>
      </c>
      <c r="B593" s="26">
        <v>88.0</v>
      </c>
      <c r="C593" s="27">
        <v>45875.0</v>
      </c>
      <c r="D593" s="28">
        <v>45875.37708333333</v>
      </c>
      <c r="E593" s="28">
        <v>45875.743055555555</v>
      </c>
      <c r="F593" s="21" t="s">
        <v>189</v>
      </c>
      <c r="G593" s="23"/>
      <c r="H593" s="23" t="str">
        <f t="shared" si="1"/>
        <v>INSERT INTO tblDayAttendanceLog VALUES (seqDayAttendanceLog.nextval, 88, TO_DATE('2025-08-06', 'YYYY-MM-DD'), TO_DATE('2025-08-06 09:03:00', 'YYYY-MM-DD HH24:MI:SS'), TO_DATE('2025-08-06 17:50:00', 'YYYY-MM-DD HH24:MI:SS'));</v>
      </c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</row>
    <row r="594">
      <c r="A594" s="25" t="s">
        <v>206</v>
      </c>
      <c r="B594" s="26">
        <v>89.0</v>
      </c>
      <c r="C594" s="27">
        <v>45875.0</v>
      </c>
      <c r="D594" s="28">
        <v>45875.37708333333</v>
      </c>
      <c r="E594" s="28">
        <v>45875.74930555555</v>
      </c>
      <c r="F594" s="21" t="s">
        <v>189</v>
      </c>
      <c r="G594" s="23"/>
      <c r="H594" s="23" t="str">
        <f t="shared" si="1"/>
        <v>INSERT INTO tblDayAttendanceLog VALUES (seqDayAttendanceLog.nextval, 89, TO_DATE('2025-08-06', 'YYYY-MM-DD'), TO_DATE('2025-08-06 09:03:00', 'YYYY-MM-DD HH24:MI:SS'), TO_DATE('2025-08-06 17:59:00', 'YYYY-MM-DD HH24:MI:SS'));</v>
      </c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</row>
    <row r="595">
      <c r="A595" s="25" t="s">
        <v>206</v>
      </c>
      <c r="B595" s="26">
        <v>90.0</v>
      </c>
      <c r="C595" s="27">
        <v>45875.0</v>
      </c>
      <c r="D595" s="28">
        <v>45875.41527777778</v>
      </c>
      <c r="E595" s="28">
        <v>45875.74513888889</v>
      </c>
      <c r="F595" s="21" t="s">
        <v>189</v>
      </c>
      <c r="G595" s="23"/>
      <c r="H595" s="23" t="str">
        <f t="shared" si="1"/>
        <v>INSERT INTO tblDayAttendanceLog VALUES (seqDayAttendanceLog.nextval, 90, TO_DATE('2025-08-06', 'YYYY-MM-DD'), TO_DATE('2025-08-06 09:58:00', 'YYYY-MM-DD HH24:MI:SS'), TO_DATE('2025-08-06 17:53:00', 'YYYY-MM-DD HH24:MI:SS'));</v>
      </c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</row>
    <row r="596">
      <c r="A596" s="25" t="s">
        <v>206</v>
      </c>
      <c r="B596" s="26">
        <v>91.0</v>
      </c>
      <c r="C596" s="27">
        <v>45875.0</v>
      </c>
      <c r="D596" s="29"/>
      <c r="E596" s="29"/>
      <c r="F596" s="21" t="s">
        <v>186</v>
      </c>
      <c r="G596" s="23"/>
      <c r="H596" s="23" t="str">
        <f t="shared" si="1"/>
        <v>INSERT INTO tblDayAttendanceLog VALUES (seqDayAttendanceLog.nextval, 91, TO_DATE('2025-08-06', 'YYYY-MM-DD'), NULL, NULL);</v>
      </c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</row>
    <row r="597">
      <c r="A597" s="25" t="s">
        <v>206</v>
      </c>
      <c r="B597" s="26">
        <v>92.0</v>
      </c>
      <c r="C597" s="27">
        <v>45875.0</v>
      </c>
      <c r="D597" s="28">
        <v>45875.37569444445</v>
      </c>
      <c r="E597" s="28">
        <v>45875.743055555555</v>
      </c>
      <c r="F597" s="21" t="s">
        <v>189</v>
      </c>
      <c r="G597" s="23"/>
      <c r="H597" s="23" t="str">
        <f t="shared" si="1"/>
        <v>INSERT INTO tblDayAttendanceLog VALUES (seqDayAttendanceLog.nextval, 92, TO_DATE('2025-08-06', 'YYYY-MM-DD'), TO_DATE('2025-08-06 09:01:00', 'YYYY-MM-DD HH24:MI:SS'), TO_DATE('2025-08-06 17:50:00', 'YYYY-MM-DD HH24:MI:SS'));</v>
      </c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</row>
    <row r="598">
      <c r="A598" s="25" t="s">
        <v>206</v>
      </c>
      <c r="B598" s="26">
        <v>93.0</v>
      </c>
      <c r="C598" s="27">
        <v>45875.0</v>
      </c>
      <c r="D598" s="29"/>
      <c r="E598" s="29"/>
      <c r="F598" s="21" t="s">
        <v>186</v>
      </c>
      <c r="G598" s="23"/>
      <c r="H598" s="23" t="str">
        <f t="shared" si="1"/>
        <v>INSERT INTO tblDayAttendanceLog VALUES (seqDayAttendanceLog.nextval, 93, TO_DATE('2025-08-06', 'YYYY-MM-DD'), NULL, NULL);</v>
      </c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</row>
    <row r="599">
      <c r="A599" s="25" t="s">
        <v>206</v>
      </c>
      <c r="B599" s="26">
        <v>94.0</v>
      </c>
      <c r="C599" s="27">
        <v>45875.0</v>
      </c>
      <c r="D599" s="29"/>
      <c r="E599" s="29"/>
      <c r="F599" s="21" t="s">
        <v>186</v>
      </c>
      <c r="G599" s="23"/>
      <c r="H599" s="23" t="str">
        <f t="shared" si="1"/>
        <v>INSERT INTO tblDayAttendanceLog VALUES (seqDayAttendanceLog.nextval, 94, TO_DATE('2025-08-06', 'YYYY-MM-DD'), NULL, NULL);</v>
      </c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</row>
    <row r="600">
      <c r="A600" s="25" t="s">
        <v>206</v>
      </c>
      <c r="B600" s="26">
        <v>95.0</v>
      </c>
      <c r="C600" s="27">
        <v>45875.0</v>
      </c>
      <c r="D600" s="28">
        <v>45875.3375</v>
      </c>
      <c r="E600" s="28">
        <v>45875.74444444444</v>
      </c>
      <c r="F600" s="21" t="s">
        <v>184</v>
      </c>
      <c r="G600" s="23"/>
      <c r="H600" s="23" t="str">
        <f t="shared" si="1"/>
        <v>INSERT INTO tblDayAttendanceLog VALUES (seqDayAttendanceLog.nextval, 95, TO_DATE('2025-08-06', 'YYYY-MM-DD'), TO_DATE('2025-08-06 08:06:00', 'YYYY-MM-DD HH24:MI:SS'), TO_DATE('2025-08-06 17:52:00', 'YYYY-MM-DD HH24:MI:SS'));</v>
      </c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</row>
    <row r="601">
      <c r="A601" s="25" t="s">
        <v>206</v>
      </c>
      <c r="B601" s="26">
        <v>96.0</v>
      </c>
      <c r="C601" s="27">
        <v>45875.0</v>
      </c>
      <c r="D601" s="28">
        <v>45875.39444444444</v>
      </c>
      <c r="E601" s="28">
        <v>45875.74375</v>
      </c>
      <c r="F601" s="21" t="s">
        <v>189</v>
      </c>
      <c r="G601" s="23"/>
      <c r="H601" s="23" t="str">
        <f t="shared" si="1"/>
        <v>INSERT INTO tblDayAttendanceLog VALUES (seqDayAttendanceLog.nextval, 96, TO_DATE('2025-08-06', 'YYYY-MM-DD'), TO_DATE('2025-08-06 09:28:00', 'YYYY-MM-DD HH24:MI:SS'), TO_DATE('2025-08-06 17:51:00', 'YYYY-MM-DD HH24:MI:SS'));</v>
      </c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</row>
    <row r="602">
      <c r="A602" s="25" t="s">
        <v>206</v>
      </c>
      <c r="B602" s="26">
        <v>97.0</v>
      </c>
      <c r="C602" s="27">
        <v>45875.0</v>
      </c>
      <c r="D602" s="28">
        <v>45875.37847222222</v>
      </c>
      <c r="E602" s="28">
        <v>45875.74791666667</v>
      </c>
      <c r="F602" s="21" t="s">
        <v>189</v>
      </c>
      <c r="G602" s="23"/>
      <c r="H602" s="23" t="str">
        <f t="shared" si="1"/>
        <v>INSERT INTO tblDayAttendanceLog VALUES (seqDayAttendanceLog.nextval, 97, TO_DATE('2025-08-06', 'YYYY-MM-DD'), TO_DATE('2025-08-06 09:05:00', 'YYYY-MM-DD HH24:MI:SS'), TO_DATE('2025-08-06 17:57:00', 'YYYY-MM-DD HH24:MI:SS'));</v>
      </c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</row>
    <row r="603">
      <c r="A603" s="25" t="s">
        <v>206</v>
      </c>
      <c r="B603" s="26">
        <v>98.0</v>
      </c>
      <c r="C603" s="27">
        <v>45875.0</v>
      </c>
      <c r="D603" s="28">
        <v>45875.35138888889</v>
      </c>
      <c r="E603" s="28">
        <v>45875.74930555555</v>
      </c>
      <c r="F603" s="21" t="s">
        <v>184</v>
      </c>
      <c r="G603" s="23"/>
      <c r="H603" s="23" t="str">
        <f t="shared" si="1"/>
        <v>INSERT INTO tblDayAttendanceLog VALUES (seqDayAttendanceLog.nextval, 98, TO_DATE('2025-08-06', 'YYYY-MM-DD'), TO_DATE('2025-08-06 08:26:00', 'YYYY-MM-DD HH24:MI:SS'), TO_DATE('2025-08-06 17:59:00', 'YYYY-MM-DD HH24:MI:SS'));</v>
      </c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</row>
    <row r="604">
      <c r="A604" s="25" t="s">
        <v>206</v>
      </c>
      <c r="B604" s="26">
        <v>99.0</v>
      </c>
      <c r="C604" s="27">
        <v>45875.0</v>
      </c>
      <c r="D604" s="28">
        <v>45875.37291666667</v>
      </c>
      <c r="E604" s="28">
        <v>45875.748611111114</v>
      </c>
      <c r="F604" s="21" t="s">
        <v>184</v>
      </c>
      <c r="G604" s="23"/>
      <c r="H604" s="23" t="str">
        <f t="shared" si="1"/>
        <v>INSERT INTO tblDayAttendanceLog VALUES (seqDayAttendanceLog.nextval, 99, TO_DATE('2025-08-06', 'YYYY-MM-DD'), TO_DATE('2025-08-06 08:57:00', 'YYYY-MM-DD HH24:MI:SS'), TO_DATE('2025-08-06 17:58:00', 'YYYY-MM-DD HH24:MI:SS'));</v>
      </c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</row>
    <row r="605">
      <c r="A605" s="25" t="s">
        <v>206</v>
      </c>
      <c r="B605" s="26">
        <v>100.0</v>
      </c>
      <c r="C605" s="27">
        <v>45875.0</v>
      </c>
      <c r="D605" s="28">
        <v>45875.350694444445</v>
      </c>
      <c r="E605" s="28">
        <v>45875.74444444444</v>
      </c>
      <c r="F605" s="21" t="s">
        <v>184</v>
      </c>
      <c r="G605" s="23"/>
      <c r="H605" s="23" t="str">
        <f t="shared" si="1"/>
        <v>INSERT INTO tblDayAttendanceLog VALUES (seqDayAttendanceLog.nextval, 100, TO_DATE('2025-08-06', 'YYYY-MM-DD'), TO_DATE('2025-08-06 08:25:00', 'YYYY-MM-DD HH24:MI:SS'), TO_DATE('2025-08-06 17:52:00', 'YYYY-MM-DD HH24:MI:SS'));</v>
      </c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</row>
    <row r="606">
      <c r="A606" s="25" t="s">
        <v>206</v>
      </c>
      <c r="B606" s="26">
        <v>101.0</v>
      </c>
      <c r="C606" s="27">
        <v>45875.0</v>
      </c>
      <c r="D606" s="28">
        <v>45875.361805555556</v>
      </c>
      <c r="E606" s="28">
        <v>45875.745833333334</v>
      </c>
      <c r="F606" s="21" t="s">
        <v>184</v>
      </c>
      <c r="G606" s="23"/>
      <c r="H606" s="23" t="str">
        <f t="shared" si="1"/>
        <v>INSERT INTO tblDayAttendanceLog VALUES (seqDayAttendanceLog.nextval, 101, TO_DATE('2025-08-06', 'YYYY-MM-DD'), TO_DATE('2025-08-06 08:41:00', 'YYYY-MM-DD HH24:MI:SS'), TO_DATE('2025-08-06 17:54:00', 'YYYY-MM-DD HH24:MI:SS'));</v>
      </c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</row>
    <row r="607">
      <c r="A607" s="25" t="s">
        <v>206</v>
      </c>
      <c r="B607" s="26">
        <v>102.0</v>
      </c>
      <c r="C607" s="27">
        <v>45875.0</v>
      </c>
      <c r="D607" s="28">
        <v>45875.395833333336</v>
      </c>
      <c r="E607" s="28">
        <v>45875.745833333334</v>
      </c>
      <c r="F607" s="21" t="s">
        <v>189</v>
      </c>
      <c r="G607" s="23"/>
      <c r="H607" s="23" t="str">
        <f t="shared" si="1"/>
        <v>INSERT INTO tblDayAttendanceLog VALUES (seqDayAttendanceLog.nextval, 102, TO_DATE('2025-08-06', 'YYYY-MM-DD'), TO_DATE('2025-08-06 09:30:00', 'YYYY-MM-DD HH24:MI:SS'), TO_DATE('2025-08-06 17:54:00', 'YYYY-MM-DD HH24:MI:SS'));</v>
      </c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</row>
    <row r="608">
      <c r="A608" s="25" t="s">
        <v>206</v>
      </c>
      <c r="B608" s="26">
        <v>103.0</v>
      </c>
      <c r="C608" s="27">
        <v>45875.0</v>
      </c>
      <c r="D608" s="28">
        <v>45875.36666666667</v>
      </c>
      <c r="E608" s="28">
        <v>45875.743055555555</v>
      </c>
      <c r="F608" s="21" t="s">
        <v>184</v>
      </c>
      <c r="G608" s="23"/>
      <c r="H608" s="23" t="str">
        <f t="shared" si="1"/>
        <v>INSERT INTO tblDayAttendanceLog VALUES (seqDayAttendanceLog.nextval, 103, TO_DATE('2025-08-06', 'YYYY-MM-DD'), TO_DATE('2025-08-06 08:48:00', 'YYYY-MM-DD HH24:MI:SS'), TO_DATE('2025-08-06 17:50:00', 'YYYY-MM-DD HH24:MI:SS'));</v>
      </c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</row>
    <row r="609">
      <c r="A609" s="25" t="s">
        <v>206</v>
      </c>
      <c r="B609" s="26">
        <v>104.0</v>
      </c>
      <c r="C609" s="27">
        <v>45875.0</v>
      </c>
      <c r="D609" s="28">
        <v>45875.37986111111</v>
      </c>
      <c r="E609" s="28">
        <v>45875.74375</v>
      </c>
      <c r="F609" s="21" t="s">
        <v>189</v>
      </c>
      <c r="G609" s="23"/>
      <c r="H609" s="23" t="str">
        <f t="shared" si="1"/>
        <v>INSERT INTO tblDayAttendanceLog VALUES (seqDayAttendanceLog.nextval, 104, TO_DATE('2025-08-06', 'YYYY-MM-DD'), TO_DATE('2025-08-06 09:07:00', 'YYYY-MM-DD HH24:MI:SS'), TO_DATE('2025-08-06 17:51:00', 'YYYY-MM-DD HH24:MI:SS'));</v>
      </c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</row>
    <row r="610">
      <c r="A610" s="25" t="s">
        <v>206</v>
      </c>
      <c r="B610" s="26">
        <v>105.0</v>
      </c>
      <c r="C610" s="27">
        <v>45875.0</v>
      </c>
      <c r="D610" s="28">
        <v>45875.334027777775</v>
      </c>
      <c r="E610" s="28">
        <v>45875.743055555555</v>
      </c>
      <c r="F610" s="21" t="s">
        <v>184</v>
      </c>
      <c r="G610" s="23"/>
      <c r="H610" s="23" t="str">
        <f t="shared" si="1"/>
        <v>INSERT INTO tblDayAttendanceLog VALUES (seqDayAttendanceLog.nextval, 105, TO_DATE('2025-08-06', 'YYYY-MM-DD'), TO_DATE('2025-08-06 08:01:00', 'YYYY-MM-DD HH24:MI:SS'), TO_DATE('2025-08-06 17:50:00', 'YYYY-MM-DD HH24:MI:SS'));</v>
      </c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</row>
    <row r="611">
      <c r="A611" s="25" t="s">
        <v>206</v>
      </c>
      <c r="B611" s="26">
        <v>106.0</v>
      </c>
      <c r="C611" s="27">
        <v>45875.0</v>
      </c>
      <c r="D611" s="28">
        <v>45875.373611111114</v>
      </c>
      <c r="E611" s="28">
        <v>45875.74444444444</v>
      </c>
      <c r="F611" s="21" t="s">
        <v>184</v>
      </c>
      <c r="G611" s="23"/>
      <c r="H611" s="23" t="str">
        <f t="shared" si="1"/>
        <v>INSERT INTO tblDayAttendanceLog VALUES (seqDayAttendanceLog.nextval, 106, TO_DATE('2025-08-06', 'YYYY-MM-DD'), TO_DATE('2025-08-06 08:58:00', 'YYYY-MM-DD HH24:MI:SS'), TO_DATE('2025-08-06 17:52:00', 'YYYY-MM-DD HH24:MI:SS'));</v>
      </c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</row>
    <row r="612">
      <c r="A612" s="25" t="s">
        <v>206</v>
      </c>
      <c r="B612" s="26">
        <v>107.0</v>
      </c>
      <c r="C612" s="27">
        <v>45875.0</v>
      </c>
      <c r="D612" s="28">
        <v>45875.37708333333</v>
      </c>
      <c r="E612" s="28">
        <v>45875.74652777778</v>
      </c>
      <c r="F612" s="21" t="s">
        <v>189</v>
      </c>
      <c r="G612" s="23"/>
      <c r="H612" s="23" t="str">
        <f t="shared" si="1"/>
        <v>INSERT INTO tblDayAttendanceLog VALUES (seqDayAttendanceLog.nextval, 107, TO_DATE('2025-08-06', 'YYYY-MM-DD'), TO_DATE('2025-08-06 09:03:00', 'YYYY-MM-DD HH24:MI:SS'), TO_DATE('2025-08-06 17:55:00', 'YYYY-MM-DD HH24:MI:SS'));</v>
      </c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</row>
    <row r="613">
      <c r="A613" s="25" t="s">
        <v>206</v>
      </c>
      <c r="B613" s="26">
        <v>108.0</v>
      </c>
      <c r="C613" s="27">
        <v>45875.0</v>
      </c>
      <c r="D613" s="28">
        <v>45875.376388888886</v>
      </c>
      <c r="E613" s="28">
        <v>45875.748611111114</v>
      </c>
      <c r="F613" s="21" t="s">
        <v>189</v>
      </c>
      <c r="G613" s="23"/>
      <c r="H613" s="23" t="str">
        <f t="shared" si="1"/>
        <v>INSERT INTO tblDayAttendanceLog VALUES (seqDayAttendanceLog.nextval, 108, TO_DATE('2025-08-06', 'YYYY-MM-DD'), TO_DATE('2025-08-06 09:02:00', 'YYYY-MM-DD HH24:MI:SS'), TO_DATE('2025-08-06 17:58:00', 'YYYY-MM-DD HH24:MI:SS'));</v>
      </c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</row>
    <row r="614">
      <c r="A614" s="25" t="s">
        <v>206</v>
      </c>
      <c r="B614" s="26">
        <v>109.0</v>
      </c>
      <c r="C614" s="27">
        <v>45875.0</v>
      </c>
      <c r="D614" s="28">
        <v>45875.38333333333</v>
      </c>
      <c r="E614" s="28">
        <v>45875.74375</v>
      </c>
      <c r="F614" s="21" t="s">
        <v>189</v>
      </c>
      <c r="G614" s="23"/>
      <c r="H614" s="23" t="str">
        <f t="shared" si="1"/>
        <v>INSERT INTO tblDayAttendanceLog VALUES (seqDayAttendanceLog.nextval, 109, TO_DATE('2025-08-06', 'YYYY-MM-DD'), TO_DATE('2025-08-06 09:12:00', 'YYYY-MM-DD HH24:MI:SS'), TO_DATE('2025-08-06 17:51:00', 'YYYY-MM-DD HH24:MI:SS'));</v>
      </c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</row>
    <row r="615">
      <c r="A615" s="25" t="s">
        <v>206</v>
      </c>
      <c r="B615" s="26">
        <v>110.0</v>
      </c>
      <c r="C615" s="27">
        <v>45875.0</v>
      </c>
      <c r="D615" s="28">
        <v>45875.4</v>
      </c>
      <c r="E615" s="28">
        <v>45875.74444444444</v>
      </c>
      <c r="F615" s="21" t="s">
        <v>189</v>
      </c>
      <c r="G615" s="23"/>
      <c r="H615" s="23" t="str">
        <f t="shared" si="1"/>
        <v>INSERT INTO tblDayAttendanceLog VALUES (seqDayAttendanceLog.nextval, 110, TO_DATE('2025-08-06', 'YYYY-MM-DD'), TO_DATE('2025-08-06 09:36:00', 'YYYY-MM-DD HH24:MI:SS'), TO_DATE('2025-08-06 17:52:00', 'YYYY-MM-DD HH24:MI:SS'));</v>
      </c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</row>
    <row r="616">
      <c r="A616" s="25" t="s">
        <v>206</v>
      </c>
      <c r="B616" s="26">
        <v>111.0</v>
      </c>
      <c r="C616" s="27">
        <v>45875.0</v>
      </c>
      <c r="D616" s="28">
        <v>45875.342361111114</v>
      </c>
      <c r="E616" s="28">
        <v>45875.74791666667</v>
      </c>
      <c r="F616" s="21" t="s">
        <v>184</v>
      </c>
      <c r="G616" s="23"/>
      <c r="H616" s="23" t="str">
        <f t="shared" si="1"/>
        <v>INSERT INTO tblDayAttendanceLog VALUES (seqDayAttendanceLog.nextval, 111, TO_DATE('2025-08-06', 'YYYY-MM-DD'), TO_DATE('2025-08-06 08:13:00', 'YYYY-MM-DD HH24:MI:SS'), TO_DATE('2025-08-06 17:57:00', 'YYYY-MM-DD HH24:MI:SS'));</v>
      </c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</row>
    <row r="617">
      <c r="A617" s="25" t="s">
        <v>206</v>
      </c>
      <c r="B617" s="26">
        <v>112.0</v>
      </c>
      <c r="C617" s="27">
        <v>45875.0</v>
      </c>
      <c r="D617" s="28">
        <v>45875.36319444444</v>
      </c>
      <c r="E617" s="28">
        <v>45875.74375</v>
      </c>
      <c r="F617" s="21" t="s">
        <v>184</v>
      </c>
      <c r="G617" s="23"/>
      <c r="H617" s="23" t="str">
        <f t="shared" si="1"/>
        <v>INSERT INTO tblDayAttendanceLog VALUES (seqDayAttendanceLog.nextval, 112, TO_DATE('2025-08-06', 'YYYY-MM-DD'), TO_DATE('2025-08-06 08:43:00', 'YYYY-MM-DD HH24:MI:SS'), TO_DATE('2025-08-06 17:51:00', 'YYYY-MM-DD HH24:MI:SS'));</v>
      </c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</row>
    <row r="618">
      <c r="A618" s="25" t="s">
        <v>206</v>
      </c>
      <c r="B618" s="26">
        <v>113.0</v>
      </c>
      <c r="C618" s="27">
        <v>45875.0</v>
      </c>
      <c r="D618" s="28">
        <v>45875.35833333333</v>
      </c>
      <c r="E618" s="28">
        <v>45875.74652777778</v>
      </c>
      <c r="F618" s="21" t="s">
        <v>184</v>
      </c>
      <c r="G618" s="23"/>
      <c r="H618" s="23" t="str">
        <f t="shared" si="1"/>
        <v>INSERT INTO tblDayAttendanceLog VALUES (seqDayAttendanceLog.nextval, 113, TO_DATE('2025-08-06', 'YYYY-MM-DD'), TO_DATE('2025-08-06 08:36:00', 'YYYY-MM-DD HH24:MI:SS'), TO_DATE('2025-08-06 17:55:00', 'YYYY-MM-DD HH24:MI:SS'));</v>
      </c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</row>
    <row r="619">
      <c r="A619" s="25" t="s">
        <v>206</v>
      </c>
      <c r="B619" s="26">
        <v>114.0</v>
      </c>
      <c r="C619" s="27">
        <v>45875.0</v>
      </c>
      <c r="D619" s="28">
        <v>45875.354166666664</v>
      </c>
      <c r="E619" s="28">
        <v>45875.745833333334</v>
      </c>
      <c r="F619" s="21" t="s">
        <v>184</v>
      </c>
      <c r="G619" s="23"/>
      <c r="H619" s="23" t="str">
        <f t="shared" si="1"/>
        <v>INSERT INTO tblDayAttendanceLog VALUES (seqDayAttendanceLog.nextval, 114, TO_DATE('2025-08-06', 'YYYY-MM-DD'), TO_DATE('2025-08-06 08:30:00', 'YYYY-MM-DD HH24:MI:SS'), TO_DATE('2025-08-06 17:54:00', 'YYYY-MM-DD HH24:MI:SS'));</v>
      </c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</row>
    <row r="620">
      <c r="A620" s="25" t="s">
        <v>206</v>
      </c>
      <c r="B620" s="26">
        <v>115.0</v>
      </c>
      <c r="C620" s="27">
        <v>45875.0</v>
      </c>
      <c r="D620" s="28">
        <v>45875.36875</v>
      </c>
      <c r="E620" s="28">
        <v>45875.74722222222</v>
      </c>
      <c r="F620" s="21" t="s">
        <v>184</v>
      </c>
      <c r="G620" s="23"/>
      <c r="H620" s="23" t="str">
        <f t="shared" si="1"/>
        <v>INSERT INTO tblDayAttendanceLog VALUES (seqDayAttendanceLog.nextval, 115, TO_DATE('2025-08-06', 'YYYY-MM-DD'), TO_DATE('2025-08-06 08:51:00', 'YYYY-MM-DD HH24:MI:SS'), TO_DATE('2025-08-06 17:56:00', 'YYYY-MM-DD HH24:MI:SS'));</v>
      </c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</row>
    <row r="621">
      <c r="A621" s="25" t="s">
        <v>206</v>
      </c>
      <c r="B621" s="26">
        <v>116.0</v>
      </c>
      <c r="C621" s="27">
        <v>45875.0</v>
      </c>
      <c r="D621" s="28">
        <v>45875.38055555556</v>
      </c>
      <c r="E621" s="28">
        <v>45875.745833333334</v>
      </c>
      <c r="F621" s="21" t="s">
        <v>189</v>
      </c>
      <c r="G621" s="23"/>
      <c r="H621" s="23" t="str">
        <f t="shared" si="1"/>
        <v>INSERT INTO tblDayAttendanceLog VALUES (seqDayAttendanceLog.nextval, 116, TO_DATE('2025-08-06', 'YYYY-MM-DD'), TO_DATE('2025-08-06 09:08:00', 'YYYY-MM-DD HH24:MI:SS'), TO_DATE('2025-08-06 17:54:00', 'YYYY-MM-DD HH24:MI:SS'));</v>
      </c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</row>
    <row r="622">
      <c r="A622" s="25" t="s">
        <v>206</v>
      </c>
      <c r="B622" s="26">
        <v>117.0</v>
      </c>
      <c r="C622" s="27">
        <v>45875.0</v>
      </c>
      <c r="D622" s="28">
        <v>45875.393055555556</v>
      </c>
      <c r="E622" s="28">
        <v>45875.743055555555</v>
      </c>
      <c r="F622" s="21" t="s">
        <v>189</v>
      </c>
      <c r="G622" s="23"/>
      <c r="H622" s="23" t="str">
        <f t="shared" si="1"/>
        <v>INSERT INTO tblDayAttendanceLog VALUES (seqDayAttendanceLog.nextval, 117, TO_DATE('2025-08-06', 'YYYY-MM-DD'), TO_DATE('2025-08-06 09:26:00', 'YYYY-MM-DD HH24:MI:SS'), TO_DATE('2025-08-06 17:50:00', 'YYYY-MM-DD HH24:MI:SS'));</v>
      </c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</row>
    <row r="623">
      <c r="A623" s="25" t="s">
        <v>206</v>
      </c>
      <c r="B623" s="26">
        <v>118.0</v>
      </c>
      <c r="C623" s="27">
        <v>45875.0</v>
      </c>
      <c r="D623" s="28">
        <v>45875.39236111111</v>
      </c>
      <c r="E623" s="28">
        <v>45875.748611111114</v>
      </c>
      <c r="F623" s="21" t="s">
        <v>189</v>
      </c>
      <c r="G623" s="23"/>
      <c r="H623" s="23" t="str">
        <f t="shared" si="1"/>
        <v>INSERT INTO tblDayAttendanceLog VALUES (seqDayAttendanceLog.nextval, 118, TO_DATE('2025-08-06', 'YYYY-MM-DD'), TO_DATE('2025-08-06 09:25:00', 'YYYY-MM-DD HH24:MI:SS'), TO_DATE('2025-08-06 17:58:00', 'YYYY-MM-DD HH24:MI:SS'));</v>
      </c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</row>
    <row r="624">
      <c r="A624" s="25" t="s">
        <v>206</v>
      </c>
      <c r="B624" s="26">
        <v>119.0</v>
      </c>
      <c r="C624" s="27">
        <v>45875.0</v>
      </c>
      <c r="D624" s="28">
        <v>45875.35763888889</v>
      </c>
      <c r="E624" s="28">
        <v>45875.743055555555</v>
      </c>
      <c r="F624" s="21" t="s">
        <v>184</v>
      </c>
      <c r="G624" s="23"/>
      <c r="H624" s="23" t="str">
        <f t="shared" si="1"/>
        <v>INSERT INTO tblDayAttendanceLog VALUES (seqDayAttendanceLog.nextval, 119, TO_DATE('2025-08-06', 'YYYY-MM-DD'), TO_DATE('2025-08-06 08:35:00', 'YYYY-MM-DD HH24:MI:SS'), TO_DATE('2025-08-06 17:50:00', 'YYYY-MM-DD HH24:MI:SS'));</v>
      </c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</row>
    <row r="625">
      <c r="A625" s="25" t="s">
        <v>206</v>
      </c>
      <c r="B625" s="26">
        <v>120.0</v>
      </c>
      <c r="C625" s="27">
        <v>45875.0</v>
      </c>
      <c r="D625" s="28">
        <v>45875.37708333333</v>
      </c>
      <c r="E625" s="28">
        <v>45875.74652777778</v>
      </c>
      <c r="F625" s="21" t="s">
        <v>189</v>
      </c>
      <c r="G625" s="23"/>
      <c r="H625" s="23" t="str">
        <f t="shared" si="1"/>
        <v>INSERT INTO tblDayAttendanceLog VALUES (seqDayAttendanceLog.nextval, 120, TO_DATE('2025-08-06', 'YYYY-MM-DD'), TO_DATE('2025-08-06 09:03:00', 'YYYY-MM-DD HH24:MI:SS'), TO_DATE('2025-08-06 17:55:00', 'YYYY-MM-DD HH24:MI:SS'));</v>
      </c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</row>
    <row r="626">
      <c r="A626" s="25" t="s">
        <v>206</v>
      </c>
      <c r="B626" s="26">
        <v>121.0</v>
      </c>
      <c r="C626" s="27">
        <v>45875.0</v>
      </c>
      <c r="D626" s="28">
        <v>45875.342361111114</v>
      </c>
      <c r="E626" s="28">
        <v>45875.74444444444</v>
      </c>
      <c r="F626" s="21" t="s">
        <v>184</v>
      </c>
      <c r="G626" s="23"/>
      <c r="H626" s="23" t="str">
        <f t="shared" si="1"/>
        <v>INSERT INTO tblDayAttendanceLog VALUES (seqDayAttendanceLog.nextval, 121, TO_DATE('2025-08-06', 'YYYY-MM-DD'), TO_DATE('2025-08-06 08:13:00', 'YYYY-MM-DD HH24:MI:SS'), TO_DATE('2025-08-06 17:52:00', 'YYYY-MM-DD HH24:MI:SS'));</v>
      </c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</row>
    <row r="627">
      <c r="A627" s="25" t="s">
        <v>206</v>
      </c>
      <c r="B627" s="26">
        <v>122.0</v>
      </c>
      <c r="C627" s="27">
        <v>45875.0</v>
      </c>
      <c r="D627" s="28">
        <v>45875.402083333334</v>
      </c>
      <c r="E627" s="28">
        <v>45875.74722222222</v>
      </c>
      <c r="F627" s="21" t="s">
        <v>189</v>
      </c>
      <c r="G627" s="23"/>
      <c r="H627" s="23" t="str">
        <f t="shared" si="1"/>
        <v>INSERT INTO tblDayAttendanceLog VALUES (seqDayAttendanceLog.nextval, 122, TO_DATE('2025-08-06', 'YYYY-MM-DD'), TO_DATE('2025-08-06 09:39:00', 'YYYY-MM-DD HH24:MI:SS'), TO_DATE('2025-08-06 17:56:00', 'YYYY-MM-DD HH24:MI:SS'));</v>
      </c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</row>
    <row r="628">
      <c r="A628" s="25" t="s">
        <v>206</v>
      </c>
      <c r="B628" s="26">
        <v>123.0</v>
      </c>
      <c r="C628" s="27">
        <v>45875.0</v>
      </c>
      <c r="D628" s="28">
        <v>45875.40972222222</v>
      </c>
      <c r="E628" s="28">
        <v>45875.74513888889</v>
      </c>
      <c r="F628" s="21" t="s">
        <v>189</v>
      </c>
      <c r="G628" s="23"/>
      <c r="H628" s="23" t="str">
        <f t="shared" si="1"/>
        <v>INSERT INTO tblDayAttendanceLog VALUES (seqDayAttendanceLog.nextval, 123, TO_DATE('2025-08-06', 'YYYY-MM-DD'), TO_DATE('2025-08-06 09:50:00', 'YYYY-MM-DD HH24:MI:SS'), TO_DATE('2025-08-06 17:53:00', 'YYYY-MM-DD HH24:MI:SS'));</v>
      </c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</row>
    <row r="629">
      <c r="A629" s="25" t="s">
        <v>206</v>
      </c>
      <c r="B629" s="26">
        <v>124.0</v>
      </c>
      <c r="C629" s="27">
        <v>45875.0</v>
      </c>
      <c r="D629" s="28">
        <v>45875.37569444445</v>
      </c>
      <c r="E629" s="28">
        <v>45875.74513888889</v>
      </c>
      <c r="F629" s="21" t="s">
        <v>189</v>
      </c>
      <c r="G629" s="23"/>
      <c r="H629" s="23" t="str">
        <f t="shared" si="1"/>
        <v>INSERT INTO tblDayAttendanceLog VALUES (seqDayAttendanceLog.nextval, 124, TO_DATE('2025-08-06', 'YYYY-MM-DD'), TO_DATE('2025-08-06 09:01:00', 'YYYY-MM-DD HH24:MI:SS'), TO_DATE('2025-08-06 17:53:00', 'YYYY-MM-DD HH24:MI:SS'));</v>
      </c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</row>
    <row r="630">
      <c r="A630" s="25" t="s">
        <v>206</v>
      </c>
      <c r="B630" s="26">
        <v>125.0</v>
      </c>
      <c r="C630" s="27">
        <v>45875.0</v>
      </c>
      <c r="D630" s="28">
        <v>45875.35555555556</v>
      </c>
      <c r="E630" s="28">
        <v>45875.745833333334</v>
      </c>
      <c r="F630" s="21" t="s">
        <v>184</v>
      </c>
      <c r="G630" s="23"/>
      <c r="H630" s="23" t="str">
        <f t="shared" si="1"/>
        <v>INSERT INTO tblDayAttendanceLog VALUES (seqDayAttendanceLog.nextval, 125, TO_DATE('2025-08-06', 'YYYY-MM-DD'), TO_DATE('2025-08-06 08:32:00', 'YYYY-MM-DD HH24:MI:SS'), TO_DATE('2025-08-06 17:54:00', 'YYYY-MM-DD HH24:MI:SS'));</v>
      </c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</row>
    <row r="631">
      <c r="A631" s="25" t="s">
        <v>206</v>
      </c>
      <c r="B631" s="26">
        <v>126.0</v>
      </c>
      <c r="C631" s="27">
        <v>45875.0</v>
      </c>
      <c r="D631" s="28">
        <v>45875.40069444444</v>
      </c>
      <c r="E631" s="28">
        <v>45875.74791666667</v>
      </c>
      <c r="F631" s="21" t="s">
        <v>189</v>
      </c>
      <c r="G631" s="23"/>
      <c r="H631" s="23" t="str">
        <f t="shared" si="1"/>
        <v>INSERT INTO tblDayAttendanceLog VALUES (seqDayAttendanceLog.nextval, 126, TO_DATE('2025-08-06', 'YYYY-MM-DD'), TO_DATE('2025-08-06 09:37:00', 'YYYY-MM-DD HH24:MI:SS'), TO_DATE('2025-08-06 17:57:00', 'YYYY-MM-DD HH24:MI:SS'));</v>
      </c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</row>
    <row r="632">
      <c r="A632" s="25" t="s">
        <v>206</v>
      </c>
      <c r="B632" s="26">
        <v>127.0</v>
      </c>
      <c r="C632" s="27">
        <v>45875.0</v>
      </c>
      <c r="D632" s="28">
        <v>45875.385416666664</v>
      </c>
      <c r="E632" s="28">
        <v>45875.74444444444</v>
      </c>
      <c r="F632" s="21" t="s">
        <v>189</v>
      </c>
      <c r="G632" s="23"/>
      <c r="H632" s="23" t="str">
        <f t="shared" si="1"/>
        <v>INSERT INTO tblDayAttendanceLog VALUES (seqDayAttendanceLog.nextval, 127, TO_DATE('2025-08-06', 'YYYY-MM-DD'), TO_DATE('2025-08-06 09:15:00', 'YYYY-MM-DD HH24:MI:SS'), TO_DATE('2025-08-06 17:52:00', 'YYYY-MM-DD HH24:MI:SS'));</v>
      </c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</row>
    <row r="633">
      <c r="A633" s="25" t="s">
        <v>206</v>
      </c>
      <c r="B633" s="26">
        <v>128.0</v>
      </c>
      <c r="C633" s="27">
        <v>45875.0</v>
      </c>
      <c r="D633" s="28">
        <v>45875.342361111114</v>
      </c>
      <c r="E633" s="28">
        <v>45875.74513888889</v>
      </c>
      <c r="F633" s="21" t="s">
        <v>184</v>
      </c>
      <c r="G633" s="23"/>
      <c r="H633" s="23" t="str">
        <f t="shared" si="1"/>
        <v>INSERT INTO tblDayAttendanceLog VALUES (seqDayAttendanceLog.nextval, 128, TO_DATE('2025-08-06', 'YYYY-MM-DD'), TO_DATE('2025-08-06 08:13:00', 'YYYY-MM-DD HH24:MI:SS'), TO_DATE('2025-08-06 17:53:00', 'YYYY-MM-DD HH24:MI:SS'));</v>
      </c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</row>
    <row r="634">
      <c r="A634" s="25" t="s">
        <v>206</v>
      </c>
      <c r="B634" s="26">
        <v>129.0</v>
      </c>
      <c r="C634" s="27">
        <v>45875.0</v>
      </c>
      <c r="D634" s="28">
        <v>45875.37708333333</v>
      </c>
      <c r="E634" s="28">
        <v>45875.74513888889</v>
      </c>
      <c r="F634" s="21" t="s">
        <v>189</v>
      </c>
      <c r="G634" s="23"/>
      <c r="H634" s="23" t="str">
        <f t="shared" si="1"/>
        <v>INSERT INTO tblDayAttendanceLog VALUES (seqDayAttendanceLog.nextval, 129, TO_DATE('2025-08-06', 'YYYY-MM-DD'), TO_DATE('2025-08-06 09:03:00', 'YYYY-MM-DD HH24:MI:SS'), TO_DATE('2025-08-06 17:53:00', 'YYYY-MM-DD HH24:MI:SS'));</v>
      </c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</row>
    <row r="635">
      <c r="A635" s="25" t="s">
        <v>206</v>
      </c>
      <c r="B635" s="26">
        <v>130.0</v>
      </c>
      <c r="C635" s="27">
        <v>45875.0</v>
      </c>
      <c r="D635" s="28">
        <v>45875.34097222222</v>
      </c>
      <c r="E635" s="28">
        <v>45875.745833333334</v>
      </c>
      <c r="F635" s="21" t="s">
        <v>184</v>
      </c>
      <c r="G635" s="23"/>
      <c r="H635" s="23" t="str">
        <f t="shared" si="1"/>
        <v>INSERT INTO tblDayAttendanceLog VALUES (seqDayAttendanceLog.nextval, 130, TO_DATE('2025-08-06', 'YYYY-MM-DD'), TO_DATE('2025-08-06 08:11:00', 'YYYY-MM-DD HH24:MI:SS'), TO_DATE('2025-08-06 17:54:00', 'YYYY-MM-DD HH24:MI:SS'));</v>
      </c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</row>
    <row r="636">
      <c r="A636" s="25" t="s">
        <v>206</v>
      </c>
      <c r="B636" s="26">
        <v>131.0</v>
      </c>
      <c r="C636" s="27">
        <v>45875.0</v>
      </c>
      <c r="D636" s="28">
        <v>45875.399305555555</v>
      </c>
      <c r="E636" s="28">
        <v>45875.74513888889</v>
      </c>
      <c r="F636" s="21" t="s">
        <v>189</v>
      </c>
      <c r="G636" s="23"/>
      <c r="H636" s="23" t="str">
        <f t="shared" si="1"/>
        <v>INSERT INTO tblDayAttendanceLog VALUES (seqDayAttendanceLog.nextval, 131, TO_DATE('2025-08-06', 'YYYY-MM-DD'), TO_DATE('2025-08-06 09:35:00', 'YYYY-MM-DD HH24:MI:SS'), TO_DATE('2025-08-06 17:53:00', 'YYYY-MM-DD HH24:MI:SS'));</v>
      </c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</row>
    <row r="637">
      <c r="A637" s="25" t="s">
        <v>206</v>
      </c>
      <c r="B637" s="26">
        <v>132.0</v>
      </c>
      <c r="C637" s="27">
        <v>45875.0</v>
      </c>
      <c r="D637" s="28">
        <v>45875.35486111111</v>
      </c>
      <c r="E637" s="28">
        <v>45875.743055555555</v>
      </c>
      <c r="F637" s="21" t="s">
        <v>184</v>
      </c>
      <c r="G637" s="23"/>
      <c r="H637" s="23" t="str">
        <f t="shared" si="1"/>
        <v>INSERT INTO tblDayAttendanceLog VALUES (seqDayAttendanceLog.nextval, 132, TO_DATE('2025-08-06', 'YYYY-MM-DD'), TO_DATE('2025-08-06 08:31:00', 'YYYY-MM-DD HH24:MI:SS'), TO_DATE('2025-08-06 17:50:00', 'YYYY-MM-DD HH24:MI:SS'));</v>
      </c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</row>
    <row r="638">
      <c r="A638" s="25" t="s">
        <v>206</v>
      </c>
      <c r="B638" s="26">
        <v>133.0</v>
      </c>
      <c r="C638" s="27">
        <v>45875.0</v>
      </c>
      <c r="D638" s="28">
        <v>45875.40972222222</v>
      </c>
      <c r="E638" s="28">
        <v>45875.748611111114</v>
      </c>
      <c r="F638" s="21" t="s">
        <v>189</v>
      </c>
      <c r="G638" s="23"/>
      <c r="H638" s="23" t="str">
        <f t="shared" si="1"/>
        <v>INSERT INTO tblDayAttendanceLog VALUES (seqDayAttendanceLog.nextval, 133, TO_DATE('2025-08-06', 'YYYY-MM-DD'), TO_DATE('2025-08-06 09:50:00', 'YYYY-MM-DD HH24:MI:SS'), TO_DATE('2025-08-06 17:58:00', 'YYYY-MM-DD HH24:MI:SS'));</v>
      </c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</row>
    <row r="639">
      <c r="A639" s="25" t="s">
        <v>206</v>
      </c>
      <c r="B639" s="26">
        <v>134.0</v>
      </c>
      <c r="C639" s="27">
        <v>45875.0</v>
      </c>
      <c r="D639" s="28">
        <v>45875.381944444445</v>
      </c>
      <c r="E639" s="28">
        <v>45875.74444444444</v>
      </c>
      <c r="F639" s="21" t="s">
        <v>189</v>
      </c>
      <c r="G639" s="23"/>
      <c r="H639" s="23" t="str">
        <f t="shared" si="1"/>
        <v>INSERT INTO tblDayAttendanceLog VALUES (seqDayAttendanceLog.nextval, 134, TO_DATE('2025-08-06', 'YYYY-MM-DD'), TO_DATE('2025-08-06 09:10:00', 'YYYY-MM-DD HH24:MI:SS'), TO_DATE('2025-08-06 17:52:00', 'YYYY-MM-DD HH24:MI:SS'));</v>
      </c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</row>
    <row r="640">
      <c r="A640" s="25" t="s">
        <v>206</v>
      </c>
      <c r="B640" s="26">
        <v>135.0</v>
      </c>
      <c r="C640" s="27">
        <v>45875.0</v>
      </c>
      <c r="D640" s="28">
        <v>45875.40625</v>
      </c>
      <c r="E640" s="28">
        <v>45875.74444444444</v>
      </c>
      <c r="F640" s="21" t="s">
        <v>189</v>
      </c>
      <c r="G640" s="23"/>
      <c r="H640" s="23" t="str">
        <f t="shared" si="1"/>
        <v>INSERT INTO tblDayAttendanceLog VALUES (seqDayAttendanceLog.nextval, 135, TO_DATE('2025-08-06', 'YYYY-MM-DD'), TO_DATE('2025-08-06 09:45:00', 'YYYY-MM-DD HH24:MI:SS'), TO_DATE('2025-08-06 17:52:00', 'YYYY-MM-DD HH24:MI:SS'));</v>
      </c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</row>
    <row r="641">
      <c r="A641" s="25" t="s">
        <v>206</v>
      </c>
      <c r="B641" s="26">
        <v>136.0</v>
      </c>
      <c r="C641" s="27">
        <v>45875.0</v>
      </c>
      <c r="D641" s="28">
        <v>45875.39166666667</v>
      </c>
      <c r="E641" s="28">
        <v>45875.74375</v>
      </c>
      <c r="F641" s="21" t="s">
        <v>189</v>
      </c>
      <c r="G641" s="23"/>
      <c r="H641" s="23" t="str">
        <f t="shared" si="1"/>
        <v>INSERT INTO tblDayAttendanceLog VALUES (seqDayAttendanceLog.nextval, 136, TO_DATE('2025-08-06', 'YYYY-MM-DD'), TO_DATE('2025-08-06 09:24:00', 'YYYY-MM-DD HH24:MI:SS'), TO_DATE('2025-08-06 17:51:00', 'YYYY-MM-DD HH24:MI:SS'));</v>
      </c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</row>
    <row r="642">
      <c r="A642" s="25" t="s">
        <v>206</v>
      </c>
      <c r="B642" s="26">
        <v>137.0</v>
      </c>
      <c r="C642" s="27">
        <v>45875.0</v>
      </c>
      <c r="D642" s="28">
        <v>45875.33888888889</v>
      </c>
      <c r="E642" s="28">
        <v>45875.743055555555</v>
      </c>
      <c r="F642" s="21" t="s">
        <v>184</v>
      </c>
      <c r="G642" s="23"/>
      <c r="H642" s="23" t="str">
        <f t="shared" si="1"/>
        <v>INSERT INTO tblDayAttendanceLog VALUES (seqDayAttendanceLog.nextval, 137, TO_DATE('2025-08-06', 'YYYY-MM-DD'), TO_DATE('2025-08-06 08:08:00', 'YYYY-MM-DD HH24:MI:SS'), TO_DATE('2025-08-06 17:50:00', 'YYYY-MM-DD HH24:MI:SS'));</v>
      </c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</row>
    <row r="643">
      <c r="A643" s="25" t="s">
        <v>206</v>
      </c>
      <c r="B643" s="26">
        <v>138.0</v>
      </c>
      <c r="C643" s="27">
        <v>45875.0</v>
      </c>
      <c r="D643" s="28">
        <v>45875.38888888889</v>
      </c>
      <c r="E643" s="28">
        <v>45875.74375</v>
      </c>
      <c r="F643" s="21" t="s">
        <v>189</v>
      </c>
      <c r="G643" s="23"/>
      <c r="H643" s="23" t="str">
        <f t="shared" si="1"/>
        <v>INSERT INTO tblDayAttendanceLog VALUES (seqDayAttendanceLog.nextval, 138, TO_DATE('2025-08-06', 'YYYY-MM-DD'), TO_DATE('2025-08-06 09:20:00', 'YYYY-MM-DD HH24:MI:SS'), TO_DATE('2025-08-06 17:51:00', 'YYYY-MM-DD HH24:MI:SS'));</v>
      </c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</row>
    <row r="644">
      <c r="A644" s="25" t="s">
        <v>206</v>
      </c>
      <c r="B644" s="26">
        <v>139.0</v>
      </c>
      <c r="C644" s="27">
        <v>45875.0</v>
      </c>
      <c r="D644" s="28">
        <v>45875.34583333333</v>
      </c>
      <c r="E644" s="28">
        <v>45875.74444444444</v>
      </c>
      <c r="F644" s="21" t="s">
        <v>184</v>
      </c>
      <c r="G644" s="23"/>
      <c r="H644" s="23" t="str">
        <f t="shared" si="1"/>
        <v>INSERT INTO tblDayAttendanceLog VALUES (seqDayAttendanceLog.nextval, 139, TO_DATE('2025-08-06', 'YYYY-MM-DD'), TO_DATE('2025-08-06 08:18:00', 'YYYY-MM-DD HH24:MI:SS'), TO_DATE('2025-08-06 17:52:00', 'YYYY-MM-DD HH24:MI:SS'));</v>
      </c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</row>
    <row r="645">
      <c r="A645" s="25" t="s">
        <v>206</v>
      </c>
      <c r="B645" s="26">
        <v>140.0</v>
      </c>
      <c r="C645" s="27">
        <v>45875.0</v>
      </c>
      <c r="D645" s="28">
        <v>45875.36319444444</v>
      </c>
      <c r="E645" s="28">
        <v>45875.748611111114</v>
      </c>
      <c r="F645" s="21" t="s">
        <v>184</v>
      </c>
      <c r="G645" s="23"/>
      <c r="H645" s="23" t="str">
        <f t="shared" si="1"/>
        <v>INSERT INTO tblDayAttendanceLog VALUES (seqDayAttendanceLog.nextval, 140, TO_DATE('2025-08-06', 'YYYY-MM-DD'), TO_DATE('2025-08-06 08:43:00', 'YYYY-MM-DD HH24:MI:SS'), TO_DATE('2025-08-06 17:58:00', 'YYYY-MM-DD HH24:MI:SS'));</v>
      </c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</row>
    <row r="646">
      <c r="A646" s="25" t="s">
        <v>206</v>
      </c>
      <c r="B646" s="26">
        <v>141.0</v>
      </c>
      <c r="C646" s="27">
        <v>45875.0</v>
      </c>
      <c r="D646" s="28">
        <v>45875.396527777775</v>
      </c>
      <c r="E646" s="28">
        <v>45875.74375</v>
      </c>
      <c r="F646" s="21" t="s">
        <v>189</v>
      </c>
      <c r="G646" s="23"/>
      <c r="H646" s="23" t="str">
        <f t="shared" si="1"/>
        <v>INSERT INTO tblDayAttendanceLog VALUES (seqDayAttendanceLog.nextval, 141, TO_DATE('2025-08-06', 'YYYY-MM-DD'), TO_DATE('2025-08-06 09:31:00', 'YYYY-MM-DD HH24:MI:SS'), TO_DATE('2025-08-06 17:51:00', 'YYYY-MM-DD HH24:MI:SS'));</v>
      </c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</row>
    <row r="647">
      <c r="A647" s="25" t="s">
        <v>206</v>
      </c>
      <c r="B647" s="26">
        <v>142.0</v>
      </c>
      <c r="C647" s="27">
        <v>45875.0</v>
      </c>
      <c r="D647" s="28">
        <v>45875.393055555556</v>
      </c>
      <c r="E647" s="28">
        <v>45875.745833333334</v>
      </c>
      <c r="F647" s="21" t="s">
        <v>189</v>
      </c>
      <c r="G647" s="23"/>
      <c r="H647" s="23" t="str">
        <f t="shared" si="1"/>
        <v>INSERT INTO tblDayAttendanceLog VALUES (seqDayAttendanceLog.nextval, 142, TO_DATE('2025-08-06', 'YYYY-MM-DD'), TO_DATE('2025-08-06 09:26:00', 'YYYY-MM-DD HH24:MI:SS'), TO_DATE('2025-08-06 17:54:00', 'YYYY-MM-DD HH24:MI:SS'));</v>
      </c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</row>
    <row r="648">
      <c r="A648" s="25" t="s">
        <v>206</v>
      </c>
      <c r="B648" s="26">
        <v>143.0</v>
      </c>
      <c r="C648" s="27">
        <v>45875.0</v>
      </c>
      <c r="D648" s="28">
        <v>45875.396527777775</v>
      </c>
      <c r="E648" s="28">
        <v>45875.74652777778</v>
      </c>
      <c r="F648" s="21" t="s">
        <v>189</v>
      </c>
      <c r="G648" s="23"/>
      <c r="H648" s="23" t="str">
        <f t="shared" si="1"/>
        <v>INSERT INTO tblDayAttendanceLog VALUES (seqDayAttendanceLog.nextval, 143, TO_DATE('2025-08-06', 'YYYY-MM-DD'), TO_DATE('2025-08-06 09:31:00', 'YYYY-MM-DD HH24:MI:SS'), TO_DATE('2025-08-06 17:55:00', 'YYYY-MM-DD HH24:MI:SS'));</v>
      </c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</row>
    <row r="649">
      <c r="A649" s="25" t="s">
        <v>206</v>
      </c>
      <c r="B649" s="26">
        <v>144.0</v>
      </c>
      <c r="C649" s="27">
        <v>45875.0</v>
      </c>
      <c r="D649" s="28">
        <v>45875.4</v>
      </c>
      <c r="E649" s="28">
        <v>45875.74444444444</v>
      </c>
      <c r="F649" s="21" t="s">
        <v>189</v>
      </c>
      <c r="G649" s="23"/>
      <c r="H649" s="23" t="str">
        <f t="shared" si="1"/>
        <v>INSERT INTO tblDayAttendanceLog VALUES (seqDayAttendanceLog.nextval, 144, TO_DATE('2025-08-06', 'YYYY-MM-DD'), TO_DATE('2025-08-06 09:36:00', 'YYYY-MM-DD HH24:MI:SS'), TO_DATE('2025-08-06 17:52:00', 'YYYY-MM-DD HH24:MI:SS'));</v>
      </c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</row>
    <row r="650">
      <c r="A650" s="25" t="s">
        <v>206</v>
      </c>
      <c r="B650" s="26">
        <v>145.0</v>
      </c>
      <c r="C650" s="27">
        <v>45875.0</v>
      </c>
      <c r="D650" s="28">
        <v>45875.34027777778</v>
      </c>
      <c r="E650" s="28">
        <v>45875.74513888889</v>
      </c>
      <c r="F650" s="21" t="s">
        <v>184</v>
      </c>
      <c r="G650" s="23"/>
      <c r="H650" s="23" t="str">
        <f t="shared" si="1"/>
        <v>INSERT INTO tblDayAttendanceLog VALUES (seqDayAttendanceLog.nextval, 145, TO_DATE('2025-08-06', 'YYYY-MM-DD'), TO_DATE('2025-08-06 08:10:00', 'YYYY-MM-DD HH24:MI:SS'), TO_DATE('2025-08-06 17:53:00', 'YYYY-MM-DD HH24:MI:SS'));</v>
      </c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</row>
    <row r="651">
      <c r="A651" s="25" t="s">
        <v>206</v>
      </c>
      <c r="B651" s="26">
        <v>146.0</v>
      </c>
      <c r="C651" s="27">
        <v>45875.0</v>
      </c>
      <c r="D651" s="28">
        <v>45875.41180555556</v>
      </c>
      <c r="E651" s="28">
        <v>45875.74930555555</v>
      </c>
      <c r="F651" s="21" t="s">
        <v>189</v>
      </c>
      <c r="G651" s="23"/>
      <c r="H651" s="23" t="str">
        <f t="shared" si="1"/>
        <v>INSERT INTO tblDayAttendanceLog VALUES (seqDayAttendanceLog.nextval, 146, TO_DATE('2025-08-06', 'YYYY-MM-DD'), TO_DATE('2025-08-06 09:53:00', 'YYYY-MM-DD HH24:MI:SS'), TO_DATE('2025-08-06 17:59:00', 'YYYY-MM-DD HH24:MI:SS'));</v>
      </c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</row>
    <row r="652">
      <c r="A652" s="25" t="s">
        <v>206</v>
      </c>
      <c r="B652" s="26">
        <v>147.0</v>
      </c>
      <c r="C652" s="27">
        <v>45875.0</v>
      </c>
      <c r="D652" s="28">
        <v>45875.35763888889</v>
      </c>
      <c r="E652" s="28">
        <v>45875.74652777778</v>
      </c>
      <c r="F652" s="21" t="s">
        <v>184</v>
      </c>
      <c r="G652" s="23"/>
      <c r="H652" s="23" t="str">
        <f t="shared" si="1"/>
        <v>INSERT INTO tblDayAttendanceLog VALUES (seqDayAttendanceLog.nextval, 147, TO_DATE('2025-08-06', 'YYYY-MM-DD'), TO_DATE('2025-08-06 08:35:00', 'YYYY-MM-DD HH24:MI:SS'), TO_DATE('2025-08-06 17:55:00', 'YYYY-MM-DD HH24:MI:SS'));</v>
      </c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</row>
    <row r="653">
      <c r="A653" s="25" t="s">
        <v>206</v>
      </c>
      <c r="B653" s="26">
        <v>148.0</v>
      </c>
      <c r="C653" s="27">
        <v>45875.0</v>
      </c>
      <c r="D653" s="28">
        <v>45875.38680555556</v>
      </c>
      <c r="E653" s="28">
        <v>45875.743055555555</v>
      </c>
      <c r="F653" s="21" t="s">
        <v>189</v>
      </c>
      <c r="G653" s="23"/>
      <c r="H653" s="23" t="str">
        <f t="shared" si="1"/>
        <v>INSERT INTO tblDayAttendanceLog VALUES (seqDayAttendanceLog.nextval, 148, TO_DATE('2025-08-06', 'YYYY-MM-DD'), TO_DATE('2025-08-06 09:17:00', 'YYYY-MM-DD HH24:MI:SS'), TO_DATE('2025-08-06 17:50:00', 'YYYY-MM-DD HH24:MI:SS'));</v>
      </c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</row>
    <row r="654">
      <c r="A654" s="25" t="s">
        <v>206</v>
      </c>
      <c r="B654" s="26">
        <v>149.0</v>
      </c>
      <c r="C654" s="27">
        <v>45875.0</v>
      </c>
      <c r="D654" s="28">
        <v>45875.38263888889</v>
      </c>
      <c r="E654" s="28">
        <v>45875.74722222222</v>
      </c>
      <c r="F654" s="21" t="s">
        <v>189</v>
      </c>
      <c r="G654" s="23"/>
      <c r="H654" s="23" t="str">
        <f t="shared" si="1"/>
        <v>INSERT INTO tblDayAttendanceLog VALUES (seqDayAttendanceLog.nextval, 149, TO_DATE('2025-08-06', 'YYYY-MM-DD'), TO_DATE('2025-08-06 09:11:00', 'YYYY-MM-DD HH24:MI:SS'), TO_DATE('2025-08-06 17:56:00', 'YYYY-MM-DD HH24:MI:SS'));</v>
      </c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</row>
    <row r="655">
      <c r="A655" s="25" t="s">
        <v>206</v>
      </c>
      <c r="B655" s="26">
        <v>150.0</v>
      </c>
      <c r="C655" s="27">
        <v>45875.0</v>
      </c>
      <c r="D655" s="28">
        <v>45875.39236111111</v>
      </c>
      <c r="E655" s="28">
        <v>45875.74652777778</v>
      </c>
      <c r="F655" s="21" t="s">
        <v>189</v>
      </c>
      <c r="G655" s="23"/>
      <c r="H655" s="23" t="str">
        <f t="shared" si="1"/>
        <v>INSERT INTO tblDayAttendanceLog VALUES (seqDayAttendanceLog.nextval, 150, TO_DATE('2025-08-06', 'YYYY-MM-DD'), TO_DATE('2025-08-06 09:25:00', 'YYYY-MM-DD HH24:MI:SS'), TO_DATE('2025-08-06 17:55:00', 'YYYY-MM-DD HH24:MI:SS'));</v>
      </c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</row>
    <row r="656">
      <c r="A656" s="25" t="s">
        <v>206</v>
      </c>
      <c r="B656" s="26">
        <v>151.0</v>
      </c>
      <c r="C656" s="27">
        <v>45875.0</v>
      </c>
      <c r="D656" s="28">
        <v>45875.375</v>
      </c>
      <c r="E656" s="28">
        <v>45875.743055555555</v>
      </c>
      <c r="F656" s="21" t="s">
        <v>189</v>
      </c>
      <c r="G656" s="23"/>
      <c r="H656" s="23" t="str">
        <f t="shared" si="1"/>
        <v>INSERT INTO tblDayAttendanceLog VALUES (seqDayAttendanceLog.nextval, 151, TO_DATE('2025-08-06', 'YYYY-MM-DD'), TO_DATE('2025-08-06 09:00:00', 'YYYY-MM-DD HH24:MI:SS'), TO_DATE('2025-08-06 17:50:00', 'YYYY-MM-DD HH24:MI:SS'));</v>
      </c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</row>
    <row r="657">
      <c r="A657" s="25" t="s">
        <v>206</v>
      </c>
      <c r="B657" s="26">
        <v>152.0</v>
      </c>
      <c r="C657" s="27">
        <v>45875.0</v>
      </c>
      <c r="D657" s="28">
        <v>45875.34166666667</v>
      </c>
      <c r="E657" s="28">
        <v>45875.74722222222</v>
      </c>
      <c r="F657" s="21" t="s">
        <v>184</v>
      </c>
      <c r="G657" s="23"/>
      <c r="H657" s="23" t="str">
        <f t="shared" si="1"/>
        <v>INSERT INTO tblDayAttendanceLog VALUES (seqDayAttendanceLog.nextval, 152, TO_DATE('2025-08-06', 'YYYY-MM-DD'), TO_DATE('2025-08-06 08:12:00', 'YYYY-MM-DD HH24:MI:SS'), TO_DATE('2025-08-06 17:56:00', 'YYYY-MM-DD HH24:MI:SS'));</v>
      </c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</row>
    <row r="658">
      <c r="A658" s="25" t="s">
        <v>206</v>
      </c>
      <c r="B658" s="26">
        <v>153.0</v>
      </c>
      <c r="C658" s="27">
        <v>45875.0</v>
      </c>
      <c r="D658" s="29"/>
      <c r="E658" s="29"/>
      <c r="F658" s="21" t="s">
        <v>186</v>
      </c>
      <c r="G658" s="23"/>
      <c r="H658" s="23" t="str">
        <f t="shared" si="1"/>
        <v>INSERT INTO tblDayAttendanceLog VALUES (seqDayAttendanceLog.nextval, 153, TO_DATE('2025-08-06', 'YYYY-MM-DD'), NULL, NULL);</v>
      </c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</row>
    <row r="659">
      <c r="A659" s="25" t="s">
        <v>206</v>
      </c>
      <c r="B659" s="26">
        <v>154.0</v>
      </c>
      <c r="C659" s="27">
        <v>45875.0</v>
      </c>
      <c r="D659" s="28">
        <v>45875.39444444444</v>
      </c>
      <c r="E659" s="28">
        <v>45875.74930555555</v>
      </c>
      <c r="F659" s="21" t="s">
        <v>189</v>
      </c>
      <c r="G659" s="23"/>
      <c r="H659" s="23" t="str">
        <f t="shared" si="1"/>
        <v>INSERT INTO tblDayAttendanceLog VALUES (seqDayAttendanceLog.nextval, 154, TO_DATE('2025-08-06', 'YYYY-MM-DD'), TO_DATE('2025-08-06 09:28:00', 'YYYY-MM-DD HH24:MI:SS'), TO_DATE('2025-08-06 17:59:00', 'YYYY-MM-DD HH24:MI:SS'));</v>
      </c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</row>
    <row r="660">
      <c r="A660" s="25" t="s">
        <v>206</v>
      </c>
      <c r="B660" s="26">
        <v>155.0</v>
      </c>
      <c r="C660" s="27">
        <v>45875.0</v>
      </c>
      <c r="D660" s="28">
        <v>45875.34027777778</v>
      </c>
      <c r="E660" s="28">
        <v>45875.74513888889</v>
      </c>
      <c r="F660" s="21" t="s">
        <v>184</v>
      </c>
      <c r="G660" s="23"/>
      <c r="H660" s="23" t="str">
        <f t="shared" si="1"/>
        <v>INSERT INTO tblDayAttendanceLog VALUES (seqDayAttendanceLog.nextval, 155, TO_DATE('2025-08-06', 'YYYY-MM-DD'), TO_DATE('2025-08-06 08:10:00', 'YYYY-MM-DD HH24:MI:SS'), TO_DATE('2025-08-06 17:53:00', 'YYYY-MM-DD HH24:MI:SS'));</v>
      </c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</row>
    <row r="661">
      <c r="A661" s="25" t="s">
        <v>206</v>
      </c>
      <c r="B661" s="26">
        <v>156.0</v>
      </c>
      <c r="C661" s="27">
        <v>45875.0</v>
      </c>
      <c r="D661" s="28">
        <v>45875.37152777778</v>
      </c>
      <c r="E661" s="28">
        <v>45875.67916666667</v>
      </c>
      <c r="F661" s="21" t="s">
        <v>187</v>
      </c>
      <c r="G661" s="23"/>
      <c r="H661" s="23" t="str">
        <f t="shared" si="1"/>
        <v>INSERT INTO tblDayAttendanceLog VALUES (seqDayAttendanceLog.nextval, 156, TO_DATE('2025-08-06', 'YYYY-MM-DD'), TO_DATE('2025-08-06 08:55:00', 'YYYY-MM-DD HH24:MI:SS'), TO_DATE('2025-08-06 16:18:00', 'YYYY-MM-DD HH24:MI:SS'));</v>
      </c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</row>
    <row r="662">
      <c r="A662" s="25" t="s">
        <v>206</v>
      </c>
      <c r="B662" s="26">
        <v>157.0</v>
      </c>
      <c r="C662" s="27">
        <v>45875.0</v>
      </c>
      <c r="D662" s="28">
        <v>45875.38125</v>
      </c>
      <c r="E662" s="28">
        <v>45875.74513888889</v>
      </c>
      <c r="F662" s="21" t="s">
        <v>189</v>
      </c>
      <c r="G662" s="23"/>
      <c r="H662" s="23" t="str">
        <f t="shared" si="1"/>
        <v>INSERT INTO tblDayAttendanceLog VALUES (seqDayAttendanceLog.nextval, 157, TO_DATE('2025-08-06', 'YYYY-MM-DD'), TO_DATE('2025-08-06 09:09:00', 'YYYY-MM-DD HH24:MI:SS'), TO_DATE('2025-08-06 17:53:00', 'YYYY-MM-DD HH24:MI:SS'));</v>
      </c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</row>
    <row r="663">
      <c r="A663" s="25" t="s">
        <v>206</v>
      </c>
      <c r="B663" s="26">
        <v>158.0</v>
      </c>
      <c r="C663" s="27">
        <v>45875.0</v>
      </c>
      <c r="D663" s="28">
        <v>45875.3875</v>
      </c>
      <c r="E663" s="28">
        <v>45875.74513888889</v>
      </c>
      <c r="F663" s="21" t="s">
        <v>189</v>
      </c>
      <c r="G663" s="23"/>
      <c r="H663" s="23" t="str">
        <f t="shared" si="1"/>
        <v>INSERT INTO tblDayAttendanceLog VALUES (seqDayAttendanceLog.nextval, 158, TO_DATE('2025-08-06', 'YYYY-MM-DD'), TO_DATE('2025-08-06 09:18:00', 'YYYY-MM-DD HH24:MI:SS'), TO_DATE('2025-08-06 17:53:00', 'YYYY-MM-DD HH24:MI:SS'));</v>
      </c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</row>
    <row r="664">
      <c r="A664" s="25" t="s">
        <v>206</v>
      </c>
      <c r="B664" s="26">
        <v>159.0</v>
      </c>
      <c r="C664" s="27">
        <v>45875.0</v>
      </c>
      <c r="D664" s="28">
        <v>45875.365277777775</v>
      </c>
      <c r="E664" s="28">
        <v>45875.74375</v>
      </c>
      <c r="F664" s="21" t="s">
        <v>184</v>
      </c>
      <c r="G664" s="23"/>
      <c r="H664" s="23" t="str">
        <f t="shared" si="1"/>
        <v>INSERT INTO tblDayAttendanceLog VALUES (seqDayAttendanceLog.nextval, 159, TO_DATE('2025-08-06', 'YYYY-MM-DD'), TO_DATE('2025-08-06 08:46:00', 'YYYY-MM-DD HH24:MI:SS'), TO_DATE('2025-08-06 17:51:00', 'YYYY-MM-DD HH24:MI:SS'));</v>
      </c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</row>
    <row r="665">
      <c r="A665" s="25" t="s">
        <v>206</v>
      </c>
      <c r="B665" s="26">
        <v>160.0</v>
      </c>
      <c r="C665" s="27">
        <v>45875.0</v>
      </c>
      <c r="D665" s="28">
        <v>45875.385416666664</v>
      </c>
      <c r="E665" s="28">
        <v>45875.74513888889</v>
      </c>
      <c r="F665" s="21" t="s">
        <v>189</v>
      </c>
      <c r="G665" s="23"/>
      <c r="H665" s="23" t="str">
        <f t="shared" si="1"/>
        <v>INSERT INTO tblDayAttendanceLog VALUES (seqDayAttendanceLog.nextval, 160, TO_DATE('2025-08-06', 'YYYY-MM-DD'), TO_DATE('2025-08-06 09:15:00', 'YYYY-MM-DD HH24:MI:SS'), TO_DATE('2025-08-06 17:53:00', 'YYYY-MM-DD HH24:MI:SS'));</v>
      </c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</row>
    <row r="666">
      <c r="A666" s="25" t="s">
        <v>206</v>
      </c>
      <c r="B666" s="26">
        <v>161.0</v>
      </c>
      <c r="C666" s="27">
        <v>45875.0</v>
      </c>
      <c r="D666" s="28">
        <v>45875.37222222222</v>
      </c>
      <c r="E666" s="28">
        <v>45875.74375</v>
      </c>
      <c r="F666" s="21" t="s">
        <v>184</v>
      </c>
      <c r="G666" s="23"/>
      <c r="H666" s="23" t="str">
        <f t="shared" si="1"/>
        <v>INSERT INTO tblDayAttendanceLog VALUES (seqDayAttendanceLog.nextval, 161, TO_DATE('2025-08-06', 'YYYY-MM-DD'), TO_DATE('2025-08-06 08:56:00', 'YYYY-MM-DD HH24:MI:SS'), TO_DATE('2025-08-06 17:51:00', 'YYYY-MM-DD HH24:MI:SS'));</v>
      </c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</row>
    <row r="667">
      <c r="A667" s="25" t="s">
        <v>206</v>
      </c>
      <c r="B667" s="26">
        <v>162.0</v>
      </c>
      <c r="C667" s="27">
        <v>45875.0</v>
      </c>
      <c r="D667" s="28">
        <v>45875.38333333333</v>
      </c>
      <c r="E667" s="28">
        <v>45875.74375</v>
      </c>
      <c r="F667" s="21" t="s">
        <v>189</v>
      </c>
      <c r="G667" s="23"/>
      <c r="H667" s="23" t="str">
        <f t="shared" si="1"/>
        <v>INSERT INTO tblDayAttendanceLog VALUES (seqDayAttendanceLog.nextval, 162, TO_DATE('2025-08-06', 'YYYY-MM-DD'), TO_DATE('2025-08-06 09:12:00', 'YYYY-MM-DD HH24:MI:SS'), TO_DATE('2025-08-06 17:51:00', 'YYYY-MM-DD HH24:MI:SS'));</v>
      </c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</row>
    <row r="668">
      <c r="A668" s="25" t="s">
        <v>206</v>
      </c>
      <c r="B668" s="26">
        <v>163.0</v>
      </c>
      <c r="C668" s="27">
        <v>45875.0</v>
      </c>
      <c r="D668" s="28">
        <v>45875.402083333334</v>
      </c>
      <c r="E668" s="28">
        <v>45875.745833333334</v>
      </c>
      <c r="F668" s="21" t="s">
        <v>189</v>
      </c>
      <c r="G668" s="23"/>
      <c r="H668" s="23" t="str">
        <f t="shared" si="1"/>
        <v>INSERT INTO tblDayAttendanceLog VALUES (seqDayAttendanceLog.nextval, 163, TO_DATE('2025-08-06', 'YYYY-MM-DD'), TO_DATE('2025-08-06 09:39:00', 'YYYY-MM-DD HH24:MI:SS'), TO_DATE('2025-08-06 17:54:00', 'YYYY-MM-DD HH24:MI:SS'));</v>
      </c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</row>
    <row r="669">
      <c r="A669" s="25" t="s">
        <v>206</v>
      </c>
      <c r="B669" s="26">
        <v>164.0</v>
      </c>
      <c r="C669" s="27">
        <v>45875.0</v>
      </c>
      <c r="D669" s="28">
        <v>45875.34861111111</v>
      </c>
      <c r="E669" s="28">
        <v>45875.74791666667</v>
      </c>
      <c r="F669" s="21" t="s">
        <v>184</v>
      </c>
      <c r="G669" s="23"/>
      <c r="H669" s="23" t="str">
        <f t="shared" si="1"/>
        <v>INSERT INTO tblDayAttendanceLog VALUES (seqDayAttendanceLog.nextval, 164, TO_DATE('2025-08-06', 'YYYY-MM-DD'), TO_DATE('2025-08-06 08:22:00', 'YYYY-MM-DD HH24:MI:SS'), TO_DATE('2025-08-06 17:57:00', 'YYYY-MM-DD HH24:MI:SS'));</v>
      </c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</row>
    <row r="670">
      <c r="A670" s="25" t="s">
        <v>206</v>
      </c>
      <c r="B670" s="26">
        <v>165.0</v>
      </c>
      <c r="C670" s="27">
        <v>45875.0</v>
      </c>
      <c r="D670" s="28">
        <v>45875.350694444445</v>
      </c>
      <c r="E670" s="28">
        <v>45875.74375</v>
      </c>
      <c r="F670" s="21" t="s">
        <v>184</v>
      </c>
      <c r="G670" s="23"/>
      <c r="H670" s="23" t="str">
        <f t="shared" si="1"/>
        <v>INSERT INTO tblDayAttendanceLog VALUES (seqDayAttendanceLog.nextval, 165, TO_DATE('2025-08-06', 'YYYY-MM-DD'), TO_DATE('2025-08-06 08:25:00', 'YYYY-MM-DD HH24:MI:SS'), TO_DATE('2025-08-06 17:51:00', 'YYYY-MM-DD HH24:MI:SS'));</v>
      </c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</row>
    <row r="671">
      <c r="A671" s="25" t="s">
        <v>206</v>
      </c>
      <c r="B671" s="26">
        <v>166.0</v>
      </c>
      <c r="C671" s="27">
        <v>45875.0</v>
      </c>
      <c r="D671" s="28">
        <v>45875.4</v>
      </c>
      <c r="E671" s="28">
        <v>45875.74652777778</v>
      </c>
      <c r="F671" s="21" t="s">
        <v>189</v>
      </c>
      <c r="G671" s="23"/>
      <c r="H671" s="23" t="str">
        <f t="shared" si="1"/>
        <v>INSERT INTO tblDayAttendanceLog VALUES (seqDayAttendanceLog.nextval, 166, TO_DATE('2025-08-06', 'YYYY-MM-DD'), TO_DATE('2025-08-06 09:36:00', 'YYYY-MM-DD HH24:MI:SS'), TO_DATE('2025-08-06 17:55:00', 'YYYY-MM-DD HH24:MI:SS'));</v>
      </c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</row>
    <row r="672">
      <c r="A672" s="25" t="s">
        <v>206</v>
      </c>
      <c r="B672" s="26">
        <v>167.0</v>
      </c>
      <c r="C672" s="27">
        <v>45875.0</v>
      </c>
      <c r="D672" s="28">
        <v>45875.404861111114</v>
      </c>
      <c r="E672" s="28">
        <v>45875.743055555555</v>
      </c>
      <c r="F672" s="21" t="s">
        <v>189</v>
      </c>
      <c r="G672" s="23"/>
      <c r="H672" s="23" t="str">
        <f t="shared" si="1"/>
        <v>INSERT INTO tblDayAttendanceLog VALUES (seqDayAttendanceLog.nextval, 167, TO_DATE('2025-08-06', 'YYYY-MM-DD'), TO_DATE('2025-08-06 09:43:00', 'YYYY-MM-DD HH24:MI:SS'), TO_DATE('2025-08-06 17:50:00', 'YYYY-MM-DD HH24:MI:SS'));</v>
      </c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</row>
    <row r="673">
      <c r="A673" s="25" t="s">
        <v>206</v>
      </c>
      <c r="B673" s="26">
        <v>168.0</v>
      </c>
      <c r="C673" s="27">
        <v>45875.0</v>
      </c>
      <c r="D673" s="28">
        <v>45875.339583333334</v>
      </c>
      <c r="E673" s="28">
        <v>45875.743055555555</v>
      </c>
      <c r="F673" s="21" t="s">
        <v>184</v>
      </c>
      <c r="G673" s="23"/>
      <c r="H673" s="23" t="str">
        <f t="shared" si="1"/>
        <v>INSERT INTO tblDayAttendanceLog VALUES (seqDayAttendanceLog.nextval, 168, TO_DATE('2025-08-06', 'YYYY-MM-DD'), TO_DATE('2025-08-06 08:09:00', 'YYYY-MM-DD HH24:MI:SS'), TO_DATE('2025-08-06 17:50:00', 'YYYY-MM-DD HH24:MI:SS'));</v>
      </c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</row>
    <row r="674">
      <c r="A674" s="25" t="s">
        <v>206</v>
      </c>
      <c r="B674" s="26">
        <v>1.0</v>
      </c>
      <c r="C674" s="27">
        <v>45876.0</v>
      </c>
      <c r="D674" s="28">
        <v>45876.35972222222</v>
      </c>
      <c r="E674" s="28">
        <v>45876.74652777778</v>
      </c>
      <c r="F674" s="21" t="s">
        <v>184</v>
      </c>
      <c r="G674" s="23"/>
      <c r="H674" s="23" t="str">
        <f t="shared" si="1"/>
        <v>INSERT INTO tblDayAttendanceLog VALUES (seqDayAttendanceLog.nextval, 1, TO_DATE('2025-08-07', 'YYYY-MM-DD'), TO_DATE('2025-08-07 08:38:00', 'YYYY-MM-DD HH24:MI:SS'), TO_DATE('2025-08-07 17:55:00', 'YYYY-MM-DD HH24:MI:SS'));</v>
      </c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</row>
    <row r="675">
      <c r="A675" s="25" t="s">
        <v>206</v>
      </c>
      <c r="B675" s="26">
        <v>2.0</v>
      </c>
      <c r="C675" s="27">
        <v>45876.0</v>
      </c>
      <c r="D675" s="28">
        <v>45876.33611111111</v>
      </c>
      <c r="E675" s="28">
        <v>45876.74791666667</v>
      </c>
      <c r="F675" s="21" t="s">
        <v>184</v>
      </c>
      <c r="G675" s="23"/>
      <c r="H675" s="23" t="str">
        <f t="shared" si="1"/>
        <v>INSERT INTO tblDayAttendanceLog VALUES (seqDayAttendanceLog.nextval, 2, TO_DATE('2025-08-07', 'YYYY-MM-DD'), TO_DATE('2025-08-07 08:04:00', 'YYYY-MM-DD HH24:MI:SS'), TO_DATE('2025-08-07 17:57:00', 'YYYY-MM-DD HH24:MI:SS'));</v>
      </c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</row>
    <row r="676">
      <c r="A676" s="25" t="s">
        <v>206</v>
      </c>
      <c r="B676" s="26">
        <v>3.0</v>
      </c>
      <c r="C676" s="27">
        <v>45876.0</v>
      </c>
      <c r="D676" s="28">
        <v>45876.35555555556</v>
      </c>
      <c r="E676" s="28">
        <v>45876.74930555555</v>
      </c>
      <c r="F676" s="21" t="s">
        <v>184</v>
      </c>
      <c r="G676" s="23"/>
      <c r="H676" s="23" t="str">
        <f t="shared" si="1"/>
        <v>INSERT INTO tblDayAttendanceLog VALUES (seqDayAttendanceLog.nextval, 3, TO_DATE('2025-08-07', 'YYYY-MM-DD'), TO_DATE('2025-08-07 08:32:00', 'YYYY-MM-DD HH24:MI:SS'), TO_DATE('2025-08-07 17:59:00', 'YYYY-MM-DD HH24:MI:SS'));</v>
      </c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</row>
    <row r="677">
      <c r="A677" s="25" t="s">
        <v>206</v>
      </c>
      <c r="B677" s="26">
        <v>4.0</v>
      </c>
      <c r="C677" s="27">
        <v>45876.0</v>
      </c>
      <c r="D677" s="29"/>
      <c r="E677" s="29"/>
      <c r="F677" s="21" t="s">
        <v>186</v>
      </c>
      <c r="G677" s="23"/>
      <c r="H677" s="23" t="str">
        <f t="shared" si="1"/>
        <v>INSERT INTO tblDayAttendanceLog VALUES (seqDayAttendanceLog.nextval, 4, TO_DATE('2025-08-07', 'YYYY-MM-DD'), NULL, NULL);</v>
      </c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</row>
    <row r="678">
      <c r="A678" s="25" t="s">
        <v>206</v>
      </c>
      <c r="B678" s="26">
        <v>5.0</v>
      </c>
      <c r="C678" s="27">
        <v>45876.0</v>
      </c>
      <c r="D678" s="28">
        <v>45876.342361111114</v>
      </c>
      <c r="E678" s="28">
        <v>45876.74375</v>
      </c>
      <c r="F678" s="21" t="s">
        <v>184</v>
      </c>
      <c r="G678" s="23"/>
      <c r="H678" s="23" t="str">
        <f t="shared" si="1"/>
        <v>INSERT INTO tblDayAttendanceLog VALUES (seqDayAttendanceLog.nextval, 5, TO_DATE('2025-08-07', 'YYYY-MM-DD'), TO_DATE('2025-08-07 08:13:00', 'YYYY-MM-DD HH24:MI:SS'), TO_DATE('2025-08-07 17:51:00', 'YYYY-MM-DD HH24:MI:SS'));</v>
      </c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</row>
    <row r="679">
      <c r="A679" s="25" t="s">
        <v>206</v>
      </c>
      <c r="B679" s="26">
        <v>6.0</v>
      </c>
      <c r="C679" s="27">
        <v>45876.0</v>
      </c>
      <c r="D679" s="28">
        <v>45876.34444444445</v>
      </c>
      <c r="E679" s="28">
        <v>45876.74791666667</v>
      </c>
      <c r="F679" s="21" t="s">
        <v>184</v>
      </c>
      <c r="G679" s="23"/>
      <c r="H679" s="23" t="str">
        <f t="shared" si="1"/>
        <v>INSERT INTO tblDayAttendanceLog VALUES (seqDayAttendanceLog.nextval, 6, TO_DATE('2025-08-07', 'YYYY-MM-DD'), TO_DATE('2025-08-07 08:16:00', 'YYYY-MM-DD HH24:MI:SS'), TO_DATE('2025-08-07 17:57:00', 'YYYY-MM-DD HH24:MI:SS'));</v>
      </c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</row>
    <row r="680">
      <c r="A680" s="25" t="s">
        <v>206</v>
      </c>
      <c r="B680" s="26">
        <v>7.0</v>
      </c>
      <c r="C680" s="27">
        <v>45876.0</v>
      </c>
      <c r="D680" s="28">
        <v>45876.38263888889</v>
      </c>
      <c r="E680" s="28">
        <v>45876.74722222222</v>
      </c>
      <c r="F680" s="21" t="s">
        <v>189</v>
      </c>
      <c r="G680" s="23"/>
      <c r="H680" s="23" t="str">
        <f t="shared" si="1"/>
        <v>INSERT INTO tblDayAttendanceLog VALUES (seqDayAttendanceLog.nextval, 7, TO_DATE('2025-08-07', 'YYYY-MM-DD'), TO_DATE('2025-08-07 09:11:00', 'YYYY-MM-DD HH24:MI:SS'), TO_DATE('2025-08-07 17:56:00', 'YYYY-MM-DD HH24:MI:SS'));</v>
      </c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</row>
    <row r="681">
      <c r="A681" s="25" t="s">
        <v>206</v>
      </c>
      <c r="B681" s="26">
        <v>8.0</v>
      </c>
      <c r="C681" s="27">
        <v>45876.0</v>
      </c>
      <c r="D681" s="28">
        <v>45876.3625</v>
      </c>
      <c r="E681" s="28">
        <v>45876.74930555555</v>
      </c>
      <c r="F681" s="21" t="s">
        <v>184</v>
      </c>
      <c r="G681" s="23"/>
      <c r="H681" s="23" t="str">
        <f t="shared" si="1"/>
        <v>INSERT INTO tblDayAttendanceLog VALUES (seqDayAttendanceLog.nextval, 8, TO_DATE('2025-08-07', 'YYYY-MM-DD'), TO_DATE('2025-08-07 08:42:00', 'YYYY-MM-DD HH24:MI:SS'), TO_DATE('2025-08-07 17:59:00', 'YYYY-MM-DD HH24:MI:SS'));</v>
      </c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</row>
    <row r="682">
      <c r="A682" s="25" t="s">
        <v>206</v>
      </c>
      <c r="B682" s="26">
        <v>9.0</v>
      </c>
      <c r="C682" s="27">
        <v>45876.0</v>
      </c>
      <c r="D682" s="28">
        <v>45876.38611111111</v>
      </c>
      <c r="E682" s="28">
        <v>45876.74513888889</v>
      </c>
      <c r="F682" s="21" t="s">
        <v>189</v>
      </c>
      <c r="G682" s="23"/>
      <c r="H682" s="23" t="str">
        <f t="shared" si="1"/>
        <v>INSERT INTO tblDayAttendanceLog VALUES (seqDayAttendanceLog.nextval, 9, TO_DATE('2025-08-07', 'YYYY-MM-DD'), TO_DATE('2025-08-07 09:16:00', 'YYYY-MM-DD HH24:MI:SS'), TO_DATE('2025-08-07 17:53:00', 'YYYY-MM-DD HH24:MI:SS'));</v>
      </c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</row>
    <row r="683">
      <c r="A683" s="25" t="s">
        <v>206</v>
      </c>
      <c r="B683" s="26">
        <v>10.0</v>
      </c>
      <c r="C683" s="27">
        <v>45876.0</v>
      </c>
      <c r="D683" s="28">
        <v>45876.35763888889</v>
      </c>
      <c r="E683" s="28">
        <v>45876.74375</v>
      </c>
      <c r="F683" s="21" t="s">
        <v>184</v>
      </c>
      <c r="G683" s="23"/>
      <c r="H683" s="23" t="str">
        <f t="shared" si="1"/>
        <v>INSERT INTO tblDayAttendanceLog VALUES (seqDayAttendanceLog.nextval, 10, TO_DATE('2025-08-07', 'YYYY-MM-DD'), TO_DATE('2025-08-07 08:35:00', 'YYYY-MM-DD HH24:MI:SS'), TO_DATE('2025-08-07 17:51:00', 'YYYY-MM-DD HH24:MI:SS'));</v>
      </c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</row>
    <row r="684">
      <c r="A684" s="25" t="s">
        <v>206</v>
      </c>
      <c r="B684" s="26">
        <v>11.0</v>
      </c>
      <c r="C684" s="27">
        <v>45876.0</v>
      </c>
      <c r="D684" s="28">
        <v>45876.35763888889</v>
      </c>
      <c r="E684" s="28">
        <v>45876.74722222222</v>
      </c>
      <c r="F684" s="21" t="s">
        <v>184</v>
      </c>
      <c r="G684" s="23"/>
      <c r="H684" s="23" t="str">
        <f t="shared" si="1"/>
        <v>INSERT INTO tblDayAttendanceLog VALUES (seqDayAttendanceLog.nextval, 11, TO_DATE('2025-08-07', 'YYYY-MM-DD'), TO_DATE('2025-08-07 08:35:00', 'YYYY-MM-DD HH24:MI:SS'), TO_DATE('2025-08-07 17:56:00', 'YYYY-MM-DD HH24:MI:SS'));</v>
      </c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</row>
    <row r="685">
      <c r="A685" s="25" t="s">
        <v>206</v>
      </c>
      <c r="B685" s="26">
        <v>12.0</v>
      </c>
      <c r="C685" s="27">
        <v>45876.0</v>
      </c>
      <c r="D685" s="28">
        <v>45876.39861111111</v>
      </c>
      <c r="E685" s="28">
        <v>45876.748611111114</v>
      </c>
      <c r="F685" s="21" t="s">
        <v>189</v>
      </c>
      <c r="G685" s="23"/>
      <c r="H685" s="23" t="str">
        <f t="shared" si="1"/>
        <v>INSERT INTO tblDayAttendanceLog VALUES (seqDayAttendanceLog.nextval, 12, TO_DATE('2025-08-07', 'YYYY-MM-DD'), TO_DATE('2025-08-07 09:34:00', 'YYYY-MM-DD HH24:MI:SS'), TO_DATE('2025-08-07 17:58:00', 'YYYY-MM-DD HH24:MI:SS'));</v>
      </c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</row>
    <row r="686">
      <c r="A686" s="25" t="s">
        <v>206</v>
      </c>
      <c r="B686" s="26">
        <v>13.0</v>
      </c>
      <c r="C686" s="27">
        <v>45876.0</v>
      </c>
      <c r="D686" s="28">
        <v>45876.41458333333</v>
      </c>
      <c r="E686" s="28">
        <v>45876.74791666667</v>
      </c>
      <c r="F686" s="21" t="s">
        <v>189</v>
      </c>
      <c r="G686" s="23"/>
      <c r="H686" s="23" t="str">
        <f t="shared" si="1"/>
        <v>INSERT INTO tblDayAttendanceLog VALUES (seqDayAttendanceLog.nextval, 13, TO_DATE('2025-08-07', 'YYYY-MM-DD'), TO_DATE('2025-08-07 09:57:00', 'YYYY-MM-DD HH24:MI:SS'), TO_DATE('2025-08-07 17:57:00', 'YYYY-MM-DD HH24:MI:SS'));</v>
      </c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</row>
    <row r="687">
      <c r="A687" s="25" t="s">
        <v>206</v>
      </c>
      <c r="B687" s="26">
        <v>14.0</v>
      </c>
      <c r="C687" s="27">
        <v>45876.0</v>
      </c>
      <c r="D687" s="28">
        <v>45876.381944444445</v>
      </c>
      <c r="E687" s="28">
        <v>45876.74722222222</v>
      </c>
      <c r="F687" s="21" t="s">
        <v>189</v>
      </c>
      <c r="G687" s="23"/>
      <c r="H687" s="23" t="str">
        <f t="shared" si="1"/>
        <v>INSERT INTO tblDayAttendanceLog VALUES (seqDayAttendanceLog.nextval, 14, TO_DATE('2025-08-07', 'YYYY-MM-DD'), TO_DATE('2025-08-07 09:10:00', 'YYYY-MM-DD HH24:MI:SS'), TO_DATE('2025-08-07 17:56:00', 'YYYY-MM-DD HH24:MI:SS'));</v>
      </c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</row>
    <row r="688">
      <c r="A688" s="25" t="s">
        <v>206</v>
      </c>
      <c r="B688" s="26">
        <v>15.0</v>
      </c>
      <c r="C688" s="27">
        <v>45876.0</v>
      </c>
      <c r="D688" s="28">
        <v>45876.345138888886</v>
      </c>
      <c r="E688" s="28">
        <v>45876.74722222222</v>
      </c>
      <c r="F688" s="21" t="s">
        <v>184</v>
      </c>
      <c r="G688" s="23"/>
      <c r="H688" s="23" t="str">
        <f t="shared" si="1"/>
        <v>INSERT INTO tblDayAttendanceLog VALUES (seqDayAttendanceLog.nextval, 15, TO_DATE('2025-08-07', 'YYYY-MM-DD'), TO_DATE('2025-08-07 08:17:00', 'YYYY-MM-DD HH24:MI:SS'), TO_DATE('2025-08-07 17:56:00', 'YYYY-MM-DD HH24:MI:SS'));</v>
      </c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</row>
    <row r="689">
      <c r="A689" s="25" t="s">
        <v>206</v>
      </c>
      <c r="B689" s="26">
        <v>16.0</v>
      </c>
      <c r="C689" s="27">
        <v>45876.0</v>
      </c>
      <c r="D689" s="28">
        <v>45876.41180555556</v>
      </c>
      <c r="E689" s="28">
        <v>45876.74652777778</v>
      </c>
      <c r="F689" s="21" t="s">
        <v>189</v>
      </c>
      <c r="G689" s="23"/>
      <c r="H689" s="23" t="str">
        <f t="shared" si="1"/>
        <v>INSERT INTO tblDayAttendanceLog VALUES (seqDayAttendanceLog.nextval, 16, TO_DATE('2025-08-07', 'YYYY-MM-DD'), TO_DATE('2025-08-07 09:53:00', 'YYYY-MM-DD HH24:MI:SS'), TO_DATE('2025-08-07 17:55:00', 'YYYY-MM-DD HH24:MI:SS'));</v>
      </c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</row>
    <row r="690">
      <c r="A690" s="25" t="s">
        <v>206</v>
      </c>
      <c r="B690" s="26">
        <v>17.0</v>
      </c>
      <c r="C690" s="27">
        <v>45876.0</v>
      </c>
      <c r="D690" s="29"/>
      <c r="E690" s="29"/>
      <c r="F690" s="21" t="s">
        <v>186</v>
      </c>
      <c r="G690" s="23"/>
      <c r="H690" s="23" t="str">
        <f t="shared" si="1"/>
        <v>INSERT INTO tblDayAttendanceLog VALUES (seqDayAttendanceLog.nextval, 17, TO_DATE('2025-08-07', 'YYYY-MM-DD'), NULL, NULL);</v>
      </c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</row>
    <row r="691">
      <c r="A691" s="25" t="s">
        <v>206</v>
      </c>
      <c r="B691" s="26">
        <v>18.0</v>
      </c>
      <c r="C691" s="27">
        <v>45876.0</v>
      </c>
      <c r="D691" s="28">
        <v>45876.3875</v>
      </c>
      <c r="E691" s="28">
        <v>45876.743055555555</v>
      </c>
      <c r="F691" s="21" t="s">
        <v>189</v>
      </c>
      <c r="G691" s="23"/>
      <c r="H691" s="23" t="str">
        <f t="shared" si="1"/>
        <v>INSERT INTO tblDayAttendanceLog VALUES (seqDayAttendanceLog.nextval, 18, TO_DATE('2025-08-07', 'YYYY-MM-DD'), TO_DATE('2025-08-07 09:18:00', 'YYYY-MM-DD HH24:MI:SS'), TO_DATE('2025-08-07 17:50:00', 'YYYY-MM-DD HH24:MI:SS'));</v>
      </c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</row>
    <row r="692">
      <c r="A692" s="25" t="s">
        <v>206</v>
      </c>
      <c r="B692" s="26">
        <v>19.0</v>
      </c>
      <c r="C692" s="27">
        <v>45876.0</v>
      </c>
      <c r="D692" s="28">
        <v>45876.376388888886</v>
      </c>
      <c r="E692" s="28">
        <v>45876.74930555555</v>
      </c>
      <c r="F692" s="21" t="s">
        <v>189</v>
      </c>
      <c r="G692" s="23"/>
      <c r="H692" s="23" t="str">
        <f t="shared" si="1"/>
        <v>INSERT INTO tblDayAttendanceLog VALUES (seqDayAttendanceLog.nextval, 19, TO_DATE('2025-08-07', 'YYYY-MM-DD'), TO_DATE('2025-08-07 09:02:00', 'YYYY-MM-DD HH24:MI:SS'), TO_DATE('2025-08-07 17:59:00', 'YYYY-MM-DD HH24:MI:SS'));</v>
      </c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</row>
    <row r="693">
      <c r="A693" s="25" t="s">
        <v>206</v>
      </c>
      <c r="B693" s="26">
        <v>20.0</v>
      </c>
      <c r="C693" s="27">
        <v>45876.0</v>
      </c>
      <c r="D693" s="28">
        <v>45876.413194444445</v>
      </c>
      <c r="E693" s="28">
        <v>45876.74791666667</v>
      </c>
      <c r="F693" s="21" t="s">
        <v>189</v>
      </c>
      <c r="G693" s="23"/>
      <c r="H693" s="23" t="str">
        <f t="shared" si="1"/>
        <v>INSERT INTO tblDayAttendanceLog VALUES (seqDayAttendanceLog.nextval, 20, TO_DATE('2025-08-07', 'YYYY-MM-DD'), TO_DATE('2025-08-07 09:55:00', 'YYYY-MM-DD HH24:MI:SS'), TO_DATE('2025-08-07 17:57:00', 'YYYY-MM-DD HH24:MI:SS'));</v>
      </c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</row>
    <row r="694">
      <c r="A694" s="25" t="s">
        <v>206</v>
      </c>
      <c r="B694" s="26">
        <v>21.0</v>
      </c>
      <c r="C694" s="27">
        <v>45876.0</v>
      </c>
      <c r="D694" s="28">
        <v>45876.40694444445</v>
      </c>
      <c r="E694" s="28">
        <v>45876.74375</v>
      </c>
      <c r="F694" s="21" t="s">
        <v>189</v>
      </c>
      <c r="G694" s="23"/>
      <c r="H694" s="23" t="str">
        <f t="shared" si="1"/>
        <v>INSERT INTO tblDayAttendanceLog VALUES (seqDayAttendanceLog.nextval, 21, TO_DATE('2025-08-07', 'YYYY-MM-DD'), TO_DATE('2025-08-07 09:46:00', 'YYYY-MM-DD HH24:MI:SS'), TO_DATE('2025-08-07 17:51:00', 'YYYY-MM-DD HH24:MI:SS'));</v>
      </c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</row>
    <row r="695">
      <c r="A695" s="25" t="s">
        <v>206</v>
      </c>
      <c r="B695" s="26">
        <v>22.0</v>
      </c>
      <c r="C695" s="27">
        <v>45876.0</v>
      </c>
      <c r="D695" s="28">
        <v>45876.36666666667</v>
      </c>
      <c r="E695" s="28">
        <v>45876.748611111114</v>
      </c>
      <c r="F695" s="21" t="s">
        <v>184</v>
      </c>
      <c r="G695" s="23"/>
      <c r="H695" s="23" t="str">
        <f t="shared" si="1"/>
        <v>INSERT INTO tblDayAttendanceLog VALUES (seqDayAttendanceLog.nextval, 22, TO_DATE('2025-08-07', 'YYYY-MM-DD'), TO_DATE('2025-08-07 08:48:00', 'YYYY-MM-DD HH24:MI:SS'), TO_DATE('2025-08-07 17:58:00', 'YYYY-MM-DD HH24:MI:SS'));</v>
      </c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</row>
    <row r="696">
      <c r="A696" s="25" t="s">
        <v>206</v>
      </c>
      <c r="B696" s="26">
        <v>23.0</v>
      </c>
      <c r="C696" s="27">
        <v>45876.0</v>
      </c>
      <c r="D696" s="28">
        <v>45876.34722222222</v>
      </c>
      <c r="E696" s="28">
        <v>45876.743055555555</v>
      </c>
      <c r="F696" s="21" t="s">
        <v>184</v>
      </c>
      <c r="G696" s="23"/>
      <c r="H696" s="23" t="str">
        <f t="shared" si="1"/>
        <v>INSERT INTO tblDayAttendanceLog VALUES (seqDayAttendanceLog.nextval, 23, TO_DATE('2025-08-07', 'YYYY-MM-DD'), TO_DATE('2025-08-07 08:20:00', 'YYYY-MM-DD HH24:MI:SS'), TO_DATE('2025-08-07 17:50:00', 'YYYY-MM-DD HH24:MI:SS'));</v>
      </c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</row>
    <row r="697">
      <c r="A697" s="25" t="s">
        <v>206</v>
      </c>
      <c r="B697" s="26">
        <v>24.0</v>
      </c>
      <c r="C697" s="27">
        <v>45876.0</v>
      </c>
      <c r="D697" s="28">
        <v>45876.37569444445</v>
      </c>
      <c r="E697" s="28">
        <v>45876.74375</v>
      </c>
      <c r="F697" s="21" t="s">
        <v>189</v>
      </c>
      <c r="G697" s="23"/>
      <c r="H697" s="23" t="str">
        <f t="shared" si="1"/>
        <v>INSERT INTO tblDayAttendanceLog VALUES (seqDayAttendanceLog.nextval, 24, TO_DATE('2025-08-07', 'YYYY-MM-DD'), TO_DATE('2025-08-07 09:01:00', 'YYYY-MM-DD HH24:MI:SS'), TO_DATE('2025-08-07 17:51:00', 'YYYY-MM-DD HH24:MI:SS'));</v>
      </c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</row>
    <row r="698">
      <c r="A698" s="25" t="s">
        <v>206</v>
      </c>
      <c r="B698" s="26">
        <v>25.0</v>
      </c>
      <c r="C698" s="27">
        <v>45876.0</v>
      </c>
      <c r="D698" s="28">
        <v>45876.35</v>
      </c>
      <c r="E698" s="28">
        <v>45876.748611111114</v>
      </c>
      <c r="F698" s="21" t="s">
        <v>184</v>
      </c>
      <c r="G698" s="23"/>
      <c r="H698" s="23" t="str">
        <f t="shared" si="1"/>
        <v>INSERT INTO tblDayAttendanceLog VALUES (seqDayAttendanceLog.nextval, 25, TO_DATE('2025-08-07', 'YYYY-MM-DD'), TO_DATE('2025-08-07 08:24:00', 'YYYY-MM-DD HH24:MI:SS'), TO_DATE('2025-08-07 17:58:00', 'YYYY-MM-DD HH24:MI:SS'));</v>
      </c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</row>
    <row r="699">
      <c r="A699" s="25" t="s">
        <v>206</v>
      </c>
      <c r="B699" s="26">
        <v>26.0</v>
      </c>
      <c r="C699" s="27">
        <v>45876.0</v>
      </c>
      <c r="D699" s="28">
        <v>45876.34166666667</v>
      </c>
      <c r="E699" s="28">
        <v>45876.74444444444</v>
      </c>
      <c r="F699" s="21" t="s">
        <v>184</v>
      </c>
      <c r="G699" s="23"/>
      <c r="H699" s="23" t="str">
        <f t="shared" si="1"/>
        <v>INSERT INTO tblDayAttendanceLog VALUES (seqDayAttendanceLog.nextval, 26, TO_DATE('2025-08-07', 'YYYY-MM-DD'), TO_DATE('2025-08-07 08:12:00', 'YYYY-MM-DD HH24:MI:SS'), TO_DATE('2025-08-07 17:52:00', 'YYYY-MM-DD HH24:MI:SS'));</v>
      </c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</row>
    <row r="700">
      <c r="A700" s="25" t="s">
        <v>206</v>
      </c>
      <c r="B700" s="26">
        <v>27.0</v>
      </c>
      <c r="C700" s="27">
        <v>45876.0</v>
      </c>
      <c r="D700" s="28">
        <v>45876.34861111111</v>
      </c>
      <c r="E700" s="28">
        <v>45876.745833333334</v>
      </c>
      <c r="F700" s="21" t="s">
        <v>184</v>
      </c>
      <c r="G700" s="23"/>
      <c r="H700" s="23" t="str">
        <f t="shared" si="1"/>
        <v>INSERT INTO tblDayAttendanceLog VALUES (seqDayAttendanceLog.nextval, 27, TO_DATE('2025-08-07', 'YYYY-MM-DD'), TO_DATE('2025-08-07 08:22:00', 'YYYY-MM-DD HH24:MI:SS'), TO_DATE('2025-08-07 17:54:00', 'YYYY-MM-DD HH24:MI:SS'));</v>
      </c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</row>
    <row r="701">
      <c r="A701" s="25" t="s">
        <v>206</v>
      </c>
      <c r="B701" s="26">
        <v>28.0</v>
      </c>
      <c r="C701" s="27">
        <v>45876.0</v>
      </c>
      <c r="D701" s="28">
        <v>45876.38263888889</v>
      </c>
      <c r="E701" s="28">
        <v>45876.74791666667</v>
      </c>
      <c r="F701" s="21" t="s">
        <v>189</v>
      </c>
      <c r="G701" s="23"/>
      <c r="H701" s="23" t="str">
        <f t="shared" si="1"/>
        <v>INSERT INTO tblDayAttendanceLog VALUES (seqDayAttendanceLog.nextval, 28, TO_DATE('2025-08-07', 'YYYY-MM-DD'), TO_DATE('2025-08-07 09:11:00', 'YYYY-MM-DD HH24:MI:SS'), TO_DATE('2025-08-07 17:57:00', 'YYYY-MM-DD HH24:MI:SS'));</v>
      </c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</row>
    <row r="702">
      <c r="A702" s="25" t="s">
        <v>206</v>
      </c>
      <c r="B702" s="26">
        <v>29.0</v>
      </c>
      <c r="C702" s="27">
        <v>45876.0</v>
      </c>
      <c r="D702" s="28">
        <v>45876.3375</v>
      </c>
      <c r="E702" s="28">
        <v>45876.74375</v>
      </c>
      <c r="F702" s="21" t="s">
        <v>184</v>
      </c>
      <c r="G702" s="23"/>
      <c r="H702" s="23" t="str">
        <f t="shared" si="1"/>
        <v>INSERT INTO tblDayAttendanceLog VALUES (seqDayAttendanceLog.nextval, 29, TO_DATE('2025-08-07', 'YYYY-MM-DD'), TO_DATE('2025-08-07 08:06:00', 'YYYY-MM-DD HH24:MI:SS'), TO_DATE('2025-08-07 17:51:00', 'YYYY-MM-DD HH24:MI:SS'));</v>
      </c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</row>
    <row r="703">
      <c r="A703" s="25" t="s">
        <v>206</v>
      </c>
      <c r="B703" s="26">
        <v>30.0</v>
      </c>
      <c r="C703" s="27">
        <v>45876.0</v>
      </c>
      <c r="D703" s="28">
        <v>45876.33819444444</v>
      </c>
      <c r="E703" s="28">
        <v>45876.74791666667</v>
      </c>
      <c r="F703" s="21" t="s">
        <v>184</v>
      </c>
      <c r="G703" s="23"/>
      <c r="H703" s="23" t="str">
        <f t="shared" si="1"/>
        <v>INSERT INTO tblDayAttendanceLog VALUES (seqDayAttendanceLog.nextval, 30, TO_DATE('2025-08-07', 'YYYY-MM-DD'), TO_DATE('2025-08-07 08:07:00', 'YYYY-MM-DD HH24:MI:SS'), TO_DATE('2025-08-07 17:57:00', 'YYYY-MM-DD HH24:MI:SS'));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</row>
    <row r="704">
      <c r="A704" s="25" t="s">
        <v>206</v>
      </c>
      <c r="B704" s="26">
        <v>31.0</v>
      </c>
      <c r="C704" s="27">
        <v>45876.0</v>
      </c>
      <c r="D704" s="28">
        <v>45876.35277777778</v>
      </c>
      <c r="E704" s="28">
        <v>45876.74444444444</v>
      </c>
      <c r="F704" s="21" t="s">
        <v>184</v>
      </c>
      <c r="G704" s="23"/>
      <c r="H704" s="23" t="str">
        <f t="shared" si="1"/>
        <v>INSERT INTO tblDayAttendanceLog VALUES (seqDayAttendanceLog.nextval, 31, TO_DATE('2025-08-07', 'YYYY-MM-DD'), TO_DATE('2025-08-07 08:28:00', 'YYYY-MM-DD HH24:MI:SS'), TO_DATE('2025-08-07 17:52:00', 'YYYY-MM-DD HH24:MI:SS'));</v>
      </c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</row>
    <row r="705">
      <c r="A705" s="25" t="s">
        <v>206</v>
      </c>
      <c r="B705" s="26">
        <v>32.0</v>
      </c>
      <c r="C705" s="27">
        <v>45876.0</v>
      </c>
      <c r="D705" s="28">
        <v>45876.41388888889</v>
      </c>
      <c r="E705" s="28">
        <v>45876.74513888889</v>
      </c>
      <c r="F705" s="21" t="s">
        <v>189</v>
      </c>
      <c r="G705" s="23"/>
      <c r="H705" s="23" t="str">
        <f t="shared" si="1"/>
        <v>INSERT INTO tblDayAttendanceLog VALUES (seqDayAttendanceLog.nextval, 32, TO_DATE('2025-08-07', 'YYYY-MM-DD'), TO_DATE('2025-08-07 09:56:00', 'YYYY-MM-DD HH24:MI:SS'), TO_DATE('2025-08-07 17:53:00', 'YYYY-MM-DD HH24:MI:SS'));</v>
      </c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</row>
    <row r="706">
      <c r="A706" s="25" t="s">
        <v>206</v>
      </c>
      <c r="B706" s="26">
        <v>33.0</v>
      </c>
      <c r="C706" s="27">
        <v>45876.0</v>
      </c>
      <c r="D706" s="28">
        <v>45876.339583333334</v>
      </c>
      <c r="E706" s="28">
        <v>45876.74791666667</v>
      </c>
      <c r="F706" s="21" t="s">
        <v>184</v>
      </c>
      <c r="G706" s="23"/>
      <c r="H706" s="23" t="str">
        <f t="shared" si="1"/>
        <v>INSERT INTO tblDayAttendanceLog VALUES (seqDayAttendanceLog.nextval, 33, TO_DATE('2025-08-07', 'YYYY-MM-DD'), TO_DATE('2025-08-07 08:09:00', 'YYYY-MM-DD HH24:MI:SS'), TO_DATE('2025-08-07 17:57:00', 'YYYY-MM-DD HH24:MI:SS'));</v>
      </c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</row>
    <row r="707">
      <c r="A707" s="25" t="s">
        <v>206</v>
      </c>
      <c r="B707" s="26">
        <v>34.0</v>
      </c>
      <c r="C707" s="27">
        <v>45876.0</v>
      </c>
      <c r="D707" s="28">
        <v>45876.34652777778</v>
      </c>
      <c r="E707" s="28">
        <v>45876.74513888889</v>
      </c>
      <c r="F707" s="21" t="s">
        <v>184</v>
      </c>
      <c r="G707" s="23"/>
      <c r="H707" s="23" t="str">
        <f t="shared" si="1"/>
        <v>INSERT INTO tblDayAttendanceLog VALUES (seqDayAttendanceLog.nextval, 34, TO_DATE('2025-08-07', 'YYYY-MM-DD'), TO_DATE('2025-08-07 08:19:00', 'YYYY-MM-DD HH24:MI:SS'), TO_DATE('2025-08-07 17:53:00', 'YYYY-MM-DD HH24:MI:SS'));</v>
      </c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</row>
    <row r="708">
      <c r="A708" s="25" t="s">
        <v>206</v>
      </c>
      <c r="B708" s="26">
        <v>35.0</v>
      </c>
      <c r="C708" s="27">
        <v>45876.0</v>
      </c>
      <c r="D708" s="28">
        <v>45876.35625</v>
      </c>
      <c r="E708" s="28">
        <v>45876.748611111114</v>
      </c>
      <c r="F708" s="21" t="s">
        <v>184</v>
      </c>
      <c r="G708" s="23"/>
      <c r="H708" s="23" t="str">
        <f t="shared" si="1"/>
        <v>INSERT INTO tblDayAttendanceLog VALUES (seqDayAttendanceLog.nextval, 35, TO_DATE('2025-08-07', 'YYYY-MM-DD'), TO_DATE('2025-08-07 08:33:00', 'YYYY-MM-DD HH24:MI:SS'), TO_DATE('2025-08-07 17:58:00', 'YYYY-MM-DD HH24:MI:SS'));</v>
      </c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</row>
    <row r="709">
      <c r="A709" s="25" t="s">
        <v>206</v>
      </c>
      <c r="B709" s="26">
        <v>36.0</v>
      </c>
      <c r="C709" s="27">
        <v>45876.0</v>
      </c>
      <c r="D709" s="28">
        <v>45876.33611111111</v>
      </c>
      <c r="E709" s="28">
        <v>45876.74652777778</v>
      </c>
      <c r="F709" s="21" t="s">
        <v>184</v>
      </c>
      <c r="G709" s="23"/>
      <c r="H709" s="23" t="str">
        <f t="shared" si="1"/>
        <v>INSERT INTO tblDayAttendanceLog VALUES (seqDayAttendanceLog.nextval, 36, TO_DATE('2025-08-07', 'YYYY-MM-DD'), TO_DATE('2025-08-07 08:04:00', 'YYYY-MM-DD HH24:MI:SS'), TO_DATE('2025-08-07 17:55:00', 'YYYY-MM-DD HH24:MI:SS'));</v>
      </c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</row>
    <row r="710">
      <c r="A710" s="25" t="s">
        <v>206</v>
      </c>
      <c r="B710" s="26">
        <v>37.0</v>
      </c>
      <c r="C710" s="27">
        <v>45876.0</v>
      </c>
      <c r="D710" s="28">
        <v>45876.36388888889</v>
      </c>
      <c r="E710" s="28">
        <v>45876.74513888889</v>
      </c>
      <c r="F710" s="21" t="s">
        <v>184</v>
      </c>
      <c r="G710" s="23"/>
      <c r="H710" s="23" t="str">
        <f t="shared" si="1"/>
        <v>INSERT INTO tblDayAttendanceLog VALUES (seqDayAttendanceLog.nextval, 37, TO_DATE('2025-08-07', 'YYYY-MM-DD'), TO_DATE('2025-08-07 08:44:00', 'YYYY-MM-DD HH24:MI:SS'), TO_DATE('2025-08-07 17:53:00', 'YYYY-MM-DD HH24:MI:SS'));</v>
      </c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</row>
    <row r="711">
      <c r="A711" s="25" t="s">
        <v>206</v>
      </c>
      <c r="B711" s="26">
        <v>38.0</v>
      </c>
      <c r="C711" s="27">
        <v>45876.0</v>
      </c>
      <c r="D711" s="28">
        <v>45876.39791666667</v>
      </c>
      <c r="E711" s="28">
        <v>45876.74375</v>
      </c>
      <c r="F711" s="21" t="s">
        <v>189</v>
      </c>
      <c r="G711" s="23"/>
      <c r="H711" s="23" t="str">
        <f t="shared" si="1"/>
        <v>INSERT INTO tblDayAttendanceLog VALUES (seqDayAttendanceLog.nextval, 38, TO_DATE('2025-08-07', 'YYYY-MM-DD'), TO_DATE('2025-08-07 09:33:00', 'YYYY-MM-DD HH24:MI:SS'), TO_DATE('2025-08-07 17:51:00', 'YYYY-MM-DD HH24:MI:SS'));</v>
      </c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</row>
    <row r="712">
      <c r="A712" s="25" t="s">
        <v>206</v>
      </c>
      <c r="B712" s="26">
        <v>39.0</v>
      </c>
      <c r="C712" s="27">
        <v>45876.0</v>
      </c>
      <c r="D712" s="28">
        <v>45876.381944444445</v>
      </c>
      <c r="E712" s="28">
        <v>45876.74791666667</v>
      </c>
      <c r="F712" s="21" t="s">
        <v>189</v>
      </c>
      <c r="G712" s="23"/>
      <c r="H712" s="23" t="str">
        <f t="shared" si="1"/>
        <v>INSERT INTO tblDayAttendanceLog VALUES (seqDayAttendanceLog.nextval, 39, TO_DATE('2025-08-07', 'YYYY-MM-DD'), TO_DATE('2025-08-07 09:10:00', 'YYYY-MM-DD HH24:MI:SS'), TO_DATE('2025-08-07 17:57:00', 'YYYY-MM-DD HH24:MI:SS'));</v>
      </c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</row>
    <row r="713">
      <c r="A713" s="25" t="s">
        <v>206</v>
      </c>
      <c r="B713" s="26">
        <v>40.0</v>
      </c>
      <c r="C713" s="27">
        <v>45876.0</v>
      </c>
      <c r="D713" s="28">
        <v>45876.3375</v>
      </c>
      <c r="E713" s="28">
        <v>45876.74513888889</v>
      </c>
      <c r="F713" s="21" t="s">
        <v>184</v>
      </c>
      <c r="G713" s="23"/>
      <c r="H713" s="23" t="str">
        <f t="shared" si="1"/>
        <v>INSERT INTO tblDayAttendanceLog VALUES (seqDayAttendanceLog.nextval, 40, TO_DATE('2025-08-07', 'YYYY-MM-DD'), TO_DATE('2025-08-07 08:06:00', 'YYYY-MM-DD HH24:MI:SS'), TO_DATE('2025-08-07 17:53:00', 'YYYY-MM-DD HH24:MI:SS'));</v>
      </c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</row>
    <row r="714">
      <c r="A714" s="25" t="s">
        <v>206</v>
      </c>
      <c r="B714" s="26">
        <v>41.0</v>
      </c>
      <c r="C714" s="27">
        <v>45876.0</v>
      </c>
      <c r="D714" s="28">
        <v>45876.38333333333</v>
      </c>
      <c r="E714" s="28">
        <v>45876.74375</v>
      </c>
      <c r="F714" s="21" t="s">
        <v>189</v>
      </c>
      <c r="G714" s="23"/>
      <c r="H714" s="23" t="str">
        <f t="shared" si="1"/>
        <v>INSERT INTO tblDayAttendanceLog VALUES (seqDayAttendanceLog.nextval, 41, TO_DATE('2025-08-07', 'YYYY-MM-DD'), TO_DATE('2025-08-07 09:12:00', 'YYYY-MM-DD HH24:MI:SS'), TO_DATE('2025-08-07 17:51:00', 'YYYY-MM-DD HH24:MI:SS'));</v>
      </c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</row>
    <row r="715">
      <c r="A715" s="25" t="s">
        <v>206</v>
      </c>
      <c r="B715" s="26">
        <v>42.0</v>
      </c>
      <c r="C715" s="27">
        <v>45876.0</v>
      </c>
      <c r="D715" s="28">
        <v>45876.375</v>
      </c>
      <c r="E715" s="28">
        <v>45876.74722222222</v>
      </c>
      <c r="F715" s="21" t="s">
        <v>189</v>
      </c>
      <c r="G715" s="23"/>
      <c r="H715" s="23" t="str">
        <f t="shared" si="1"/>
        <v>INSERT INTO tblDayAttendanceLog VALUES (seqDayAttendanceLog.nextval, 42, TO_DATE('2025-08-07', 'YYYY-MM-DD'), TO_DATE('2025-08-07 09:00:00', 'YYYY-MM-DD HH24:MI:SS'), TO_DATE('2025-08-07 17:56:00', 'YYYY-MM-DD HH24:MI:SS'));</v>
      </c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</row>
    <row r="716">
      <c r="A716" s="25" t="s">
        <v>206</v>
      </c>
      <c r="B716" s="26">
        <v>43.0</v>
      </c>
      <c r="C716" s="27">
        <v>45876.0</v>
      </c>
      <c r="D716" s="28">
        <v>45876.40625</v>
      </c>
      <c r="E716" s="28">
        <v>45876.74513888889</v>
      </c>
      <c r="F716" s="21" t="s">
        <v>189</v>
      </c>
      <c r="G716" s="23"/>
      <c r="H716" s="23" t="str">
        <f t="shared" si="1"/>
        <v>INSERT INTO tblDayAttendanceLog VALUES (seqDayAttendanceLog.nextval, 43, TO_DATE('2025-08-07', 'YYYY-MM-DD'), TO_DATE('2025-08-07 09:45:00', 'YYYY-MM-DD HH24:MI:SS'), TO_DATE('2025-08-07 17:53:00', 'YYYY-MM-DD HH24:MI:SS'));</v>
      </c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</row>
    <row r="717">
      <c r="A717" s="25" t="s">
        <v>206</v>
      </c>
      <c r="B717" s="26">
        <v>44.0</v>
      </c>
      <c r="C717" s="27">
        <v>45876.0</v>
      </c>
      <c r="D717" s="28">
        <v>45876.37430555555</v>
      </c>
      <c r="E717" s="28">
        <v>45876.74652777778</v>
      </c>
      <c r="F717" s="21" t="s">
        <v>184</v>
      </c>
      <c r="G717" s="23"/>
      <c r="H717" s="23" t="str">
        <f t="shared" si="1"/>
        <v>INSERT INTO tblDayAttendanceLog VALUES (seqDayAttendanceLog.nextval, 44, TO_DATE('2025-08-07', 'YYYY-MM-DD'), TO_DATE('2025-08-07 08:59:00', 'YYYY-MM-DD HH24:MI:SS'), TO_DATE('2025-08-07 17:55:00', 'YYYY-MM-DD HH24:MI:SS'));</v>
      </c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</row>
    <row r="718">
      <c r="A718" s="25" t="s">
        <v>206</v>
      </c>
      <c r="B718" s="26">
        <v>45.0</v>
      </c>
      <c r="C718" s="27">
        <v>45876.0</v>
      </c>
      <c r="D718" s="28">
        <v>45876.41388888889</v>
      </c>
      <c r="E718" s="28">
        <v>45876.74375</v>
      </c>
      <c r="F718" s="21" t="s">
        <v>189</v>
      </c>
      <c r="G718" s="23"/>
      <c r="H718" s="23" t="str">
        <f t="shared" si="1"/>
        <v>INSERT INTO tblDayAttendanceLog VALUES (seqDayAttendanceLog.nextval, 45, TO_DATE('2025-08-07', 'YYYY-MM-DD'), TO_DATE('2025-08-07 09:56:00', 'YYYY-MM-DD HH24:MI:SS'), TO_DATE('2025-08-07 17:51:00', 'YYYY-MM-DD HH24:MI:SS'));</v>
      </c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</row>
    <row r="719">
      <c r="A719" s="25" t="s">
        <v>206</v>
      </c>
      <c r="B719" s="26">
        <v>46.0</v>
      </c>
      <c r="C719" s="27">
        <v>45876.0</v>
      </c>
      <c r="D719" s="28">
        <v>45876.41458333333</v>
      </c>
      <c r="E719" s="28">
        <v>45876.74722222222</v>
      </c>
      <c r="F719" s="21" t="s">
        <v>189</v>
      </c>
      <c r="G719" s="23"/>
      <c r="H719" s="23" t="str">
        <f t="shared" si="1"/>
        <v>INSERT INTO tblDayAttendanceLog VALUES (seqDayAttendanceLog.nextval, 46, TO_DATE('2025-08-07', 'YYYY-MM-DD'), TO_DATE('2025-08-07 09:57:00', 'YYYY-MM-DD HH24:MI:SS'), TO_DATE('2025-08-07 17:56:00', 'YYYY-MM-DD HH24:MI:SS'));</v>
      </c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</row>
    <row r="720">
      <c r="A720" s="25" t="s">
        <v>206</v>
      </c>
      <c r="B720" s="26">
        <v>47.0</v>
      </c>
      <c r="C720" s="27">
        <v>45876.0</v>
      </c>
      <c r="D720" s="28">
        <v>45876.396527777775</v>
      </c>
      <c r="E720" s="28">
        <v>45876.74513888889</v>
      </c>
      <c r="F720" s="21" t="s">
        <v>189</v>
      </c>
      <c r="G720" s="23"/>
      <c r="H720" s="23" t="str">
        <f t="shared" si="1"/>
        <v>INSERT INTO tblDayAttendanceLog VALUES (seqDayAttendanceLog.nextval, 47, TO_DATE('2025-08-07', 'YYYY-MM-DD'), TO_DATE('2025-08-07 09:31:00', 'YYYY-MM-DD HH24:MI:SS'), TO_DATE('2025-08-07 17:53:00', 'YYYY-MM-DD HH24:MI:SS'));</v>
      </c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</row>
    <row r="721">
      <c r="A721" s="25" t="s">
        <v>206</v>
      </c>
      <c r="B721" s="26">
        <v>48.0</v>
      </c>
      <c r="C721" s="27">
        <v>45876.0</v>
      </c>
      <c r="D721" s="28">
        <v>45876.35</v>
      </c>
      <c r="E721" s="28">
        <v>45876.74652777778</v>
      </c>
      <c r="F721" s="21" t="s">
        <v>184</v>
      </c>
      <c r="G721" s="23"/>
      <c r="H721" s="23" t="str">
        <f t="shared" si="1"/>
        <v>INSERT INTO tblDayAttendanceLog VALUES (seqDayAttendanceLog.nextval, 48, TO_DATE('2025-08-07', 'YYYY-MM-DD'), TO_DATE('2025-08-07 08:24:00', 'YYYY-MM-DD HH24:MI:SS'), TO_DATE('2025-08-07 17:55:00', 'YYYY-MM-DD HH24:MI:SS'));</v>
      </c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</row>
    <row r="722">
      <c r="A722" s="25" t="s">
        <v>206</v>
      </c>
      <c r="B722" s="26">
        <v>49.0</v>
      </c>
      <c r="C722" s="27">
        <v>45876.0</v>
      </c>
      <c r="D722" s="28">
        <v>45876.370833333334</v>
      </c>
      <c r="E722" s="28">
        <v>45876.745833333334</v>
      </c>
      <c r="F722" s="21" t="s">
        <v>184</v>
      </c>
      <c r="G722" s="23"/>
      <c r="H722" s="23" t="str">
        <f t="shared" si="1"/>
        <v>INSERT INTO tblDayAttendanceLog VALUES (seqDayAttendanceLog.nextval, 49, TO_DATE('2025-08-07', 'YYYY-MM-DD'), TO_DATE('2025-08-07 08:54:00', 'YYYY-MM-DD HH24:MI:SS'), TO_DATE('2025-08-07 17:54:00', 'YYYY-MM-DD HH24:MI:SS'));</v>
      </c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</row>
    <row r="723">
      <c r="A723" s="25" t="s">
        <v>206</v>
      </c>
      <c r="B723" s="26">
        <v>50.0</v>
      </c>
      <c r="C723" s="27">
        <v>45876.0</v>
      </c>
      <c r="D723" s="28">
        <v>45876.38888888889</v>
      </c>
      <c r="E723" s="28">
        <v>45876.74375</v>
      </c>
      <c r="F723" s="21" t="s">
        <v>189</v>
      </c>
      <c r="G723" s="23"/>
      <c r="H723" s="23" t="str">
        <f t="shared" si="1"/>
        <v>INSERT INTO tblDayAttendanceLog VALUES (seqDayAttendanceLog.nextval, 50, TO_DATE('2025-08-07', 'YYYY-MM-DD'), TO_DATE('2025-08-07 09:20:00', 'YYYY-MM-DD HH24:MI:SS'), TO_DATE('2025-08-07 17:51:00', 'YYYY-MM-DD HH24:MI:SS'));</v>
      </c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</row>
    <row r="724">
      <c r="A724" s="25" t="s">
        <v>206</v>
      </c>
      <c r="B724" s="26">
        <v>51.0</v>
      </c>
      <c r="C724" s="27">
        <v>45876.0</v>
      </c>
      <c r="D724" s="28">
        <v>45876.40625</v>
      </c>
      <c r="E724" s="28">
        <v>45876.74652777778</v>
      </c>
      <c r="F724" s="21" t="s">
        <v>189</v>
      </c>
      <c r="G724" s="23"/>
      <c r="H724" s="23" t="str">
        <f t="shared" si="1"/>
        <v>INSERT INTO tblDayAttendanceLog VALUES (seqDayAttendanceLog.nextval, 51, TO_DATE('2025-08-07', 'YYYY-MM-DD'), TO_DATE('2025-08-07 09:45:00', 'YYYY-MM-DD HH24:MI:SS'), TO_DATE('2025-08-07 17:55:00', 'YYYY-MM-DD HH24:MI:SS'));</v>
      </c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</row>
    <row r="725">
      <c r="A725" s="25" t="s">
        <v>206</v>
      </c>
      <c r="B725" s="26">
        <v>52.0</v>
      </c>
      <c r="C725" s="27">
        <v>45876.0</v>
      </c>
      <c r="D725" s="28">
        <v>45876.36875</v>
      </c>
      <c r="E725" s="28">
        <v>45876.74791666667</v>
      </c>
      <c r="F725" s="21" t="s">
        <v>184</v>
      </c>
      <c r="G725" s="23"/>
      <c r="H725" s="23" t="str">
        <f t="shared" si="1"/>
        <v>INSERT INTO tblDayAttendanceLog VALUES (seqDayAttendanceLog.nextval, 52, TO_DATE('2025-08-07', 'YYYY-MM-DD'), TO_DATE('2025-08-07 08:51:00', 'YYYY-MM-DD HH24:MI:SS'), TO_DATE('2025-08-07 17:57:00', 'YYYY-MM-DD HH24:MI:SS'));</v>
      </c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</row>
    <row r="726">
      <c r="A726" s="25" t="s">
        <v>206</v>
      </c>
      <c r="B726" s="26">
        <v>53.0</v>
      </c>
      <c r="C726" s="27">
        <v>45876.0</v>
      </c>
      <c r="D726" s="28">
        <v>45876.35972222222</v>
      </c>
      <c r="E726" s="28">
        <v>45876.74375</v>
      </c>
      <c r="F726" s="21" t="s">
        <v>184</v>
      </c>
      <c r="G726" s="23"/>
      <c r="H726" s="23" t="str">
        <f t="shared" si="1"/>
        <v>INSERT INTO tblDayAttendanceLog VALUES (seqDayAttendanceLog.nextval, 53, TO_DATE('2025-08-07', 'YYYY-MM-DD'), TO_DATE('2025-08-07 08:38:00', 'YYYY-MM-DD HH24:MI:SS'), TO_DATE('2025-08-07 17:51:00', 'YYYY-MM-DD HH24:MI:SS'));</v>
      </c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</row>
    <row r="727">
      <c r="A727" s="25" t="s">
        <v>206</v>
      </c>
      <c r="B727" s="26">
        <v>54.0</v>
      </c>
      <c r="C727" s="27">
        <v>45876.0</v>
      </c>
      <c r="D727" s="28">
        <v>45876.40069444444</v>
      </c>
      <c r="E727" s="28">
        <v>45876.74375</v>
      </c>
      <c r="F727" s="21" t="s">
        <v>189</v>
      </c>
      <c r="G727" s="23"/>
      <c r="H727" s="23" t="str">
        <f t="shared" si="1"/>
        <v>INSERT INTO tblDayAttendanceLog VALUES (seqDayAttendanceLog.nextval, 54, TO_DATE('2025-08-07', 'YYYY-MM-DD'), TO_DATE('2025-08-07 09:37:00', 'YYYY-MM-DD HH24:MI:SS'), TO_DATE('2025-08-07 17:51:00', 'YYYY-MM-DD HH24:MI:SS'));</v>
      </c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</row>
    <row r="728">
      <c r="A728" s="25" t="s">
        <v>206</v>
      </c>
      <c r="B728" s="26">
        <v>55.0</v>
      </c>
      <c r="C728" s="27">
        <v>45876.0</v>
      </c>
      <c r="D728" s="28">
        <v>45876.38611111111</v>
      </c>
      <c r="E728" s="28">
        <v>45876.74930555555</v>
      </c>
      <c r="F728" s="21" t="s">
        <v>189</v>
      </c>
      <c r="G728" s="23"/>
      <c r="H728" s="23" t="str">
        <f t="shared" si="1"/>
        <v>INSERT INTO tblDayAttendanceLog VALUES (seqDayAttendanceLog.nextval, 55, TO_DATE('2025-08-07', 'YYYY-MM-DD'), TO_DATE('2025-08-07 09:16:00', 'YYYY-MM-DD HH24:MI:SS'), TO_DATE('2025-08-07 17:59:00', 'YYYY-MM-DD HH24:MI:SS'));</v>
      </c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</row>
    <row r="729">
      <c r="A729" s="25" t="s">
        <v>206</v>
      </c>
      <c r="B729" s="26">
        <v>56.0</v>
      </c>
      <c r="C729" s="27">
        <v>45876.0</v>
      </c>
      <c r="D729" s="28">
        <v>45876.385416666664</v>
      </c>
      <c r="E729" s="28">
        <v>45876.74444444444</v>
      </c>
      <c r="F729" s="21" t="s">
        <v>189</v>
      </c>
      <c r="G729" s="23"/>
      <c r="H729" s="23" t="str">
        <f t="shared" si="1"/>
        <v>INSERT INTO tblDayAttendanceLog VALUES (seqDayAttendanceLog.nextval, 56, TO_DATE('2025-08-07', 'YYYY-MM-DD'), TO_DATE('2025-08-07 09:15:00', 'YYYY-MM-DD HH24:MI:SS'), TO_DATE('2025-08-07 17:52:00', 'YYYY-MM-DD HH24:MI:SS'));</v>
      </c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</row>
    <row r="730">
      <c r="A730" s="25" t="s">
        <v>206</v>
      </c>
      <c r="B730" s="26">
        <v>57.0</v>
      </c>
      <c r="C730" s="27">
        <v>45876.0</v>
      </c>
      <c r="D730" s="28">
        <v>45876.40416666667</v>
      </c>
      <c r="E730" s="28">
        <v>45876.74722222222</v>
      </c>
      <c r="F730" s="21" t="s">
        <v>189</v>
      </c>
      <c r="G730" s="23"/>
      <c r="H730" s="23" t="str">
        <f t="shared" si="1"/>
        <v>INSERT INTO tblDayAttendanceLog VALUES (seqDayAttendanceLog.nextval, 57, TO_DATE('2025-08-07', 'YYYY-MM-DD'), TO_DATE('2025-08-07 09:42:00', 'YYYY-MM-DD HH24:MI:SS'), TO_DATE('2025-08-07 17:56:00', 'YYYY-MM-DD HH24:MI:SS'));</v>
      </c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</row>
    <row r="731">
      <c r="A731" s="25" t="s">
        <v>206</v>
      </c>
      <c r="B731" s="26">
        <v>58.0</v>
      </c>
      <c r="C731" s="27">
        <v>45876.0</v>
      </c>
      <c r="D731" s="28">
        <v>45876.345138888886</v>
      </c>
      <c r="E731" s="28">
        <v>45876.743055555555</v>
      </c>
      <c r="F731" s="21" t="s">
        <v>184</v>
      </c>
      <c r="G731" s="23"/>
      <c r="H731" s="23" t="str">
        <f t="shared" si="1"/>
        <v>INSERT INTO tblDayAttendanceLog VALUES (seqDayAttendanceLog.nextval, 58, TO_DATE('2025-08-07', 'YYYY-MM-DD'), TO_DATE('2025-08-07 08:17:00', 'YYYY-MM-DD HH24:MI:SS'), TO_DATE('2025-08-07 17:50:00', 'YYYY-MM-DD HH24:MI:SS'));</v>
      </c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</row>
    <row r="732">
      <c r="A732" s="25" t="s">
        <v>206</v>
      </c>
      <c r="B732" s="26">
        <v>59.0</v>
      </c>
      <c r="C732" s="27">
        <v>45876.0</v>
      </c>
      <c r="D732" s="28">
        <v>45876.354166666664</v>
      </c>
      <c r="E732" s="28">
        <v>45876.74375</v>
      </c>
      <c r="F732" s="21" t="s">
        <v>184</v>
      </c>
      <c r="G732" s="23"/>
      <c r="H732" s="23" t="str">
        <f t="shared" si="1"/>
        <v>INSERT INTO tblDayAttendanceLog VALUES (seqDayAttendanceLog.nextval, 59, TO_DATE('2025-08-07', 'YYYY-MM-DD'), TO_DATE('2025-08-07 08:30:00', 'YYYY-MM-DD HH24:MI:SS'), TO_DATE('2025-08-07 17:51:00', 'YYYY-MM-DD HH24:MI:SS'));</v>
      </c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</row>
    <row r="733">
      <c r="A733" s="25" t="s">
        <v>206</v>
      </c>
      <c r="B733" s="26">
        <v>60.0</v>
      </c>
      <c r="C733" s="27">
        <v>45876.0</v>
      </c>
      <c r="D733" s="28">
        <v>45876.35972222222</v>
      </c>
      <c r="E733" s="28">
        <v>45876.74513888889</v>
      </c>
      <c r="F733" s="21" t="s">
        <v>184</v>
      </c>
      <c r="G733" s="23"/>
      <c r="H733" s="23" t="str">
        <f t="shared" si="1"/>
        <v>INSERT INTO tblDayAttendanceLog VALUES (seqDayAttendanceLog.nextval, 60, TO_DATE('2025-08-07', 'YYYY-MM-DD'), TO_DATE('2025-08-07 08:38:00', 'YYYY-MM-DD HH24:MI:SS'), TO_DATE('2025-08-07 17:53:00', 'YYYY-MM-DD HH24:MI:SS'));</v>
      </c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</row>
    <row r="734">
      <c r="A734" s="25" t="s">
        <v>206</v>
      </c>
      <c r="B734" s="26">
        <v>61.0</v>
      </c>
      <c r="C734" s="27">
        <v>45876.0</v>
      </c>
      <c r="D734" s="28">
        <v>45876.353472222225</v>
      </c>
      <c r="E734" s="28">
        <v>45876.74513888889</v>
      </c>
      <c r="F734" s="21" t="s">
        <v>184</v>
      </c>
      <c r="G734" s="23"/>
      <c r="H734" s="23" t="str">
        <f t="shared" si="1"/>
        <v>INSERT INTO tblDayAttendanceLog VALUES (seqDayAttendanceLog.nextval, 61, TO_DATE('2025-08-07', 'YYYY-MM-DD'), TO_DATE('2025-08-07 08:29:00', 'YYYY-MM-DD HH24:MI:SS'), TO_DATE('2025-08-07 17:53:00', 'YYYY-MM-DD HH24:MI:SS'));</v>
      </c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</row>
    <row r="735">
      <c r="A735" s="25" t="s">
        <v>206</v>
      </c>
      <c r="B735" s="26">
        <v>62.0</v>
      </c>
      <c r="C735" s="27">
        <v>45876.0</v>
      </c>
      <c r="D735" s="28">
        <v>45876.36875</v>
      </c>
      <c r="E735" s="28">
        <v>45876.74791666667</v>
      </c>
      <c r="F735" s="21" t="s">
        <v>184</v>
      </c>
      <c r="G735" s="23"/>
      <c r="H735" s="23" t="str">
        <f t="shared" si="1"/>
        <v>INSERT INTO tblDayAttendanceLog VALUES (seqDayAttendanceLog.nextval, 62, TO_DATE('2025-08-07', 'YYYY-MM-DD'), TO_DATE('2025-08-07 08:51:00', 'YYYY-MM-DD HH24:MI:SS'), TO_DATE('2025-08-07 17:57:00', 'YYYY-MM-DD HH24:MI:SS'));</v>
      </c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</row>
    <row r="736">
      <c r="A736" s="25" t="s">
        <v>206</v>
      </c>
      <c r="B736" s="26">
        <v>63.0</v>
      </c>
      <c r="C736" s="27">
        <v>45876.0</v>
      </c>
      <c r="D736" s="28">
        <v>45876.35625</v>
      </c>
      <c r="E736" s="28">
        <v>45876.745833333334</v>
      </c>
      <c r="F736" s="21" t="s">
        <v>184</v>
      </c>
      <c r="G736" s="23"/>
      <c r="H736" s="23" t="str">
        <f t="shared" si="1"/>
        <v>INSERT INTO tblDayAttendanceLog VALUES (seqDayAttendanceLog.nextval, 63, TO_DATE('2025-08-07', 'YYYY-MM-DD'), TO_DATE('2025-08-07 08:33:00', 'YYYY-MM-DD HH24:MI:SS'), TO_DATE('2025-08-07 17:54:00', 'YYYY-MM-DD HH24:MI:SS'));</v>
      </c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</row>
    <row r="737">
      <c r="A737" s="25" t="s">
        <v>206</v>
      </c>
      <c r="B737" s="26">
        <v>64.0</v>
      </c>
      <c r="C737" s="27">
        <v>45876.0</v>
      </c>
      <c r="D737" s="28">
        <v>45876.39236111111</v>
      </c>
      <c r="E737" s="28">
        <v>45876.743055555555</v>
      </c>
      <c r="F737" s="21" t="s">
        <v>189</v>
      </c>
      <c r="G737" s="23"/>
      <c r="H737" s="23" t="str">
        <f t="shared" si="1"/>
        <v>INSERT INTO tblDayAttendanceLog VALUES (seqDayAttendanceLog.nextval, 64, TO_DATE('2025-08-07', 'YYYY-MM-DD'), TO_DATE('2025-08-07 09:25:00', 'YYYY-MM-DD HH24:MI:SS'), TO_DATE('2025-08-07 17:50:00', 'YYYY-MM-DD HH24:MI:SS'));</v>
      </c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</row>
    <row r="738">
      <c r="A738" s="25" t="s">
        <v>206</v>
      </c>
      <c r="B738" s="26">
        <v>65.0</v>
      </c>
      <c r="C738" s="27">
        <v>45876.0</v>
      </c>
      <c r="D738" s="28">
        <v>45876.36666666667</v>
      </c>
      <c r="E738" s="28">
        <v>45876.74375</v>
      </c>
      <c r="F738" s="21" t="s">
        <v>184</v>
      </c>
      <c r="G738" s="23"/>
      <c r="H738" s="23" t="str">
        <f t="shared" si="1"/>
        <v>INSERT INTO tblDayAttendanceLog VALUES (seqDayAttendanceLog.nextval, 65, TO_DATE('2025-08-07', 'YYYY-MM-DD'), TO_DATE('2025-08-07 08:48:00', 'YYYY-MM-DD HH24:MI:SS'), TO_DATE('2025-08-07 17:51:00', 'YYYY-MM-DD HH24:MI:SS'));</v>
      </c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</row>
    <row r="739">
      <c r="A739" s="25" t="s">
        <v>206</v>
      </c>
      <c r="B739" s="26">
        <v>66.0</v>
      </c>
      <c r="C739" s="27">
        <v>45876.0</v>
      </c>
      <c r="D739" s="28">
        <v>45876.38958333333</v>
      </c>
      <c r="E739" s="28">
        <v>45876.743055555555</v>
      </c>
      <c r="F739" s="21" t="s">
        <v>189</v>
      </c>
      <c r="G739" s="23"/>
      <c r="H739" s="23" t="str">
        <f t="shared" si="1"/>
        <v>INSERT INTO tblDayAttendanceLog VALUES (seqDayAttendanceLog.nextval, 66, TO_DATE('2025-08-07', 'YYYY-MM-DD'), TO_DATE('2025-08-07 09:21:00', 'YYYY-MM-DD HH24:MI:SS'), TO_DATE('2025-08-07 17:50:00', 'YYYY-MM-DD HH24:MI:SS'));</v>
      </c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</row>
    <row r="740">
      <c r="A740" s="25" t="s">
        <v>206</v>
      </c>
      <c r="B740" s="26">
        <v>67.0</v>
      </c>
      <c r="C740" s="27">
        <v>45876.0</v>
      </c>
      <c r="D740" s="28">
        <v>45876.384722222225</v>
      </c>
      <c r="E740" s="28">
        <v>45876.74722222222</v>
      </c>
      <c r="F740" s="21" t="s">
        <v>189</v>
      </c>
      <c r="G740" s="23"/>
      <c r="H740" s="23" t="str">
        <f t="shared" si="1"/>
        <v>INSERT INTO tblDayAttendanceLog VALUES (seqDayAttendanceLog.nextval, 67, TO_DATE('2025-08-07', 'YYYY-MM-DD'), TO_DATE('2025-08-07 09:14:00', 'YYYY-MM-DD HH24:MI:SS'), TO_DATE('2025-08-07 17:56:00', 'YYYY-MM-DD HH24:MI:SS'));</v>
      </c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</row>
    <row r="741">
      <c r="A741" s="25" t="s">
        <v>206</v>
      </c>
      <c r="B741" s="26">
        <v>68.0</v>
      </c>
      <c r="C741" s="27">
        <v>45876.0</v>
      </c>
      <c r="D741" s="28">
        <v>45876.38402777778</v>
      </c>
      <c r="E741" s="28">
        <v>45876.748611111114</v>
      </c>
      <c r="F741" s="21" t="s">
        <v>189</v>
      </c>
      <c r="G741" s="23"/>
      <c r="H741" s="23" t="str">
        <f t="shared" si="1"/>
        <v>INSERT INTO tblDayAttendanceLog VALUES (seqDayAttendanceLog.nextval, 68, TO_DATE('2025-08-07', 'YYYY-MM-DD'), TO_DATE('2025-08-07 09:13:00', 'YYYY-MM-DD HH24:MI:SS'), TO_DATE('2025-08-07 17:58:00', 'YYYY-MM-DD HH24:MI:SS'));</v>
      </c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</row>
    <row r="742">
      <c r="A742" s="25" t="s">
        <v>206</v>
      </c>
      <c r="B742" s="26">
        <v>69.0</v>
      </c>
      <c r="C742" s="27">
        <v>45876.0</v>
      </c>
      <c r="D742" s="28">
        <v>45876.370833333334</v>
      </c>
      <c r="E742" s="28">
        <v>45876.74444444444</v>
      </c>
      <c r="F742" s="21" t="s">
        <v>184</v>
      </c>
      <c r="G742" s="23"/>
      <c r="H742" s="23" t="str">
        <f t="shared" si="1"/>
        <v>INSERT INTO tblDayAttendanceLog VALUES (seqDayAttendanceLog.nextval, 69, TO_DATE('2025-08-07', 'YYYY-MM-DD'), TO_DATE('2025-08-07 08:54:00', 'YYYY-MM-DD HH24:MI:SS'), TO_DATE('2025-08-07 17:52:00', 'YYYY-MM-DD HH24:MI:SS'));</v>
      </c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</row>
    <row r="743">
      <c r="A743" s="25" t="s">
        <v>206</v>
      </c>
      <c r="B743" s="26">
        <v>70.0</v>
      </c>
      <c r="C743" s="27">
        <v>45876.0</v>
      </c>
      <c r="D743" s="28">
        <v>45876.34305555555</v>
      </c>
      <c r="E743" s="28">
        <v>45876.748611111114</v>
      </c>
      <c r="F743" s="21" t="s">
        <v>184</v>
      </c>
      <c r="G743" s="23"/>
      <c r="H743" s="23" t="str">
        <f t="shared" si="1"/>
        <v>INSERT INTO tblDayAttendanceLog VALUES (seqDayAttendanceLog.nextval, 70, TO_DATE('2025-08-07', 'YYYY-MM-DD'), TO_DATE('2025-08-07 08:14:00', 'YYYY-MM-DD HH24:MI:SS'), TO_DATE('2025-08-07 17:58:00', 'YYYY-MM-DD HH24:MI:SS'));</v>
      </c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</row>
    <row r="744">
      <c r="A744" s="25" t="s">
        <v>206</v>
      </c>
      <c r="B744" s="26">
        <v>71.0</v>
      </c>
      <c r="C744" s="27">
        <v>45876.0</v>
      </c>
      <c r="D744" s="28">
        <v>45876.407638888886</v>
      </c>
      <c r="E744" s="28">
        <v>45876.74652777778</v>
      </c>
      <c r="F744" s="21" t="s">
        <v>189</v>
      </c>
      <c r="G744" s="23"/>
      <c r="H744" s="23" t="str">
        <f t="shared" si="1"/>
        <v>INSERT INTO tblDayAttendanceLog VALUES (seqDayAttendanceLog.nextval, 71, TO_DATE('2025-08-07', 'YYYY-MM-DD'), TO_DATE('2025-08-07 09:47:00', 'YYYY-MM-DD HH24:MI:SS'), TO_DATE('2025-08-07 17:55:00', 'YYYY-MM-DD HH24:MI:SS'));</v>
      </c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</row>
    <row r="745">
      <c r="A745" s="25" t="s">
        <v>206</v>
      </c>
      <c r="B745" s="26">
        <v>72.0</v>
      </c>
      <c r="C745" s="27">
        <v>45876.0</v>
      </c>
      <c r="D745" s="28">
        <v>45876.34375</v>
      </c>
      <c r="E745" s="28">
        <v>45876.748611111114</v>
      </c>
      <c r="F745" s="21" t="s">
        <v>184</v>
      </c>
      <c r="G745" s="23"/>
      <c r="H745" s="23" t="str">
        <f t="shared" si="1"/>
        <v>INSERT INTO tblDayAttendanceLog VALUES (seqDayAttendanceLog.nextval, 72, TO_DATE('2025-08-07', 'YYYY-MM-DD'), TO_DATE('2025-08-07 08:15:00', 'YYYY-MM-DD HH24:MI:SS'), TO_DATE('2025-08-07 17:58:00', 'YYYY-MM-DD HH24:MI:SS'));</v>
      </c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</row>
    <row r="746">
      <c r="A746" s="25" t="s">
        <v>206</v>
      </c>
      <c r="B746" s="26">
        <v>73.0</v>
      </c>
      <c r="C746" s="27">
        <v>45876.0</v>
      </c>
      <c r="D746" s="28">
        <v>45876.334027777775</v>
      </c>
      <c r="E746" s="28">
        <v>45876.74444444444</v>
      </c>
      <c r="F746" s="21" t="s">
        <v>184</v>
      </c>
      <c r="G746" s="23"/>
      <c r="H746" s="23" t="str">
        <f t="shared" si="1"/>
        <v>INSERT INTO tblDayAttendanceLog VALUES (seqDayAttendanceLog.nextval, 73, TO_DATE('2025-08-07', 'YYYY-MM-DD'), TO_DATE('2025-08-07 08:01:00', 'YYYY-MM-DD HH24:MI:SS'), TO_DATE('2025-08-07 17:52:00', 'YYYY-MM-DD HH24:MI:SS'));</v>
      </c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</row>
    <row r="747">
      <c r="A747" s="25" t="s">
        <v>206</v>
      </c>
      <c r="B747" s="26">
        <v>74.0</v>
      </c>
      <c r="C747" s="27">
        <v>45876.0</v>
      </c>
      <c r="D747" s="28">
        <v>45876.33819444444</v>
      </c>
      <c r="E747" s="28">
        <v>45876.74513888889</v>
      </c>
      <c r="F747" s="21" t="s">
        <v>184</v>
      </c>
      <c r="G747" s="23"/>
      <c r="H747" s="23" t="str">
        <f t="shared" si="1"/>
        <v>INSERT INTO tblDayAttendanceLog VALUES (seqDayAttendanceLog.nextval, 74, TO_DATE('2025-08-07', 'YYYY-MM-DD'), TO_DATE('2025-08-07 08:07:00', 'YYYY-MM-DD HH24:MI:SS'), TO_DATE('2025-08-07 17:53:00', 'YYYY-MM-DD HH24:MI:SS'));</v>
      </c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</row>
    <row r="748">
      <c r="A748" s="25" t="s">
        <v>206</v>
      </c>
      <c r="B748" s="26">
        <v>75.0</v>
      </c>
      <c r="C748" s="27">
        <v>45876.0</v>
      </c>
      <c r="D748" s="28">
        <v>45876.38402777778</v>
      </c>
      <c r="E748" s="28">
        <v>45876.74652777778</v>
      </c>
      <c r="F748" s="21" t="s">
        <v>189</v>
      </c>
      <c r="G748" s="23"/>
      <c r="H748" s="23" t="str">
        <f t="shared" si="1"/>
        <v>INSERT INTO tblDayAttendanceLog VALUES (seqDayAttendanceLog.nextval, 75, TO_DATE('2025-08-07', 'YYYY-MM-DD'), TO_DATE('2025-08-07 09:13:00', 'YYYY-MM-DD HH24:MI:SS'), TO_DATE('2025-08-07 17:55:00', 'YYYY-MM-DD HH24:MI:SS'));</v>
      </c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</row>
    <row r="749">
      <c r="A749" s="25" t="s">
        <v>206</v>
      </c>
      <c r="B749" s="26">
        <v>76.0</v>
      </c>
      <c r="C749" s="27">
        <v>45876.0</v>
      </c>
      <c r="D749" s="28">
        <v>45876.41388888889</v>
      </c>
      <c r="E749" s="28">
        <v>45876.74791666667</v>
      </c>
      <c r="F749" s="21" t="s">
        <v>189</v>
      </c>
      <c r="G749" s="23"/>
      <c r="H749" s="23" t="str">
        <f t="shared" si="1"/>
        <v>INSERT INTO tblDayAttendanceLog VALUES (seqDayAttendanceLog.nextval, 76, TO_DATE('2025-08-07', 'YYYY-MM-DD'), TO_DATE('2025-08-07 09:56:00', 'YYYY-MM-DD HH24:MI:SS'), TO_DATE('2025-08-07 17:57:00', 'YYYY-MM-DD HH24:MI:SS'));</v>
      </c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</row>
    <row r="750">
      <c r="A750" s="25" t="s">
        <v>206</v>
      </c>
      <c r="B750" s="26">
        <v>77.0</v>
      </c>
      <c r="C750" s="27">
        <v>45876.0</v>
      </c>
      <c r="D750" s="28">
        <v>45876.39444444444</v>
      </c>
      <c r="E750" s="28">
        <v>45876.748611111114</v>
      </c>
      <c r="F750" s="21" t="s">
        <v>189</v>
      </c>
      <c r="G750" s="23"/>
      <c r="H750" s="23" t="str">
        <f t="shared" si="1"/>
        <v>INSERT INTO tblDayAttendanceLog VALUES (seqDayAttendanceLog.nextval, 77, TO_DATE('2025-08-07', 'YYYY-MM-DD'), TO_DATE('2025-08-07 09:28:00', 'YYYY-MM-DD HH24:MI:SS'), TO_DATE('2025-08-07 17:58:00', 'YYYY-MM-DD HH24:MI:SS'));</v>
      </c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</row>
    <row r="751">
      <c r="A751" s="25" t="s">
        <v>206</v>
      </c>
      <c r="B751" s="26">
        <v>78.0</v>
      </c>
      <c r="C751" s="27">
        <v>45876.0</v>
      </c>
      <c r="D751" s="28">
        <v>45876.40347222222</v>
      </c>
      <c r="E751" s="28">
        <v>45876.74791666667</v>
      </c>
      <c r="F751" s="21" t="s">
        <v>189</v>
      </c>
      <c r="G751" s="23"/>
      <c r="H751" s="23" t="str">
        <f t="shared" si="1"/>
        <v>INSERT INTO tblDayAttendanceLog VALUES (seqDayAttendanceLog.nextval, 78, TO_DATE('2025-08-07', 'YYYY-MM-DD'), TO_DATE('2025-08-07 09:41:00', 'YYYY-MM-DD HH24:MI:SS'), TO_DATE('2025-08-07 17:57:00', 'YYYY-MM-DD HH24:MI:SS'));</v>
      </c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</row>
    <row r="752">
      <c r="A752" s="25" t="s">
        <v>206</v>
      </c>
      <c r="B752" s="26">
        <v>79.0</v>
      </c>
      <c r="C752" s="27">
        <v>45876.0</v>
      </c>
      <c r="D752" s="28">
        <v>45876.40694444445</v>
      </c>
      <c r="E752" s="28">
        <v>45876.74791666667</v>
      </c>
      <c r="F752" s="21" t="s">
        <v>189</v>
      </c>
      <c r="G752" s="23"/>
      <c r="H752" s="23" t="str">
        <f t="shared" si="1"/>
        <v>INSERT INTO tblDayAttendanceLog VALUES (seqDayAttendanceLog.nextval, 79, TO_DATE('2025-08-07', 'YYYY-MM-DD'), TO_DATE('2025-08-07 09:46:00', 'YYYY-MM-DD HH24:MI:SS'), TO_DATE('2025-08-07 17:57:00', 'YYYY-MM-DD HH24:MI:SS'));</v>
      </c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</row>
    <row r="753">
      <c r="A753" s="25" t="s">
        <v>206</v>
      </c>
      <c r="B753" s="26">
        <v>80.0</v>
      </c>
      <c r="C753" s="27">
        <v>45876.0</v>
      </c>
      <c r="D753" s="28">
        <v>45876.3375</v>
      </c>
      <c r="E753" s="28">
        <v>45876.74652777778</v>
      </c>
      <c r="F753" s="21" t="s">
        <v>184</v>
      </c>
      <c r="G753" s="23"/>
      <c r="H753" s="23" t="str">
        <f t="shared" si="1"/>
        <v>INSERT INTO tblDayAttendanceLog VALUES (seqDayAttendanceLog.nextval, 80, TO_DATE('2025-08-07', 'YYYY-MM-DD'), TO_DATE('2025-08-07 08:06:00', 'YYYY-MM-DD HH24:MI:SS'), TO_DATE('2025-08-07 17:55:00', 'YYYY-MM-DD HH24:MI:SS'));</v>
      </c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</row>
    <row r="754">
      <c r="A754" s="25" t="s">
        <v>206</v>
      </c>
      <c r="B754" s="26">
        <v>81.0</v>
      </c>
      <c r="C754" s="27">
        <v>45876.0</v>
      </c>
      <c r="D754" s="28">
        <v>45876.410416666666</v>
      </c>
      <c r="E754" s="28">
        <v>45876.74722222222</v>
      </c>
      <c r="F754" s="21" t="s">
        <v>189</v>
      </c>
      <c r="G754" s="23"/>
      <c r="H754" s="23" t="str">
        <f t="shared" si="1"/>
        <v>INSERT INTO tblDayAttendanceLog VALUES (seqDayAttendanceLog.nextval, 81, TO_DATE('2025-08-07', 'YYYY-MM-DD'), TO_DATE('2025-08-07 09:51:00', 'YYYY-MM-DD HH24:MI:SS'), TO_DATE('2025-08-07 17:56:00', 'YYYY-MM-DD HH24:MI:SS'));</v>
      </c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</row>
    <row r="755">
      <c r="A755" s="25" t="s">
        <v>206</v>
      </c>
      <c r="B755" s="26">
        <v>82.0</v>
      </c>
      <c r="C755" s="27">
        <v>45876.0</v>
      </c>
      <c r="D755" s="28">
        <v>45876.37708333333</v>
      </c>
      <c r="E755" s="28">
        <v>45876.74444444444</v>
      </c>
      <c r="F755" s="21" t="s">
        <v>189</v>
      </c>
      <c r="G755" s="23"/>
      <c r="H755" s="23" t="str">
        <f t="shared" si="1"/>
        <v>INSERT INTO tblDayAttendanceLog VALUES (seqDayAttendanceLog.nextval, 82, TO_DATE('2025-08-07', 'YYYY-MM-DD'), TO_DATE('2025-08-07 09:03:00', 'YYYY-MM-DD HH24:MI:SS'), TO_DATE('2025-08-07 17:52:00', 'YYYY-MM-DD HH24:MI:SS'));</v>
      </c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</row>
    <row r="756">
      <c r="A756" s="25" t="s">
        <v>206</v>
      </c>
      <c r="B756" s="26">
        <v>83.0</v>
      </c>
      <c r="C756" s="27">
        <v>45876.0</v>
      </c>
      <c r="D756" s="28">
        <v>45876.379166666666</v>
      </c>
      <c r="E756" s="28">
        <v>45876.74652777778</v>
      </c>
      <c r="F756" s="21" t="s">
        <v>189</v>
      </c>
      <c r="G756" s="23"/>
      <c r="H756" s="23" t="str">
        <f t="shared" si="1"/>
        <v>INSERT INTO tblDayAttendanceLog VALUES (seqDayAttendanceLog.nextval, 83, TO_DATE('2025-08-07', 'YYYY-MM-DD'), TO_DATE('2025-08-07 09:06:00', 'YYYY-MM-DD HH24:MI:SS'), TO_DATE('2025-08-07 17:55:00', 'YYYY-MM-DD HH24:MI:SS'));</v>
      </c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</row>
    <row r="757">
      <c r="A757" s="25" t="s">
        <v>206</v>
      </c>
      <c r="B757" s="26">
        <v>84.0</v>
      </c>
      <c r="C757" s="27">
        <v>45876.0</v>
      </c>
      <c r="D757" s="28">
        <v>45876.35902777778</v>
      </c>
      <c r="E757" s="28">
        <v>45876.74444444444</v>
      </c>
      <c r="F757" s="21" t="s">
        <v>184</v>
      </c>
      <c r="G757" s="23"/>
      <c r="H757" s="23" t="str">
        <f t="shared" si="1"/>
        <v>INSERT INTO tblDayAttendanceLog VALUES (seqDayAttendanceLog.nextval, 84, TO_DATE('2025-08-07', 'YYYY-MM-DD'), TO_DATE('2025-08-07 08:37:00', 'YYYY-MM-DD HH24:MI:SS'), TO_DATE('2025-08-07 17:52:00', 'YYYY-MM-DD HH24:MI:SS'));</v>
      </c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</row>
    <row r="758">
      <c r="A758" s="25" t="s">
        <v>206</v>
      </c>
      <c r="B758" s="26">
        <v>85.0</v>
      </c>
      <c r="C758" s="27">
        <v>45876.0</v>
      </c>
      <c r="D758" s="29"/>
      <c r="E758" s="29"/>
      <c r="F758" s="21" t="s">
        <v>186</v>
      </c>
      <c r="G758" s="23"/>
      <c r="H758" s="23" t="str">
        <f t="shared" si="1"/>
        <v>INSERT INTO tblDayAttendanceLog VALUES (seqDayAttendanceLog.nextval, 85, TO_DATE('2025-08-07', 'YYYY-MM-DD'), NULL, NULL);</v>
      </c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</row>
    <row r="759">
      <c r="A759" s="25" t="s">
        <v>206</v>
      </c>
      <c r="B759" s="26">
        <v>86.0</v>
      </c>
      <c r="C759" s="27">
        <v>45876.0</v>
      </c>
      <c r="D759" s="28">
        <v>45876.385416666664</v>
      </c>
      <c r="E759" s="28">
        <v>45876.745833333334</v>
      </c>
      <c r="F759" s="21" t="s">
        <v>189</v>
      </c>
      <c r="G759" s="23"/>
      <c r="H759" s="23" t="str">
        <f t="shared" si="1"/>
        <v>INSERT INTO tblDayAttendanceLog VALUES (seqDayAttendanceLog.nextval, 86, TO_DATE('2025-08-07', 'YYYY-MM-DD'), TO_DATE('2025-08-07 09:15:00', 'YYYY-MM-DD HH24:MI:SS'), TO_DATE('2025-08-07 17:54:00', 'YYYY-MM-DD HH24:MI:SS'));</v>
      </c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</row>
    <row r="760">
      <c r="A760" s="25" t="s">
        <v>206</v>
      </c>
      <c r="B760" s="26">
        <v>87.0</v>
      </c>
      <c r="C760" s="27">
        <v>45876.0</v>
      </c>
      <c r="D760" s="28">
        <v>45876.356944444444</v>
      </c>
      <c r="E760" s="28">
        <v>45876.743055555555</v>
      </c>
      <c r="F760" s="21" t="s">
        <v>184</v>
      </c>
      <c r="G760" s="23"/>
      <c r="H760" s="23" t="str">
        <f t="shared" si="1"/>
        <v>INSERT INTO tblDayAttendanceLog VALUES (seqDayAttendanceLog.nextval, 87, TO_DATE('2025-08-07', 'YYYY-MM-DD'), TO_DATE('2025-08-07 08:34:00', 'YYYY-MM-DD HH24:MI:SS'), TO_DATE('2025-08-07 17:50:00', 'YYYY-MM-DD HH24:MI:SS'));</v>
      </c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</row>
    <row r="761">
      <c r="A761" s="25" t="s">
        <v>206</v>
      </c>
      <c r="B761" s="26">
        <v>88.0</v>
      </c>
      <c r="C761" s="27">
        <v>45876.0</v>
      </c>
      <c r="D761" s="28">
        <v>45876.41388888889</v>
      </c>
      <c r="E761" s="28">
        <v>45876.748611111114</v>
      </c>
      <c r="F761" s="21" t="s">
        <v>189</v>
      </c>
      <c r="G761" s="23"/>
      <c r="H761" s="23" t="str">
        <f t="shared" si="1"/>
        <v>INSERT INTO tblDayAttendanceLog VALUES (seqDayAttendanceLog.nextval, 88, TO_DATE('2025-08-07', 'YYYY-MM-DD'), TO_DATE('2025-08-07 09:56:00', 'YYYY-MM-DD HH24:MI:SS'), TO_DATE('2025-08-07 17:58:00', 'YYYY-MM-DD HH24:MI:SS'));</v>
      </c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</row>
    <row r="762">
      <c r="A762" s="25" t="s">
        <v>206</v>
      </c>
      <c r="B762" s="26">
        <v>89.0</v>
      </c>
      <c r="C762" s="27">
        <v>45876.0</v>
      </c>
      <c r="D762" s="28">
        <v>45876.34305555555</v>
      </c>
      <c r="E762" s="28">
        <v>45876.745833333334</v>
      </c>
      <c r="F762" s="21" t="s">
        <v>184</v>
      </c>
      <c r="G762" s="23"/>
      <c r="H762" s="23" t="str">
        <f t="shared" si="1"/>
        <v>INSERT INTO tblDayAttendanceLog VALUES (seqDayAttendanceLog.nextval, 89, TO_DATE('2025-08-07', 'YYYY-MM-DD'), TO_DATE('2025-08-07 08:14:00', 'YYYY-MM-DD HH24:MI:SS'), TO_DATE('2025-08-07 17:54:00', 'YYYY-MM-DD HH24:MI:SS'));</v>
      </c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</row>
    <row r="763">
      <c r="A763" s="25" t="s">
        <v>206</v>
      </c>
      <c r="B763" s="26">
        <v>90.0</v>
      </c>
      <c r="C763" s="27">
        <v>45876.0</v>
      </c>
      <c r="D763" s="28">
        <v>45876.34305555555</v>
      </c>
      <c r="E763" s="28">
        <v>45876.74791666667</v>
      </c>
      <c r="F763" s="21" t="s">
        <v>184</v>
      </c>
      <c r="G763" s="23"/>
      <c r="H763" s="23" t="str">
        <f t="shared" si="1"/>
        <v>INSERT INTO tblDayAttendanceLog VALUES (seqDayAttendanceLog.nextval, 90, TO_DATE('2025-08-07', 'YYYY-MM-DD'), TO_DATE('2025-08-07 08:14:00', 'YYYY-MM-DD HH24:MI:SS'), TO_DATE('2025-08-07 17:57:00', 'YYYY-MM-DD HH24:MI:SS'));</v>
      </c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</row>
    <row r="764">
      <c r="A764" s="25" t="s">
        <v>206</v>
      </c>
      <c r="B764" s="26">
        <v>91.0</v>
      </c>
      <c r="C764" s="27">
        <v>45876.0</v>
      </c>
      <c r="D764" s="28">
        <v>45876.370833333334</v>
      </c>
      <c r="E764" s="28">
        <v>45876.74652777778</v>
      </c>
      <c r="F764" s="21" t="s">
        <v>184</v>
      </c>
      <c r="G764" s="23"/>
      <c r="H764" s="23" t="str">
        <f t="shared" si="1"/>
        <v>INSERT INTO tblDayAttendanceLog VALUES (seqDayAttendanceLog.nextval, 91, TO_DATE('2025-08-07', 'YYYY-MM-DD'), TO_DATE('2025-08-07 08:54:00', 'YYYY-MM-DD HH24:MI:SS'), TO_DATE('2025-08-07 17:55:00', 'YYYY-MM-DD HH24:MI:SS'));</v>
      </c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</row>
    <row r="765">
      <c r="A765" s="25" t="s">
        <v>206</v>
      </c>
      <c r="B765" s="26">
        <v>92.0</v>
      </c>
      <c r="C765" s="27">
        <v>45876.0</v>
      </c>
      <c r="D765" s="28">
        <v>45876.38611111111</v>
      </c>
      <c r="E765" s="28">
        <v>45876.74652777778</v>
      </c>
      <c r="F765" s="21" t="s">
        <v>189</v>
      </c>
      <c r="G765" s="23"/>
      <c r="H765" s="23" t="str">
        <f t="shared" si="1"/>
        <v>INSERT INTO tblDayAttendanceLog VALUES (seqDayAttendanceLog.nextval, 92, TO_DATE('2025-08-07', 'YYYY-MM-DD'), TO_DATE('2025-08-07 09:16:00', 'YYYY-MM-DD HH24:MI:SS'), TO_DATE('2025-08-07 17:55:00', 'YYYY-MM-DD HH24:MI:SS'));</v>
      </c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</row>
    <row r="766">
      <c r="A766" s="25" t="s">
        <v>206</v>
      </c>
      <c r="B766" s="26">
        <v>93.0</v>
      </c>
      <c r="C766" s="27">
        <v>45876.0</v>
      </c>
      <c r="D766" s="28">
        <v>45876.34930555556</v>
      </c>
      <c r="E766" s="28">
        <v>45876.74513888889</v>
      </c>
      <c r="F766" s="21" t="s">
        <v>184</v>
      </c>
      <c r="G766" s="23"/>
      <c r="H766" s="23" t="str">
        <f t="shared" si="1"/>
        <v>INSERT INTO tblDayAttendanceLog VALUES (seqDayAttendanceLog.nextval, 93, TO_DATE('2025-08-07', 'YYYY-MM-DD'), TO_DATE('2025-08-07 08:23:00', 'YYYY-MM-DD HH24:MI:SS'), TO_DATE('2025-08-07 17:53:00', 'YYYY-MM-DD HH24:MI:SS'));</v>
      </c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</row>
    <row r="767">
      <c r="A767" s="25" t="s">
        <v>206</v>
      </c>
      <c r="B767" s="26">
        <v>94.0</v>
      </c>
      <c r="C767" s="27">
        <v>45876.0</v>
      </c>
      <c r="D767" s="28">
        <v>45876.36041666667</v>
      </c>
      <c r="E767" s="28">
        <v>45876.74930555555</v>
      </c>
      <c r="F767" s="21" t="s">
        <v>184</v>
      </c>
      <c r="G767" s="23"/>
      <c r="H767" s="23" t="str">
        <f t="shared" si="1"/>
        <v>INSERT INTO tblDayAttendanceLog VALUES (seqDayAttendanceLog.nextval, 94, TO_DATE('2025-08-07', 'YYYY-MM-DD'), TO_DATE('2025-08-07 08:39:00', 'YYYY-MM-DD HH24:MI:SS'), TO_DATE('2025-08-07 17:59:00', 'YYYY-MM-DD HH24:MI:SS'));</v>
      </c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</row>
    <row r="768">
      <c r="A768" s="25" t="s">
        <v>206</v>
      </c>
      <c r="B768" s="26">
        <v>95.0</v>
      </c>
      <c r="C768" s="27">
        <v>45876.0</v>
      </c>
      <c r="D768" s="28">
        <v>45876.35902777778</v>
      </c>
      <c r="E768" s="28">
        <v>45876.74791666667</v>
      </c>
      <c r="F768" s="21" t="s">
        <v>184</v>
      </c>
      <c r="G768" s="23"/>
      <c r="H768" s="23" t="str">
        <f t="shared" si="1"/>
        <v>INSERT INTO tblDayAttendanceLog VALUES (seqDayAttendanceLog.nextval, 95, TO_DATE('2025-08-07', 'YYYY-MM-DD'), TO_DATE('2025-08-07 08:37:00', 'YYYY-MM-DD HH24:MI:SS'), TO_DATE('2025-08-07 17:57:00', 'YYYY-MM-DD HH24:MI:SS'));</v>
      </c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</row>
    <row r="769">
      <c r="A769" s="25" t="s">
        <v>206</v>
      </c>
      <c r="B769" s="26">
        <v>96.0</v>
      </c>
      <c r="C769" s="27">
        <v>45876.0</v>
      </c>
      <c r="D769" s="28">
        <v>45876.410416666666</v>
      </c>
      <c r="E769" s="28">
        <v>45876.74375</v>
      </c>
      <c r="F769" s="21" t="s">
        <v>189</v>
      </c>
      <c r="G769" s="23"/>
      <c r="H769" s="23" t="str">
        <f t="shared" si="1"/>
        <v>INSERT INTO tblDayAttendanceLog VALUES (seqDayAttendanceLog.nextval, 96, TO_DATE('2025-08-07', 'YYYY-MM-DD'), TO_DATE('2025-08-07 09:51:00', 'YYYY-MM-DD HH24:MI:SS'), TO_DATE('2025-08-07 17:51:00', 'YYYY-MM-DD HH24:MI:SS'));</v>
      </c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</row>
    <row r="770">
      <c r="A770" s="25" t="s">
        <v>206</v>
      </c>
      <c r="B770" s="26">
        <v>97.0</v>
      </c>
      <c r="C770" s="27">
        <v>45876.0</v>
      </c>
      <c r="D770" s="28">
        <v>45876.36319444444</v>
      </c>
      <c r="E770" s="28">
        <v>45876.74722222222</v>
      </c>
      <c r="F770" s="21" t="s">
        <v>184</v>
      </c>
      <c r="G770" s="23"/>
      <c r="H770" s="23" t="str">
        <f t="shared" si="1"/>
        <v>INSERT INTO tblDayAttendanceLog VALUES (seqDayAttendanceLog.nextval, 97, TO_DATE('2025-08-07', 'YYYY-MM-DD'), TO_DATE('2025-08-07 08:43:00', 'YYYY-MM-DD HH24:MI:SS'), TO_DATE('2025-08-07 17:56:00', 'YYYY-MM-DD HH24:MI:SS'));</v>
      </c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</row>
    <row r="771">
      <c r="A771" s="25" t="s">
        <v>206</v>
      </c>
      <c r="B771" s="26">
        <v>98.0</v>
      </c>
      <c r="C771" s="27">
        <v>45876.0</v>
      </c>
      <c r="D771" s="28">
        <v>45876.40555555555</v>
      </c>
      <c r="E771" s="28">
        <v>45876.743055555555</v>
      </c>
      <c r="F771" s="21" t="s">
        <v>189</v>
      </c>
      <c r="G771" s="23"/>
      <c r="H771" s="23" t="str">
        <f t="shared" si="1"/>
        <v>INSERT INTO tblDayAttendanceLog VALUES (seqDayAttendanceLog.nextval, 98, TO_DATE('2025-08-07', 'YYYY-MM-DD'), TO_DATE('2025-08-07 09:44:00', 'YYYY-MM-DD HH24:MI:SS'), TO_DATE('2025-08-07 17:50:00', 'YYYY-MM-DD HH24:MI:SS'));</v>
      </c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</row>
    <row r="772">
      <c r="A772" s="25" t="s">
        <v>206</v>
      </c>
      <c r="B772" s="26">
        <v>99.0</v>
      </c>
      <c r="C772" s="27">
        <v>45876.0</v>
      </c>
      <c r="D772" s="28">
        <v>45876.38402777778</v>
      </c>
      <c r="E772" s="28">
        <v>45876.74375</v>
      </c>
      <c r="F772" s="21" t="s">
        <v>189</v>
      </c>
      <c r="G772" s="23"/>
      <c r="H772" s="23" t="str">
        <f t="shared" si="1"/>
        <v>INSERT INTO tblDayAttendanceLog VALUES (seqDayAttendanceLog.nextval, 99, TO_DATE('2025-08-07', 'YYYY-MM-DD'), TO_DATE('2025-08-07 09:13:00', 'YYYY-MM-DD HH24:MI:SS'), TO_DATE('2025-08-07 17:51:00', 'YYYY-MM-DD HH24:MI:SS'));</v>
      </c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</row>
    <row r="773">
      <c r="A773" s="25" t="s">
        <v>206</v>
      </c>
      <c r="B773" s="26">
        <v>100.0</v>
      </c>
      <c r="C773" s="27">
        <v>45876.0</v>
      </c>
      <c r="D773" s="28">
        <v>45876.361805555556</v>
      </c>
      <c r="E773" s="28">
        <v>45876.748611111114</v>
      </c>
      <c r="F773" s="21" t="s">
        <v>184</v>
      </c>
      <c r="G773" s="23"/>
      <c r="H773" s="23" t="str">
        <f t="shared" si="1"/>
        <v>INSERT INTO tblDayAttendanceLog VALUES (seqDayAttendanceLog.nextval, 100, TO_DATE('2025-08-07', 'YYYY-MM-DD'), TO_DATE('2025-08-07 08:41:00', 'YYYY-MM-DD HH24:MI:SS'), TO_DATE('2025-08-07 17:58:00', 'YYYY-MM-DD HH24:MI:SS'));</v>
      </c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</row>
    <row r="774">
      <c r="A774" s="25" t="s">
        <v>206</v>
      </c>
      <c r="B774" s="26">
        <v>101.0</v>
      </c>
      <c r="C774" s="27">
        <v>45876.0</v>
      </c>
      <c r="D774" s="28">
        <v>45876.4125</v>
      </c>
      <c r="E774" s="28">
        <v>45876.74930555555</v>
      </c>
      <c r="F774" s="21" t="s">
        <v>189</v>
      </c>
      <c r="G774" s="23"/>
      <c r="H774" s="23" t="str">
        <f t="shared" si="1"/>
        <v>INSERT INTO tblDayAttendanceLog VALUES (seqDayAttendanceLog.nextval, 101, TO_DATE('2025-08-07', 'YYYY-MM-DD'), TO_DATE('2025-08-07 09:54:00', 'YYYY-MM-DD HH24:MI:SS'), TO_DATE('2025-08-07 17:59:00', 'YYYY-MM-DD HH24:MI:SS'));</v>
      </c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</row>
    <row r="775">
      <c r="A775" s="25" t="s">
        <v>206</v>
      </c>
      <c r="B775" s="26">
        <v>102.0</v>
      </c>
      <c r="C775" s="27">
        <v>45876.0</v>
      </c>
      <c r="D775" s="28">
        <v>45876.39513888889</v>
      </c>
      <c r="E775" s="28">
        <v>45876.74375</v>
      </c>
      <c r="F775" s="21" t="s">
        <v>189</v>
      </c>
      <c r="G775" s="23"/>
      <c r="H775" s="23" t="str">
        <f t="shared" si="1"/>
        <v>INSERT INTO tblDayAttendanceLog VALUES (seqDayAttendanceLog.nextval, 102, TO_DATE('2025-08-07', 'YYYY-MM-DD'), TO_DATE('2025-08-07 09:29:00', 'YYYY-MM-DD HH24:MI:SS'), TO_DATE('2025-08-07 17:51:00', 'YYYY-MM-DD HH24:MI:SS'));</v>
      </c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</row>
    <row r="776">
      <c r="A776" s="25" t="s">
        <v>206</v>
      </c>
      <c r="B776" s="26">
        <v>103.0</v>
      </c>
      <c r="C776" s="27">
        <v>45876.0</v>
      </c>
      <c r="D776" s="28">
        <v>45876.37986111111</v>
      </c>
      <c r="E776" s="28">
        <v>45876.74930555555</v>
      </c>
      <c r="F776" s="21" t="s">
        <v>189</v>
      </c>
      <c r="G776" s="23"/>
      <c r="H776" s="23" t="str">
        <f t="shared" si="1"/>
        <v>INSERT INTO tblDayAttendanceLog VALUES (seqDayAttendanceLog.nextval, 103, TO_DATE('2025-08-07', 'YYYY-MM-DD'), TO_DATE('2025-08-07 09:07:00', 'YYYY-MM-DD HH24:MI:SS'), TO_DATE('2025-08-07 17:59:00', 'YYYY-MM-DD HH24:MI:SS'));</v>
      </c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</row>
    <row r="777">
      <c r="A777" s="25" t="s">
        <v>206</v>
      </c>
      <c r="B777" s="26">
        <v>104.0</v>
      </c>
      <c r="C777" s="27">
        <v>45876.0</v>
      </c>
      <c r="D777" s="28">
        <v>45876.35277777778</v>
      </c>
      <c r="E777" s="28">
        <v>45876.745833333334</v>
      </c>
      <c r="F777" s="21" t="s">
        <v>184</v>
      </c>
      <c r="G777" s="23"/>
      <c r="H777" s="23" t="str">
        <f t="shared" si="1"/>
        <v>INSERT INTO tblDayAttendanceLog VALUES (seqDayAttendanceLog.nextval, 104, TO_DATE('2025-08-07', 'YYYY-MM-DD'), TO_DATE('2025-08-07 08:28:00', 'YYYY-MM-DD HH24:MI:SS'), TO_DATE('2025-08-07 17:54:00', 'YYYY-MM-DD HH24:MI:SS'));</v>
      </c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</row>
    <row r="778">
      <c r="A778" s="25" t="s">
        <v>206</v>
      </c>
      <c r="B778" s="26">
        <v>105.0</v>
      </c>
      <c r="C778" s="27">
        <v>45876.0</v>
      </c>
      <c r="D778" s="28">
        <v>45876.34027777778</v>
      </c>
      <c r="E778" s="28">
        <v>45876.74375</v>
      </c>
      <c r="F778" s="21" t="s">
        <v>184</v>
      </c>
      <c r="G778" s="23"/>
      <c r="H778" s="23" t="str">
        <f t="shared" si="1"/>
        <v>INSERT INTO tblDayAttendanceLog VALUES (seqDayAttendanceLog.nextval, 105, TO_DATE('2025-08-07', 'YYYY-MM-DD'), TO_DATE('2025-08-07 08:10:00', 'YYYY-MM-DD HH24:MI:SS'), TO_DATE('2025-08-07 17:51:00', 'YYYY-MM-DD HH24:MI:SS'));</v>
      </c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</row>
    <row r="779">
      <c r="A779" s="25" t="s">
        <v>206</v>
      </c>
      <c r="B779" s="26">
        <v>106.0</v>
      </c>
      <c r="C779" s="27">
        <v>45876.0</v>
      </c>
      <c r="D779" s="28">
        <v>45876.41180555556</v>
      </c>
      <c r="E779" s="28">
        <v>45876.74444444444</v>
      </c>
      <c r="F779" s="21" t="s">
        <v>189</v>
      </c>
      <c r="G779" s="23"/>
      <c r="H779" s="23" t="str">
        <f t="shared" si="1"/>
        <v>INSERT INTO tblDayAttendanceLog VALUES (seqDayAttendanceLog.nextval, 106, TO_DATE('2025-08-07', 'YYYY-MM-DD'), TO_DATE('2025-08-07 09:53:00', 'YYYY-MM-DD HH24:MI:SS'), TO_DATE('2025-08-07 17:52:00', 'YYYY-MM-DD HH24:MI:SS'));</v>
      </c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</row>
    <row r="780">
      <c r="A780" s="25" t="s">
        <v>206</v>
      </c>
      <c r="B780" s="26">
        <v>107.0</v>
      </c>
      <c r="C780" s="27">
        <v>45876.0</v>
      </c>
      <c r="D780" s="28">
        <v>45876.38888888889</v>
      </c>
      <c r="E780" s="28">
        <v>45876.74375</v>
      </c>
      <c r="F780" s="21" t="s">
        <v>189</v>
      </c>
      <c r="G780" s="23"/>
      <c r="H780" s="23" t="str">
        <f t="shared" si="1"/>
        <v>INSERT INTO tblDayAttendanceLog VALUES (seqDayAttendanceLog.nextval, 107, TO_DATE('2025-08-07', 'YYYY-MM-DD'), TO_DATE('2025-08-07 09:20:00', 'YYYY-MM-DD HH24:MI:SS'), TO_DATE('2025-08-07 17:51:00', 'YYYY-MM-DD HH24:MI:SS'));</v>
      </c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</row>
    <row r="781">
      <c r="A781" s="25" t="s">
        <v>206</v>
      </c>
      <c r="B781" s="26">
        <v>108.0</v>
      </c>
      <c r="C781" s="27">
        <v>45876.0</v>
      </c>
      <c r="D781" s="28">
        <v>45876.40833333333</v>
      </c>
      <c r="E781" s="28">
        <v>45876.743055555555</v>
      </c>
      <c r="F781" s="21" t="s">
        <v>189</v>
      </c>
      <c r="G781" s="23"/>
      <c r="H781" s="23" t="str">
        <f t="shared" si="1"/>
        <v>INSERT INTO tblDayAttendanceLog VALUES (seqDayAttendanceLog.nextval, 108, TO_DATE('2025-08-07', 'YYYY-MM-DD'), TO_DATE('2025-08-07 09:48:00', 'YYYY-MM-DD HH24:MI:SS'), TO_DATE('2025-08-07 17:50:00', 'YYYY-MM-DD HH24:MI:SS'));</v>
      </c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</row>
    <row r="782">
      <c r="A782" s="25" t="s">
        <v>206</v>
      </c>
      <c r="B782" s="26">
        <v>109.0</v>
      </c>
      <c r="C782" s="27">
        <v>45876.0</v>
      </c>
      <c r="D782" s="28">
        <v>45876.39791666667</v>
      </c>
      <c r="E782" s="28">
        <v>45876.745833333334</v>
      </c>
      <c r="F782" s="21" t="s">
        <v>189</v>
      </c>
      <c r="G782" s="23"/>
      <c r="H782" s="23" t="str">
        <f t="shared" si="1"/>
        <v>INSERT INTO tblDayAttendanceLog VALUES (seqDayAttendanceLog.nextval, 109, TO_DATE('2025-08-07', 'YYYY-MM-DD'), TO_DATE('2025-08-07 09:33:00', 'YYYY-MM-DD HH24:MI:SS'), TO_DATE('2025-08-07 17:54:00', 'YYYY-MM-DD HH24:MI:SS'));</v>
      </c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</row>
    <row r="783">
      <c r="A783" s="25" t="s">
        <v>206</v>
      </c>
      <c r="B783" s="26">
        <v>110.0</v>
      </c>
      <c r="C783" s="27">
        <v>45876.0</v>
      </c>
      <c r="D783" s="28">
        <v>45876.40555555555</v>
      </c>
      <c r="E783" s="28">
        <v>45876.74722222222</v>
      </c>
      <c r="F783" s="21" t="s">
        <v>189</v>
      </c>
      <c r="G783" s="23"/>
      <c r="H783" s="23" t="str">
        <f t="shared" si="1"/>
        <v>INSERT INTO tblDayAttendanceLog VALUES (seqDayAttendanceLog.nextval, 110, TO_DATE('2025-08-07', 'YYYY-MM-DD'), TO_DATE('2025-08-07 09:44:00', 'YYYY-MM-DD HH24:MI:SS'), TO_DATE('2025-08-07 17:56:00', 'YYYY-MM-DD HH24:MI:SS'));</v>
      </c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</row>
    <row r="784">
      <c r="A784" s="25" t="s">
        <v>206</v>
      </c>
      <c r="B784" s="26">
        <v>111.0</v>
      </c>
      <c r="C784" s="27">
        <v>45876.0</v>
      </c>
      <c r="D784" s="28">
        <v>45876.347916666666</v>
      </c>
      <c r="E784" s="28">
        <v>45876.74513888889</v>
      </c>
      <c r="F784" s="21" t="s">
        <v>184</v>
      </c>
      <c r="G784" s="23"/>
      <c r="H784" s="23" t="str">
        <f t="shared" si="1"/>
        <v>INSERT INTO tblDayAttendanceLog VALUES (seqDayAttendanceLog.nextval, 111, TO_DATE('2025-08-07', 'YYYY-MM-DD'), TO_DATE('2025-08-07 08:21:00', 'YYYY-MM-DD HH24:MI:SS'), TO_DATE('2025-08-07 17:53:00', 'YYYY-MM-DD HH24:MI:SS'));</v>
      </c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</row>
    <row r="785">
      <c r="A785" s="25" t="s">
        <v>206</v>
      </c>
      <c r="B785" s="26">
        <v>112.0</v>
      </c>
      <c r="C785" s="27">
        <v>45876.0</v>
      </c>
      <c r="D785" s="28">
        <v>45876.34305555555</v>
      </c>
      <c r="E785" s="28">
        <v>45876.748611111114</v>
      </c>
      <c r="F785" s="21" t="s">
        <v>184</v>
      </c>
      <c r="G785" s="23"/>
      <c r="H785" s="23" t="str">
        <f t="shared" si="1"/>
        <v>INSERT INTO tblDayAttendanceLog VALUES (seqDayAttendanceLog.nextval, 112, TO_DATE('2025-08-07', 'YYYY-MM-DD'), TO_DATE('2025-08-07 08:14:00', 'YYYY-MM-DD HH24:MI:SS'), TO_DATE('2025-08-07 17:58:00', 'YYYY-MM-DD HH24:MI:SS'));</v>
      </c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</row>
    <row r="786">
      <c r="A786" s="25" t="s">
        <v>206</v>
      </c>
      <c r="B786" s="26">
        <v>113.0</v>
      </c>
      <c r="C786" s="27">
        <v>45876.0</v>
      </c>
      <c r="D786" s="28">
        <v>45876.39166666667</v>
      </c>
      <c r="E786" s="28">
        <v>45876.743055555555</v>
      </c>
      <c r="F786" s="21" t="s">
        <v>189</v>
      </c>
      <c r="G786" s="23"/>
      <c r="H786" s="23" t="str">
        <f t="shared" si="1"/>
        <v>INSERT INTO tblDayAttendanceLog VALUES (seqDayAttendanceLog.nextval, 113, TO_DATE('2025-08-07', 'YYYY-MM-DD'), TO_DATE('2025-08-07 09:24:00', 'YYYY-MM-DD HH24:MI:SS'), TO_DATE('2025-08-07 17:50:00', 'YYYY-MM-DD HH24:MI:SS'));</v>
      </c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</row>
    <row r="787">
      <c r="A787" s="25" t="s">
        <v>206</v>
      </c>
      <c r="B787" s="26">
        <v>114.0</v>
      </c>
      <c r="C787" s="27">
        <v>45876.0</v>
      </c>
      <c r="D787" s="28">
        <v>45876.38888888889</v>
      </c>
      <c r="E787" s="28">
        <v>45876.74444444444</v>
      </c>
      <c r="F787" s="21" t="s">
        <v>189</v>
      </c>
      <c r="G787" s="23"/>
      <c r="H787" s="23" t="str">
        <f t="shared" si="1"/>
        <v>INSERT INTO tblDayAttendanceLog VALUES (seqDayAttendanceLog.nextval, 114, TO_DATE('2025-08-07', 'YYYY-MM-DD'), TO_DATE('2025-08-07 09:20:00', 'YYYY-MM-DD HH24:MI:SS'), TO_DATE('2025-08-07 17:52:00', 'YYYY-MM-DD HH24:MI:SS'));</v>
      </c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</row>
    <row r="788">
      <c r="A788" s="25" t="s">
        <v>206</v>
      </c>
      <c r="B788" s="26">
        <v>115.0</v>
      </c>
      <c r="C788" s="27">
        <v>45876.0</v>
      </c>
      <c r="D788" s="28">
        <v>45876.39027777778</v>
      </c>
      <c r="E788" s="28">
        <v>45876.74930555555</v>
      </c>
      <c r="F788" s="21" t="s">
        <v>189</v>
      </c>
      <c r="G788" s="23"/>
      <c r="H788" s="23" t="str">
        <f t="shared" si="1"/>
        <v>INSERT INTO tblDayAttendanceLog VALUES (seqDayAttendanceLog.nextval, 115, TO_DATE('2025-08-07', 'YYYY-MM-DD'), TO_DATE('2025-08-07 09:22:00', 'YYYY-MM-DD HH24:MI:SS'), TO_DATE('2025-08-07 17:59:00', 'YYYY-MM-DD HH24:MI:SS'));</v>
      </c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</row>
    <row r="789">
      <c r="A789" s="25" t="s">
        <v>206</v>
      </c>
      <c r="B789" s="26">
        <v>116.0</v>
      </c>
      <c r="C789" s="27">
        <v>45876.0</v>
      </c>
      <c r="D789" s="28">
        <v>45876.34583333333</v>
      </c>
      <c r="E789" s="28">
        <v>45876.74791666667</v>
      </c>
      <c r="F789" s="21" t="s">
        <v>184</v>
      </c>
      <c r="G789" s="23"/>
      <c r="H789" s="23" t="str">
        <f t="shared" si="1"/>
        <v>INSERT INTO tblDayAttendanceLog VALUES (seqDayAttendanceLog.nextval, 116, TO_DATE('2025-08-07', 'YYYY-MM-DD'), TO_DATE('2025-08-07 08:18:00', 'YYYY-MM-DD HH24:MI:SS'), TO_DATE('2025-08-07 17:57:00', 'YYYY-MM-DD HH24:MI:SS'));</v>
      </c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</row>
    <row r="790">
      <c r="A790" s="25" t="s">
        <v>206</v>
      </c>
      <c r="B790" s="26">
        <v>117.0</v>
      </c>
      <c r="C790" s="27">
        <v>45876.0</v>
      </c>
      <c r="D790" s="28">
        <v>45876.35833333333</v>
      </c>
      <c r="E790" s="28">
        <v>45876.74444444444</v>
      </c>
      <c r="F790" s="21" t="s">
        <v>184</v>
      </c>
      <c r="G790" s="23"/>
      <c r="H790" s="23" t="str">
        <f t="shared" si="1"/>
        <v>INSERT INTO tblDayAttendanceLog VALUES (seqDayAttendanceLog.nextval, 117, TO_DATE('2025-08-07', 'YYYY-MM-DD'), TO_DATE('2025-08-07 08:36:00', 'YYYY-MM-DD HH24:MI:SS'), TO_DATE('2025-08-07 17:52:00', 'YYYY-MM-DD HH24:MI:SS'));</v>
      </c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</row>
    <row r="791">
      <c r="A791" s="25" t="s">
        <v>206</v>
      </c>
      <c r="B791" s="26">
        <v>118.0</v>
      </c>
      <c r="C791" s="27">
        <v>45876.0</v>
      </c>
      <c r="D791" s="28">
        <v>45876.41180555556</v>
      </c>
      <c r="E791" s="28">
        <v>45876.74513888889</v>
      </c>
      <c r="F791" s="21" t="s">
        <v>189</v>
      </c>
      <c r="G791" s="23"/>
      <c r="H791" s="23" t="str">
        <f t="shared" si="1"/>
        <v>INSERT INTO tblDayAttendanceLog VALUES (seqDayAttendanceLog.nextval, 118, TO_DATE('2025-08-07', 'YYYY-MM-DD'), TO_DATE('2025-08-07 09:53:00', 'YYYY-MM-DD HH24:MI:SS'), TO_DATE('2025-08-07 17:53:00', 'YYYY-MM-DD HH24:MI:SS'));</v>
      </c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</row>
    <row r="792">
      <c r="A792" s="25" t="s">
        <v>206</v>
      </c>
      <c r="B792" s="26">
        <v>119.0</v>
      </c>
      <c r="C792" s="27">
        <v>45876.0</v>
      </c>
      <c r="D792" s="28">
        <v>45876.40972222222</v>
      </c>
      <c r="E792" s="28">
        <v>45876.74444444444</v>
      </c>
      <c r="F792" s="21" t="s">
        <v>189</v>
      </c>
      <c r="G792" s="23"/>
      <c r="H792" s="23" t="str">
        <f t="shared" si="1"/>
        <v>INSERT INTO tblDayAttendanceLog VALUES (seqDayAttendanceLog.nextval, 119, TO_DATE('2025-08-07', 'YYYY-MM-DD'), TO_DATE('2025-08-07 09:50:00', 'YYYY-MM-DD HH24:MI:SS'), TO_DATE('2025-08-07 17:52:00', 'YYYY-MM-DD HH24:MI:SS'));</v>
      </c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</row>
    <row r="793">
      <c r="A793" s="25" t="s">
        <v>206</v>
      </c>
      <c r="B793" s="26">
        <v>120.0</v>
      </c>
      <c r="C793" s="27">
        <v>45876.0</v>
      </c>
      <c r="D793" s="28">
        <v>45876.35902777778</v>
      </c>
      <c r="E793" s="28">
        <v>45876.743055555555</v>
      </c>
      <c r="F793" s="21" t="s">
        <v>184</v>
      </c>
      <c r="G793" s="23"/>
      <c r="H793" s="23" t="str">
        <f t="shared" si="1"/>
        <v>INSERT INTO tblDayAttendanceLog VALUES (seqDayAttendanceLog.nextval, 120, TO_DATE('2025-08-07', 'YYYY-MM-DD'), TO_DATE('2025-08-07 08:37:00', 'YYYY-MM-DD HH24:MI:SS'), TO_DATE('2025-08-07 17:50:00', 'YYYY-MM-DD HH24:MI:SS'));</v>
      </c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</row>
    <row r="794">
      <c r="A794" s="25" t="s">
        <v>206</v>
      </c>
      <c r="B794" s="26">
        <v>121.0</v>
      </c>
      <c r="C794" s="27">
        <v>45876.0</v>
      </c>
      <c r="D794" s="28">
        <v>45876.4125</v>
      </c>
      <c r="E794" s="28">
        <v>45876.74930555555</v>
      </c>
      <c r="F794" s="21" t="s">
        <v>189</v>
      </c>
      <c r="G794" s="23"/>
      <c r="H794" s="23" t="str">
        <f t="shared" si="1"/>
        <v>INSERT INTO tblDayAttendanceLog VALUES (seqDayAttendanceLog.nextval, 121, TO_DATE('2025-08-07', 'YYYY-MM-DD'), TO_DATE('2025-08-07 09:54:00', 'YYYY-MM-DD HH24:MI:SS'), TO_DATE('2025-08-07 17:59:00', 'YYYY-MM-DD HH24:MI:SS'));</v>
      </c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</row>
    <row r="795">
      <c r="A795" s="25" t="s">
        <v>206</v>
      </c>
      <c r="B795" s="26">
        <v>122.0</v>
      </c>
      <c r="C795" s="27">
        <v>45876.0</v>
      </c>
      <c r="D795" s="28">
        <v>45876.4125</v>
      </c>
      <c r="E795" s="28">
        <v>45876.74791666667</v>
      </c>
      <c r="F795" s="21" t="s">
        <v>189</v>
      </c>
      <c r="G795" s="23"/>
      <c r="H795" s="23" t="str">
        <f t="shared" si="1"/>
        <v>INSERT INTO tblDayAttendanceLog VALUES (seqDayAttendanceLog.nextval, 122, TO_DATE('2025-08-07', 'YYYY-MM-DD'), TO_DATE('2025-08-07 09:54:00', 'YYYY-MM-DD HH24:MI:SS'), TO_DATE('2025-08-07 17:57:00', 'YYYY-MM-DD HH24:MI:SS'));</v>
      </c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</row>
    <row r="796">
      <c r="A796" s="25" t="s">
        <v>206</v>
      </c>
      <c r="B796" s="26">
        <v>123.0</v>
      </c>
      <c r="C796" s="27">
        <v>45876.0</v>
      </c>
      <c r="D796" s="28">
        <v>45876.375</v>
      </c>
      <c r="E796" s="28">
        <v>45876.745833333334</v>
      </c>
      <c r="F796" s="21" t="s">
        <v>189</v>
      </c>
      <c r="G796" s="23"/>
      <c r="H796" s="23" t="str">
        <f t="shared" si="1"/>
        <v>INSERT INTO tblDayAttendanceLog VALUES (seqDayAttendanceLog.nextval, 123, TO_DATE('2025-08-07', 'YYYY-MM-DD'), TO_DATE('2025-08-07 09:00:00', 'YYYY-MM-DD HH24:MI:SS'), TO_DATE('2025-08-07 17:54:00', 'YYYY-MM-DD HH24:MI:SS'));</v>
      </c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</row>
    <row r="797">
      <c r="A797" s="25" t="s">
        <v>206</v>
      </c>
      <c r="B797" s="26">
        <v>124.0</v>
      </c>
      <c r="C797" s="27">
        <v>45876.0</v>
      </c>
      <c r="D797" s="28">
        <v>45876.36388888889</v>
      </c>
      <c r="E797" s="28">
        <v>45876.74513888889</v>
      </c>
      <c r="F797" s="21" t="s">
        <v>184</v>
      </c>
      <c r="G797" s="23"/>
      <c r="H797" s="23" t="str">
        <f t="shared" si="1"/>
        <v>INSERT INTO tblDayAttendanceLog VALUES (seqDayAttendanceLog.nextval, 124, TO_DATE('2025-08-07', 'YYYY-MM-DD'), TO_DATE('2025-08-07 08:44:00', 'YYYY-MM-DD HH24:MI:SS'), TO_DATE('2025-08-07 17:53:00', 'YYYY-MM-DD HH24:MI:SS'));</v>
      </c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</row>
    <row r="798">
      <c r="A798" s="25" t="s">
        <v>206</v>
      </c>
      <c r="B798" s="26">
        <v>125.0</v>
      </c>
      <c r="C798" s="27">
        <v>45876.0</v>
      </c>
      <c r="D798" s="28">
        <v>45876.38125</v>
      </c>
      <c r="E798" s="28">
        <v>45876.748611111114</v>
      </c>
      <c r="F798" s="21" t="s">
        <v>189</v>
      </c>
      <c r="G798" s="23"/>
      <c r="H798" s="23" t="str">
        <f t="shared" si="1"/>
        <v>INSERT INTO tblDayAttendanceLog VALUES (seqDayAttendanceLog.nextval, 125, TO_DATE('2025-08-07', 'YYYY-MM-DD'), TO_DATE('2025-08-07 09:09:00', 'YYYY-MM-DD HH24:MI:SS'), TO_DATE('2025-08-07 17:58:00', 'YYYY-MM-DD HH24:MI:SS'));</v>
      </c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</row>
    <row r="799">
      <c r="A799" s="25" t="s">
        <v>206</v>
      </c>
      <c r="B799" s="26">
        <v>126.0</v>
      </c>
      <c r="C799" s="27">
        <v>45876.0</v>
      </c>
      <c r="D799" s="28">
        <v>45876.41388888889</v>
      </c>
      <c r="E799" s="28">
        <v>45876.74791666667</v>
      </c>
      <c r="F799" s="21" t="s">
        <v>189</v>
      </c>
      <c r="G799" s="23"/>
      <c r="H799" s="23" t="str">
        <f t="shared" si="1"/>
        <v>INSERT INTO tblDayAttendanceLog VALUES (seqDayAttendanceLog.nextval, 126, TO_DATE('2025-08-07', 'YYYY-MM-DD'), TO_DATE('2025-08-07 09:56:00', 'YYYY-MM-DD HH24:MI:SS'), TO_DATE('2025-08-07 17:57:00', 'YYYY-MM-DD HH24:MI:SS'));</v>
      </c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</row>
    <row r="800">
      <c r="A800" s="25" t="s">
        <v>206</v>
      </c>
      <c r="B800" s="26">
        <v>127.0</v>
      </c>
      <c r="C800" s="27">
        <v>45876.0</v>
      </c>
      <c r="D800" s="28">
        <v>45876.388194444444</v>
      </c>
      <c r="E800" s="28">
        <v>45876.74375</v>
      </c>
      <c r="F800" s="21" t="s">
        <v>189</v>
      </c>
      <c r="G800" s="23"/>
      <c r="H800" s="23" t="str">
        <f t="shared" si="1"/>
        <v>INSERT INTO tblDayAttendanceLog VALUES (seqDayAttendanceLog.nextval, 127, TO_DATE('2025-08-07', 'YYYY-MM-DD'), TO_DATE('2025-08-07 09:19:00', 'YYYY-MM-DD HH24:MI:SS'), TO_DATE('2025-08-07 17:51:00', 'YYYY-MM-DD HH24:MI:SS'));</v>
      </c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</row>
    <row r="801">
      <c r="A801" s="25" t="s">
        <v>206</v>
      </c>
      <c r="B801" s="26">
        <v>128.0</v>
      </c>
      <c r="C801" s="27">
        <v>45876.0</v>
      </c>
      <c r="D801" s="28">
        <v>45876.38055555556</v>
      </c>
      <c r="E801" s="28">
        <v>45876.745833333334</v>
      </c>
      <c r="F801" s="21" t="s">
        <v>189</v>
      </c>
      <c r="G801" s="23"/>
      <c r="H801" s="23" t="str">
        <f t="shared" si="1"/>
        <v>INSERT INTO tblDayAttendanceLog VALUES (seqDayAttendanceLog.nextval, 128, TO_DATE('2025-08-07', 'YYYY-MM-DD'), TO_DATE('2025-08-07 09:08:00', 'YYYY-MM-DD HH24:MI:SS'), TO_DATE('2025-08-07 17:54:00', 'YYYY-MM-DD HH24:MI:SS'));</v>
      </c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</row>
    <row r="802">
      <c r="A802" s="25" t="s">
        <v>206</v>
      </c>
      <c r="B802" s="26">
        <v>129.0</v>
      </c>
      <c r="C802" s="27">
        <v>45876.0</v>
      </c>
      <c r="D802" s="28">
        <v>45876.393055555556</v>
      </c>
      <c r="E802" s="28">
        <v>45876.74444444444</v>
      </c>
      <c r="F802" s="21" t="s">
        <v>189</v>
      </c>
      <c r="G802" s="23"/>
      <c r="H802" s="23" t="str">
        <f t="shared" si="1"/>
        <v>INSERT INTO tblDayAttendanceLog VALUES (seqDayAttendanceLog.nextval, 129, TO_DATE('2025-08-07', 'YYYY-MM-DD'), TO_DATE('2025-08-07 09:26:00', 'YYYY-MM-DD HH24:MI:SS'), TO_DATE('2025-08-07 17:52:00', 'YYYY-MM-DD HH24:MI:SS'));</v>
      </c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</row>
    <row r="803">
      <c r="A803" s="25" t="s">
        <v>206</v>
      </c>
      <c r="B803" s="26">
        <v>130.0</v>
      </c>
      <c r="C803" s="27">
        <v>45876.0</v>
      </c>
      <c r="D803" s="28">
        <v>45876.39375</v>
      </c>
      <c r="E803" s="28">
        <v>45876.74375</v>
      </c>
      <c r="F803" s="21" t="s">
        <v>189</v>
      </c>
      <c r="G803" s="23"/>
      <c r="H803" s="23" t="str">
        <f t="shared" si="1"/>
        <v>INSERT INTO tblDayAttendanceLog VALUES (seqDayAttendanceLog.nextval, 130, TO_DATE('2025-08-07', 'YYYY-MM-DD'), TO_DATE('2025-08-07 09:27:00', 'YYYY-MM-DD HH24:MI:SS'), TO_DATE('2025-08-07 17:51:00', 'YYYY-MM-DD HH24:MI:SS'));</v>
      </c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</row>
    <row r="804">
      <c r="A804" s="25" t="s">
        <v>206</v>
      </c>
      <c r="B804" s="26">
        <v>131.0</v>
      </c>
      <c r="C804" s="27">
        <v>45876.0</v>
      </c>
      <c r="D804" s="28">
        <v>45876.37847222222</v>
      </c>
      <c r="E804" s="28">
        <v>45876.74791666667</v>
      </c>
      <c r="F804" s="21" t="s">
        <v>189</v>
      </c>
      <c r="G804" s="23"/>
      <c r="H804" s="23" t="str">
        <f t="shared" si="1"/>
        <v>INSERT INTO tblDayAttendanceLog VALUES (seqDayAttendanceLog.nextval, 131, TO_DATE('2025-08-07', 'YYYY-MM-DD'), TO_DATE('2025-08-07 09:05:00', 'YYYY-MM-DD HH24:MI:SS'), TO_DATE('2025-08-07 17:57:00', 'YYYY-MM-DD HH24:MI:SS'));</v>
      </c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</row>
    <row r="805">
      <c r="A805" s="25" t="s">
        <v>206</v>
      </c>
      <c r="B805" s="26">
        <v>132.0</v>
      </c>
      <c r="C805" s="27">
        <v>45876.0</v>
      </c>
      <c r="D805" s="29"/>
      <c r="E805" s="29"/>
      <c r="F805" s="21" t="s">
        <v>186</v>
      </c>
      <c r="G805" s="23"/>
      <c r="H805" s="23" t="str">
        <f t="shared" si="1"/>
        <v>INSERT INTO tblDayAttendanceLog VALUES (seqDayAttendanceLog.nextval, 132, TO_DATE('2025-08-07', 'YYYY-MM-DD'), NULL, NULL);</v>
      </c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</row>
    <row r="806">
      <c r="A806" s="25" t="s">
        <v>206</v>
      </c>
      <c r="B806" s="26">
        <v>133.0</v>
      </c>
      <c r="C806" s="27">
        <v>45876.0</v>
      </c>
      <c r="D806" s="28">
        <v>45876.39027777778</v>
      </c>
      <c r="E806" s="28">
        <v>45876.74444444444</v>
      </c>
      <c r="F806" s="21" t="s">
        <v>189</v>
      </c>
      <c r="G806" s="23"/>
      <c r="H806" s="23" t="str">
        <f t="shared" si="1"/>
        <v>INSERT INTO tblDayAttendanceLog VALUES (seqDayAttendanceLog.nextval, 133, TO_DATE('2025-08-07', 'YYYY-MM-DD'), TO_DATE('2025-08-07 09:22:00', 'YYYY-MM-DD HH24:MI:SS'), TO_DATE('2025-08-07 17:52:00', 'YYYY-MM-DD HH24:MI:SS'));</v>
      </c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</row>
    <row r="807">
      <c r="A807" s="25" t="s">
        <v>206</v>
      </c>
      <c r="B807" s="26">
        <v>134.0</v>
      </c>
      <c r="C807" s="27">
        <v>45876.0</v>
      </c>
      <c r="D807" s="28">
        <v>45876.361805555556</v>
      </c>
      <c r="E807" s="28">
        <v>45876.74513888889</v>
      </c>
      <c r="F807" s="21" t="s">
        <v>184</v>
      </c>
      <c r="G807" s="23"/>
      <c r="H807" s="23" t="str">
        <f t="shared" si="1"/>
        <v>INSERT INTO tblDayAttendanceLog VALUES (seqDayAttendanceLog.nextval, 134, TO_DATE('2025-08-07', 'YYYY-MM-DD'), TO_DATE('2025-08-07 08:41:00', 'YYYY-MM-DD HH24:MI:SS'), TO_DATE('2025-08-07 17:53:00', 'YYYY-MM-DD HH24:MI:SS'));</v>
      </c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</row>
    <row r="808">
      <c r="A808" s="25" t="s">
        <v>206</v>
      </c>
      <c r="B808" s="26">
        <v>135.0</v>
      </c>
      <c r="C808" s="27">
        <v>45876.0</v>
      </c>
      <c r="D808" s="28">
        <v>45876.393055555556</v>
      </c>
      <c r="E808" s="28">
        <v>45876.74791666667</v>
      </c>
      <c r="F808" s="21" t="s">
        <v>189</v>
      </c>
      <c r="G808" s="23"/>
      <c r="H808" s="23" t="str">
        <f t="shared" si="1"/>
        <v>INSERT INTO tblDayAttendanceLog VALUES (seqDayAttendanceLog.nextval, 135, TO_DATE('2025-08-07', 'YYYY-MM-DD'), TO_DATE('2025-08-07 09:26:00', 'YYYY-MM-DD HH24:MI:SS'), TO_DATE('2025-08-07 17:57:00', 'YYYY-MM-DD HH24:MI:SS'));</v>
      </c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</row>
    <row r="809">
      <c r="A809" s="25" t="s">
        <v>206</v>
      </c>
      <c r="B809" s="26">
        <v>136.0</v>
      </c>
      <c r="C809" s="27">
        <v>45876.0</v>
      </c>
      <c r="D809" s="28">
        <v>45876.37430555555</v>
      </c>
      <c r="E809" s="28">
        <v>45876.748611111114</v>
      </c>
      <c r="F809" s="21" t="s">
        <v>184</v>
      </c>
      <c r="G809" s="23"/>
      <c r="H809" s="23" t="str">
        <f t="shared" si="1"/>
        <v>INSERT INTO tblDayAttendanceLog VALUES (seqDayAttendanceLog.nextval, 136, TO_DATE('2025-08-07', 'YYYY-MM-DD'), TO_DATE('2025-08-07 08:59:00', 'YYYY-MM-DD HH24:MI:SS'), TO_DATE('2025-08-07 17:58:00', 'YYYY-MM-DD HH24:MI:SS'));</v>
      </c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</row>
    <row r="810">
      <c r="A810" s="25" t="s">
        <v>206</v>
      </c>
      <c r="B810" s="26">
        <v>137.0</v>
      </c>
      <c r="C810" s="27">
        <v>45876.0</v>
      </c>
      <c r="D810" s="28">
        <v>45876.388194444444</v>
      </c>
      <c r="E810" s="28">
        <v>45876.748611111114</v>
      </c>
      <c r="F810" s="21" t="s">
        <v>189</v>
      </c>
      <c r="G810" s="23"/>
      <c r="H810" s="23" t="str">
        <f t="shared" si="1"/>
        <v>INSERT INTO tblDayAttendanceLog VALUES (seqDayAttendanceLog.nextval, 137, TO_DATE('2025-08-07', 'YYYY-MM-DD'), TO_DATE('2025-08-07 09:19:00', 'YYYY-MM-DD HH24:MI:SS'), TO_DATE('2025-08-07 17:58:00', 'YYYY-MM-DD HH24:MI:SS'));</v>
      </c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</row>
    <row r="811">
      <c r="A811" s="25" t="s">
        <v>206</v>
      </c>
      <c r="B811" s="26">
        <v>138.0</v>
      </c>
      <c r="C811" s="27">
        <v>45876.0</v>
      </c>
      <c r="D811" s="28">
        <v>45876.34305555555</v>
      </c>
      <c r="E811" s="28">
        <v>45876.745833333334</v>
      </c>
      <c r="F811" s="21" t="s">
        <v>184</v>
      </c>
      <c r="G811" s="23"/>
      <c r="H811" s="23" t="str">
        <f t="shared" si="1"/>
        <v>INSERT INTO tblDayAttendanceLog VALUES (seqDayAttendanceLog.nextval, 138, TO_DATE('2025-08-07', 'YYYY-MM-DD'), TO_DATE('2025-08-07 08:14:00', 'YYYY-MM-DD HH24:MI:SS'), TO_DATE('2025-08-07 17:54:00', 'YYYY-MM-DD HH24:MI:SS'));</v>
      </c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</row>
    <row r="812">
      <c r="A812" s="25" t="s">
        <v>206</v>
      </c>
      <c r="B812" s="26">
        <v>139.0</v>
      </c>
      <c r="C812" s="27">
        <v>45876.0</v>
      </c>
      <c r="D812" s="28">
        <v>45876.35138888889</v>
      </c>
      <c r="E812" s="28">
        <v>45876.74652777778</v>
      </c>
      <c r="F812" s="21" t="s">
        <v>184</v>
      </c>
      <c r="G812" s="23"/>
      <c r="H812" s="23" t="str">
        <f t="shared" si="1"/>
        <v>INSERT INTO tblDayAttendanceLog VALUES (seqDayAttendanceLog.nextval, 139, TO_DATE('2025-08-07', 'YYYY-MM-DD'), TO_DATE('2025-08-07 08:26:00', 'YYYY-MM-DD HH24:MI:SS'), TO_DATE('2025-08-07 17:55:00', 'YYYY-MM-DD HH24:MI:SS'));</v>
      </c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</row>
    <row r="813">
      <c r="A813" s="25" t="s">
        <v>206</v>
      </c>
      <c r="B813" s="26">
        <v>140.0</v>
      </c>
      <c r="C813" s="27">
        <v>45876.0</v>
      </c>
      <c r="D813" s="28">
        <v>45876.38333333333</v>
      </c>
      <c r="E813" s="28">
        <v>45876.74652777778</v>
      </c>
      <c r="F813" s="21" t="s">
        <v>189</v>
      </c>
      <c r="G813" s="23"/>
      <c r="H813" s="23" t="str">
        <f t="shared" si="1"/>
        <v>INSERT INTO tblDayAttendanceLog VALUES (seqDayAttendanceLog.nextval, 140, TO_DATE('2025-08-07', 'YYYY-MM-DD'), TO_DATE('2025-08-07 09:12:00', 'YYYY-MM-DD HH24:MI:SS'), TO_DATE('2025-08-07 17:55:00', 'YYYY-MM-DD HH24:MI:SS'));</v>
      </c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</row>
    <row r="814">
      <c r="A814" s="25" t="s">
        <v>206</v>
      </c>
      <c r="B814" s="26">
        <v>141.0</v>
      </c>
      <c r="C814" s="27">
        <v>45876.0</v>
      </c>
      <c r="D814" s="28">
        <v>45876.35833333333</v>
      </c>
      <c r="E814" s="28">
        <v>45876.74375</v>
      </c>
      <c r="F814" s="21" t="s">
        <v>184</v>
      </c>
      <c r="G814" s="23"/>
      <c r="H814" s="23" t="str">
        <f t="shared" si="1"/>
        <v>INSERT INTO tblDayAttendanceLog VALUES (seqDayAttendanceLog.nextval, 141, TO_DATE('2025-08-07', 'YYYY-MM-DD'), TO_DATE('2025-08-07 08:36:00', 'YYYY-MM-DD HH24:MI:SS'), TO_DATE('2025-08-07 17:51:00', 'YYYY-MM-DD HH24:MI:SS'));</v>
      </c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</row>
    <row r="815">
      <c r="A815" s="25" t="s">
        <v>206</v>
      </c>
      <c r="B815" s="26">
        <v>142.0</v>
      </c>
      <c r="C815" s="27">
        <v>45876.0</v>
      </c>
      <c r="D815" s="28">
        <v>45876.41458333333</v>
      </c>
      <c r="E815" s="28">
        <v>45876.74930555555</v>
      </c>
      <c r="F815" s="21" t="s">
        <v>189</v>
      </c>
      <c r="G815" s="23"/>
      <c r="H815" s="23" t="str">
        <f t="shared" si="1"/>
        <v>INSERT INTO tblDayAttendanceLog VALUES (seqDayAttendanceLog.nextval, 142, TO_DATE('2025-08-07', 'YYYY-MM-DD'), TO_DATE('2025-08-07 09:57:00', 'YYYY-MM-DD HH24:MI:SS'), TO_DATE('2025-08-07 17:59:00', 'YYYY-MM-DD HH24:MI:SS'));</v>
      </c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</row>
    <row r="816">
      <c r="A816" s="25" t="s">
        <v>206</v>
      </c>
      <c r="B816" s="26">
        <v>143.0</v>
      </c>
      <c r="C816" s="27">
        <v>45876.0</v>
      </c>
      <c r="D816" s="28">
        <v>45876.35972222222</v>
      </c>
      <c r="E816" s="28">
        <v>45876.748611111114</v>
      </c>
      <c r="F816" s="21" t="s">
        <v>184</v>
      </c>
      <c r="G816" s="23"/>
      <c r="H816" s="23" t="str">
        <f t="shared" si="1"/>
        <v>INSERT INTO tblDayAttendanceLog VALUES (seqDayAttendanceLog.nextval, 143, TO_DATE('2025-08-07', 'YYYY-MM-DD'), TO_DATE('2025-08-07 08:38:00', 'YYYY-MM-DD HH24:MI:SS'), TO_DATE('2025-08-07 17:58:00', 'YYYY-MM-DD HH24:MI:SS'));</v>
      </c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</row>
    <row r="817">
      <c r="A817" s="25" t="s">
        <v>206</v>
      </c>
      <c r="B817" s="26">
        <v>144.0</v>
      </c>
      <c r="C817" s="27">
        <v>45876.0</v>
      </c>
      <c r="D817" s="28">
        <v>45876.413194444445</v>
      </c>
      <c r="E817" s="28">
        <v>45876.748611111114</v>
      </c>
      <c r="F817" s="21" t="s">
        <v>189</v>
      </c>
      <c r="G817" s="23"/>
      <c r="H817" s="23" t="str">
        <f t="shared" si="1"/>
        <v>INSERT INTO tblDayAttendanceLog VALUES (seqDayAttendanceLog.nextval, 144, TO_DATE('2025-08-07', 'YYYY-MM-DD'), TO_DATE('2025-08-07 09:55:00', 'YYYY-MM-DD HH24:MI:SS'), TO_DATE('2025-08-07 17:58:00', 'YYYY-MM-DD HH24:MI:SS'));</v>
      </c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</row>
    <row r="818">
      <c r="A818" s="25" t="s">
        <v>206</v>
      </c>
      <c r="B818" s="26">
        <v>145.0</v>
      </c>
      <c r="C818" s="27">
        <v>45876.0</v>
      </c>
      <c r="D818" s="28">
        <v>45876.37222222222</v>
      </c>
      <c r="E818" s="28">
        <v>45876.743055555555</v>
      </c>
      <c r="F818" s="21" t="s">
        <v>184</v>
      </c>
      <c r="G818" s="23"/>
      <c r="H818" s="23" t="str">
        <f t="shared" si="1"/>
        <v>INSERT INTO tblDayAttendanceLog VALUES (seqDayAttendanceLog.nextval, 145, TO_DATE('2025-08-07', 'YYYY-MM-DD'), TO_DATE('2025-08-07 08:56:00', 'YYYY-MM-DD HH24:MI:SS'), TO_DATE('2025-08-07 17:50:00', 'YYYY-MM-DD HH24:MI:SS'));</v>
      </c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</row>
    <row r="819">
      <c r="A819" s="25" t="s">
        <v>206</v>
      </c>
      <c r="B819" s="26">
        <v>146.0</v>
      </c>
      <c r="C819" s="27">
        <v>45876.0</v>
      </c>
      <c r="D819" s="28">
        <v>45876.39513888889</v>
      </c>
      <c r="E819" s="28">
        <v>45876.74375</v>
      </c>
      <c r="F819" s="21" t="s">
        <v>189</v>
      </c>
      <c r="G819" s="23"/>
      <c r="H819" s="23" t="str">
        <f t="shared" si="1"/>
        <v>INSERT INTO tblDayAttendanceLog VALUES (seqDayAttendanceLog.nextval, 146, TO_DATE('2025-08-07', 'YYYY-MM-DD'), TO_DATE('2025-08-07 09:29:00', 'YYYY-MM-DD HH24:MI:SS'), TO_DATE('2025-08-07 17:51:00', 'YYYY-MM-DD HH24:MI:SS'));</v>
      </c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</row>
    <row r="820">
      <c r="A820" s="25" t="s">
        <v>206</v>
      </c>
      <c r="B820" s="26">
        <v>147.0</v>
      </c>
      <c r="C820" s="27">
        <v>45876.0</v>
      </c>
      <c r="D820" s="29"/>
      <c r="E820" s="29"/>
      <c r="F820" s="21" t="s">
        <v>186</v>
      </c>
      <c r="G820" s="23"/>
      <c r="H820" s="23" t="str">
        <f t="shared" si="1"/>
        <v>INSERT INTO tblDayAttendanceLog VALUES (seqDayAttendanceLog.nextval, 147, TO_DATE('2025-08-07', 'YYYY-MM-DD'), NULL, NULL);</v>
      </c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</row>
    <row r="821">
      <c r="A821" s="25" t="s">
        <v>206</v>
      </c>
      <c r="B821" s="26">
        <v>148.0</v>
      </c>
      <c r="C821" s="27">
        <v>45876.0</v>
      </c>
      <c r="D821" s="28">
        <v>45876.39791666667</v>
      </c>
      <c r="E821" s="28">
        <v>45876.74513888889</v>
      </c>
      <c r="F821" s="21" t="s">
        <v>189</v>
      </c>
      <c r="G821" s="23"/>
      <c r="H821" s="23" t="str">
        <f t="shared" si="1"/>
        <v>INSERT INTO tblDayAttendanceLog VALUES (seqDayAttendanceLog.nextval, 148, TO_DATE('2025-08-07', 'YYYY-MM-DD'), TO_DATE('2025-08-07 09:33:00', 'YYYY-MM-DD HH24:MI:SS'), TO_DATE('2025-08-07 17:53:00', 'YYYY-MM-DD HH24:MI:SS'));</v>
      </c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</row>
    <row r="822">
      <c r="A822" s="25" t="s">
        <v>206</v>
      </c>
      <c r="B822" s="26">
        <v>149.0</v>
      </c>
      <c r="C822" s="27">
        <v>45876.0</v>
      </c>
      <c r="D822" s="28">
        <v>45876.35277777778</v>
      </c>
      <c r="E822" s="28">
        <v>45876.74513888889</v>
      </c>
      <c r="F822" s="21" t="s">
        <v>184</v>
      </c>
      <c r="G822" s="23"/>
      <c r="H822" s="23" t="str">
        <f t="shared" si="1"/>
        <v>INSERT INTO tblDayAttendanceLog VALUES (seqDayAttendanceLog.nextval, 149, TO_DATE('2025-08-07', 'YYYY-MM-DD'), TO_DATE('2025-08-07 08:28:00', 'YYYY-MM-DD HH24:MI:SS'), TO_DATE('2025-08-07 17:53:00', 'YYYY-MM-DD HH24:MI:SS'));</v>
      </c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</row>
    <row r="823">
      <c r="A823" s="25" t="s">
        <v>206</v>
      </c>
      <c r="B823" s="26">
        <v>150.0</v>
      </c>
      <c r="C823" s="27">
        <v>45876.0</v>
      </c>
      <c r="D823" s="28">
        <v>45876.384722222225</v>
      </c>
      <c r="E823" s="28">
        <v>45876.74444444444</v>
      </c>
      <c r="F823" s="21" t="s">
        <v>189</v>
      </c>
      <c r="G823" s="23"/>
      <c r="H823" s="23" t="str">
        <f t="shared" si="1"/>
        <v>INSERT INTO tblDayAttendanceLog VALUES (seqDayAttendanceLog.nextval, 150, TO_DATE('2025-08-07', 'YYYY-MM-DD'), TO_DATE('2025-08-07 09:14:00', 'YYYY-MM-DD HH24:MI:SS'), TO_DATE('2025-08-07 17:52:00', 'YYYY-MM-DD HH24:MI:SS'));</v>
      </c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</row>
    <row r="824">
      <c r="A824" s="25" t="s">
        <v>206</v>
      </c>
      <c r="B824" s="26">
        <v>151.0</v>
      </c>
      <c r="C824" s="27">
        <v>45876.0</v>
      </c>
      <c r="D824" s="28">
        <v>45876.396527777775</v>
      </c>
      <c r="E824" s="28">
        <v>45876.74513888889</v>
      </c>
      <c r="F824" s="21" t="s">
        <v>189</v>
      </c>
      <c r="G824" s="23"/>
      <c r="H824" s="23" t="str">
        <f t="shared" si="1"/>
        <v>INSERT INTO tblDayAttendanceLog VALUES (seqDayAttendanceLog.nextval, 151, TO_DATE('2025-08-07', 'YYYY-MM-DD'), TO_DATE('2025-08-07 09:31:00', 'YYYY-MM-DD HH24:MI:SS'), TO_DATE('2025-08-07 17:53:00', 'YYYY-MM-DD HH24:MI:SS'));</v>
      </c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</row>
    <row r="825">
      <c r="A825" s="25" t="s">
        <v>206</v>
      </c>
      <c r="B825" s="26">
        <v>152.0</v>
      </c>
      <c r="C825" s="27">
        <v>45876.0</v>
      </c>
      <c r="D825" s="28">
        <v>45876.342361111114</v>
      </c>
      <c r="E825" s="28">
        <v>45876.748611111114</v>
      </c>
      <c r="F825" s="21" t="s">
        <v>184</v>
      </c>
      <c r="G825" s="23"/>
      <c r="H825" s="23" t="str">
        <f t="shared" si="1"/>
        <v>INSERT INTO tblDayAttendanceLog VALUES (seqDayAttendanceLog.nextval, 152, TO_DATE('2025-08-07', 'YYYY-MM-DD'), TO_DATE('2025-08-07 08:13:00', 'YYYY-MM-DD HH24:MI:SS'), TO_DATE('2025-08-07 17:58:00', 'YYYY-MM-DD HH24:MI:SS'));</v>
      </c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</row>
    <row r="826">
      <c r="A826" s="25" t="s">
        <v>206</v>
      </c>
      <c r="B826" s="26">
        <v>153.0</v>
      </c>
      <c r="C826" s="27">
        <v>45876.0</v>
      </c>
      <c r="D826" s="28">
        <v>45876.333333333336</v>
      </c>
      <c r="E826" s="28">
        <v>45876.74722222222</v>
      </c>
      <c r="F826" s="21" t="s">
        <v>184</v>
      </c>
      <c r="G826" s="23"/>
      <c r="H826" s="23" t="str">
        <f t="shared" si="1"/>
        <v>INSERT INTO tblDayAttendanceLog VALUES (seqDayAttendanceLog.nextval, 153, TO_DATE('2025-08-07', 'YYYY-MM-DD'), TO_DATE('2025-08-07 08:00:00', 'YYYY-MM-DD HH24:MI:SS'), TO_DATE('2025-08-07 17:56:00', 'YYYY-MM-DD HH24:MI:SS'));</v>
      </c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</row>
    <row r="827">
      <c r="A827" s="25" t="s">
        <v>206</v>
      </c>
      <c r="B827" s="26">
        <v>154.0</v>
      </c>
      <c r="C827" s="27">
        <v>45876.0</v>
      </c>
      <c r="D827" s="28">
        <v>45876.36597222222</v>
      </c>
      <c r="E827" s="28">
        <v>45876.74513888889</v>
      </c>
      <c r="F827" s="21" t="s">
        <v>184</v>
      </c>
      <c r="G827" s="23"/>
      <c r="H827" s="23" t="str">
        <f t="shared" si="1"/>
        <v>INSERT INTO tblDayAttendanceLog VALUES (seqDayAttendanceLog.nextval, 154, TO_DATE('2025-08-07', 'YYYY-MM-DD'), TO_DATE('2025-08-07 08:47:00', 'YYYY-MM-DD HH24:MI:SS'), TO_DATE('2025-08-07 17:53:00', 'YYYY-MM-DD HH24:MI:SS'));</v>
      </c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</row>
    <row r="828">
      <c r="A828" s="25" t="s">
        <v>206</v>
      </c>
      <c r="B828" s="26">
        <v>155.0</v>
      </c>
      <c r="C828" s="27">
        <v>45876.0</v>
      </c>
      <c r="D828" s="28">
        <v>45876.345138888886</v>
      </c>
      <c r="E828" s="28">
        <v>45876.74791666667</v>
      </c>
      <c r="F828" s="21" t="s">
        <v>184</v>
      </c>
      <c r="G828" s="23"/>
      <c r="H828" s="23" t="str">
        <f t="shared" si="1"/>
        <v>INSERT INTO tblDayAttendanceLog VALUES (seqDayAttendanceLog.nextval, 155, TO_DATE('2025-08-07', 'YYYY-MM-DD'), TO_DATE('2025-08-07 08:17:00', 'YYYY-MM-DD HH24:MI:SS'), TO_DATE('2025-08-07 17:57:00', 'YYYY-MM-DD HH24:MI:SS'));</v>
      </c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</row>
    <row r="829">
      <c r="A829" s="25" t="s">
        <v>206</v>
      </c>
      <c r="B829" s="26">
        <v>156.0</v>
      </c>
      <c r="C829" s="27">
        <v>45876.0</v>
      </c>
      <c r="D829" s="28">
        <v>45876.365277777775</v>
      </c>
      <c r="E829" s="28">
        <v>45876.74652777778</v>
      </c>
      <c r="F829" s="21" t="s">
        <v>184</v>
      </c>
      <c r="G829" s="23"/>
      <c r="H829" s="23" t="str">
        <f t="shared" si="1"/>
        <v>INSERT INTO tblDayAttendanceLog VALUES (seqDayAttendanceLog.nextval, 156, TO_DATE('2025-08-07', 'YYYY-MM-DD'), TO_DATE('2025-08-07 08:46:00', 'YYYY-MM-DD HH24:MI:SS'), TO_DATE('2025-08-07 17:55:00', 'YYYY-MM-DD HH24:MI:SS'));</v>
      </c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</row>
    <row r="830">
      <c r="A830" s="25" t="s">
        <v>206</v>
      </c>
      <c r="B830" s="26">
        <v>157.0</v>
      </c>
      <c r="C830" s="27">
        <v>45876.0</v>
      </c>
      <c r="D830" s="28">
        <v>45876.40138888889</v>
      </c>
      <c r="E830" s="28">
        <v>45876.745833333334</v>
      </c>
      <c r="F830" s="21" t="s">
        <v>189</v>
      </c>
      <c r="G830" s="23"/>
      <c r="H830" s="23" t="str">
        <f t="shared" si="1"/>
        <v>INSERT INTO tblDayAttendanceLog VALUES (seqDayAttendanceLog.nextval, 157, TO_DATE('2025-08-07', 'YYYY-MM-DD'), TO_DATE('2025-08-07 09:38:00', 'YYYY-MM-DD HH24:MI:SS'), TO_DATE('2025-08-07 17:54:00', 'YYYY-MM-DD HH24:MI:SS'));</v>
      </c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</row>
    <row r="831">
      <c r="A831" s="25" t="s">
        <v>206</v>
      </c>
      <c r="B831" s="26">
        <v>158.0</v>
      </c>
      <c r="C831" s="27">
        <v>45876.0</v>
      </c>
      <c r="D831" s="28">
        <v>45876.36875</v>
      </c>
      <c r="E831" s="28">
        <v>45876.74722222222</v>
      </c>
      <c r="F831" s="21" t="s">
        <v>184</v>
      </c>
      <c r="G831" s="23"/>
      <c r="H831" s="23" t="str">
        <f t="shared" si="1"/>
        <v>INSERT INTO tblDayAttendanceLog VALUES (seqDayAttendanceLog.nextval, 158, TO_DATE('2025-08-07', 'YYYY-MM-DD'), TO_DATE('2025-08-07 08:51:00', 'YYYY-MM-DD HH24:MI:SS'), TO_DATE('2025-08-07 17:56:00', 'YYYY-MM-DD HH24:MI:SS'));</v>
      </c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</row>
    <row r="832">
      <c r="A832" s="25" t="s">
        <v>206</v>
      </c>
      <c r="B832" s="26">
        <v>159.0</v>
      </c>
      <c r="C832" s="27">
        <v>45876.0</v>
      </c>
      <c r="D832" s="28">
        <v>45876.34583333333</v>
      </c>
      <c r="E832" s="28">
        <v>45876.74722222222</v>
      </c>
      <c r="F832" s="21" t="s">
        <v>184</v>
      </c>
      <c r="G832" s="23"/>
      <c r="H832" s="23" t="str">
        <f t="shared" si="1"/>
        <v>INSERT INTO tblDayAttendanceLog VALUES (seqDayAttendanceLog.nextval, 159, TO_DATE('2025-08-07', 'YYYY-MM-DD'), TO_DATE('2025-08-07 08:18:00', 'YYYY-MM-DD HH24:MI:SS'), TO_DATE('2025-08-07 17:56:00', 'YYYY-MM-DD HH24:MI:SS'));</v>
      </c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</row>
    <row r="833">
      <c r="A833" s="25" t="s">
        <v>206</v>
      </c>
      <c r="B833" s="26">
        <v>160.0</v>
      </c>
      <c r="C833" s="27">
        <v>45876.0</v>
      </c>
      <c r="D833" s="28">
        <v>45876.402083333334</v>
      </c>
      <c r="E833" s="28">
        <v>45876.743055555555</v>
      </c>
      <c r="F833" s="21" t="s">
        <v>189</v>
      </c>
      <c r="G833" s="23"/>
      <c r="H833" s="23" t="str">
        <f t="shared" si="1"/>
        <v>INSERT INTO tblDayAttendanceLog VALUES (seqDayAttendanceLog.nextval, 160, TO_DATE('2025-08-07', 'YYYY-MM-DD'), TO_DATE('2025-08-07 09:39:00', 'YYYY-MM-DD HH24:MI:SS'), TO_DATE('2025-08-07 17:50:00', 'YYYY-MM-DD HH24:MI:SS'));</v>
      </c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</row>
    <row r="834">
      <c r="A834" s="25" t="s">
        <v>206</v>
      </c>
      <c r="B834" s="26">
        <v>161.0</v>
      </c>
      <c r="C834" s="27">
        <v>45876.0</v>
      </c>
      <c r="D834" s="28">
        <v>45876.40902777778</v>
      </c>
      <c r="E834" s="28">
        <v>45876.745833333334</v>
      </c>
      <c r="F834" s="21" t="s">
        <v>189</v>
      </c>
      <c r="G834" s="23"/>
      <c r="H834" s="23" t="str">
        <f t="shared" si="1"/>
        <v>INSERT INTO tblDayAttendanceLog VALUES (seqDayAttendanceLog.nextval, 161, TO_DATE('2025-08-07', 'YYYY-MM-DD'), TO_DATE('2025-08-07 09:49:00', 'YYYY-MM-DD HH24:MI:SS'), TO_DATE('2025-08-07 17:54:00', 'YYYY-MM-DD HH24:MI:SS'));</v>
      </c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</row>
    <row r="835">
      <c r="A835" s="25" t="s">
        <v>206</v>
      </c>
      <c r="B835" s="26">
        <v>162.0</v>
      </c>
      <c r="C835" s="27">
        <v>45876.0</v>
      </c>
      <c r="D835" s="28">
        <v>45876.347916666666</v>
      </c>
      <c r="E835" s="28">
        <v>45876.74930555555</v>
      </c>
      <c r="F835" s="21" t="s">
        <v>184</v>
      </c>
      <c r="G835" s="23"/>
      <c r="H835" s="23" t="str">
        <f t="shared" si="1"/>
        <v>INSERT INTO tblDayAttendanceLog VALUES (seqDayAttendanceLog.nextval, 162, TO_DATE('2025-08-07', 'YYYY-MM-DD'), TO_DATE('2025-08-07 08:21:00', 'YYYY-MM-DD HH24:MI:SS'), TO_DATE('2025-08-07 17:59:00', 'YYYY-MM-DD HH24:MI:SS'));</v>
      </c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</row>
    <row r="836">
      <c r="A836" s="25" t="s">
        <v>206</v>
      </c>
      <c r="B836" s="26">
        <v>163.0</v>
      </c>
      <c r="C836" s="27">
        <v>45876.0</v>
      </c>
      <c r="D836" s="28">
        <v>45876.36875</v>
      </c>
      <c r="E836" s="28">
        <v>45876.748611111114</v>
      </c>
      <c r="F836" s="21" t="s">
        <v>184</v>
      </c>
      <c r="G836" s="23"/>
      <c r="H836" s="23" t="str">
        <f t="shared" si="1"/>
        <v>INSERT INTO tblDayAttendanceLog VALUES (seqDayAttendanceLog.nextval, 163, TO_DATE('2025-08-07', 'YYYY-MM-DD'), TO_DATE('2025-08-07 08:51:00', 'YYYY-MM-DD HH24:MI:SS'), TO_DATE('2025-08-07 17:58:00', 'YYYY-MM-DD HH24:MI:SS'));</v>
      </c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</row>
    <row r="837">
      <c r="A837" s="25" t="s">
        <v>206</v>
      </c>
      <c r="B837" s="26">
        <v>164.0</v>
      </c>
      <c r="C837" s="27">
        <v>45876.0</v>
      </c>
      <c r="D837" s="28">
        <v>45876.4125</v>
      </c>
      <c r="E837" s="28">
        <v>45876.74791666667</v>
      </c>
      <c r="F837" s="21" t="s">
        <v>189</v>
      </c>
      <c r="G837" s="23"/>
      <c r="H837" s="23" t="str">
        <f t="shared" si="1"/>
        <v>INSERT INTO tblDayAttendanceLog VALUES (seqDayAttendanceLog.nextval, 164, TO_DATE('2025-08-07', 'YYYY-MM-DD'), TO_DATE('2025-08-07 09:54:00', 'YYYY-MM-DD HH24:MI:SS'), TO_DATE('2025-08-07 17:57:00', 'YYYY-MM-DD HH24:MI:SS'));</v>
      </c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</row>
    <row r="838">
      <c r="A838" s="25" t="s">
        <v>206</v>
      </c>
      <c r="B838" s="26">
        <v>165.0</v>
      </c>
      <c r="C838" s="27">
        <v>45876.0</v>
      </c>
      <c r="D838" s="28">
        <v>45876.34444444445</v>
      </c>
      <c r="E838" s="28">
        <v>45876.745833333334</v>
      </c>
      <c r="F838" s="21" t="s">
        <v>184</v>
      </c>
      <c r="G838" s="23"/>
      <c r="H838" s="23" t="str">
        <f t="shared" si="1"/>
        <v>INSERT INTO tblDayAttendanceLog VALUES (seqDayAttendanceLog.nextval, 165, TO_DATE('2025-08-07', 'YYYY-MM-DD'), TO_DATE('2025-08-07 08:16:00', 'YYYY-MM-DD HH24:MI:SS'), TO_DATE('2025-08-07 17:54:00', 'YYYY-MM-DD HH24:MI:SS'));</v>
      </c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</row>
    <row r="839">
      <c r="A839" s="25" t="s">
        <v>206</v>
      </c>
      <c r="B839" s="26">
        <v>166.0</v>
      </c>
      <c r="C839" s="27">
        <v>45876.0</v>
      </c>
      <c r="D839" s="28">
        <v>45876.368055555555</v>
      </c>
      <c r="E839" s="28">
        <v>45876.74930555555</v>
      </c>
      <c r="F839" s="21" t="s">
        <v>184</v>
      </c>
      <c r="G839" s="23"/>
      <c r="H839" s="23" t="str">
        <f t="shared" si="1"/>
        <v>INSERT INTO tblDayAttendanceLog VALUES (seqDayAttendanceLog.nextval, 166, TO_DATE('2025-08-07', 'YYYY-MM-DD'), TO_DATE('2025-08-07 08:50:00', 'YYYY-MM-DD HH24:MI:SS'), TO_DATE('2025-08-07 17:59:00', 'YYYY-MM-DD HH24:MI:SS'));</v>
      </c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</row>
    <row r="840">
      <c r="A840" s="25" t="s">
        <v>206</v>
      </c>
      <c r="B840" s="26">
        <v>167.0</v>
      </c>
      <c r="C840" s="27">
        <v>45876.0</v>
      </c>
      <c r="D840" s="29"/>
      <c r="E840" s="29"/>
      <c r="F840" s="21" t="s">
        <v>186</v>
      </c>
      <c r="G840" s="23"/>
      <c r="H840" s="23" t="str">
        <f t="shared" si="1"/>
        <v>INSERT INTO tblDayAttendanceLog VALUES (seqDayAttendanceLog.nextval, 167, TO_DATE('2025-08-07', 'YYYY-MM-DD'), NULL, NULL);</v>
      </c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</row>
    <row r="841">
      <c r="A841" s="25" t="s">
        <v>206</v>
      </c>
      <c r="B841" s="26">
        <v>168.0</v>
      </c>
      <c r="C841" s="27">
        <v>45876.0</v>
      </c>
      <c r="D841" s="28">
        <v>45876.333333333336</v>
      </c>
      <c r="E841" s="28">
        <v>45876.74444444444</v>
      </c>
      <c r="F841" s="21" t="s">
        <v>184</v>
      </c>
      <c r="G841" s="23"/>
      <c r="H841" s="23" t="str">
        <f t="shared" si="1"/>
        <v>INSERT INTO tblDayAttendanceLog VALUES (seqDayAttendanceLog.nextval, 168, TO_DATE('2025-08-07', 'YYYY-MM-DD'), TO_DATE('2025-08-07 08:00:00', 'YYYY-MM-DD HH24:MI:SS'), TO_DATE('2025-08-07 17:52:00', 'YYYY-MM-DD HH24:MI:SS'));</v>
      </c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</row>
    <row r="842">
      <c r="A842" s="25"/>
      <c r="B842" s="20"/>
      <c r="C842" s="30"/>
      <c r="D842" s="30"/>
      <c r="E842" s="30"/>
      <c r="F842" s="22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</row>
    <row r="843">
      <c r="A843" s="25"/>
      <c r="B843" s="20"/>
      <c r="C843" s="30"/>
      <c r="D843" s="30"/>
      <c r="E843" s="30"/>
      <c r="F843" s="22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</row>
    <row r="844">
      <c r="A844" s="25"/>
      <c r="B844" s="20"/>
      <c r="C844" s="30"/>
      <c r="D844" s="30"/>
      <c r="E844" s="30"/>
      <c r="F844" s="22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</row>
    <row r="845">
      <c r="A845" s="25"/>
      <c r="B845" s="20"/>
      <c r="C845" s="30"/>
      <c r="D845" s="30"/>
      <c r="E845" s="30"/>
      <c r="F845" s="22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</row>
    <row r="846">
      <c r="A846" s="25"/>
      <c r="B846" s="20"/>
      <c r="C846" s="30"/>
      <c r="D846" s="30"/>
      <c r="E846" s="30"/>
      <c r="F846" s="22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</row>
    <row r="847">
      <c r="A847" s="25"/>
      <c r="B847" s="20"/>
      <c r="C847" s="30"/>
      <c r="D847" s="30"/>
      <c r="E847" s="30"/>
      <c r="F847" s="22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</row>
    <row r="848">
      <c r="A848" s="25"/>
      <c r="B848" s="20"/>
      <c r="C848" s="30"/>
      <c r="D848" s="30"/>
      <c r="E848" s="30"/>
      <c r="F848" s="22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</row>
    <row r="849">
      <c r="A849" s="25"/>
      <c r="B849" s="20"/>
      <c r="C849" s="30"/>
      <c r="D849" s="30"/>
      <c r="E849" s="30"/>
      <c r="F849" s="22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</row>
    <row r="850">
      <c r="A850" s="25"/>
      <c r="B850" s="20"/>
      <c r="C850" s="30"/>
      <c r="D850" s="30"/>
      <c r="E850" s="30"/>
      <c r="F850" s="22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</row>
    <row r="851">
      <c r="A851" s="25"/>
      <c r="B851" s="20"/>
      <c r="C851" s="30"/>
      <c r="D851" s="30"/>
      <c r="E851" s="30"/>
      <c r="F851" s="22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</row>
    <row r="852">
      <c r="A852" s="20"/>
      <c r="B852" s="20"/>
      <c r="C852" s="30"/>
      <c r="D852" s="30"/>
      <c r="E852" s="30"/>
      <c r="F852" s="22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</row>
    <row r="853">
      <c r="A853" s="20"/>
      <c r="B853" s="20"/>
      <c r="C853" s="30"/>
      <c r="D853" s="30"/>
      <c r="E853" s="30"/>
      <c r="F853" s="22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</row>
    <row r="854">
      <c r="A854" s="20"/>
      <c r="B854" s="20"/>
      <c r="C854" s="30"/>
      <c r="D854" s="30"/>
      <c r="E854" s="30"/>
      <c r="F854" s="22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</row>
    <row r="855">
      <c r="A855" s="20"/>
      <c r="B855" s="20"/>
      <c r="C855" s="30"/>
      <c r="D855" s="30"/>
      <c r="E855" s="30"/>
      <c r="F855" s="22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</row>
    <row r="856">
      <c r="A856" s="20"/>
      <c r="B856" s="20"/>
      <c r="C856" s="30"/>
      <c r="D856" s="30"/>
      <c r="E856" s="30"/>
      <c r="F856" s="22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</row>
    <row r="857">
      <c r="A857" s="20"/>
      <c r="B857" s="20"/>
      <c r="C857" s="30"/>
      <c r="D857" s="30"/>
      <c r="E857" s="30"/>
      <c r="F857" s="22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</row>
    <row r="858">
      <c r="A858" s="20"/>
      <c r="B858" s="20"/>
      <c r="C858" s="30"/>
      <c r="D858" s="30"/>
      <c r="E858" s="30"/>
      <c r="F858" s="22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</row>
    <row r="859">
      <c r="A859" s="20"/>
      <c r="B859" s="20"/>
      <c r="C859" s="30"/>
      <c r="D859" s="30"/>
      <c r="E859" s="30"/>
      <c r="F859" s="22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</row>
    <row r="860">
      <c r="A860" s="20"/>
      <c r="B860" s="20"/>
      <c r="C860" s="30"/>
      <c r="D860" s="30"/>
      <c r="E860" s="30"/>
      <c r="F860" s="22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</row>
    <row r="861">
      <c r="A861" s="20"/>
      <c r="B861" s="20"/>
      <c r="C861" s="30"/>
      <c r="D861" s="30"/>
      <c r="E861" s="30"/>
      <c r="F861" s="22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</row>
    <row r="862">
      <c r="A862" s="20"/>
      <c r="B862" s="20"/>
      <c r="C862" s="30"/>
      <c r="D862" s="30"/>
      <c r="E862" s="30"/>
      <c r="F862" s="22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</row>
    <row r="863">
      <c r="A863" s="20"/>
      <c r="B863" s="20"/>
      <c r="C863" s="30"/>
      <c r="D863" s="30"/>
      <c r="E863" s="30"/>
      <c r="F863" s="22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</row>
    <row r="864">
      <c r="A864" s="20"/>
      <c r="B864" s="20"/>
      <c r="C864" s="30"/>
      <c r="D864" s="30"/>
      <c r="E864" s="30"/>
      <c r="F864" s="22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</row>
    <row r="865">
      <c r="A865" s="20"/>
      <c r="B865" s="20"/>
      <c r="C865" s="30"/>
      <c r="D865" s="30"/>
      <c r="E865" s="30"/>
      <c r="F865" s="22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</row>
    <row r="866">
      <c r="A866" s="20"/>
      <c r="B866" s="20"/>
      <c r="C866" s="30"/>
      <c r="D866" s="30"/>
      <c r="E866" s="30"/>
      <c r="F866" s="22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</row>
    <row r="867">
      <c r="A867" s="20"/>
      <c r="B867" s="20"/>
      <c r="C867" s="30"/>
      <c r="D867" s="30"/>
      <c r="E867" s="30"/>
      <c r="F867" s="22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</row>
    <row r="868">
      <c r="A868" s="20"/>
      <c r="B868" s="20"/>
      <c r="C868" s="30"/>
      <c r="D868" s="30"/>
      <c r="E868" s="30"/>
      <c r="F868" s="22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</row>
    <row r="869">
      <c r="A869" s="20"/>
      <c r="B869" s="20"/>
      <c r="C869" s="30"/>
      <c r="D869" s="30"/>
      <c r="E869" s="30"/>
      <c r="F869" s="22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</row>
    <row r="870">
      <c r="A870" s="20"/>
      <c r="B870" s="20"/>
      <c r="C870" s="30"/>
      <c r="D870" s="30"/>
      <c r="E870" s="30"/>
      <c r="F870" s="22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</row>
    <row r="871">
      <c r="A871" s="20"/>
      <c r="B871" s="20"/>
      <c r="C871" s="30"/>
      <c r="D871" s="30"/>
      <c r="E871" s="30"/>
      <c r="F871" s="22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</row>
    <row r="872">
      <c r="A872" s="20"/>
      <c r="B872" s="20"/>
      <c r="C872" s="30"/>
      <c r="D872" s="30"/>
      <c r="E872" s="30"/>
      <c r="F872" s="22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</row>
    <row r="873">
      <c r="A873" s="20"/>
      <c r="B873" s="20"/>
      <c r="C873" s="30"/>
      <c r="D873" s="30"/>
      <c r="E873" s="30"/>
      <c r="F873" s="22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</row>
    <row r="874">
      <c r="A874" s="20"/>
      <c r="B874" s="20"/>
      <c r="C874" s="30"/>
      <c r="D874" s="30"/>
      <c r="E874" s="30"/>
      <c r="F874" s="22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</row>
    <row r="875">
      <c r="A875" s="20"/>
      <c r="B875" s="20"/>
      <c r="C875" s="30"/>
      <c r="D875" s="30"/>
      <c r="E875" s="30"/>
      <c r="F875" s="22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</row>
    <row r="876">
      <c r="A876" s="20"/>
      <c r="B876" s="20"/>
      <c r="C876" s="30"/>
      <c r="D876" s="30"/>
      <c r="E876" s="30"/>
      <c r="F876" s="22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</row>
    <row r="877">
      <c r="A877" s="20"/>
      <c r="B877" s="20"/>
      <c r="C877" s="30"/>
      <c r="D877" s="30"/>
      <c r="E877" s="30"/>
      <c r="F877" s="22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</row>
    <row r="878">
      <c r="A878" s="20"/>
      <c r="B878" s="20"/>
      <c r="C878" s="30"/>
      <c r="D878" s="30"/>
      <c r="E878" s="30"/>
      <c r="F878" s="22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</row>
    <row r="879">
      <c r="A879" s="20"/>
      <c r="B879" s="20"/>
      <c r="C879" s="30"/>
      <c r="D879" s="30"/>
      <c r="E879" s="30"/>
      <c r="F879" s="22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</row>
    <row r="880">
      <c r="A880" s="20"/>
      <c r="B880" s="20"/>
      <c r="C880" s="30"/>
      <c r="D880" s="30"/>
      <c r="E880" s="30"/>
      <c r="F880" s="22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</row>
    <row r="881">
      <c r="A881" s="20"/>
      <c r="B881" s="20"/>
      <c r="C881" s="30"/>
      <c r="D881" s="30"/>
      <c r="E881" s="30"/>
      <c r="F881" s="22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</row>
    <row r="882">
      <c r="A882" s="20"/>
      <c r="B882" s="20"/>
      <c r="C882" s="30"/>
      <c r="D882" s="30"/>
      <c r="E882" s="30"/>
      <c r="F882" s="22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</row>
    <row r="883">
      <c r="A883" s="20"/>
      <c r="B883" s="20"/>
      <c r="C883" s="30"/>
      <c r="D883" s="30"/>
      <c r="E883" s="30"/>
      <c r="F883" s="22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</row>
    <row r="884">
      <c r="A884" s="20"/>
      <c r="B884" s="20"/>
      <c r="C884" s="30"/>
      <c r="D884" s="30"/>
      <c r="E884" s="30"/>
      <c r="F884" s="22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</row>
    <row r="885">
      <c r="A885" s="20"/>
      <c r="B885" s="20"/>
      <c r="C885" s="30"/>
      <c r="D885" s="30"/>
      <c r="E885" s="30"/>
      <c r="F885" s="22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</row>
    <row r="886">
      <c r="A886" s="20"/>
      <c r="B886" s="20"/>
      <c r="C886" s="30"/>
      <c r="D886" s="30"/>
      <c r="E886" s="30"/>
      <c r="F886" s="22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</row>
    <row r="887">
      <c r="A887" s="20"/>
      <c r="B887" s="20"/>
      <c r="C887" s="30"/>
      <c r="D887" s="30"/>
      <c r="E887" s="30"/>
      <c r="F887" s="22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</row>
    <row r="888">
      <c r="A888" s="20"/>
      <c r="B888" s="20"/>
      <c r="C888" s="30"/>
      <c r="D888" s="30"/>
      <c r="E888" s="30"/>
      <c r="F888" s="22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</row>
    <row r="889">
      <c r="A889" s="20"/>
      <c r="B889" s="20"/>
      <c r="C889" s="30"/>
      <c r="D889" s="30"/>
      <c r="E889" s="30"/>
      <c r="F889" s="22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</row>
    <row r="890">
      <c r="A890" s="20"/>
      <c r="B890" s="20"/>
      <c r="C890" s="30"/>
      <c r="D890" s="30"/>
      <c r="E890" s="30"/>
      <c r="F890" s="22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</row>
    <row r="891">
      <c r="A891" s="20"/>
      <c r="B891" s="20"/>
      <c r="C891" s="30"/>
      <c r="D891" s="30"/>
      <c r="E891" s="30"/>
      <c r="F891" s="22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</row>
    <row r="892">
      <c r="A892" s="20"/>
      <c r="B892" s="20"/>
      <c r="C892" s="30"/>
      <c r="D892" s="30"/>
      <c r="E892" s="30"/>
      <c r="F892" s="22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</row>
    <row r="893">
      <c r="A893" s="20"/>
      <c r="B893" s="20"/>
      <c r="C893" s="30"/>
      <c r="D893" s="30"/>
      <c r="E893" s="30"/>
      <c r="F893" s="22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</row>
    <row r="894">
      <c r="A894" s="20"/>
      <c r="B894" s="20"/>
      <c r="C894" s="30"/>
      <c r="D894" s="30"/>
      <c r="E894" s="30"/>
      <c r="F894" s="22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</row>
    <row r="895">
      <c r="A895" s="20"/>
      <c r="B895" s="20"/>
      <c r="C895" s="30"/>
      <c r="D895" s="30"/>
      <c r="E895" s="30"/>
      <c r="F895" s="22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</row>
    <row r="896">
      <c r="A896" s="20"/>
      <c r="B896" s="20"/>
      <c r="C896" s="30"/>
      <c r="D896" s="30"/>
      <c r="E896" s="30"/>
      <c r="F896" s="22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</row>
    <row r="897">
      <c r="A897" s="20"/>
      <c r="B897" s="20"/>
      <c r="C897" s="30"/>
      <c r="D897" s="30"/>
      <c r="E897" s="30"/>
      <c r="F897" s="22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</row>
    <row r="898">
      <c r="A898" s="20"/>
      <c r="B898" s="20"/>
      <c r="C898" s="30"/>
      <c r="D898" s="30"/>
      <c r="E898" s="30"/>
      <c r="F898" s="22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</row>
    <row r="899">
      <c r="A899" s="20"/>
      <c r="B899" s="20"/>
      <c r="C899" s="30"/>
      <c r="D899" s="30"/>
      <c r="E899" s="30"/>
      <c r="F899" s="22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</row>
    <row r="900">
      <c r="A900" s="20"/>
      <c r="B900" s="20"/>
      <c r="C900" s="30"/>
      <c r="D900" s="30"/>
      <c r="E900" s="30"/>
      <c r="F900" s="22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</row>
    <row r="901">
      <c r="A901" s="20"/>
      <c r="B901" s="20"/>
      <c r="C901" s="30"/>
      <c r="D901" s="30"/>
      <c r="E901" s="30"/>
      <c r="F901" s="22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</row>
    <row r="902">
      <c r="A902" s="20"/>
      <c r="B902" s="20"/>
      <c r="C902" s="30"/>
      <c r="D902" s="30"/>
      <c r="E902" s="30"/>
      <c r="F902" s="22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</row>
    <row r="903">
      <c r="A903" s="20"/>
      <c r="B903" s="20"/>
      <c r="C903" s="30"/>
      <c r="D903" s="30"/>
      <c r="E903" s="30"/>
      <c r="F903" s="22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</row>
    <row r="904">
      <c r="A904" s="20"/>
      <c r="B904" s="20"/>
      <c r="C904" s="30"/>
      <c r="D904" s="30"/>
      <c r="E904" s="30"/>
      <c r="F904" s="22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</row>
    <row r="905">
      <c r="A905" s="20"/>
      <c r="B905" s="20"/>
      <c r="C905" s="30"/>
      <c r="D905" s="30"/>
      <c r="E905" s="30"/>
      <c r="F905" s="22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</row>
    <row r="906">
      <c r="A906" s="20"/>
      <c r="B906" s="20"/>
      <c r="C906" s="30"/>
      <c r="D906" s="30"/>
      <c r="E906" s="30"/>
      <c r="F906" s="22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</row>
    <row r="907">
      <c r="A907" s="20"/>
      <c r="B907" s="20"/>
      <c r="C907" s="30"/>
      <c r="D907" s="30"/>
      <c r="E907" s="30"/>
      <c r="F907" s="22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</row>
    <row r="908">
      <c r="A908" s="20"/>
      <c r="B908" s="20"/>
      <c r="C908" s="30"/>
      <c r="D908" s="30"/>
      <c r="E908" s="30"/>
      <c r="F908" s="22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</row>
    <row r="909">
      <c r="A909" s="20"/>
      <c r="B909" s="20"/>
      <c r="C909" s="30"/>
      <c r="D909" s="30"/>
      <c r="E909" s="30"/>
      <c r="F909" s="22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</row>
    <row r="910">
      <c r="A910" s="20"/>
      <c r="B910" s="20"/>
      <c r="C910" s="30"/>
      <c r="D910" s="30"/>
      <c r="E910" s="30"/>
      <c r="F910" s="22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</row>
    <row r="911">
      <c r="A911" s="20"/>
      <c r="B911" s="20"/>
      <c r="C911" s="30"/>
      <c r="D911" s="30"/>
      <c r="E911" s="30"/>
      <c r="F911" s="22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</row>
    <row r="912">
      <c r="A912" s="20"/>
      <c r="B912" s="20"/>
      <c r="C912" s="30"/>
      <c r="D912" s="30"/>
      <c r="E912" s="30"/>
      <c r="F912" s="22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</row>
    <row r="913">
      <c r="A913" s="20"/>
      <c r="B913" s="20"/>
      <c r="C913" s="30"/>
      <c r="D913" s="30"/>
      <c r="E913" s="30"/>
      <c r="F913" s="22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</row>
    <row r="914">
      <c r="A914" s="20"/>
      <c r="B914" s="20"/>
      <c r="C914" s="30"/>
      <c r="D914" s="30"/>
      <c r="E914" s="30"/>
      <c r="F914" s="22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</row>
    <row r="915">
      <c r="A915" s="20"/>
      <c r="B915" s="20"/>
      <c r="C915" s="30"/>
      <c r="D915" s="30"/>
      <c r="E915" s="30"/>
      <c r="F915" s="22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</row>
    <row r="916">
      <c r="A916" s="20"/>
      <c r="B916" s="20"/>
      <c r="C916" s="30"/>
      <c r="D916" s="30"/>
      <c r="E916" s="30"/>
      <c r="F916" s="22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</row>
    <row r="917">
      <c r="A917" s="20"/>
      <c r="B917" s="20"/>
      <c r="C917" s="30"/>
      <c r="D917" s="30"/>
      <c r="E917" s="30"/>
      <c r="F917" s="22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</row>
    <row r="918">
      <c r="A918" s="20"/>
      <c r="B918" s="20"/>
      <c r="C918" s="30"/>
      <c r="D918" s="30"/>
      <c r="E918" s="30"/>
      <c r="F918" s="22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</row>
    <row r="919">
      <c r="A919" s="20"/>
      <c r="B919" s="20"/>
      <c r="C919" s="30"/>
      <c r="D919" s="30"/>
      <c r="E919" s="30"/>
      <c r="F919" s="22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</row>
    <row r="920">
      <c r="A920" s="20"/>
      <c r="B920" s="20"/>
      <c r="C920" s="30"/>
      <c r="D920" s="30"/>
      <c r="E920" s="30"/>
      <c r="F920" s="22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</row>
    <row r="921">
      <c r="A921" s="20"/>
      <c r="B921" s="20"/>
      <c r="C921" s="30"/>
      <c r="D921" s="30"/>
      <c r="E921" s="30"/>
      <c r="F921" s="22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</row>
    <row r="922">
      <c r="A922" s="20"/>
      <c r="B922" s="20"/>
      <c r="C922" s="30"/>
      <c r="D922" s="30"/>
      <c r="E922" s="30"/>
      <c r="F922" s="22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</row>
    <row r="923">
      <c r="A923" s="20"/>
      <c r="B923" s="20"/>
      <c r="C923" s="30"/>
      <c r="D923" s="30"/>
      <c r="E923" s="30"/>
      <c r="F923" s="22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</row>
    <row r="924">
      <c r="A924" s="20"/>
      <c r="B924" s="20"/>
      <c r="C924" s="30"/>
      <c r="D924" s="30"/>
      <c r="E924" s="30"/>
      <c r="F924" s="22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</row>
    <row r="925">
      <c r="A925" s="20"/>
      <c r="B925" s="20"/>
      <c r="C925" s="30"/>
      <c r="D925" s="30"/>
      <c r="E925" s="30"/>
      <c r="F925" s="22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</row>
    <row r="926">
      <c r="A926" s="20"/>
      <c r="B926" s="20"/>
      <c r="C926" s="30"/>
      <c r="D926" s="30"/>
      <c r="E926" s="30"/>
      <c r="F926" s="22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</row>
    <row r="927">
      <c r="A927" s="20"/>
      <c r="B927" s="20"/>
      <c r="C927" s="30"/>
      <c r="D927" s="30"/>
      <c r="E927" s="30"/>
      <c r="F927" s="22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</row>
    <row r="928">
      <c r="A928" s="20"/>
      <c r="B928" s="20"/>
      <c r="C928" s="30"/>
      <c r="D928" s="30"/>
      <c r="E928" s="30"/>
      <c r="F928" s="22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</row>
    <row r="929">
      <c r="A929" s="20"/>
      <c r="B929" s="20"/>
      <c r="C929" s="30"/>
      <c r="D929" s="30"/>
      <c r="E929" s="30"/>
      <c r="F929" s="22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</row>
    <row r="930">
      <c r="A930" s="20"/>
      <c r="B930" s="20"/>
      <c r="C930" s="30"/>
      <c r="D930" s="30"/>
      <c r="E930" s="30"/>
      <c r="F930" s="22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</row>
    <row r="931">
      <c r="A931" s="20"/>
      <c r="B931" s="20"/>
      <c r="C931" s="30"/>
      <c r="D931" s="30"/>
      <c r="E931" s="30"/>
      <c r="F931" s="22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</row>
    <row r="932">
      <c r="A932" s="20"/>
      <c r="B932" s="20"/>
      <c r="C932" s="30"/>
      <c r="D932" s="30"/>
      <c r="E932" s="30"/>
      <c r="F932" s="22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</row>
    <row r="933">
      <c r="A933" s="20"/>
      <c r="B933" s="20"/>
      <c r="C933" s="30"/>
      <c r="D933" s="30"/>
      <c r="E933" s="30"/>
      <c r="F933" s="22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</row>
    <row r="934">
      <c r="A934" s="20"/>
      <c r="B934" s="20"/>
      <c r="C934" s="30"/>
      <c r="D934" s="30"/>
      <c r="E934" s="30"/>
      <c r="F934" s="22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</row>
    <row r="935">
      <c r="A935" s="20"/>
      <c r="B935" s="20"/>
      <c r="C935" s="30"/>
      <c r="D935" s="30"/>
      <c r="E935" s="30"/>
      <c r="F935" s="22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</row>
    <row r="936">
      <c r="A936" s="20"/>
      <c r="B936" s="20"/>
      <c r="C936" s="30"/>
      <c r="D936" s="30"/>
      <c r="E936" s="30"/>
      <c r="F936" s="22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</row>
    <row r="937">
      <c r="A937" s="20"/>
      <c r="B937" s="20"/>
      <c r="C937" s="30"/>
      <c r="D937" s="30"/>
      <c r="E937" s="30"/>
      <c r="F937" s="22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</row>
    <row r="938">
      <c r="A938" s="20"/>
      <c r="B938" s="20"/>
      <c r="C938" s="30"/>
      <c r="D938" s="30"/>
      <c r="E938" s="30"/>
      <c r="F938" s="22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</row>
    <row r="939">
      <c r="A939" s="20"/>
      <c r="B939" s="20"/>
      <c r="C939" s="30"/>
      <c r="D939" s="30"/>
      <c r="E939" s="30"/>
      <c r="F939" s="22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</row>
    <row r="940">
      <c r="A940" s="20"/>
      <c r="B940" s="20"/>
      <c r="C940" s="30"/>
      <c r="D940" s="30"/>
      <c r="E940" s="30"/>
      <c r="F940" s="22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</row>
    <row r="941">
      <c r="A941" s="20"/>
      <c r="B941" s="20"/>
      <c r="C941" s="30"/>
      <c r="D941" s="30"/>
      <c r="E941" s="30"/>
      <c r="F941" s="22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</row>
    <row r="942">
      <c r="A942" s="20"/>
      <c r="B942" s="20"/>
      <c r="C942" s="30"/>
      <c r="D942" s="30"/>
      <c r="E942" s="30"/>
      <c r="F942" s="22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</row>
    <row r="943">
      <c r="A943" s="20"/>
      <c r="B943" s="20"/>
      <c r="C943" s="30"/>
      <c r="D943" s="30"/>
      <c r="E943" s="30"/>
      <c r="F943" s="22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</row>
    <row r="944">
      <c r="A944" s="20"/>
      <c r="B944" s="20"/>
      <c r="C944" s="30"/>
      <c r="D944" s="30"/>
      <c r="E944" s="30"/>
      <c r="F944" s="22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</row>
    <row r="945">
      <c r="A945" s="20"/>
      <c r="B945" s="20"/>
      <c r="C945" s="30"/>
      <c r="D945" s="30"/>
      <c r="E945" s="30"/>
      <c r="F945" s="22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</row>
    <row r="946">
      <c r="A946" s="20"/>
      <c r="B946" s="20"/>
      <c r="C946" s="30"/>
      <c r="D946" s="30"/>
      <c r="E946" s="30"/>
      <c r="F946" s="22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</row>
    <row r="947">
      <c r="A947" s="20"/>
      <c r="B947" s="20"/>
      <c r="C947" s="30"/>
      <c r="D947" s="30"/>
      <c r="E947" s="30"/>
      <c r="F947" s="22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</row>
    <row r="948">
      <c r="A948" s="20"/>
      <c r="B948" s="20"/>
      <c r="C948" s="30"/>
      <c r="D948" s="30"/>
      <c r="E948" s="30"/>
      <c r="F948" s="22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</row>
    <row r="949">
      <c r="A949" s="20"/>
      <c r="B949" s="20"/>
      <c r="C949" s="30"/>
      <c r="D949" s="30"/>
      <c r="E949" s="30"/>
      <c r="F949" s="22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</row>
    <row r="950">
      <c r="A950" s="20"/>
      <c r="B950" s="20"/>
      <c r="C950" s="30"/>
      <c r="D950" s="30"/>
      <c r="E950" s="30"/>
      <c r="F950" s="22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</row>
    <row r="951">
      <c r="A951" s="20"/>
      <c r="B951" s="20"/>
      <c r="C951" s="30"/>
      <c r="D951" s="30"/>
      <c r="E951" s="30"/>
      <c r="F951" s="22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</row>
    <row r="952">
      <c r="A952" s="20"/>
      <c r="B952" s="20"/>
      <c r="C952" s="30"/>
      <c r="D952" s="30"/>
      <c r="E952" s="30"/>
      <c r="F952" s="22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</row>
    <row r="953">
      <c r="A953" s="20"/>
      <c r="B953" s="20"/>
      <c r="C953" s="30"/>
      <c r="D953" s="30"/>
      <c r="E953" s="30"/>
      <c r="F953" s="22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</row>
    <row r="954">
      <c r="A954" s="20"/>
      <c r="B954" s="20"/>
      <c r="C954" s="30"/>
      <c r="D954" s="30"/>
      <c r="E954" s="30"/>
      <c r="F954" s="22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</row>
    <row r="955">
      <c r="A955" s="20"/>
      <c r="B955" s="20"/>
      <c r="C955" s="30"/>
      <c r="D955" s="30"/>
      <c r="E955" s="30"/>
      <c r="F955" s="22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</row>
    <row r="956">
      <c r="A956" s="20"/>
      <c r="B956" s="20"/>
      <c r="C956" s="30"/>
      <c r="D956" s="30"/>
      <c r="E956" s="30"/>
      <c r="F956" s="22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</row>
    <row r="957">
      <c r="A957" s="20"/>
      <c r="B957" s="20"/>
      <c r="C957" s="30"/>
      <c r="D957" s="30"/>
      <c r="E957" s="30"/>
      <c r="F957" s="22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</row>
    <row r="958">
      <c r="A958" s="20"/>
      <c r="B958" s="20"/>
      <c r="C958" s="30"/>
      <c r="D958" s="30"/>
      <c r="E958" s="30"/>
      <c r="F958" s="22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</row>
    <row r="959">
      <c r="A959" s="20"/>
      <c r="B959" s="20"/>
      <c r="C959" s="30"/>
      <c r="D959" s="30"/>
      <c r="E959" s="30"/>
      <c r="F959" s="22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</row>
    <row r="960">
      <c r="A960" s="20"/>
      <c r="B960" s="20"/>
      <c r="C960" s="30"/>
      <c r="D960" s="30"/>
      <c r="E960" s="30"/>
      <c r="F960" s="22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</row>
    <row r="961">
      <c r="A961" s="20"/>
      <c r="B961" s="20"/>
      <c r="C961" s="30"/>
      <c r="D961" s="30"/>
      <c r="E961" s="30"/>
      <c r="F961" s="22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</row>
    <row r="962">
      <c r="A962" s="20"/>
      <c r="B962" s="20"/>
      <c r="C962" s="30"/>
      <c r="D962" s="30"/>
      <c r="E962" s="30"/>
      <c r="F962" s="22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</row>
    <row r="963">
      <c r="A963" s="20"/>
      <c r="B963" s="20"/>
      <c r="C963" s="30"/>
      <c r="D963" s="30"/>
      <c r="E963" s="30"/>
      <c r="F963" s="22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</row>
    <row r="964">
      <c r="A964" s="20"/>
      <c r="B964" s="20"/>
      <c r="C964" s="30"/>
      <c r="D964" s="30"/>
      <c r="E964" s="30"/>
      <c r="F964" s="22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</row>
    <row r="965">
      <c r="A965" s="20"/>
      <c r="B965" s="20"/>
      <c r="C965" s="30"/>
      <c r="D965" s="30"/>
      <c r="E965" s="30"/>
      <c r="F965" s="22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</row>
    <row r="966">
      <c r="A966" s="20"/>
      <c r="B966" s="20"/>
      <c r="C966" s="30"/>
      <c r="D966" s="30"/>
      <c r="E966" s="30"/>
      <c r="F966" s="22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</row>
    <row r="967">
      <c r="A967" s="20"/>
      <c r="B967" s="20"/>
      <c r="C967" s="30"/>
      <c r="D967" s="30"/>
      <c r="E967" s="30"/>
      <c r="F967" s="22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</row>
    <row r="968">
      <c r="A968" s="20"/>
      <c r="B968" s="20"/>
      <c r="C968" s="30"/>
      <c r="D968" s="30"/>
      <c r="E968" s="30"/>
      <c r="F968" s="22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</row>
    <row r="969">
      <c r="A969" s="20"/>
      <c r="B969" s="20"/>
      <c r="C969" s="30"/>
      <c r="D969" s="30"/>
      <c r="E969" s="30"/>
      <c r="F969" s="22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</row>
    <row r="970">
      <c r="A970" s="20"/>
      <c r="B970" s="20"/>
      <c r="C970" s="30"/>
      <c r="D970" s="30"/>
      <c r="E970" s="30"/>
      <c r="F970" s="22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</row>
    <row r="971">
      <c r="A971" s="20"/>
      <c r="B971" s="20"/>
      <c r="C971" s="30"/>
      <c r="D971" s="30"/>
      <c r="E971" s="30"/>
      <c r="F971" s="22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</row>
    <row r="972">
      <c r="A972" s="20"/>
      <c r="B972" s="20"/>
      <c r="C972" s="30"/>
      <c r="D972" s="30"/>
      <c r="E972" s="30"/>
      <c r="F972" s="22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</row>
    <row r="973">
      <c r="A973" s="20"/>
      <c r="B973" s="20"/>
      <c r="C973" s="30"/>
      <c r="D973" s="30"/>
      <c r="E973" s="30"/>
      <c r="F973" s="22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</row>
    <row r="974">
      <c r="A974" s="20"/>
      <c r="B974" s="20"/>
      <c r="C974" s="30"/>
      <c r="D974" s="30"/>
      <c r="E974" s="30"/>
      <c r="F974" s="22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</row>
    <row r="975">
      <c r="A975" s="20"/>
      <c r="B975" s="20"/>
      <c r="C975" s="30"/>
      <c r="D975" s="30"/>
      <c r="E975" s="30"/>
      <c r="F975" s="22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</row>
    <row r="976">
      <c r="A976" s="20"/>
      <c r="B976" s="20"/>
      <c r="C976" s="30"/>
      <c r="D976" s="30"/>
      <c r="E976" s="30"/>
      <c r="F976" s="22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</row>
    <row r="977">
      <c r="A977" s="20"/>
      <c r="B977" s="20"/>
      <c r="C977" s="30"/>
      <c r="D977" s="30"/>
      <c r="E977" s="30"/>
      <c r="F977" s="22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</row>
    <row r="978">
      <c r="A978" s="20"/>
      <c r="B978" s="20"/>
      <c r="C978" s="30"/>
      <c r="D978" s="30"/>
      <c r="E978" s="30"/>
      <c r="F978" s="22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</row>
    <row r="979">
      <c r="A979" s="20"/>
      <c r="B979" s="20"/>
      <c r="C979" s="30"/>
      <c r="D979" s="30"/>
      <c r="E979" s="30"/>
      <c r="F979" s="22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</row>
    <row r="980">
      <c r="A980" s="20"/>
      <c r="B980" s="20"/>
      <c r="C980" s="30"/>
      <c r="D980" s="30"/>
      <c r="E980" s="30"/>
      <c r="F980" s="22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</row>
    <row r="981">
      <c r="A981" s="20"/>
      <c r="B981" s="20"/>
      <c r="C981" s="30"/>
      <c r="D981" s="30"/>
      <c r="E981" s="30"/>
      <c r="F981" s="22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</row>
    <row r="982">
      <c r="A982" s="20"/>
      <c r="B982" s="20"/>
      <c r="C982" s="30"/>
      <c r="D982" s="30"/>
      <c r="E982" s="30"/>
      <c r="F982" s="22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</row>
    <row r="983">
      <c r="A983" s="20"/>
      <c r="B983" s="20"/>
      <c r="C983" s="30"/>
      <c r="D983" s="30"/>
      <c r="E983" s="30"/>
      <c r="F983" s="22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</row>
    <row r="984">
      <c r="A984" s="20"/>
      <c r="B984" s="20"/>
      <c r="C984" s="30"/>
      <c r="D984" s="30"/>
      <c r="E984" s="30"/>
      <c r="F984" s="22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</row>
    <row r="985">
      <c r="A985" s="20"/>
      <c r="B985" s="20"/>
      <c r="C985" s="30"/>
      <c r="D985" s="30"/>
      <c r="E985" s="30"/>
      <c r="F985" s="22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</row>
    <row r="986">
      <c r="A986" s="20"/>
      <c r="B986" s="20"/>
      <c r="C986" s="30"/>
      <c r="D986" s="30"/>
      <c r="E986" s="30"/>
      <c r="F986" s="22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</row>
    <row r="987">
      <c r="A987" s="20"/>
      <c r="B987" s="20"/>
      <c r="C987" s="30"/>
      <c r="D987" s="30"/>
      <c r="E987" s="30"/>
      <c r="F987" s="22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</row>
    <row r="988">
      <c r="A988" s="20"/>
      <c r="B988" s="20"/>
      <c r="C988" s="30"/>
      <c r="D988" s="30"/>
      <c r="E988" s="30"/>
      <c r="F988" s="22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</row>
    <row r="989">
      <c r="A989" s="20"/>
      <c r="B989" s="20"/>
      <c r="C989" s="30"/>
      <c r="D989" s="30"/>
      <c r="E989" s="30"/>
      <c r="F989" s="22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</row>
    <row r="990">
      <c r="A990" s="20"/>
      <c r="B990" s="20"/>
      <c r="C990" s="30"/>
      <c r="D990" s="30"/>
      <c r="E990" s="30"/>
      <c r="F990" s="22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</row>
    <row r="991">
      <c r="A991" s="20"/>
      <c r="B991" s="20"/>
      <c r="C991" s="30"/>
      <c r="D991" s="30"/>
      <c r="E991" s="30"/>
      <c r="F991" s="22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</row>
    <row r="992">
      <c r="A992" s="20"/>
      <c r="B992" s="20"/>
      <c r="C992" s="30"/>
      <c r="D992" s="30"/>
      <c r="E992" s="30"/>
      <c r="F992" s="22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</row>
    <row r="993">
      <c r="A993" s="20"/>
      <c r="B993" s="20"/>
      <c r="C993" s="30"/>
      <c r="D993" s="30"/>
      <c r="E993" s="30"/>
      <c r="F993" s="22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</row>
    <row r="994">
      <c r="A994" s="20"/>
      <c r="B994" s="20"/>
      <c r="C994" s="30"/>
      <c r="D994" s="30"/>
      <c r="E994" s="30"/>
      <c r="F994" s="22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</row>
    <row r="995">
      <c r="A995" s="20"/>
      <c r="B995" s="20"/>
      <c r="C995" s="30"/>
      <c r="D995" s="30"/>
      <c r="E995" s="30"/>
      <c r="F995" s="22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</row>
    <row r="996">
      <c r="A996" s="20"/>
      <c r="B996" s="20"/>
      <c r="C996" s="30"/>
      <c r="D996" s="30"/>
      <c r="E996" s="30"/>
      <c r="F996" s="22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</row>
    <row r="997">
      <c r="A997" s="20"/>
      <c r="B997" s="20"/>
      <c r="C997" s="30"/>
      <c r="D997" s="30"/>
      <c r="E997" s="30"/>
      <c r="F997" s="22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</row>
    <row r="998">
      <c r="A998" s="20"/>
      <c r="B998" s="20"/>
      <c r="C998" s="30"/>
      <c r="D998" s="30"/>
      <c r="E998" s="30"/>
      <c r="F998" s="22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</row>
    <row r="999">
      <c r="A999" s="20"/>
      <c r="B999" s="20"/>
      <c r="C999" s="30"/>
      <c r="D999" s="30"/>
      <c r="E999" s="30"/>
      <c r="F999" s="22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</row>
    <row r="1000">
      <c r="A1000" s="20"/>
      <c r="B1000" s="20"/>
      <c r="C1000" s="30"/>
      <c r="D1000" s="30"/>
      <c r="E1000" s="30"/>
      <c r="F1000" s="22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</row>
    <row r="1001">
      <c r="A1001" s="20"/>
      <c r="B1001" s="20"/>
      <c r="C1001" s="30"/>
      <c r="D1001" s="30"/>
      <c r="E1001" s="30"/>
      <c r="F1001" s="22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</row>
    <row r="1002">
      <c r="A1002" s="20"/>
      <c r="B1002" s="20"/>
      <c r="C1002" s="30"/>
      <c r="D1002" s="30"/>
      <c r="E1002" s="30"/>
      <c r="F1002" s="22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</row>
    <row r="1003">
      <c r="A1003" s="20"/>
      <c r="B1003" s="20"/>
      <c r="C1003" s="30"/>
      <c r="D1003" s="30"/>
      <c r="E1003" s="30"/>
      <c r="F1003" s="22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</row>
    <row r="1004">
      <c r="A1004" s="20"/>
      <c r="B1004" s="20"/>
      <c r="C1004" s="30"/>
      <c r="D1004" s="30"/>
      <c r="E1004" s="30"/>
      <c r="F1004" s="22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</row>
    <row r="1005">
      <c r="A1005" s="20"/>
      <c r="B1005" s="20"/>
      <c r="C1005" s="30"/>
      <c r="D1005" s="30"/>
      <c r="E1005" s="30"/>
      <c r="F1005" s="22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</row>
    <row r="1006">
      <c r="A1006" s="20"/>
      <c r="B1006" s="20"/>
      <c r="C1006" s="30"/>
      <c r="D1006" s="30"/>
      <c r="E1006" s="30"/>
      <c r="F1006" s="22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</row>
    <row r="1007">
      <c r="A1007" s="20"/>
      <c r="B1007" s="20"/>
      <c r="C1007" s="30"/>
      <c r="D1007" s="30"/>
      <c r="E1007" s="30"/>
      <c r="F1007" s="22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</row>
    <row r="1008">
      <c r="A1008" s="20"/>
      <c r="B1008" s="20"/>
      <c r="C1008" s="30"/>
      <c r="D1008" s="30"/>
      <c r="E1008" s="30"/>
      <c r="F1008" s="22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</row>
    <row r="1009">
      <c r="A1009" s="20"/>
      <c r="B1009" s="20"/>
      <c r="C1009" s="30"/>
      <c r="D1009" s="30"/>
      <c r="E1009" s="30"/>
      <c r="F1009" s="22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</row>
    <row r="1010">
      <c r="A1010" s="20"/>
      <c r="B1010" s="20"/>
      <c r="C1010" s="30"/>
      <c r="D1010" s="30"/>
      <c r="E1010" s="30"/>
      <c r="F1010" s="22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</row>
    <row r="1011">
      <c r="A1011" s="20"/>
      <c r="B1011" s="20"/>
      <c r="C1011" s="30"/>
      <c r="D1011" s="30"/>
      <c r="E1011" s="30"/>
      <c r="F1011" s="22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</row>
    <row r="1012">
      <c r="A1012" s="20"/>
      <c r="B1012" s="20"/>
      <c r="C1012" s="30"/>
      <c r="D1012" s="30"/>
      <c r="E1012" s="30"/>
      <c r="F1012" s="22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</row>
    <row r="1013">
      <c r="A1013" s="20"/>
      <c r="B1013" s="20"/>
      <c r="C1013" s="30"/>
      <c r="D1013" s="30"/>
      <c r="E1013" s="30"/>
      <c r="F1013" s="22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</row>
    <row r="1014">
      <c r="A1014" s="20"/>
      <c r="B1014" s="20"/>
      <c r="C1014" s="30"/>
      <c r="D1014" s="30"/>
      <c r="E1014" s="30"/>
      <c r="F1014" s="22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</row>
    <row r="1015">
      <c r="A1015" s="20"/>
      <c r="B1015" s="20"/>
      <c r="C1015" s="30"/>
      <c r="D1015" s="30"/>
      <c r="E1015" s="30"/>
      <c r="F1015" s="22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</row>
    <row r="1016">
      <c r="A1016" s="20"/>
      <c r="B1016" s="20"/>
      <c r="C1016" s="30"/>
      <c r="D1016" s="30"/>
      <c r="E1016" s="30"/>
      <c r="F1016" s="22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</row>
    <row r="1017">
      <c r="A1017" s="20"/>
      <c r="B1017" s="20"/>
      <c r="C1017" s="30"/>
      <c r="D1017" s="30"/>
      <c r="E1017" s="30"/>
      <c r="F1017" s="22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</row>
    <row r="1018">
      <c r="A1018" s="20"/>
      <c r="B1018" s="20"/>
      <c r="C1018" s="30"/>
      <c r="D1018" s="30"/>
      <c r="E1018" s="30"/>
      <c r="F1018" s="22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</row>
    <row r="1019">
      <c r="A1019" s="20"/>
      <c r="B1019" s="20"/>
      <c r="C1019" s="30"/>
      <c r="D1019" s="30"/>
      <c r="E1019" s="30"/>
      <c r="F1019" s="22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</row>
    <row r="1020">
      <c r="A1020" s="20"/>
      <c r="B1020" s="20"/>
      <c r="C1020" s="30"/>
      <c r="D1020" s="30"/>
      <c r="E1020" s="30"/>
      <c r="F1020" s="22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</row>
    <row r="1021">
      <c r="A1021" s="20"/>
      <c r="B1021" s="20"/>
      <c r="C1021" s="30"/>
      <c r="D1021" s="30"/>
      <c r="E1021" s="30"/>
      <c r="F1021" s="22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</row>
    <row r="1022">
      <c r="A1022" s="20"/>
      <c r="B1022" s="20"/>
      <c r="C1022" s="30"/>
      <c r="D1022" s="30"/>
      <c r="E1022" s="30"/>
      <c r="F1022" s="22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</row>
    <row r="1023">
      <c r="A1023" s="20"/>
      <c r="B1023" s="20"/>
      <c r="C1023" s="30"/>
      <c r="D1023" s="30"/>
      <c r="E1023" s="30"/>
      <c r="F1023" s="22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</row>
    <row r="1024">
      <c r="A1024" s="20"/>
      <c r="B1024" s="20"/>
      <c r="C1024" s="30"/>
      <c r="D1024" s="30"/>
      <c r="E1024" s="30"/>
      <c r="F1024" s="22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</row>
    <row r="1025">
      <c r="A1025" s="20"/>
      <c r="B1025" s="20"/>
      <c r="C1025" s="30"/>
      <c r="D1025" s="30"/>
      <c r="E1025" s="30"/>
      <c r="F1025" s="22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</row>
    <row r="1026">
      <c r="A1026" s="20"/>
      <c r="B1026" s="20"/>
      <c r="C1026" s="30"/>
      <c r="D1026" s="30"/>
      <c r="E1026" s="30"/>
      <c r="F1026" s="22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</row>
    <row r="1027">
      <c r="A1027" s="20"/>
      <c r="B1027" s="20"/>
      <c r="C1027" s="30"/>
      <c r="D1027" s="30"/>
      <c r="E1027" s="30"/>
      <c r="F1027" s="22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</row>
    <row r="1028">
      <c r="A1028" s="20"/>
      <c r="B1028" s="20"/>
      <c r="C1028" s="30"/>
      <c r="D1028" s="30"/>
      <c r="E1028" s="30"/>
      <c r="F1028" s="22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</row>
    <row r="1029">
      <c r="A1029" s="20"/>
      <c r="B1029" s="20"/>
      <c r="C1029" s="30"/>
      <c r="D1029" s="30"/>
      <c r="E1029" s="30"/>
      <c r="F1029" s="22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</row>
    <row r="1030">
      <c r="A1030" s="20"/>
      <c r="B1030" s="20"/>
      <c r="C1030" s="30"/>
      <c r="D1030" s="30"/>
      <c r="E1030" s="30"/>
      <c r="F1030" s="22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</row>
    <row r="1031">
      <c r="A1031" s="20"/>
      <c r="B1031" s="20"/>
      <c r="C1031" s="30"/>
      <c r="D1031" s="30"/>
      <c r="E1031" s="30"/>
      <c r="F1031" s="22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</row>
    <row r="1032">
      <c r="A1032" s="20"/>
      <c r="B1032" s="20"/>
      <c r="C1032" s="30"/>
      <c r="D1032" s="30"/>
      <c r="E1032" s="30"/>
      <c r="F1032" s="22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</row>
    <row r="1033">
      <c r="A1033" s="20"/>
      <c r="B1033" s="20"/>
      <c r="C1033" s="30"/>
      <c r="D1033" s="30"/>
      <c r="E1033" s="30"/>
      <c r="F1033" s="22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</row>
    <row r="1034">
      <c r="A1034" s="20"/>
      <c r="B1034" s="20"/>
      <c r="C1034" s="30"/>
      <c r="D1034" s="30"/>
      <c r="E1034" s="30"/>
      <c r="F1034" s="22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</row>
    <row r="1035">
      <c r="A1035" s="20"/>
      <c r="B1035" s="20"/>
      <c r="C1035" s="30"/>
      <c r="D1035" s="30"/>
      <c r="E1035" s="30"/>
      <c r="F1035" s="22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</row>
    <row r="1036">
      <c r="A1036" s="20"/>
      <c r="B1036" s="20"/>
      <c r="C1036" s="30"/>
      <c r="D1036" s="30"/>
      <c r="E1036" s="30"/>
      <c r="F1036" s="22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</row>
    <row r="1037">
      <c r="A1037" s="20"/>
      <c r="B1037" s="20"/>
      <c r="C1037" s="30"/>
      <c r="D1037" s="30"/>
      <c r="E1037" s="30"/>
      <c r="F1037" s="22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</row>
    <row r="1038">
      <c r="A1038" s="20"/>
      <c r="B1038" s="20"/>
      <c r="C1038" s="30"/>
      <c r="D1038" s="30"/>
      <c r="E1038" s="30"/>
      <c r="F1038" s="22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</row>
    <row r="1039">
      <c r="A1039" s="20"/>
      <c r="B1039" s="20"/>
      <c r="C1039" s="30"/>
      <c r="D1039" s="30"/>
      <c r="E1039" s="30"/>
      <c r="F1039" s="22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</row>
    <row r="1040">
      <c r="A1040" s="20"/>
      <c r="B1040" s="20"/>
      <c r="C1040" s="30"/>
      <c r="D1040" s="30"/>
      <c r="E1040" s="30"/>
      <c r="F1040" s="22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</row>
    <row r="1041">
      <c r="A1041" s="20"/>
      <c r="B1041" s="20"/>
      <c r="C1041" s="30"/>
      <c r="D1041" s="30"/>
      <c r="E1041" s="30"/>
      <c r="F1041" s="22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</row>
    <row r="1042">
      <c r="A1042" s="20"/>
      <c r="B1042" s="20"/>
      <c r="C1042" s="30"/>
      <c r="D1042" s="30"/>
      <c r="E1042" s="30"/>
      <c r="F1042" s="22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</row>
    <row r="1043">
      <c r="A1043" s="20"/>
      <c r="B1043" s="20"/>
      <c r="C1043" s="30"/>
      <c r="D1043" s="30"/>
      <c r="E1043" s="30"/>
      <c r="F1043" s="22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</row>
    <row r="1044">
      <c r="A1044" s="20"/>
      <c r="B1044" s="20"/>
      <c r="C1044" s="30"/>
      <c r="D1044" s="30"/>
      <c r="E1044" s="30"/>
      <c r="F1044" s="22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</row>
    <row r="1045">
      <c r="A1045" s="20"/>
      <c r="B1045" s="20"/>
      <c r="C1045" s="30"/>
      <c r="D1045" s="30"/>
      <c r="E1045" s="30"/>
      <c r="F1045" s="22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</row>
    <row r="1046">
      <c r="A1046" s="20"/>
      <c r="B1046" s="20"/>
      <c r="C1046" s="30"/>
      <c r="D1046" s="30"/>
      <c r="E1046" s="30"/>
      <c r="F1046" s="22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</row>
    <row r="1047">
      <c r="A1047" s="20"/>
      <c r="B1047" s="20"/>
      <c r="C1047" s="30"/>
      <c r="D1047" s="30"/>
      <c r="E1047" s="30"/>
      <c r="F1047" s="22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</row>
    <row r="1048">
      <c r="A1048" s="20"/>
      <c r="B1048" s="20"/>
      <c r="C1048" s="30"/>
      <c r="D1048" s="30"/>
      <c r="E1048" s="30"/>
      <c r="F1048" s="22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</row>
    <row r="1049">
      <c r="A1049" s="20"/>
      <c r="B1049" s="20"/>
      <c r="C1049" s="30"/>
      <c r="D1049" s="30"/>
      <c r="E1049" s="30"/>
      <c r="F1049" s="22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</row>
    <row r="1050">
      <c r="A1050" s="20"/>
      <c r="B1050" s="20"/>
      <c r="C1050" s="30"/>
      <c r="D1050" s="30"/>
      <c r="E1050" s="30"/>
      <c r="F1050" s="22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</row>
    <row r="1051">
      <c r="A1051" s="20"/>
      <c r="B1051" s="20"/>
      <c r="C1051" s="30"/>
      <c r="D1051" s="30"/>
      <c r="E1051" s="30"/>
      <c r="F1051" s="22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</row>
    <row r="1052">
      <c r="A1052" s="20"/>
      <c r="B1052" s="20"/>
      <c r="C1052" s="30"/>
      <c r="D1052" s="30"/>
      <c r="E1052" s="30"/>
      <c r="F1052" s="22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</row>
    <row r="1053">
      <c r="A1053" s="20"/>
      <c r="B1053" s="20"/>
      <c r="C1053" s="30"/>
      <c r="D1053" s="30"/>
      <c r="E1053" s="30"/>
      <c r="F1053" s="22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</row>
    <row r="1054">
      <c r="A1054" s="20"/>
      <c r="B1054" s="20"/>
      <c r="C1054" s="30"/>
      <c r="D1054" s="30"/>
      <c r="E1054" s="30"/>
      <c r="F1054" s="22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</row>
    <row r="1055">
      <c r="A1055" s="20"/>
      <c r="B1055" s="20"/>
      <c r="C1055" s="30"/>
      <c r="D1055" s="30"/>
      <c r="E1055" s="30"/>
      <c r="F1055" s="22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</row>
    <row r="1056">
      <c r="A1056" s="20"/>
      <c r="B1056" s="20"/>
      <c r="C1056" s="30"/>
      <c r="D1056" s="30"/>
      <c r="E1056" s="30"/>
      <c r="F1056" s="22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</row>
    <row r="1057">
      <c r="A1057" s="20"/>
      <c r="B1057" s="20"/>
      <c r="C1057" s="30"/>
      <c r="D1057" s="30"/>
      <c r="E1057" s="30"/>
      <c r="F1057" s="22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</row>
    <row r="1058">
      <c r="A1058" s="20"/>
      <c r="B1058" s="20"/>
      <c r="C1058" s="30"/>
      <c r="D1058" s="30"/>
      <c r="E1058" s="30"/>
      <c r="F1058" s="22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</row>
    <row r="1059">
      <c r="A1059" s="20"/>
      <c r="B1059" s="20"/>
      <c r="C1059" s="30"/>
      <c r="D1059" s="30"/>
      <c r="E1059" s="30"/>
      <c r="F1059" s="22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</row>
    <row r="1060">
      <c r="A1060" s="20"/>
      <c r="B1060" s="20"/>
      <c r="C1060" s="30"/>
      <c r="D1060" s="30"/>
      <c r="E1060" s="30"/>
      <c r="F1060" s="22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</row>
    <row r="1061">
      <c r="A1061" s="20"/>
      <c r="B1061" s="20"/>
      <c r="C1061" s="30"/>
      <c r="D1061" s="30"/>
      <c r="E1061" s="30"/>
      <c r="F1061" s="22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</row>
    <row r="1062">
      <c r="A1062" s="20"/>
      <c r="B1062" s="20"/>
      <c r="C1062" s="30"/>
      <c r="D1062" s="30"/>
      <c r="E1062" s="30"/>
      <c r="F1062" s="22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</row>
    <row r="1063">
      <c r="A1063" s="20"/>
      <c r="B1063" s="20"/>
      <c r="C1063" s="30"/>
      <c r="D1063" s="30"/>
      <c r="E1063" s="30"/>
      <c r="F1063" s="22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</row>
    <row r="1064">
      <c r="A1064" s="20"/>
      <c r="B1064" s="20"/>
      <c r="C1064" s="30"/>
      <c r="D1064" s="30"/>
      <c r="E1064" s="30"/>
      <c r="F1064" s="22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</row>
    <row r="1065">
      <c r="A1065" s="20"/>
      <c r="B1065" s="20"/>
      <c r="C1065" s="30"/>
      <c r="D1065" s="30"/>
      <c r="E1065" s="30"/>
      <c r="F1065" s="22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</row>
    <row r="1066">
      <c r="A1066" s="20"/>
      <c r="B1066" s="20"/>
      <c r="C1066" s="30"/>
      <c r="D1066" s="30"/>
      <c r="E1066" s="30"/>
      <c r="F1066" s="22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</row>
    <row r="1067">
      <c r="A1067" s="20"/>
      <c r="B1067" s="20"/>
      <c r="C1067" s="30"/>
      <c r="D1067" s="30"/>
      <c r="E1067" s="30"/>
      <c r="F1067" s="22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</row>
    <row r="1068">
      <c r="A1068" s="20"/>
      <c r="B1068" s="20"/>
      <c r="C1068" s="30"/>
      <c r="D1068" s="30"/>
      <c r="E1068" s="30"/>
      <c r="F1068" s="22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</row>
    <row r="1069">
      <c r="A1069" s="20"/>
      <c r="B1069" s="20"/>
      <c r="C1069" s="30"/>
      <c r="D1069" s="30"/>
      <c r="E1069" s="30"/>
      <c r="F1069" s="22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</row>
    <row r="1070">
      <c r="A1070" s="20"/>
      <c r="B1070" s="20"/>
      <c r="C1070" s="30"/>
      <c r="D1070" s="30"/>
      <c r="E1070" s="30"/>
      <c r="F1070" s="22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</row>
    <row r="1071">
      <c r="A1071" s="20"/>
      <c r="B1071" s="20"/>
      <c r="C1071" s="30"/>
      <c r="D1071" s="30"/>
      <c r="E1071" s="30"/>
      <c r="F1071" s="22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</row>
    <row r="1072">
      <c r="A1072" s="20"/>
      <c r="B1072" s="20"/>
      <c r="C1072" s="30"/>
      <c r="D1072" s="30"/>
      <c r="E1072" s="30"/>
      <c r="F1072" s="22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</row>
    <row r="1073">
      <c r="A1073" s="20"/>
      <c r="B1073" s="20"/>
      <c r="C1073" s="30"/>
      <c r="D1073" s="30"/>
      <c r="E1073" s="30"/>
      <c r="F1073" s="22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</row>
    <row r="1074">
      <c r="A1074" s="20"/>
      <c r="B1074" s="20"/>
      <c r="C1074" s="30"/>
      <c r="D1074" s="30"/>
      <c r="E1074" s="30"/>
      <c r="F1074" s="22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</row>
    <row r="1075">
      <c r="A1075" s="20"/>
      <c r="B1075" s="20"/>
      <c r="C1075" s="30"/>
      <c r="D1075" s="30"/>
      <c r="E1075" s="30"/>
      <c r="F1075" s="22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</row>
    <row r="1076">
      <c r="A1076" s="20"/>
      <c r="B1076" s="20"/>
      <c r="C1076" s="30"/>
      <c r="D1076" s="30"/>
      <c r="E1076" s="30"/>
      <c r="F1076" s="22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</row>
    <row r="1077">
      <c r="A1077" s="20"/>
      <c r="B1077" s="20"/>
      <c r="C1077" s="30"/>
      <c r="D1077" s="30"/>
      <c r="E1077" s="30"/>
      <c r="F1077" s="22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</row>
    <row r="1078">
      <c r="A1078" s="20"/>
      <c r="B1078" s="20"/>
      <c r="C1078" s="30"/>
      <c r="D1078" s="30"/>
      <c r="E1078" s="30"/>
      <c r="F1078" s="22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</row>
    <row r="1079">
      <c r="A1079" s="20"/>
      <c r="B1079" s="20"/>
      <c r="C1079" s="30"/>
      <c r="D1079" s="30"/>
      <c r="E1079" s="30"/>
      <c r="F1079" s="22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</row>
    <row r="1080">
      <c r="A1080" s="20"/>
      <c r="B1080" s="20"/>
      <c r="C1080" s="30"/>
      <c r="D1080" s="30"/>
      <c r="E1080" s="30"/>
      <c r="F1080" s="22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</row>
    <row r="1081">
      <c r="A1081" s="20"/>
      <c r="B1081" s="20"/>
      <c r="C1081" s="30"/>
      <c r="D1081" s="30"/>
      <c r="E1081" s="30"/>
      <c r="F1081" s="22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</row>
    <row r="1082">
      <c r="A1082" s="20"/>
      <c r="B1082" s="20"/>
      <c r="C1082" s="30"/>
      <c r="D1082" s="30"/>
      <c r="E1082" s="30"/>
      <c r="F1082" s="22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</row>
    <row r="1083">
      <c r="A1083" s="20"/>
      <c r="B1083" s="20"/>
      <c r="C1083" s="30"/>
      <c r="D1083" s="30"/>
      <c r="E1083" s="30"/>
      <c r="F1083" s="22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</row>
    <row r="1084">
      <c r="A1084" s="20"/>
      <c r="B1084" s="20"/>
      <c r="C1084" s="30"/>
      <c r="D1084" s="30"/>
      <c r="E1084" s="30"/>
      <c r="F1084" s="22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</row>
    <row r="1085">
      <c r="A1085" s="20"/>
      <c r="B1085" s="20"/>
      <c r="C1085" s="30"/>
      <c r="D1085" s="30"/>
      <c r="E1085" s="30"/>
      <c r="F1085" s="22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</row>
    <row r="1086">
      <c r="A1086" s="20"/>
      <c r="B1086" s="20"/>
      <c r="C1086" s="30"/>
      <c r="D1086" s="30"/>
      <c r="E1086" s="30"/>
      <c r="F1086" s="22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</row>
    <row r="1087">
      <c r="A1087" s="20"/>
      <c r="B1087" s="20"/>
      <c r="C1087" s="30"/>
      <c r="D1087" s="30"/>
      <c r="E1087" s="30"/>
      <c r="F1087" s="22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</row>
    <row r="1088">
      <c r="A1088" s="20"/>
      <c r="B1088" s="20"/>
      <c r="C1088" s="30"/>
      <c r="D1088" s="30"/>
      <c r="E1088" s="30"/>
      <c r="F1088" s="22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</row>
    <row r="1089">
      <c r="A1089" s="20"/>
      <c r="B1089" s="20"/>
      <c r="C1089" s="30"/>
      <c r="D1089" s="30"/>
      <c r="E1089" s="30"/>
      <c r="F1089" s="22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</row>
    <row r="1090">
      <c r="A1090" s="20"/>
      <c r="B1090" s="20"/>
      <c r="C1090" s="30"/>
      <c r="D1090" s="30"/>
      <c r="E1090" s="30"/>
      <c r="F1090" s="22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</row>
    <row r="1091">
      <c r="A1091" s="20"/>
      <c r="B1091" s="20"/>
      <c r="C1091" s="30"/>
      <c r="D1091" s="30"/>
      <c r="E1091" s="30"/>
      <c r="F1091" s="22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</row>
    <row r="1092">
      <c r="A1092" s="20"/>
      <c r="B1092" s="20"/>
      <c r="C1092" s="30"/>
      <c r="D1092" s="30"/>
      <c r="E1092" s="30"/>
      <c r="F1092" s="22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</row>
    <row r="1093">
      <c r="A1093" s="20"/>
      <c r="B1093" s="20"/>
      <c r="C1093" s="30"/>
      <c r="D1093" s="30"/>
      <c r="E1093" s="30"/>
      <c r="F1093" s="22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</row>
    <row r="1094">
      <c r="A1094" s="20"/>
      <c r="B1094" s="20"/>
      <c r="C1094" s="30"/>
      <c r="D1094" s="30"/>
      <c r="E1094" s="30"/>
      <c r="F1094" s="22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</row>
    <row r="1095">
      <c r="A1095" s="20"/>
      <c r="B1095" s="20"/>
      <c r="C1095" s="30"/>
      <c r="D1095" s="30"/>
      <c r="E1095" s="30"/>
      <c r="F1095" s="22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</row>
    <row r="1096">
      <c r="A1096" s="20"/>
      <c r="B1096" s="20"/>
      <c r="C1096" s="30"/>
      <c r="D1096" s="30"/>
      <c r="E1096" s="30"/>
      <c r="F1096" s="22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</row>
    <row r="1097">
      <c r="A1097" s="20"/>
      <c r="B1097" s="20"/>
      <c r="C1097" s="30"/>
      <c r="D1097" s="30"/>
      <c r="E1097" s="30"/>
      <c r="F1097" s="22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</row>
    <row r="1098">
      <c r="A1098" s="20"/>
      <c r="B1098" s="20"/>
      <c r="C1098" s="30"/>
      <c r="D1098" s="30"/>
      <c r="E1098" s="30"/>
      <c r="F1098" s="22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</row>
    <row r="1099">
      <c r="A1099" s="20"/>
      <c r="B1099" s="20"/>
      <c r="C1099" s="30"/>
      <c r="D1099" s="30"/>
      <c r="E1099" s="30"/>
      <c r="F1099" s="22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</row>
    <row r="1100">
      <c r="A1100" s="20"/>
      <c r="B1100" s="20"/>
      <c r="C1100" s="30"/>
      <c r="D1100" s="30"/>
      <c r="E1100" s="30"/>
      <c r="F1100" s="22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</row>
    <row r="1101">
      <c r="A1101" s="20"/>
      <c r="B1101" s="20"/>
      <c r="C1101" s="30"/>
      <c r="D1101" s="30"/>
      <c r="E1101" s="30"/>
      <c r="F1101" s="22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</row>
    <row r="1102">
      <c r="A1102" s="20"/>
      <c r="B1102" s="20"/>
      <c r="C1102" s="30"/>
      <c r="D1102" s="30"/>
      <c r="E1102" s="30"/>
      <c r="F1102" s="22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</row>
    <row r="1103">
      <c r="A1103" s="20"/>
      <c r="B1103" s="20"/>
      <c r="C1103" s="30"/>
      <c r="D1103" s="30"/>
      <c r="E1103" s="30"/>
      <c r="F1103" s="22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</row>
    <row r="1104">
      <c r="A1104" s="20"/>
      <c r="B1104" s="20"/>
      <c r="C1104" s="30"/>
      <c r="D1104" s="30"/>
      <c r="E1104" s="30"/>
      <c r="F1104" s="22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</row>
    <row r="1105">
      <c r="A1105" s="20"/>
      <c r="B1105" s="20"/>
      <c r="C1105" s="30"/>
      <c r="D1105" s="30"/>
      <c r="E1105" s="30"/>
      <c r="F1105" s="22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</row>
    <row r="1106">
      <c r="A1106" s="20"/>
      <c r="B1106" s="20"/>
      <c r="C1106" s="30"/>
      <c r="D1106" s="30"/>
      <c r="E1106" s="30"/>
      <c r="F1106" s="22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</row>
    <row r="1107">
      <c r="A1107" s="20"/>
      <c r="B1107" s="20"/>
      <c r="C1107" s="30"/>
      <c r="D1107" s="30"/>
      <c r="E1107" s="30"/>
      <c r="F1107" s="22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</row>
    <row r="1108">
      <c r="A1108" s="20"/>
      <c r="B1108" s="20"/>
      <c r="C1108" s="30"/>
      <c r="D1108" s="30"/>
      <c r="E1108" s="30"/>
      <c r="F1108" s="22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</row>
    <row r="1109">
      <c r="A1109" s="20"/>
      <c r="B1109" s="20"/>
      <c r="C1109" s="30"/>
      <c r="D1109" s="30"/>
      <c r="E1109" s="30"/>
      <c r="F1109" s="22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</row>
    <row r="1110">
      <c r="A1110" s="20"/>
      <c r="B1110" s="20"/>
      <c r="C1110" s="30"/>
      <c r="D1110" s="30"/>
      <c r="E1110" s="30"/>
      <c r="F1110" s="22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</row>
    <row r="1111">
      <c r="A1111" s="20"/>
      <c r="B1111" s="20"/>
      <c r="C1111" s="30"/>
      <c r="D1111" s="30"/>
      <c r="E1111" s="30"/>
      <c r="F1111" s="22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</row>
    <row r="1112">
      <c r="A1112" s="20"/>
      <c r="B1112" s="20"/>
      <c r="C1112" s="30"/>
      <c r="D1112" s="30"/>
      <c r="E1112" s="30"/>
      <c r="F1112" s="22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</row>
    <row r="1113">
      <c r="A1113" s="20"/>
      <c r="B1113" s="20"/>
      <c r="C1113" s="30"/>
      <c r="D1113" s="30"/>
      <c r="E1113" s="30"/>
      <c r="F1113" s="22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</row>
    <row r="1114">
      <c r="A1114" s="20"/>
      <c r="B1114" s="20"/>
      <c r="C1114" s="30"/>
      <c r="D1114" s="30"/>
      <c r="E1114" s="30"/>
      <c r="F1114" s="22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</row>
    <row r="1115">
      <c r="A1115" s="20"/>
      <c r="B1115" s="20"/>
      <c r="C1115" s="30"/>
      <c r="D1115" s="30"/>
      <c r="E1115" s="30"/>
      <c r="F1115" s="22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</row>
    <row r="1116">
      <c r="A1116" s="20"/>
      <c r="B1116" s="20"/>
      <c r="C1116" s="30"/>
      <c r="D1116" s="30"/>
      <c r="E1116" s="30"/>
      <c r="F1116" s="22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</row>
    <row r="1117">
      <c r="A1117" s="20"/>
      <c r="B1117" s="20"/>
      <c r="C1117" s="30"/>
      <c r="D1117" s="30"/>
      <c r="E1117" s="30"/>
      <c r="F1117" s="22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</row>
    <row r="1118">
      <c r="A1118" s="20"/>
      <c r="B1118" s="20"/>
      <c r="C1118" s="30"/>
      <c r="D1118" s="30"/>
      <c r="E1118" s="30"/>
      <c r="F1118" s="22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</row>
    <row r="1119">
      <c r="A1119" s="20"/>
      <c r="B1119" s="20"/>
      <c r="C1119" s="30"/>
      <c r="D1119" s="30"/>
      <c r="E1119" s="30"/>
      <c r="F1119" s="22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</row>
    <row r="1120">
      <c r="A1120" s="20"/>
      <c r="B1120" s="20"/>
      <c r="C1120" s="30"/>
      <c r="D1120" s="30"/>
      <c r="E1120" s="30"/>
      <c r="F1120" s="22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</row>
    <row r="1121">
      <c r="A1121" s="20"/>
      <c r="B1121" s="20"/>
      <c r="C1121" s="30"/>
      <c r="D1121" s="30"/>
      <c r="E1121" s="30"/>
      <c r="F1121" s="22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</row>
    <row r="1122">
      <c r="A1122" s="20"/>
      <c r="B1122" s="20"/>
      <c r="C1122" s="30"/>
      <c r="D1122" s="30"/>
      <c r="E1122" s="30"/>
      <c r="F1122" s="22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</row>
    <row r="1123">
      <c r="A1123" s="20"/>
      <c r="B1123" s="20"/>
      <c r="C1123" s="30"/>
      <c r="D1123" s="30"/>
      <c r="E1123" s="30"/>
      <c r="F1123" s="22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</row>
    <row r="1124">
      <c r="A1124" s="20"/>
      <c r="B1124" s="20"/>
      <c r="C1124" s="30"/>
      <c r="D1124" s="30"/>
      <c r="E1124" s="30"/>
      <c r="F1124" s="22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</row>
    <row r="1125">
      <c r="A1125" s="20"/>
      <c r="B1125" s="20"/>
      <c r="C1125" s="30"/>
      <c r="D1125" s="30"/>
      <c r="E1125" s="30"/>
      <c r="F1125" s="22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</row>
    <row r="1126">
      <c r="A1126" s="20"/>
      <c r="B1126" s="20"/>
      <c r="C1126" s="30"/>
      <c r="D1126" s="30"/>
      <c r="E1126" s="30"/>
      <c r="F1126" s="22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</row>
    <row r="1127">
      <c r="A1127" s="20"/>
      <c r="B1127" s="20"/>
      <c r="C1127" s="30"/>
      <c r="D1127" s="30"/>
      <c r="E1127" s="30"/>
      <c r="F1127" s="22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</row>
    <row r="1128">
      <c r="A1128" s="20"/>
      <c r="B1128" s="20"/>
      <c r="C1128" s="30"/>
      <c r="D1128" s="30"/>
      <c r="E1128" s="30"/>
      <c r="F1128" s="22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</row>
    <row r="1129">
      <c r="A1129" s="20"/>
      <c r="B1129" s="20"/>
      <c r="C1129" s="30"/>
      <c r="D1129" s="30"/>
      <c r="E1129" s="30"/>
      <c r="F1129" s="22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</row>
    <row r="1130">
      <c r="A1130" s="20"/>
      <c r="B1130" s="20"/>
      <c r="C1130" s="30"/>
      <c r="D1130" s="30"/>
      <c r="E1130" s="30"/>
      <c r="F1130" s="22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</row>
    <row r="1131">
      <c r="A1131" s="20"/>
      <c r="B1131" s="20"/>
      <c r="C1131" s="30"/>
      <c r="D1131" s="30"/>
      <c r="E1131" s="30"/>
      <c r="F1131" s="22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</row>
    <row r="1132">
      <c r="A1132" s="20"/>
      <c r="B1132" s="20"/>
      <c r="C1132" s="30"/>
      <c r="D1132" s="30"/>
      <c r="E1132" s="30"/>
      <c r="F1132" s="22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</row>
    <row r="1133">
      <c r="A1133" s="20"/>
      <c r="B1133" s="20"/>
      <c r="C1133" s="30"/>
      <c r="D1133" s="30"/>
      <c r="E1133" s="30"/>
      <c r="F1133" s="22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</row>
    <row r="1134">
      <c r="A1134" s="20"/>
      <c r="B1134" s="20"/>
      <c r="C1134" s="30"/>
      <c r="D1134" s="30"/>
      <c r="E1134" s="30"/>
      <c r="F1134" s="22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</row>
    <row r="1135">
      <c r="A1135" s="20"/>
      <c r="B1135" s="20"/>
      <c r="C1135" s="30"/>
      <c r="D1135" s="30"/>
      <c r="E1135" s="30"/>
      <c r="F1135" s="22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</row>
    <row r="1136">
      <c r="A1136" s="20"/>
      <c r="B1136" s="20"/>
      <c r="C1136" s="30"/>
      <c r="D1136" s="30"/>
      <c r="E1136" s="30"/>
      <c r="F1136" s="22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</row>
    <row r="1137">
      <c r="A1137" s="20"/>
      <c r="B1137" s="20"/>
      <c r="C1137" s="30"/>
      <c r="D1137" s="30"/>
      <c r="E1137" s="30"/>
      <c r="F1137" s="22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</row>
    <row r="1138">
      <c r="A1138" s="20"/>
      <c r="B1138" s="20"/>
      <c r="C1138" s="30"/>
      <c r="D1138" s="30"/>
      <c r="E1138" s="30"/>
      <c r="F1138" s="22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</row>
    <row r="1139">
      <c r="A1139" s="20"/>
      <c r="B1139" s="20"/>
      <c r="C1139" s="30"/>
      <c r="D1139" s="30"/>
      <c r="E1139" s="30"/>
      <c r="F1139" s="22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</row>
    <row r="1140">
      <c r="A1140" s="20"/>
      <c r="B1140" s="20"/>
      <c r="C1140" s="30"/>
      <c r="D1140" s="30"/>
      <c r="E1140" s="30"/>
      <c r="F1140" s="22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</row>
    <row r="1141">
      <c r="A1141" s="20"/>
      <c r="B1141" s="20"/>
      <c r="C1141" s="30"/>
      <c r="D1141" s="30"/>
      <c r="E1141" s="30"/>
      <c r="F1141" s="22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</row>
    <row r="1142">
      <c r="A1142" s="20"/>
      <c r="B1142" s="20"/>
      <c r="C1142" s="30"/>
      <c r="D1142" s="30"/>
      <c r="E1142" s="30"/>
      <c r="F1142" s="22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</row>
    <row r="1143">
      <c r="A1143" s="20"/>
      <c r="B1143" s="20"/>
      <c r="C1143" s="30"/>
      <c r="D1143" s="30"/>
      <c r="E1143" s="30"/>
      <c r="F1143" s="22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</row>
    <row r="1144">
      <c r="A1144" s="20"/>
      <c r="B1144" s="20"/>
      <c r="C1144" s="30"/>
      <c r="D1144" s="30"/>
      <c r="E1144" s="30"/>
      <c r="F1144" s="22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</row>
    <row r="1145">
      <c r="A1145" s="20"/>
      <c r="B1145" s="20"/>
      <c r="C1145" s="30"/>
      <c r="D1145" s="30"/>
      <c r="E1145" s="30"/>
      <c r="F1145" s="22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</row>
    <row r="1146">
      <c r="A1146" s="20"/>
      <c r="B1146" s="20"/>
      <c r="C1146" s="30"/>
      <c r="D1146" s="30"/>
      <c r="E1146" s="30"/>
      <c r="F1146" s="22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</row>
    <row r="1147">
      <c r="A1147" s="20"/>
      <c r="B1147" s="20"/>
      <c r="C1147" s="30"/>
      <c r="D1147" s="30"/>
      <c r="E1147" s="30"/>
      <c r="F1147" s="22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</row>
    <row r="1148">
      <c r="A1148" s="20"/>
      <c r="B1148" s="20"/>
      <c r="C1148" s="30"/>
      <c r="D1148" s="30"/>
      <c r="E1148" s="30"/>
      <c r="F1148" s="22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</row>
    <row r="1149">
      <c r="A1149" s="20"/>
      <c r="B1149" s="20"/>
      <c r="C1149" s="30"/>
      <c r="D1149" s="30"/>
      <c r="E1149" s="30"/>
      <c r="F1149" s="22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</row>
    <row r="1150">
      <c r="A1150" s="20"/>
      <c r="B1150" s="20"/>
      <c r="C1150" s="30"/>
      <c r="D1150" s="30"/>
      <c r="E1150" s="30"/>
      <c r="F1150" s="22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</row>
    <row r="1151">
      <c r="A1151" s="20"/>
      <c r="B1151" s="20"/>
      <c r="C1151" s="30"/>
      <c r="D1151" s="30"/>
      <c r="E1151" s="30"/>
      <c r="F1151" s="22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</row>
    <row r="1152">
      <c r="A1152" s="20"/>
      <c r="B1152" s="20"/>
      <c r="C1152" s="30"/>
      <c r="D1152" s="30"/>
      <c r="E1152" s="30"/>
      <c r="F1152" s="22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</row>
    <row r="1153">
      <c r="A1153" s="20"/>
      <c r="B1153" s="20"/>
      <c r="C1153" s="30"/>
      <c r="D1153" s="30"/>
      <c r="E1153" s="30"/>
      <c r="F1153" s="22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</row>
    <row r="1154">
      <c r="A1154" s="20"/>
      <c r="B1154" s="20"/>
      <c r="C1154" s="30"/>
      <c r="D1154" s="30"/>
      <c r="E1154" s="30"/>
      <c r="F1154" s="22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</row>
    <row r="1155">
      <c r="A1155" s="20"/>
      <c r="B1155" s="20"/>
      <c r="C1155" s="30"/>
      <c r="D1155" s="30"/>
      <c r="E1155" s="30"/>
      <c r="F1155" s="22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</row>
    <row r="1156">
      <c r="A1156" s="20"/>
      <c r="B1156" s="20"/>
      <c r="C1156" s="30"/>
      <c r="D1156" s="30"/>
      <c r="E1156" s="30"/>
      <c r="F1156" s="22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</row>
    <row r="1157">
      <c r="A1157" s="20"/>
      <c r="B1157" s="20"/>
      <c r="C1157" s="30"/>
      <c r="D1157" s="30"/>
      <c r="E1157" s="30"/>
      <c r="F1157" s="22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</row>
    <row r="1158">
      <c r="A1158" s="20"/>
      <c r="B1158" s="20"/>
      <c r="C1158" s="30"/>
      <c r="D1158" s="30"/>
      <c r="E1158" s="30"/>
      <c r="F1158" s="22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</row>
    <row r="1159">
      <c r="A1159" s="20"/>
      <c r="B1159" s="20"/>
      <c r="C1159" s="30"/>
      <c r="D1159" s="30"/>
      <c r="E1159" s="30"/>
      <c r="F1159" s="22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</row>
    <row r="1160">
      <c r="A1160" s="20"/>
      <c r="B1160" s="20"/>
      <c r="C1160" s="30"/>
      <c r="D1160" s="30"/>
      <c r="E1160" s="30"/>
      <c r="F1160" s="22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</row>
    <row r="1161">
      <c r="A1161" s="20"/>
      <c r="B1161" s="20"/>
      <c r="C1161" s="30"/>
      <c r="D1161" s="30"/>
      <c r="E1161" s="30"/>
      <c r="F1161" s="22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</row>
    <row r="1162">
      <c r="A1162" s="20"/>
      <c r="B1162" s="20"/>
      <c r="C1162" s="30"/>
      <c r="D1162" s="30"/>
      <c r="E1162" s="30"/>
      <c r="F1162" s="22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</row>
    <row r="1163">
      <c r="A1163" s="20"/>
      <c r="B1163" s="20"/>
      <c r="C1163" s="30"/>
      <c r="D1163" s="30"/>
      <c r="E1163" s="30"/>
      <c r="F1163" s="22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</row>
    <row r="1164">
      <c r="A1164" s="20"/>
      <c r="B1164" s="20"/>
      <c r="C1164" s="30"/>
      <c r="D1164" s="30"/>
      <c r="E1164" s="30"/>
      <c r="F1164" s="22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</row>
    <row r="1165">
      <c r="A1165" s="20"/>
      <c r="B1165" s="20"/>
      <c r="C1165" s="30"/>
      <c r="D1165" s="30"/>
      <c r="E1165" s="30"/>
      <c r="F1165" s="22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</row>
    <row r="1166">
      <c r="A1166" s="20"/>
      <c r="B1166" s="20"/>
      <c r="C1166" s="30"/>
      <c r="D1166" s="30"/>
      <c r="E1166" s="30"/>
      <c r="F1166" s="22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</row>
    <row r="1167">
      <c r="A1167" s="20"/>
      <c r="B1167" s="20"/>
      <c r="C1167" s="30"/>
      <c r="D1167" s="30"/>
      <c r="E1167" s="30"/>
      <c r="F1167" s="22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</row>
    <row r="1168">
      <c r="A1168" s="20"/>
      <c r="B1168" s="20"/>
      <c r="C1168" s="30"/>
      <c r="D1168" s="30"/>
      <c r="E1168" s="30"/>
      <c r="F1168" s="22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</row>
    <row r="1169">
      <c r="A1169" s="20"/>
      <c r="B1169" s="20"/>
      <c r="C1169" s="30"/>
      <c r="D1169" s="30"/>
      <c r="E1169" s="30"/>
      <c r="F1169" s="22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</row>
    <row r="1170">
      <c r="A1170" s="20"/>
      <c r="B1170" s="20"/>
      <c r="C1170" s="30"/>
      <c r="D1170" s="30"/>
      <c r="E1170" s="30"/>
      <c r="F1170" s="22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</row>
    <row r="1171">
      <c r="A1171" s="20"/>
      <c r="B1171" s="20"/>
      <c r="C1171" s="30"/>
      <c r="D1171" s="30"/>
      <c r="E1171" s="30"/>
      <c r="F1171" s="22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</row>
    <row r="1172">
      <c r="A1172" s="20"/>
      <c r="B1172" s="20"/>
      <c r="C1172" s="30"/>
      <c r="D1172" s="30"/>
      <c r="E1172" s="30"/>
      <c r="F1172" s="22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</row>
    <row r="1173">
      <c r="A1173" s="20"/>
      <c r="B1173" s="20"/>
      <c r="C1173" s="30"/>
      <c r="D1173" s="30"/>
      <c r="E1173" s="30"/>
      <c r="F1173" s="22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</row>
    <row r="1174">
      <c r="A1174" s="20"/>
      <c r="B1174" s="20"/>
      <c r="C1174" s="30"/>
      <c r="D1174" s="30"/>
      <c r="E1174" s="30"/>
      <c r="F1174" s="22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</row>
    <row r="1175">
      <c r="A1175" s="20"/>
      <c r="B1175" s="20"/>
      <c r="C1175" s="30"/>
      <c r="D1175" s="30"/>
      <c r="E1175" s="30"/>
      <c r="F1175" s="22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</row>
    <row r="1176">
      <c r="A1176" s="20"/>
      <c r="B1176" s="20"/>
      <c r="C1176" s="30"/>
      <c r="D1176" s="30"/>
      <c r="E1176" s="30"/>
      <c r="F1176" s="22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</row>
    <row r="1177">
      <c r="A1177" s="20"/>
      <c r="B1177" s="20"/>
      <c r="C1177" s="30"/>
      <c r="D1177" s="30"/>
      <c r="E1177" s="30"/>
      <c r="F1177" s="22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</row>
    <row r="1178">
      <c r="A1178" s="20"/>
      <c r="B1178" s="20"/>
      <c r="C1178" s="30"/>
      <c r="D1178" s="30"/>
      <c r="E1178" s="30"/>
      <c r="F1178" s="22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</row>
    <row r="1179">
      <c r="A1179" s="20"/>
      <c r="B1179" s="20"/>
      <c r="C1179" s="30"/>
      <c r="D1179" s="30"/>
      <c r="E1179" s="30"/>
      <c r="F1179" s="22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</row>
    <row r="1180">
      <c r="A1180" s="20"/>
      <c r="B1180" s="20"/>
      <c r="C1180" s="30"/>
      <c r="D1180" s="30"/>
      <c r="E1180" s="30"/>
      <c r="F1180" s="22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</row>
    <row r="1181">
      <c r="A1181" s="20"/>
      <c r="B1181" s="20"/>
      <c r="C1181" s="30"/>
      <c r="D1181" s="30"/>
      <c r="E1181" s="30"/>
      <c r="F1181" s="22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</row>
    <row r="1182">
      <c r="A1182" s="20"/>
      <c r="B1182" s="20"/>
      <c r="C1182" s="30"/>
      <c r="D1182" s="30"/>
      <c r="E1182" s="30"/>
      <c r="F1182" s="22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</row>
    <row r="1183">
      <c r="A1183" s="20"/>
      <c r="B1183" s="20"/>
      <c r="C1183" s="30"/>
      <c r="D1183" s="30"/>
      <c r="E1183" s="30"/>
      <c r="F1183" s="22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</row>
    <row r="1184">
      <c r="A1184" s="20"/>
      <c r="B1184" s="20"/>
      <c r="C1184" s="30"/>
      <c r="D1184" s="30"/>
      <c r="E1184" s="30"/>
      <c r="F1184" s="22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</row>
    <row r="1185">
      <c r="A1185" s="20"/>
      <c r="B1185" s="20"/>
      <c r="C1185" s="30"/>
      <c r="D1185" s="30"/>
      <c r="E1185" s="30"/>
      <c r="F1185" s="22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</row>
    <row r="1186">
      <c r="A1186" s="20"/>
      <c r="B1186" s="20"/>
      <c r="C1186" s="30"/>
      <c r="D1186" s="30"/>
      <c r="E1186" s="30"/>
      <c r="F1186" s="22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</row>
    <row r="1187">
      <c r="A1187" s="20"/>
      <c r="B1187" s="20"/>
      <c r="C1187" s="30"/>
      <c r="D1187" s="30"/>
      <c r="E1187" s="30"/>
      <c r="F1187" s="22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</row>
    <row r="1188">
      <c r="A1188" s="20"/>
      <c r="B1188" s="20"/>
      <c r="C1188" s="30"/>
      <c r="D1188" s="30"/>
      <c r="E1188" s="30"/>
      <c r="F1188" s="22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</row>
    <row r="1189">
      <c r="A1189" s="20"/>
      <c r="B1189" s="20"/>
      <c r="C1189" s="30"/>
      <c r="D1189" s="30"/>
      <c r="E1189" s="30"/>
      <c r="F1189" s="22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</row>
    <row r="1190">
      <c r="A1190" s="20"/>
      <c r="B1190" s="20"/>
      <c r="C1190" s="30"/>
      <c r="D1190" s="30"/>
      <c r="E1190" s="30"/>
      <c r="F1190" s="22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</row>
    <row r="1191">
      <c r="A1191" s="20"/>
      <c r="B1191" s="20"/>
      <c r="C1191" s="30"/>
      <c r="D1191" s="30"/>
      <c r="E1191" s="30"/>
      <c r="F1191" s="22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</row>
    <row r="1192">
      <c r="A1192" s="20"/>
      <c r="B1192" s="20"/>
      <c r="C1192" s="30"/>
      <c r="D1192" s="30"/>
      <c r="E1192" s="30"/>
      <c r="F1192" s="22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</row>
    <row r="1193">
      <c r="A1193" s="20"/>
      <c r="B1193" s="20"/>
      <c r="C1193" s="30"/>
      <c r="D1193" s="30"/>
      <c r="E1193" s="30"/>
      <c r="F1193" s="22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</row>
    <row r="1194">
      <c r="A1194" s="20"/>
      <c r="B1194" s="20"/>
      <c r="C1194" s="30"/>
      <c r="D1194" s="30"/>
      <c r="E1194" s="30"/>
      <c r="F1194" s="22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</row>
    <row r="1195">
      <c r="A1195" s="20"/>
      <c r="B1195" s="20"/>
      <c r="C1195" s="30"/>
      <c r="D1195" s="30"/>
      <c r="E1195" s="30"/>
      <c r="F1195" s="22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</row>
    <row r="1196">
      <c r="A1196" s="20"/>
      <c r="B1196" s="20"/>
      <c r="C1196" s="30"/>
      <c r="D1196" s="30"/>
      <c r="E1196" s="30"/>
      <c r="F1196" s="22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</row>
    <row r="1197">
      <c r="A1197" s="20"/>
      <c r="B1197" s="20"/>
      <c r="C1197" s="30"/>
      <c r="D1197" s="30"/>
      <c r="E1197" s="30"/>
      <c r="F1197" s="22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</row>
    <row r="1198">
      <c r="A1198" s="20"/>
      <c r="B1198" s="20"/>
      <c r="C1198" s="30"/>
      <c r="D1198" s="30"/>
      <c r="E1198" s="30"/>
      <c r="F1198" s="22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</row>
    <row r="1199">
      <c r="A1199" s="20"/>
      <c r="B1199" s="20"/>
      <c r="C1199" s="30"/>
      <c r="D1199" s="30"/>
      <c r="E1199" s="30"/>
      <c r="F1199" s="22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</row>
    <row r="1200">
      <c r="A1200" s="20"/>
      <c r="B1200" s="20"/>
      <c r="C1200" s="30"/>
      <c r="D1200" s="30"/>
      <c r="E1200" s="30"/>
      <c r="F1200" s="22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</row>
    <row r="1201">
      <c r="A1201" s="20"/>
      <c r="B1201" s="20"/>
      <c r="C1201" s="30"/>
      <c r="D1201" s="30"/>
      <c r="E1201" s="30"/>
      <c r="F1201" s="22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</row>
    <row r="1202">
      <c r="A1202" s="20"/>
      <c r="B1202" s="20"/>
      <c r="C1202" s="30"/>
      <c r="D1202" s="30"/>
      <c r="E1202" s="30"/>
      <c r="F1202" s="22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</row>
    <row r="1203">
      <c r="A1203" s="20"/>
      <c r="B1203" s="20"/>
      <c r="C1203" s="30"/>
      <c r="D1203" s="30"/>
      <c r="E1203" s="30"/>
      <c r="F1203" s="22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</row>
    <row r="1204">
      <c r="A1204" s="20"/>
      <c r="B1204" s="20"/>
      <c r="C1204" s="30"/>
      <c r="D1204" s="30"/>
      <c r="E1204" s="30"/>
      <c r="F1204" s="22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</row>
    <row r="1205">
      <c r="A1205" s="20"/>
      <c r="B1205" s="20"/>
      <c r="C1205" s="30"/>
      <c r="D1205" s="30"/>
      <c r="E1205" s="30"/>
      <c r="F1205" s="22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</row>
    <row r="1206">
      <c r="A1206" s="20"/>
      <c r="B1206" s="20"/>
      <c r="C1206" s="30"/>
      <c r="D1206" s="30"/>
      <c r="E1206" s="30"/>
      <c r="F1206" s="22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</row>
    <row r="1207">
      <c r="A1207" s="20"/>
      <c r="B1207" s="20"/>
      <c r="C1207" s="30"/>
      <c r="D1207" s="30"/>
      <c r="E1207" s="30"/>
      <c r="F1207" s="22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</row>
    <row r="1208">
      <c r="A1208" s="20"/>
      <c r="B1208" s="20"/>
      <c r="C1208" s="30"/>
      <c r="D1208" s="30"/>
      <c r="E1208" s="30"/>
      <c r="F1208" s="22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</row>
    <row r="1209">
      <c r="A1209" s="20"/>
      <c r="B1209" s="20"/>
      <c r="C1209" s="30"/>
      <c r="D1209" s="30"/>
      <c r="E1209" s="30"/>
      <c r="F1209" s="22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</row>
    <row r="1210">
      <c r="A1210" s="20"/>
      <c r="B1210" s="20"/>
      <c r="C1210" s="30"/>
      <c r="D1210" s="30"/>
      <c r="E1210" s="30"/>
      <c r="F1210" s="22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</row>
    <row r="1211">
      <c r="A1211" s="20"/>
      <c r="B1211" s="20"/>
      <c r="C1211" s="30"/>
      <c r="D1211" s="30"/>
      <c r="E1211" s="30"/>
      <c r="F1211" s="22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</row>
    <row r="1212">
      <c r="A1212" s="20"/>
      <c r="B1212" s="20"/>
      <c r="C1212" s="30"/>
      <c r="D1212" s="30"/>
      <c r="E1212" s="30"/>
      <c r="F1212" s="22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</row>
    <row r="1213">
      <c r="A1213" s="20"/>
      <c r="B1213" s="20"/>
      <c r="C1213" s="30"/>
      <c r="D1213" s="30"/>
      <c r="E1213" s="30"/>
      <c r="F1213" s="22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</row>
    <row r="1214">
      <c r="A1214" s="20"/>
      <c r="B1214" s="20"/>
      <c r="C1214" s="30"/>
      <c r="D1214" s="30"/>
      <c r="E1214" s="30"/>
      <c r="F1214" s="22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</row>
    <row r="1215">
      <c r="A1215" s="20"/>
      <c r="B1215" s="20"/>
      <c r="C1215" s="30"/>
      <c r="D1215" s="30"/>
      <c r="E1215" s="30"/>
      <c r="F1215" s="22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</row>
    <row r="1216">
      <c r="A1216" s="20"/>
      <c r="B1216" s="20"/>
      <c r="C1216" s="30"/>
      <c r="D1216" s="30"/>
      <c r="E1216" s="30"/>
      <c r="F1216" s="22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</row>
    <row r="1217">
      <c r="A1217" s="20"/>
      <c r="B1217" s="20"/>
      <c r="C1217" s="30"/>
      <c r="D1217" s="30"/>
      <c r="E1217" s="30"/>
      <c r="F1217" s="22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</row>
    <row r="1218">
      <c r="A1218" s="20"/>
      <c r="B1218" s="20"/>
      <c r="C1218" s="30"/>
      <c r="D1218" s="30"/>
      <c r="E1218" s="30"/>
      <c r="F1218" s="22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</row>
    <row r="1219">
      <c r="A1219" s="20"/>
      <c r="B1219" s="20"/>
      <c r="C1219" s="30"/>
      <c r="D1219" s="30"/>
      <c r="E1219" s="30"/>
      <c r="F1219" s="22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</row>
    <row r="1220">
      <c r="A1220" s="20"/>
      <c r="B1220" s="20"/>
      <c r="C1220" s="30"/>
      <c r="D1220" s="30"/>
      <c r="E1220" s="30"/>
      <c r="F1220" s="22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</row>
    <row r="1221">
      <c r="A1221" s="20"/>
      <c r="B1221" s="20"/>
      <c r="C1221" s="30"/>
      <c r="D1221" s="30"/>
      <c r="E1221" s="30"/>
      <c r="F1221" s="22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</row>
    <row r="1222">
      <c r="A1222" s="20"/>
      <c r="B1222" s="20"/>
      <c r="C1222" s="30"/>
      <c r="D1222" s="30"/>
      <c r="E1222" s="30"/>
      <c r="F1222" s="22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</row>
    <row r="1223">
      <c r="A1223" s="20"/>
      <c r="B1223" s="20"/>
      <c r="C1223" s="30"/>
      <c r="D1223" s="30"/>
      <c r="E1223" s="30"/>
      <c r="F1223" s="22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</row>
    <row r="1224">
      <c r="A1224" s="20"/>
      <c r="B1224" s="20"/>
      <c r="C1224" s="30"/>
      <c r="D1224" s="30"/>
      <c r="E1224" s="30"/>
      <c r="F1224" s="22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</row>
    <row r="1225">
      <c r="A1225" s="20"/>
      <c r="B1225" s="20"/>
      <c r="C1225" s="30"/>
      <c r="D1225" s="30"/>
      <c r="E1225" s="30"/>
      <c r="F1225" s="22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</row>
    <row r="1226">
      <c r="A1226" s="20"/>
      <c r="B1226" s="20"/>
      <c r="C1226" s="30"/>
      <c r="D1226" s="30"/>
      <c r="E1226" s="30"/>
      <c r="F1226" s="22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</row>
    <row r="1227">
      <c r="A1227" s="20"/>
      <c r="B1227" s="20"/>
      <c r="C1227" s="30"/>
      <c r="D1227" s="30"/>
      <c r="E1227" s="30"/>
      <c r="F1227" s="22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</row>
    <row r="1228">
      <c r="A1228" s="20"/>
      <c r="B1228" s="20"/>
      <c r="C1228" s="30"/>
      <c r="D1228" s="30"/>
      <c r="E1228" s="30"/>
      <c r="F1228" s="22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</row>
    <row r="1229">
      <c r="A1229" s="20"/>
      <c r="B1229" s="20"/>
      <c r="C1229" s="30"/>
      <c r="D1229" s="30"/>
      <c r="E1229" s="30"/>
      <c r="F1229" s="22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</row>
    <row r="1230">
      <c r="A1230" s="20"/>
      <c r="B1230" s="20"/>
      <c r="C1230" s="30"/>
      <c r="D1230" s="30"/>
      <c r="E1230" s="30"/>
      <c r="F1230" s="22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</row>
    <row r="1231">
      <c r="A1231" s="20"/>
      <c r="B1231" s="20"/>
      <c r="C1231" s="30"/>
      <c r="D1231" s="30"/>
      <c r="E1231" s="30"/>
      <c r="F1231" s="22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</row>
    <row r="1232">
      <c r="A1232" s="20"/>
      <c r="B1232" s="20"/>
      <c r="C1232" s="30"/>
      <c r="D1232" s="30"/>
      <c r="E1232" s="30"/>
      <c r="F1232" s="22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</row>
    <row r="1233">
      <c r="A1233" s="20"/>
      <c r="B1233" s="20"/>
      <c r="C1233" s="30"/>
      <c r="D1233" s="30"/>
      <c r="E1233" s="30"/>
      <c r="F1233" s="22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</row>
    <row r="1234">
      <c r="A1234" s="20"/>
      <c r="B1234" s="20"/>
      <c r="C1234" s="30"/>
      <c r="D1234" s="30"/>
      <c r="E1234" s="30"/>
      <c r="F1234" s="22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</row>
    <row r="1235">
      <c r="A1235" s="20"/>
      <c r="B1235" s="20"/>
      <c r="C1235" s="30"/>
      <c r="D1235" s="30"/>
      <c r="E1235" s="30"/>
      <c r="F1235" s="22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</row>
    <row r="1236">
      <c r="A1236" s="20"/>
      <c r="B1236" s="20"/>
      <c r="C1236" s="30"/>
      <c r="D1236" s="30"/>
      <c r="E1236" s="30"/>
      <c r="F1236" s="22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</row>
    <row r="1237">
      <c r="A1237" s="20"/>
      <c r="B1237" s="20"/>
      <c r="C1237" s="30"/>
      <c r="D1237" s="30"/>
      <c r="E1237" s="30"/>
      <c r="F1237" s="22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</row>
    <row r="1238">
      <c r="A1238" s="20"/>
      <c r="B1238" s="20"/>
      <c r="C1238" s="30"/>
      <c r="D1238" s="30"/>
      <c r="E1238" s="30"/>
      <c r="F1238" s="22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</row>
    <row r="1239">
      <c r="A1239" s="20"/>
      <c r="B1239" s="20"/>
      <c r="C1239" s="30"/>
      <c r="D1239" s="30"/>
      <c r="E1239" s="30"/>
      <c r="F1239" s="22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</row>
    <row r="1240">
      <c r="A1240" s="20"/>
      <c r="B1240" s="20"/>
      <c r="C1240" s="30"/>
      <c r="D1240" s="30"/>
      <c r="E1240" s="30"/>
      <c r="F1240" s="22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</row>
    <row r="1241">
      <c r="A1241" s="20"/>
      <c r="B1241" s="20"/>
      <c r="C1241" s="30"/>
      <c r="D1241" s="30"/>
      <c r="E1241" s="30"/>
      <c r="F1241" s="22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</row>
    <row r="1242">
      <c r="A1242" s="20"/>
      <c r="B1242" s="20"/>
      <c r="C1242" s="30"/>
      <c r="D1242" s="30"/>
      <c r="E1242" s="30"/>
      <c r="F1242" s="22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</row>
    <row r="1243">
      <c r="A1243" s="20"/>
      <c r="B1243" s="20"/>
      <c r="C1243" s="30"/>
      <c r="D1243" s="30"/>
      <c r="E1243" s="30"/>
      <c r="F1243" s="22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</row>
    <row r="1244">
      <c r="A1244" s="20"/>
      <c r="B1244" s="20"/>
      <c r="C1244" s="30"/>
      <c r="D1244" s="30"/>
      <c r="E1244" s="30"/>
      <c r="F1244" s="22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</row>
    <row r="1245">
      <c r="A1245" s="20"/>
      <c r="B1245" s="20"/>
      <c r="C1245" s="30"/>
      <c r="D1245" s="30"/>
      <c r="E1245" s="30"/>
      <c r="F1245" s="22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</row>
    <row r="1246">
      <c r="A1246" s="20"/>
      <c r="B1246" s="20"/>
      <c r="C1246" s="30"/>
      <c r="D1246" s="30"/>
      <c r="E1246" s="30"/>
      <c r="F1246" s="22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</row>
    <row r="1247">
      <c r="A1247" s="20"/>
      <c r="B1247" s="20"/>
      <c r="C1247" s="30"/>
      <c r="D1247" s="30"/>
      <c r="E1247" s="30"/>
      <c r="F1247" s="22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</row>
    <row r="1248">
      <c r="A1248" s="20"/>
      <c r="B1248" s="20"/>
      <c r="C1248" s="30"/>
      <c r="D1248" s="30"/>
      <c r="E1248" s="30"/>
      <c r="F1248" s="22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</row>
    <row r="1249">
      <c r="A1249" s="20"/>
      <c r="B1249" s="20"/>
      <c r="C1249" s="30"/>
      <c r="D1249" s="30"/>
      <c r="E1249" s="30"/>
      <c r="F1249" s="22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</row>
    <row r="1250">
      <c r="A1250" s="20"/>
      <c r="B1250" s="20"/>
      <c r="C1250" s="30"/>
      <c r="D1250" s="30"/>
      <c r="E1250" s="30"/>
      <c r="F1250" s="22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</row>
    <row r="1251">
      <c r="A1251" s="20"/>
      <c r="B1251" s="20"/>
      <c r="C1251" s="30"/>
      <c r="D1251" s="30"/>
      <c r="E1251" s="30"/>
      <c r="F1251" s="22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</row>
    <row r="1252">
      <c r="A1252" s="20"/>
      <c r="B1252" s="20"/>
      <c r="C1252" s="30"/>
      <c r="D1252" s="30"/>
      <c r="E1252" s="30"/>
      <c r="F1252" s="22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</row>
    <row r="1253">
      <c r="A1253" s="20"/>
      <c r="B1253" s="20"/>
      <c r="C1253" s="30"/>
      <c r="D1253" s="30"/>
      <c r="E1253" s="30"/>
      <c r="F1253" s="22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</row>
    <row r="1254">
      <c r="A1254" s="20"/>
      <c r="B1254" s="20"/>
      <c r="C1254" s="30"/>
      <c r="D1254" s="30"/>
      <c r="E1254" s="30"/>
      <c r="F1254" s="22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</row>
    <row r="1255">
      <c r="A1255" s="20"/>
      <c r="B1255" s="20"/>
      <c r="C1255" s="30"/>
      <c r="D1255" s="30"/>
      <c r="E1255" s="30"/>
      <c r="F1255" s="22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</row>
    <row r="1256">
      <c r="A1256" s="20"/>
      <c r="B1256" s="20"/>
      <c r="C1256" s="30"/>
      <c r="D1256" s="30"/>
      <c r="E1256" s="30"/>
      <c r="F1256" s="22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</row>
    <row r="1257">
      <c r="A1257" s="20"/>
      <c r="B1257" s="20"/>
      <c r="C1257" s="30"/>
      <c r="D1257" s="30"/>
      <c r="E1257" s="30"/>
      <c r="F1257" s="22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</row>
    <row r="1258">
      <c r="A1258" s="20"/>
      <c r="B1258" s="20"/>
      <c r="C1258" s="30"/>
      <c r="D1258" s="30"/>
      <c r="E1258" s="30"/>
      <c r="F1258" s="22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</row>
    <row r="1259">
      <c r="A1259" s="20"/>
      <c r="B1259" s="20"/>
      <c r="C1259" s="30"/>
      <c r="D1259" s="30"/>
      <c r="E1259" s="30"/>
      <c r="F1259" s="22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</row>
    <row r="1260">
      <c r="A1260" s="20"/>
      <c r="B1260" s="20"/>
      <c r="C1260" s="30"/>
      <c r="D1260" s="30"/>
      <c r="E1260" s="30"/>
      <c r="F1260" s="22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</row>
    <row r="1261">
      <c r="A1261" s="20"/>
      <c r="B1261" s="20"/>
      <c r="C1261" s="30"/>
      <c r="D1261" s="30"/>
      <c r="E1261" s="30"/>
      <c r="F1261" s="22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</row>
    <row r="1262">
      <c r="A1262" s="20"/>
      <c r="B1262" s="20"/>
      <c r="C1262" s="30"/>
      <c r="D1262" s="30"/>
      <c r="E1262" s="30"/>
      <c r="F1262" s="22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</row>
    <row r="1263">
      <c r="A1263" s="20"/>
      <c r="B1263" s="20"/>
      <c r="C1263" s="30"/>
      <c r="D1263" s="30"/>
      <c r="E1263" s="30"/>
      <c r="F1263" s="22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</row>
    <row r="1264">
      <c r="A1264" s="20"/>
      <c r="B1264" s="20"/>
      <c r="C1264" s="30"/>
      <c r="D1264" s="30"/>
      <c r="E1264" s="30"/>
      <c r="F1264" s="22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</row>
    <row r="1265">
      <c r="A1265" s="20"/>
      <c r="B1265" s="20"/>
      <c r="C1265" s="30"/>
      <c r="D1265" s="30"/>
      <c r="E1265" s="30"/>
      <c r="F1265" s="22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</row>
    <row r="1266">
      <c r="A1266" s="20"/>
      <c r="B1266" s="20"/>
      <c r="C1266" s="30"/>
      <c r="D1266" s="30"/>
      <c r="E1266" s="30"/>
      <c r="F1266" s="22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</row>
    <row r="1267">
      <c r="A1267" s="20"/>
      <c r="B1267" s="20"/>
      <c r="C1267" s="30"/>
      <c r="D1267" s="30"/>
      <c r="E1267" s="30"/>
      <c r="F1267" s="22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</row>
    <row r="1268">
      <c r="A1268" s="20"/>
      <c r="B1268" s="20"/>
      <c r="C1268" s="30"/>
      <c r="D1268" s="30"/>
      <c r="E1268" s="30"/>
      <c r="F1268" s="22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</row>
    <row r="1269">
      <c r="A1269" s="20"/>
      <c r="B1269" s="20"/>
      <c r="C1269" s="30"/>
      <c r="D1269" s="30"/>
      <c r="E1269" s="30"/>
      <c r="F1269" s="22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</row>
    <row r="1270">
      <c r="A1270" s="20"/>
      <c r="B1270" s="20"/>
      <c r="C1270" s="30"/>
      <c r="D1270" s="30"/>
      <c r="E1270" s="30"/>
      <c r="F1270" s="22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</row>
    <row r="1271">
      <c r="A1271" s="20"/>
      <c r="B1271" s="20"/>
      <c r="C1271" s="30"/>
      <c r="D1271" s="30"/>
      <c r="E1271" s="30"/>
      <c r="F1271" s="22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</row>
    <row r="1272">
      <c r="A1272" s="20"/>
      <c r="B1272" s="20"/>
      <c r="C1272" s="30"/>
      <c r="D1272" s="30"/>
      <c r="E1272" s="30"/>
      <c r="F1272" s="22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</row>
    <row r="1273">
      <c r="A1273" s="20"/>
      <c r="B1273" s="20"/>
      <c r="C1273" s="30"/>
      <c r="D1273" s="30"/>
      <c r="E1273" s="30"/>
      <c r="F1273" s="22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</row>
    <row r="1274">
      <c r="A1274" s="20"/>
      <c r="B1274" s="20"/>
      <c r="C1274" s="30"/>
      <c r="D1274" s="30"/>
      <c r="E1274" s="30"/>
      <c r="F1274" s="22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</row>
    <row r="1275">
      <c r="A1275" s="20"/>
      <c r="B1275" s="20"/>
      <c r="C1275" s="30"/>
      <c r="D1275" s="30"/>
      <c r="E1275" s="30"/>
      <c r="F1275" s="22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</row>
    <row r="1276">
      <c r="A1276" s="20"/>
      <c r="B1276" s="20"/>
      <c r="C1276" s="30"/>
      <c r="D1276" s="30"/>
      <c r="E1276" s="30"/>
      <c r="F1276" s="22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</row>
    <row r="1277">
      <c r="A1277" s="20"/>
      <c r="B1277" s="20"/>
      <c r="C1277" s="30"/>
      <c r="D1277" s="30"/>
      <c r="E1277" s="30"/>
      <c r="F1277" s="22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</row>
    <row r="1278">
      <c r="A1278" s="20"/>
      <c r="B1278" s="20"/>
      <c r="C1278" s="30"/>
      <c r="D1278" s="30"/>
      <c r="E1278" s="30"/>
      <c r="F1278" s="22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</row>
    <row r="1279">
      <c r="A1279" s="20"/>
      <c r="B1279" s="20"/>
      <c r="C1279" s="30"/>
      <c r="D1279" s="30"/>
      <c r="E1279" s="30"/>
      <c r="F1279" s="22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</row>
    <row r="1280">
      <c r="A1280" s="20"/>
      <c r="B1280" s="20"/>
      <c r="C1280" s="30"/>
      <c r="D1280" s="30"/>
      <c r="E1280" s="30"/>
      <c r="F1280" s="22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</row>
    <row r="1281">
      <c r="A1281" s="20"/>
      <c r="B1281" s="20"/>
      <c r="C1281" s="30"/>
      <c r="D1281" s="30"/>
      <c r="E1281" s="30"/>
      <c r="F1281" s="22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</row>
    <row r="1282">
      <c r="A1282" s="20"/>
      <c r="B1282" s="20"/>
      <c r="C1282" s="30"/>
      <c r="D1282" s="30"/>
      <c r="E1282" s="30"/>
      <c r="F1282" s="22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</row>
    <row r="1283">
      <c r="A1283" s="20"/>
      <c r="B1283" s="20"/>
      <c r="C1283" s="30"/>
      <c r="D1283" s="30"/>
      <c r="E1283" s="30"/>
      <c r="F1283" s="22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</row>
    <row r="1284">
      <c r="A1284" s="20"/>
      <c r="B1284" s="20"/>
      <c r="C1284" s="30"/>
      <c r="D1284" s="30"/>
      <c r="E1284" s="30"/>
      <c r="F1284" s="22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</row>
    <row r="1285">
      <c r="A1285" s="20"/>
      <c r="B1285" s="20"/>
      <c r="C1285" s="30"/>
      <c r="D1285" s="30"/>
      <c r="E1285" s="30"/>
      <c r="F1285" s="22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</row>
    <row r="1286">
      <c r="A1286" s="20"/>
      <c r="B1286" s="20"/>
      <c r="C1286" s="30"/>
      <c r="D1286" s="30"/>
      <c r="E1286" s="30"/>
      <c r="F1286" s="22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</row>
    <row r="1287">
      <c r="A1287" s="20"/>
      <c r="B1287" s="20"/>
      <c r="C1287" s="30"/>
      <c r="D1287" s="30"/>
      <c r="E1287" s="30"/>
      <c r="F1287" s="22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</row>
    <row r="1288">
      <c r="A1288" s="20"/>
      <c r="B1288" s="20"/>
      <c r="C1288" s="30"/>
      <c r="D1288" s="30"/>
      <c r="E1288" s="30"/>
      <c r="F1288" s="22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</row>
    <row r="1289">
      <c r="A1289" s="20"/>
      <c r="B1289" s="20"/>
      <c r="C1289" s="30"/>
      <c r="D1289" s="30"/>
      <c r="E1289" s="30"/>
      <c r="F1289" s="22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</row>
    <row r="1290">
      <c r="A1290" s="20"/>
      <c r="B1290" s="20"/>
      <c r="C1290" s="30"/>
      <c r="D1290" s="30"/>
      <c r="E1290" s="30"/>
      <c r="F1290" s="22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</row>
    <row r="1291">
      <c r="A1291" s="20"/>
      <c r="B1291" s="20"/>
      <c r="C1291" s="30"/>
      <c r="D1291" s="30"/>
      <c r="E1291" s="30"/>
      <c r="F1291" s="22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</row>
    <row r="1292">
      <c r="A1292" s="20"/>
      <c r="B1292" s="20"/>
      <c r="C1292" s="30"/>
      <c r="D1292" s="30"/>
      <c r="E1292" s="30"/>
      <c r="F1292" s="22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</row>
    <row r="1293">
      <c r="A1293" s="20"/>
      <c r="B1293" s="20"/>
      <c r="C1293" s="30"/>
      <c r="D1293" s="30"/>
      <c r="E1293" s="30"/>
      <c r="F1293" s="22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</row>
    <row r="1294">
      <c r="A1294" s="20"/>
      <c r="B1294" s="20"/>
      <c r="C1294" s="30"/>
      <c r="D1294" s="30"/>
      <c r="E1294" s="30"/>
      <c r="F1294" s="22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</row>
    <row r="1295">
      <c r="A1295" s="20"/>
      <c r="B1295" s="20"/>
      <c r="C1295" s="30"/>
      <c r="D1295" s="30"/>
      <c r="E1295" s="30"/>
      <c r="F1295" s="22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</row>
    <row r="1296">
      <c r="A1296" s="20"/>
      <c r="B1296" s="20"/>
      <c r="C1296" s="30"/>
      <c r="D1296" s="30"/>
      <c r="E1296" s="30"/>
      <c r="F1296" s="22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</row>
    <row r="1297">
      <c r="A1297" s="20"/>
      <c r="B1297" s="20"/>
      <c r="C1297" s="30"/>
      <c r="D1297" s="30"/>
      <c r="E1297" s="30"/>
      <c r="F1297" s="22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</row>
    <row r="1298">
      <c r="A1298" s="20"/>
      <c r="B1298" s="20"/>
      <c r="C1298" s="30"/>
      <c r="D1298" s="30"/>
      <c r="E1298" s="30"/>
      <c r="F1298" s="22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</row>
    <row r="1299">
      <c r="A1299" s="20"/>
      <c r="B1299" s="20"/>
      <c r="C1299" s="30"/>
      <c r="D1299" s="30"/>
      <c r="E1299" s="30"/>
      <c r="F1299" s="22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</row>
    <row r="1300">
      <c r="A1300" s="20"/>
      <c r="B1300" s="20"/>
      <c r="C1300" s="30"/>
      <c r="D1300" s="30"/>
      <c r="E1300" s="30"/>
      <c r="F1300" s="22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</row>
    <row r="1301">
      <c r="A1301" s="20"/>
      <c r="B1301" s="20"/>
      <c r="C1301" s="30"/>
      <c r="D1301" s="30"/>
      <c r="E1301" s="30"/>
      <c r="F1301" s="22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</row>
    <row r="1302">
      <c r="A1302" s="20"/>
      <c r="B1302" s="20"/>
      <c r="C1302" s="30"/>
      <c r="D1302" s="30"/>
      <c r="E1302" s="30"/>
      <c r="F1302" s="22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</row>
    <row r="1303">
      <c r="A1303" s="20"/>
      <c r="B1303" s="20"/>
      <c r="C1303" s="30"/>
      <c r="D1303" s="30"/>
      <c r="E1303" s="30"/>
      <c r="F1303" s="22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</row>
    <row r="1304">
      <c r="A1304" s="20"/>
      <c r="B1304" s="20"/>
      <c r="C1304" s="30"/>
      <c r="D1304" s="30"/>
      <c r="E1304" s="30"/>
      <c r="F1304" s="22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</row>
    <row r="1305">
      <c r="A1305" s="20"/>
      <c r="B1305" s="20"/>
      <c r="C1305" s="30"/>
      <c r="D1305" s="30"/>
      <c r="E1305" s="30"/>
      <c r="F1305" s="22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</row>
    <row r="1306">
      <c r="A1306" s="20"/>
      <c r="B1306" s="20"/>
      <c r="C1306" s="30"/>
      <c r="D1306" s="30"/>
      <c r="E1306" s="30"/>
      <c r="F1306" s="22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</row>
    <row r="1307">
      <c r="A1307" s="20"/>
      <c r="B1307" s="20"/>
      <c r="C1307" s="30"/>
      <c r="D1307" s="30"/>
      <c r="E1307" s="30"/>
      <c r="F1307" s="22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</row>
    <row r="1308">
      <c r="A1308" s="20"/>
      <c r="B1308" s="20"/>
      <c r="C1308" s="30"/>
      <c r="D1308" s="30"/>
      <c r="E1308" s="30"/>
      <c r="F1308" s="22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</row>
    <row r="1309">
      <c r="A1309" s="20"/>
      <c r="B1309" s="20"/>
      <c r="C1309" s="30"/>
      <c r="D1309" s="30"/>
      <c r="E1309" s="30"/>
      <c r="F1309" s="22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</row>
    <row r="1310">
      <c r="A1310" s="20"/>
      <c r="B1310" s="20"/>
      <c r="C1310" s="30"/>
      <c r="D1310" s="30"/>
      <c r="E1310" s="30"/>
      <c r="F1310" s="22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</row>
    <row r="1311">
      <c r="A1311" s="20"/>
      <c r="B1311" s="20"/>
      <c r="C1311" s="30"/>
      <c r="D1311" s="30"/>
      <c r="E1311" s="30"/>
      <c r="F1311" s="22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</row>
    <row r="1312">
      <c r="A1312" s="20"/>
      <c r="B1312" s="20"/>
      <c r="C1312" s="30"/>
      <c r="D1312" s="30"/>
      <c r="E1312" s="30"/>
      <c r="F1312" s="22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</row>
    <row r="1313">
      <c r="A1313" s="20"/>
      <c r="B1313" s="20"/>
      <c r="C1313" s="30"/>
      <c r="D1313" s="30"/>
      <c r="E1313" s="30"/>
      <c r="F1313" s="22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</row>
    <row r="1314">
      <c r="A1314" s="20"/>
      <c r="B1314" s="20"/>
      <c r="C1314" s="30"/>
      <c r="D1314" s="30"/>
      <c r="E1314" s="30"/>
      <c r="F1314" s="22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</row>
    <row r="1315">
      <c r="A1315" s="20"/>
      <c r="B1315" s="20"/>
      <c r="C1315" s="30"/>
      <c r="D1315" s="30"/>
      <c r="E1315" s="30"/>
      <c r="F1315" s="22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</row>
    <row r="1316">
      <c r="A1316" s="20"/>
      <c r="B1316" s="20"/>
      <c r="C1316" s="30"/>
      <c r="D1316" s="30"/>
      <c r="E1316" s="30"/>
      <c r="F1316" s="22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</row>
    <row r="1317">
      <c r="A1317" s="20"/>
      <c r="B1317" s="20"/>
      <c r="C1317" s="30"/>
      <c r="D1317" s="30"/>
      <c r="E1317" s="30"/>
      <c r="F1317" s="22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</row>
    <row r="1318">
      <c r="A1318" s="20"/>
      <c r="B1318" s="20"/>
      <c r="C1318" s="30"/>
      <c r="D1318" s="30"/>
      <c r="E1318" s="30"/>
      <c r="F1318" s="22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</row>
    <row r="1319">
      <c r="A1319" s="20"/>
      <c r="B1319" s="20"/>
      <c r="C1319" s="30"/>
      <c r="D1319" s="30"/>
      <c r="E1319" s="30"/>
      <c r="F1319" s="22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</row>
    <row r="1320">
      <c r="A1320" s="20"/>
      <c r="B1320" s="20"/>
      <c r="C1320" s="30"/>
      <c r="D1320" s="30"/>
      <c r="E1320" s="30"/>
      <c r="F1320" s="22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</row>
    <row r="1321">
      <c r="A1321" s="20"/>
      <c r="B1321" s="20"/>
      <c r="C1321" s="30"/>
      <c r="D1321" s="30"/>
      <c r="E1321" s="30"/>
      <c r="F1321" s="22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</row>
    <row r="1322">
      <c r="A1322" s="20"/>
      <c r="B1322" s="20"/>
      <c r="C1322" s="30"/>
      <c r="D1322" s="30"/>
      <c r="E1322" s="30"/>
      <c r="F1322" s="22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</row>
    <row r="1323">
      <c r="A1323" s="20"/>
      <c r="B1323" s="20"/>
      <c r="C1323" s="30"/>
      <c r="D1323" s="30"/>
      <c r="E1323" s="30"/>
      <c r="F1323" s="22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</row>
    <row r="1324">
      <c r="A1324" s="20"/>
      <c r="B1324" s="20"/>
      <c r="C1324" s="30"/>
      <c r="D1324" s="30"/>
      <c r="E1324" s="30"/>
      <c r="F1324" s="22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</row>
    <row r="1325">
      <c r="A1325" s="20"/>
      <c r="B1325" s="20"/>
      <c r="C1325" s="30"/>
      <c r="D1325" s="30"/>
      <c r="E1325" s="30"/>
      <c r="F1325" s="22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</row>
    <row r="1326">
      <c r="A1326" s="20"/>
      <c r="B1326" s="20"/>
      <c r="C1326" s="30"/>
      <c r="D1326" s="30"/>
      <c r="E1326" s="30"/>
      <c r="F1326" s="22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</row>
    <row r="1327">
      <c r="A1327" s="20"/>
      <c r="B1327" s="20"/>
      <c r="C1327" s="30"/>
      <c r="D1327" s="30"/>
      <c r="E1327" s="30"/>
      <c r="F1327" s="22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</row>
    <row r="1328">
      <c r="A1328" s="20"/>
      <c r="B1328" s="20"/>
      <c r="C1328" s="30"/>
      <c r="D1328" s="30"/>
      <c r="E1328" s="30"/>
      <c r="F1328" s="22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</row>
    <row r="1329">
      <c r="A1329" s="20"/>
      <c r="B1329" s="20"/>
      <c r="C1329" s="30"/>
      <c r="D1329" s="30"/>
      <c r="E1329" s="30"/>
      <c r="F1329" s="22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</row>
    <row r="1330">
      <c r="A1330" s="20"/>
      <c r="B1330" s="20"/>
      <c r="C1330" s="30"/>
      <c r="D1330" s="30"/>
      <c r="E1330" s="30"/>
      <c r="F1330" s="22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</row>
    <row r="1331">
      <c r="A1331" s="20"/>
      <c r="B1331" s="20"/>
      <c r="C1331" s="30"/>
      <c r="D1331" s="30"/>
      <c r="E1331" s="30"/>
      <c r="F1331" s="22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</row>
    <row r="1332">
      <c r="A1332" s="20"/>
      <c r="B1332" s="20"/>
      <c r="C1332" s="30"/>
      <c r="D1332" s="30"/>
      <c r="E1332" s="30"/>
      <c r="F1332" s="22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</row>
    <row r="1333">
      <c r="A1333" s="20"/>
      <c r="B1333" s="20"/>
      <c r="C1333" s="30"/>
      <c r="D1333" s="30"/>
      <c r="E1333" s="30"/>
      <c r="F1333" s="22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</row>
    <row r="1334">
      <c r="A1334" s="20"/>
      <c r="B1334" s="20"/>
      <c r="C1334" s="30"/>
      <c r="D1334" s="30"/>
      <c r="E1334" s="30"/>
      <c r="F1334" s="22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</row>
    <row r="1335">
      <c r="A1335" s="20"/>
      <c r="B1335" s="20"/>
      <c r="C1335" s="30"/>
      <c r="D1335" s="30"/>
      <c r="E1335" s="30"/>
      <c r="F1335" s="22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</row>
    <row r="1336">
      <c r="A1336" s="20"/>
      <c r="B1336" s="20"/>
      <c r="C1336" s="30"/>
      <c r="D1336" s="30"/>
      <c r="E1336" s="30"/>
      <c r="F1336" s="22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</row>
    <row r="1337">
      <c r="A1337" s="20"/>
      <c r="B1337" s="20"/>
      <c r="C1337" s="30"/>
      <c r="D1337" s="30"/>
      <c r="E1337" s="30"/>
      <c r="F1337" s="22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</row>
    <row r="1338">
      <c r="A1338" s="20"/>
      <c r="B1338" s="20"/>
      <c r="C1338" s="30"/>
      <c r="D1338" s="30"/>
      <c r="E1338" s="30"/>
      <c r="F1338" s="22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</row>
    <row r="1339">
      <c r="A1339" s="20"/>
      <c r="B1339" s="20"/>
      <c r="C1339" s="30"/>
      <c r="D1339" s="30"/>
      <c r="E1339" s="30"/>
      <c r="F1339" s="22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</row>
    <row r="1340">
      <c r="A1340" s="20"/>
      <c r="B1340" s="20"/>
      <c r="C1340" s="30"/>
      <c r="D1340" s="30"/>
      <c r="E1340" s="30"/>
      <c r="F1340" s="22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</row>
    <row r="1341">
      <c r="A1341" s="20"/>
      <c r="B1341" s="20"/>
      <c r="C1341" s="30"/>
      <c r="D1341" s="30"/>
      <c r="E1341" s="30"/>
      <c r="F1341" s="22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</row>
    <row r="1342">
      <c r="A1342" s="20"/>
      <c r="B1342" s="20"/>
      <c r="C1342" s="30"/>
      <c r="D1342" s="30"/>
      <c r="E1342" s="30"/>
      <c r="F1342" s="22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</row>
    <row r="1343">
      <c r="A1343" s="20"/>
      <c r="B1343" s="20"/>
      <c r="C1343" s="30"/>
      <c r="D1343" s="30"/>
      <c r="E1343" s="30"/>
      <c r="F1343" s="22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</row>
    <row r="1344">
      <c r="A1344" s="20"/>
      <c r="B1344" s="20"/>
      <c r="C1344" s="30"/>
      <c r="D1344" s="30"/>
      <c r="E1344" s="30"/>
      <c r="F1344" s="22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</row>
    <row r="1345">
      <c r="A1345" s="20"/>
      <c r="B1345" s="20"/>
      <c r="C1345" s="30"/>
      <c r="D1345" s="30"/>
      <c r="E1345" s="30"/>
      <c r="F1345" s="22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</row>
    <row r="1346">
      <c r="A1346" s="20"/>
      <c r="B1346" s="20"/>
      <c r="C1346" s="30"/>
      <c r="D1346" s="30"/>
      <c r="E1346" s="30"/>
      <c r="F1346" s="22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</row>
    <row r="1347">
      <c r="A1347" s="20"/>
      <c r="B1347" s="20"/>
      <c r="C1347" s="30"/>
      <c r="D1347" s="30"/>
      <c r="E1347" s="30"/>
      <c r="F1347" s="22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</row>
    <row r="1348">
      <c r="A1348" s="20"/>
      <c r="B1348" s="20"/>
      <c r="C1348" s="30"/>
      <c r="D1348" s="30"/>
      <c r="E1348" s="30"/>
      <c r="F1348" s="22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</row>
    <row r="1349">
      <c r="A1349" s="20"/>
      <c r="B1349" s="20"/>
      <c r="C1349" s="30"/>
      <c r="D1349" s="30"/>
      <c r="E1349" s="30"/>
      <c r="F1349" s="22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</row>
    <row r="1350">
      <c r="A1350" s="20"/>
      <c r="B1350" s="20"/>
      <c r="C1350" s="30"/>
      <c r="D1350" s="30"/>
      <c r="E1350" s="30"/>
      <c r="F1350" s="22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</row>
    <row r="1351">
      <c r="A1351" s="20"/>
      <c r="B1351" s="20"/>
      <c r="C1351" s="30"/>
      <c r="D1351" s="30"/>
      <c r="E1351" s="30"/>
      <c r="F1351" s="22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</row>
    <row r="1352">
      <c r="A1352" s="20"/>
      <c r="B1352" s="20"/>
      <c r="C1352" s="30"/>
      <c r="D1352" s="30"/>
      <c r="E1352" s="30"/>
      <c r="F1352" s="22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</row>
    <row r="1353">
      <c r="A1353" s="20"/>
      <c r="B1353" s="20"/>
      <c r="C1353" s="30"/>
      <c r="D1353" s="30"/>
      <c r="E1353" s="30"/>
      <c r="F1353" s="22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</row>
    <row r="1354">
      <c r="A1354" s="20"/>
      <c r="B1354" s="20"/>
      <c r="C1354" s="30"/>
      <c r="D1354" s="30"/>
      <c r="E1354" s="30"/>
      <c r="F1354" s="22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</row>
    <row r="1355">
      <c r="A1355" s="20"/>
      <c r="B1355" s="20"/>
      <c r="C1355" s="30"/>
      <c r="D1355" s="30"/>
      <c r="E1355" s="30"/>
      <c r="F1355" s="22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</row>
    <row r="1356">
      <c r="A1356" s="20"/>
      <c r="B1356" s="20"/>
      <c r="C1356" s="30"/>
      <c r="D1356" s="30"/>
      <c r="E1356" s="30"/>
      <c r="F1356" s="22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</row>
    <row r="1357">
      <c r="A1357" s="20"/>
      <c r="B1357" s="20"/>
      <c r="C1357" s="30"/>
      <c r="D1357" s="30"/>
      <c r="E1357" s="30"/>
      <c r="F1357" s="22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</row>
    <row r="1358">
      <c r="A1358" s="20"/>
      <c r="B1358" s="20"/>
      <c r="C1358" s="30"/>
      <c r="D1358" s="30"/>
      <c r="E1358" s="30"/>
      <c r="F1358" s="22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</row>
    <row r="1359">
      <c r="A1359" s="20"/>
      <c r="B1359" s="20"/>
      <c r="C1359" s="30"/>
      <c r="D1359" s="30"/>
      <c r="E1359" s="30"/>
      <c r="F1359" s="22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</row>
    <row r="1360">
      <c r="A1360" s="20"/>
      <c r="B1360" s="20"/>
      <c r="C1360" s="30"/>
      <c r="D1360" s="30"/>
      <c r="E1360" s="30"/>
      <c r="F1360" s="22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</row>
    <row r="1361">
      <c r="A1361" s="20"/>
      <c r="B1361" s="20"/>
      <c r="C1361" s="30"/>
      <c r="D1361" s="30"/>
      <c r="E1361" s="30"/>
      <c r="F1361" s="22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</row>
    <row r="1362">
      <c r="A1362" s="20"/>
      <c r="B1362" s="20"/>
      <c r="C1362" s="30"/>
      <c r="D1362" s="30"/>
      <c r="E1362" s="30"/>
      <c r="F1362" s="22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</row>
    <row r="1363">
      <c r="A1363" s="20"/>
      <c r="B1363" s="20"/>
      <c r="C1363" s="30"/>
      <c r="D1363" s="30"/>
      <c r="E1363" s="30"/>
      <c r="F1363" s="22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</row>
    <row r="1364">
      <c r="A1364" s="20"/>
      <c r="B1364" s="20"/>
      <c r="C1364" s="30"/>
      <c r="D1364" s="30"/>
      <c r="E1364" s="30"/>
      <c r="F1364" s="22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</row>
    <row r="1365">
      <c r="A1365" s="20"/>
      <c r="B1365" s="20"/>
      <c r="C1365" s="30"/>
      <c r="D1365" s="30"/>
      <c r="E1365" s="30"/>
      <c r="F1365" s="22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</row>
    <row r="1366">
      <c r="A1366" s="20"/>
      <c r="B1366" s="20"/>
      <c r="C1366" s="30"/>
      <c r="D1366" s="30"/>
      <c r="E1366" s="30"/>
      <c r="F1366" s="22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</row>
    <row r="1367">
      <c r="A1367" s="20"/>
      <c r="B1367" s="20"/>
      <c r="C1367" s="30"/>
      <c r="D1367" s="30"/>
      <c r="E1367" s="30"/>
      <c r="F1367" s="22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</row>
    <row r="1368">
      <c r="A1368" s="20"/>
      <c r="B1368" s="20"/>
      <c r="C1368" s="30"/>
      <c r="D1368" s="30"/>
      <c r="E1368" s="30"/>
      <c r="F1368" s="22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</row>
    <row r="1369">
      <c r="A1369" s="20"/>
      <c r="B1369" s="20"/>
      <c r="C1369" s="30"/>
      <c r="D1369" s="30"/>
      <c r="E1369" s="30"/>
      <c r="F1369" s="22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</row>
    <row r="1370">
      <c r="A1370" s="20"/>
      <c r="B1370" s="20"/>
      <c r="C1370" s="30"/>
      <c r="D1370" s="30"/>
      <c r="E1370" s="30"/>
      <c r="F1370" s="22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</row>
    <row r="1371">
      <c r="A1371" s="20"/>
      <c r="B1371" s="20"/>
      <c r="C1371" s="30"/>
      <c r="D1371" s="30"/>
      <c r="E1371" s="30"/>
      <c r="F1371" s="22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</row>
    <row r="1372">
      <c r="A1372" s="20"/>
      <c r="B1372" s="20"/>
      <c r="C1372" s="30"/>
      <c r="D1372" s="30"/>
      <c r="E1372" s="30"/>
      <c r="F1372" s="22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</row>
    <row r="1373">
      <c r="A1373" s="20"/>
      <c r="B1373" s="20"/>
      <c r="C1373" s="30"/>
      <c r="D1373" s="30"/>
      <c r="E1373" s="30"/>
      <c r="F1373" s="22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</row>
    <row r="1374">
      <c r="A1374" s="20"/>
      <c r="B1374" s="20"/>
      <c r="C1374" s="30"/>
      <c r="D1374" s="30"/>
      <c r="E1374" s="30"/>
      <c r="F1374" s="22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</row>
    <row r="1375">
      <c r="A1375" s="20"/>
      <c r="B1375" s="20"/>
      <c r="C1375" s="30"/>
      <c r="D1375" s="30"/>
      <c r="E1375" s="30"/>
      <c r="F1375" s="22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</row>
    <row r="1376">
      <c r="A1376" s="20"/>
      <c r="B1376" s="20"/>
      <c r="C1376" s="30"/>
      <c r="D1376" s="30"/>
      <c r="E1376" s="30"/>
      <c r="F1376" s="22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</row>
    <row r="1377">
      <c r="A1377" s="20"/>
      <c r="B1377" s="20"/>
      <c r="C1377" s="30"/>
      <c r="D1377" s="30"/>
      <c r="E1377" s="30"/>
      <c r="F1377" s="22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</row>
    <row r="1378">
      <c r="A1378" s="20"/>
      <c r="B1378" s="20"/>
      <c r="C1378" s="30"/>
      <c r="D1378" s="30"/>
      <c r="E1378" s="30"/>
      <c r="F1378" s="22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</row>
    <row r="1379">
      <c r="A1379" s="20"/>
      <c r="B1379" s="20"/>
      <c r="C1379" s="30"/>
      <c r="D1379" s="30"/>
      <c r="E1379" s="30"/>
      <c r="F1379" s="22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</row>
    <row r="1380">
      <c r="A1380" s="20"/>
      <c r="B1380" s="20"/>
      <c r="C1380" s="30"/>
      <c r="D1380" s="30"/>
      <c r="E1380" s="30"/>
      <c r="F1380" s="22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</row>
    <row r="1381">
      <c r="A1381" s="20"/>
      <c r="B1381" s="20"/>
      <c r="C1381" s="30"/>
      <c r="D1381" s="30"/>
      <c r="E1381" s="30"/>
      <c r="F1381" s="22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</row>
    <row r="1382">
      <c r="A1382" s="20"/>
      <c r="B1382" s="20"/>
      <c r="C1382" s="30"/>
      <c r="D1382" s="30"/>
      <c r="E1382" s="30"/>
      <c r="F1382" s="22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</row>
    <row r="1383">
      <c r="A1383" s="20"/>
      <c r="B1383" s="20"/>
      <c r="C1383" s="30"/>
      <c r="D1383" s="30"/>
      <c r="E1383" s="30"/>
      <c r="F1383" s="22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</row>
    <row r="1384">
      <c r="A1384" s="20"/>
      <c r="B1384" s="20"/>
      <c r="C1384" s="30"/>
      <c r="D1384" s="30"/>
      <c r="E1384" s="30"/>
      <c r="F1384" s="22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</row>
    <row r="1385">
      <c r="A1385" s="20"/>
      <c r="B1385" s="20"/>
      <c r="C1385" s="30"/>
      <c r="D1385" s="30"/>
      <c r="E1385" s="30"/>
      <c r="F1385" s="22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</row>
    <row r="1386">
      <c r="A1386" s="20"/>
      <c r="B1386" s="20"/>
      <c r="C1386" s="30"/>
      <c r="D1386" s="30"/>
      <c r="E1386" s="30"/>
      <c r="F1386" s="22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</row>
    <row r="1387">
      <c r="A1387" s="20"/>
      <c r="B1387" s="20"/>
      <c r="C1387" s="30"/>
      <c r="D1387" s="30"/>
      <c r="E1387" s="30"/>
      <c r="F1387" s="22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</row>
    <row r="1388">
      <c r="A1388" s="20"/>
      <c r="B1388" s="20"/>
      <c r="C1388" s="30"/>
      <c r="D1388" s="30"/>
      <c r="E1388" s="30"/>
      <c r="F1388" s="22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</row>
    <row r="1389">
      <c r="A1389" s="20"/>
      <c r="B1389" s="20"/>
      <c r="C1389" s="30"/>
      <c r="D1389" s="30"/>
      <c r="E1389" s="30"/>
      <c r="F1389" s="22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</row>
    <row r="1390">
      <c r="A1390" s="20"/>
      <c r="B1390" s="20"/>
      <c r="C1390" s="30"/>
      <c r="D1390" s="30"/>
      <c r="E1390" s="30"/>
      <c r="F1390" s="22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</row>
    <row r="1391">
      <c r="A1391" s="20"/>
      <c r="B1391" s="20"/>
      <c r="C1391" s="30"/>
      <c r="D1391" s="30"/>
      <c r="E1391" s="30"/>
      <c r="F1391" s="22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</row>
    <row r="1392">
      <c r="A1392" s="20"/>
      <c r="B1392" s="20"/>
      <c r="C1392" s="30"/>
      <c r="D1392" s="30"/>
      <c r="E1392" s="30"/>
      <c r="F1392" s="22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</row>
    <row r="1393">
      <c r="A1393" s="20"/>
      <c r="B1393" s="20"/>
      <c r="C1393" s="30"/>
      <c r="D1393" s="30"/>
      <c r="E1393" s="30"/>
      <c r="F1393" s="22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</row>
    <row r="1394">
      <c r="A1394" s="20"/>
      <c r="B1394" s="20"/>
      <c r="C1394" s="30"/>
      <c r="D1394" s="30"/>
      <c r="E1394" s="30"/>
      <c r="F1394" s="22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</row>
    <row r="1395">
      <c r="A1395" s="20"/>
      <c r="B1395" s="20"/>
      <c r="C1395" s="30"/>
      <c r="D1395" s="30"/>
      <c r="E1395" s="30"/>
      <c r="F1395" s="22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</row>
    <row r="1396">
      <c r="A1396" s="20"/>
      <c r="B1396" s="20"/>
      <c r="C1396" s="30"/>
      <c r="D1396" s="30"/>
      <c r="E1396" s="30"/>
      <c r="F1396" s="22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</row>
    <row r="1397">
      <c r="A1397" s="20"/>
      <c r="B1397" s="20"/>
      <c r="C1397" s="30"/>
      <c r="D1397" s="30"/>
      <c r="E1397" s="30"/>
      <c r="F1397" s="22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</row>
    <row r="1398">
      <c r="A1398" s="20"/>
      <c r="B1398" s="20"/>
      <c r="C1398" s="30"/>
      <c r="D1398" s="30"/>
      <c r="E1398" s="30"/>
      <c r="F1398" s="22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</row>
    <row r="1399">
      <c r="A1399" s="20"/>
      <c r="B1399" s="20"/>
      <c r="C1399" s="30"/>
      <c r="D1399" s="30"/>
      <c r="E1399" s="30"/>
      <c r="F1399" s="22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</row>
    <row r="1400">
      <c r="A1400" s="20"/>
      <c r="B1400" s="20"/>
      <c r="C1400" s="30"/>
      <c r="D1400" s="30"/>
      <c r="E1400" s="30"/>
      <c r="F1400" s="22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</row>
    <row r="1401">
      <c r="A1401" s="20"/>
      <c r="B1401" s="20"/>
      <c r="C1401" s="30"/>
      <c r="D1401" s="30"/>
      <c r="E1401" s="30"/>
      <c r="F1401" s="22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</row>
    <row r="1402">
      <c r="A1402" s="20"/>
      <c r="B1402" s="20"/>
      <c r="C1402" s="30"/>
      <c r="D1402" s="30"/>
      <c r="E1402" s="30"/>
      <c r="F1402" s="22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</row>
    <row r="1403">
      <c r="A1403" s="20"/>
      <c r="B1403" s="20"/>
      <c r="C1403" s="30"/>
      <c r="D1403" s="30"/>
      <c r="E1403" s="30"/>
      <c r="F1403" s="22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</row>
    <row r="1404">
      <c r="A1404" s="20"/>
      <c r="B1404" s="20"/>
      <c r="C1404" s="30"/>
      <c r="D1404" s="30"/>
      <c r="E1404" s="30"/>
      <c r="F1404" s="22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</row>
    <row r="1405">
      <c r="A1405" s="20"/>
      <c r="B1405" s="20"/>
      <c r="C1405" s="30"/>
      <c r="D1405" s="30"/>
      <c r="E1405" s="30"/>
      <c r="F1405" s="22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</row>
    <row r="1406">
      <c r="A1406" s="20"/>
      <c r="B1406" s="20"/>
      <c r="C1406" s="30"/>
      <c r="D1406" s="30"/>
      <c r="E1406" s="30"/>
      <c r="F1406" s="22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</row>
    <row r="1407">
      <c r="A1407" s="20"/>
      <c r="B1407" s="20"/>
      <c r="C1407" s="30"/>
      <c r="D1407" s="30"/>
      <c r="E1407" s="30"/>
      <c r="F1407" s="22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</row>
    <row r="1408">
      <c r="A1408" s="20"/>
      <c r="B1408" s="20"/>
      <c r="C1408" s="30"/>
      <c r="D1408" s="30"/>
      <c r="E1408" s="30"/>
      <c r="F1408" s="22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</row>
    <row r="1409">
      <c r="A1409" s="20"/>
      <c r="B1409" s="20"/>
      <c r="C1409" s="30"/>
      <c r="D1409" s="30"/>
      <c r="E1409" s="30"/>
      <c r="F1409" s="22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</row>
    <row r="1410">
      <c r="A1410" s="20"/>
      <c r="B1410" s="20"/>
      <c r="C1410" s="30"/>
      <c r="D1410" s="30"/>
      <c r="E1410" s="30"/>
      <c r="F1410" s="22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</row>
    <row r="1411">
      <c r="A1411" s="20"/>
      <c r="B1411" s="20"/>
      <c r="C1411" s="30"/>
      <c r="D1411" s="30"/>
      <c r="E1411" s="30"/>
      <c r="F1411" s="22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</row>
    <row r="1412">
      <c r="A1412" s="20"/>
      <c r="B1412" s="20"/>
      <c r="C1412" s="30"/>
      <c r="D1412" s="30"/>
      <c r="E1412" s="30"/>
      <c r="F1412" s="22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</row>
    <row r="1413">
      <c r="A1413" s="20"/>
      <c r="B1413" s="20"/>
      <c r="C1413" s="30"/>
      <c r="D1413" s="30"/>
      <c r="E1413" s="30"/>
      <c r="F1413" s="22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</row>
    <row r="1414">
      <c r="A1414" s="20"/>
      <c r="B1414" s="20"/>
      <c r="C1414" s="30"/>
      <c r="D1414" s="30"/>
      <c r="E1414" s="30"/>
      <c r="F1414" s="22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</row>
    <row r="1415">
      <c r="A1415" s="20"/>
      <c r="B1415" s="20"/>
      <c r="C1415" s="30"/>
      <c r="D1415" s="30"/>
      <c r="E1415" s="30"/>
      <c r="F1415" s="22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</row>
    <row r="1416">
      <c r="A1416" s="20"/>
      <c r="B1416" s="20"/>
      <c r="C1416" s="30"/>
      <c r="D1416" s="30"/>
      <c r="E1416" s="30"/>
      <c r="F1416" s="22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</row>
    <row r="1417">
      <c r="A1417" s="20"/>
      <c r="B1417" s="20"/>
      <c r="C1417" s="30"/>
      <c r="D1417" s="30"/>
      <c r="E1417" s="30"/>
      <c r="F1417" s="22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</row>
    <row r="1418">
      <c r="A1418" s="20"/>
      <c r="B1418" s="20"/>
      <c r="C1418" s="30"/>
      <c r="D1418" s="30"/>
      <c r="E1418" s="30"/>
      <c r="F1418" s="22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</row>
    <row r="1419">
      <c r="A1419" s="20"/>
      <c r="B1419" s="20"/>
      <c r="C1419" s="30"/>
      <c r="D1419" s="30"/>
      <c r="E1419" s="30"/>
      <c r="F1419" s="22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</row>
    <row r="1420">
      <c r="A1420" s="20"/>
      <c r="B1420" s="20"/>
      <c r="C1420" s="30"/>
      <c r="D1420" s="30"/>
      <c r="E1420" s="30"/>
      <c r="F1420" s="22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</row>
    <row r="1421">
      <c r="A1421" s="20"/>
      <c r="B1421" s="20"/>
      <c r="C1421" s="30"/>
      <c r="D1421" s="30"/>
      <c r="E1421" s="30"/>
      <c r="F1421" s="22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</row>
    <row r="1422">
      <c r="A1422" s="20"/>
      <c r="B1422" s="20"/>
      <c r="C1422" s="30"/>
      <c r="D1422" s="30"/>
      <c r="E1422" s="30"/>
      <c r="F1422" s="22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</row>
    <row r="1423">
      <c r="A1423" s="20"/>
      <c r="B1423" s="20"/>
      <c r="C1423" s="30"/>
      <c r="D1423" s="30"/>
      <c r="E1423" s="30"/>
      <c r="F1423" s="22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</row>
    <row r="1424">
      <c r="A1424" s="20"/>
      <c r="B1424" s="20"/>
      <c r="C1424" s="30"/>
      <c r="D1424" s="30"/>
      <c r="E1424" s="30"/>
      <c r="F1424" s="22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</row>
    <row r="1425">
      <c r="A1425" s="20"/>
      <c r="B1425" s="20"/>
      <c r="C1425" s="30"/>
      <c r="D1425" s="30"/>
      <c r="E1425" s="30"/>
      <c r="F1425" s="22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</row>
    <row r="1426">
      <c r="A1426" s="20"/>
      <c r="B1426" s="20"/>
      <c r="C1426" s="30"/>
      <c r="D1426" s="30"/>
      <c r="E1426" s="30"/>
      <c r="F1426" s="22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</row>
    <row r="1427">
      <c r="A1427" s="20"/>
      <c r="B1427" s="20"/>
      <c r="C1427" s="30"/>
      <c r="D1427" s="30"/>
      <c r="E1427" s="30"/>
      <c r="F1427" s="22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</row>
    <row r="1428">
      <c r="A1428" s="20"/>
      <c r="B1428" s="20"/>
      <c r="C1428" s="30"/>
      <c r="D1428" s="30"/>
      <c r="E1428" s="30"/>
      <c r="F1428" s="22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</row>
    <row r="1429">
      <c r="A1429" s="20"/>
      <c r="B1429" s="20"/>
      <c r="C1429" s="30"/>
      <c r="D1429" s="30"/>
      <c r="E1429" s="30"/>
      <c r="F1429" s="22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</row>
    <row r="1430">
      <c r="A1430" s="20"/>
      <c r="B1430" s="20"/>
      <c r="C1430" s="30"/>
      <c r="D1430" s="30"/>
      <c r="E1430" s="30"/>
      <c r="F1430" s="22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</row>
    <row r="1431">
      <c r="A1431" s="20"/>
      <c r="B1431" s="20"/>
      <c r="C1431" s="30"/>
      <c r="D1431" s="30"/>
      <c r="E1431" s="30"/>
      <c r="F1431" s="22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</row>
    <row r="1432">
      <c r="A1432" s="20"/>
      <c r="B1432" s="20"/>
      <c r="C1432" s="30"/>
      <c r="D1432" s="30"/>
      <c r="E1432" s="30"/>
      <c r="F1432" s="22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</row>
    <row r="1433">
      <c r="A1433" s="20"/>
      <c r="B1433" s="20"/>
      <c r="C1433" s="30"/>
      <c r="D1433" s="30"/>
      <c r="E1433" s="30"/>
      <c r="F1433" s="22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</row>
    <row r="1434">
      <c r="A1434" s="20"/>
      <c r="B1434" s="20"/>
      <c r="C1434" s="30"/>
      <c r="D1434" s="30"/>
      <c r="E1434" s="30"/>
      <c r="F1434" s="22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</row>
    <row r="1435">
      <c r="A1435" s="20"/>
      <c r="B1435" s="20"/>
      <c r="C1435" s="30"/>
      <c r="D1435" s="30"/>
      <c r="E1435" s="30"/>
      <c r="F1435" s="22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</row>
    <row r="1436">
      <c r="A1436" s="20"/>
      <c r="B1436" s="20"/>
      <c r="C1436" s="30"/>
      <c r="D1436" s="30"/>
      <c r="E1436" s="30"/>
      <c r="F1436" s="22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</row>
    <row r="1437">
      <c r="A1437" s="20"/>
      <c r="B1437" s="20"/>
      <c r="C1437" s="30"/>
      <c r="D1437" s="30"/>
      <c r="E1437" s="30"/>
      <c r="F1437" s="22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</row>
    <row r="1438">
      <c r="A1438" s="20"/>
      <c r="B1438" s="20"/>
      <c r="C1438" s="30"/>
      <c r="D1438" s="30"/>
      <c r="E1438" s="30"/>
      <c r="F1438" s="22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</row>
    <row r="1439">
      <c r="A1439" s="20"/>
      <c r="B1439" s="20"/>
      <c r="C1439" s="30"/>
      <c r="D1439" s="30"/>
      <c r="E1439" s="30"/>
      <c r="F1439" s="22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</row>
    <row r="1440">
      <c r="A1440" s="20"/>
      <c r="B1440" s="20"/>
      <c r="C1440" s="30"/>
      <c r="D1440" s="30"/>
      <c r="E1440" s="30"/>
      <c r="F1440" s="22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</row>
    <row r="1441">
      <c r="A1441" s="20"/>
      <c r="B1441" s="20"/>
      <c r="C1441" s="30"/>
      <c r="D1441" s="30"/>
      <c r="E1441" s="30"/>
      <c r="F1441" s="22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</row>
    <row r="1442">
      <c r="A1442" s="20"/>
      <c r="B1442" s="20"/>
      <c r="C1442" s="30"/>
      <c r="D1442" s="30"/>
      <c r="E1442" s="30"/>
      <c r="F1442" s="22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</row>
    <row r="1443">
      <c r="A1443" s="20"/>
      <c r="B1443" s="20"/>
      <c r="C1443" s="30"/>
      <c r="D1443" s="30"/>
      <c r="E1443" s="30"/>
      <c r="F1443" s="22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</row>
    <row r="1444">
      <c r="A1444" s="20"/>
      <c r="B1444" s="20"/>
      <c r="C1444" s="30"/>
      <c r="D1444" s="30"/>
      <c r="E1444" s="30"/>
      <c r="F1444" s="22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</row>
    <row r="1445">
      <c r="A1445" s="20"/>
      <c r="B1445" s="20"/>
      <c r="C1445" s="30"/>
      <c r="D1445" s="30"/>
      <c r="E1445" s="30"/>
      <c r="F1445" s="22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</row>
    <row r="1446">
      <c r="A1446" s="20"/>
      <c r="B1446" s="20"/>
      <c r="C1446" s="30"/>
      <c r="D1446" s="30"/>
      <c r="E1446" s="30"/>
      <c r="F1446" s="22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</row>
    <row r="1447">
      <c r="A1447" s="20"/>
      <c r="B1447" s="20"/>
      <c r="C1447" s="30"/>
      <c r="D1447" s="30"/>
      <c r="E1447" s="30"/>
      <c r="F1447" s="22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</row>
    <row r="1448">
      <c r="A1448" s="20"/>
      <c r="B1448" s="20"/>
      <c r="C1448" s="30"/>
      <c r="D1448" s="30"/>
      <c r="E1448" s="30"/>
      <c r="F1448" s="22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</row>
    <row r="1449">
      <c r="A1449" s="20"/>
      <c r="B1449" s="20"/>
      <c r="C1449" s="30"/>
      <c r="D1449" s="30"/>
      <c r="E1449" s="30"/>
      <c r="F1449" s="22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</row>
    <row r="1450">
      <c r="A1450" s="20"/>
      <c r="B1450" s="20"/>
      <c r="C1450" s="30"/>
      <c r="D1450" s="30"/>
      <c r="E1450" s="30"/>
      <c r="F1450" s="22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</row>
    <row r="1451">
      <c r="A1451" s="20"/>
      <c r="B1451" s="20"/>
      <c r="C1451" s="30"/>
      <c r="D1451" s="30"/>
      <c r="E1451" s="30"/>
      <c r="F1451" s="22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</row>
    <row r="1452">
      <c r="A1452" s="20"/>
      <c r="B1452" s="20"/>
      <c r="C1452" s="30"/>
      <c r="D1452" s="30"/>
      <c r="E1452" s="30"/>
      <c r="F1452" s="22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</row>
    <row r="1453">
      <c r="A1453" s="20"/>
      <c r="B1453" s="20"/>
      <c r="C1453" s="30"/>
      <c r="D1453" s="30"/>
      <c r="E1453" s="30"/>
      <c r="F1453" s="22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</row>
    <row r="1454">
      <c r="A1454" s="20"/>
      <c r="B1454" s="20"/>
      <c r="C1454" s="30"/>
      <c r="D1454" s="30"/>
      <c r="E1454" s="30"/>
      <c r="F1454" s="22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</row>
    <row r="1455">
      <c r="A1455" s="20"/>
      <c r="B1455" s="20"/>
      <c r="C1455" s="30"/>
      <c r="D1455" s="30"/>
      <c r="E1455" s="30"/>
      <c r="F1455" s="22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</row>
    <row r="1456">
      <c r="A1456" s="20"/>
      <c r="B1456" s="20"/>
      <c r="C1456" s="30"/>
      <c r="D1456" s="30"/>
      <c r="E1456" s="30"/>
      <c r="F1456" s="22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</row>
    <row r="1457">
      <c r="A1457" s="20"/>
      <c r="B1457" s="20"/>
      <c r="C1457" s="30"/>
      <c r="D1457" s="30"/>
      <c r="E1457" s="30"/>
      <c r="F1457" s="22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</row>
    <row r="1458">
      <c r="A1458" s="20"/>
      <c r="B1458" s="20"/>
      <c r="C1458" s="30"/>
      <c r="D1458" s="30"/>
      <c r="E1458" s="30"/>
      <c r="F1458" s="22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</row>
    <row r="1459">
      <c r="A1459" s="20"/>
      <c r="B1459" s="20"/>
      <c r="C1459" s="30"/>
      <c r="D1459" s="30"/>
      <c r="E1459" s="30"/>
      <c r="F1459" s="22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</row>
    <row r="1460">
      <c r="A1460" s="20"/>
      <c r="B1460" s="20"/>
      <c r="C1460" s="30"/>
      <c r="D1460" s="30"/>
      <c r="E1460" s="30"/>
      <c r="F1460" s="22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</row>
    <row r="1461">
      <c r="A1461" s="20"/>
      <c r="B1461" s="20"/>
      <c r="C1461" s="30"/>
      <c r="D1461" s="30"/>
      <c r="E1461" s="30"/>
      <c r="F1461" s="22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</row>
    <row r="1462">
      <c r="A1462" s="20"/>
      <c r="B1462" s="20"/>
      <c r="C1462" s="30"/>
      <c r="D1462" s="30"/>
      <c r="E1462" s="30"/>
      <c r="F1462" s="22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</row>
    <row r="1463">
      <c r="A1463" s="20"/>
      <c r="B1463" s="20"/>
      <c r="C1463" s="30"/>
      <c r="D1463" s="30"/>
      <c r="E1463" s="30"/>
      <c r="F1463" s="22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</row>
    <row r="1464">
      <c r="A1464" s="20"/>
      <c r="B1464" s="20"/>
      <c r="C1464" s="30"/>
      <c r="D1464" s="30"/>
      <c r="E1464" s="30"/>
      <c r="F1464" s="22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</row>
    <row r="1465">
      <c r="A1465" s="20"/>
      <c r="B1465" s="20"/>
      <c r="C1465" s="30"/>
      <c r="D1465" s="30"/>
      <c r="E1465" s="30"/>
      <c r="F1465" s="22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</row>
    <row r="1466">
      <c r="A1466" s="20"/>
      <c r="B1466" s="20"/>
      <c r="C1466" s="30"/>
      <c r="D1466" s="30"/>
      <c r="E1466" s="30"/>
      <c r="F1466" s="22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</row>
    <row r="1467">
      <c r="A1467" s="20"/>
      <c r="B1467" s="20"/>
      <c r="C1467" s="30"/>
      <c r="D1467" s="30"/>
      <c r="E1467" s="30"/>
      <c r="F1467" s="22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</row>
    <row r="1468">
      <c r="A1468" s="20"/>
      <c r="B1468" s="20"/>
      <c r="C1468" s="30"/>
      <c r="D1468" s="30"/>
      <c r="E1468" s="30"/>
      <c r="F1468" s="22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</row>
    <row r="1469">
      <c r="A1469" s="20"/>
      <c r="B1469" s="20"/>
      <c r="C1469" s="30"/>
      <c r="D1469" s="30"/>
      <c r="E1469" s="30"/>
      <c r="F1469" s="22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</row>
    <row r="1470">
      <c r="A1470" s="20"/>
      <c r="B1470" s="20"/>
      <c r="C1470" s="30"/>
      <c r="D1470" s="30"/>
      <c r="E1470" s="30"/>
      <c r="F1470" s="22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</row>
    <row r="1471">
      <c r="A1471" s="20"/>
      <c r="B1471" s="20"/>
      <c r="C1471" s="30"/>
      <c r="D1471" s="30"/>
      <c r="E1471" s="30"/>
      <c r="F1471" s="22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</row>
    <row r="1472">
      <c r="A1472" s="20"/>
      <c r="B1472" s="20"/>
      <c r="C1472" s="30"/>
      <c r="D1472" s="30"/>
      <c r="E1472" s="30"/>
      <c r="F1472" s="22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</row>
    <row r="1473">
      <c r="A1473" s="20"/>
      <c r="B1473" s="20"/>
      <c r="C1473" s="30"/>
      <c r="D1473" s="30"/>
      <c r="E1473" s="30"/>
      <c r="F1473" s="22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</row>
    <row r="1474">
      <c r="A1474" s="20"/>
      <c r="B1474" s="20"/>
      <c r="C1474" s="30"/>
      <c r="D1474" s="30"/>
      <c r="E1474" s="30"/>
      <c r="F1474" s="22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</row>
    <row r="1475">
      <c r="A1475" s="20"/>
      <c r="B1475" s="20"/>
      <c r="C1475" s="30"/>
      <c r="D1475" s="30"/>
      <c r="E1475" s="30"/>
      <c r="F1475" s="22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</row>
    <row r="1476">
      <c r="A1476" s="20"/>
      <c r="B1476" s="20"/>
      <c r="C1476" s="30"/>
      <c r="D1476" s="30"/>
      <c r="E1476" s="30"/>
      <c r="F1476" s="22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</row>
    <row r="1477">
      <c r="A1477" s="20"/>
      <c r="B1477" s="20"/>
      <c r="C1477" s="30"/>
      <c r="D1477" s="30"/>
      <c r="E1477" s="30"/>
      <c r="F1477" s="22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</row>
    <row r="1478">
      <c r="A1478" s="20"/>
      <c r="B1478" s="20"/>
      <c r="C1478" s="30"/>
      <c r="D1478" s="30"/>
      <c r="E1478" s="30"/>
      <c r="F1478" s="22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</row>
    <row r="1479">
      <c r="A1479" s="20"/>
      <c r="B1479" s="20"/>
      <c r="C1479" s="30"/>
      <c r="D1479" s="30"/>
      <c r="E1479" s="30"/>
      <c r="F1479" s="22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</row>
    <row r="1480">
      <c r="A1480" s="20"/>
      <c r="B1480" s="20"/>
      <c r="C1480" s="30"/>
      <c r="D1480" s="30"/>
      <c r="E1480" s="30"/>
      <c r="F1480" s="22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</row>
    <row r="1481">
      <c r="A1481" s="20"/>
      <c r="B1481" s="20"/>
      <c r="C1481" s="30"/>
      <c r="D1481" s="30"/>
      <c r="E1481" s="30"/>
      <c r="F1481" s="22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</row>
    <row r="1482">
      <c r="A1482" s="20"/>
      <c r="B1482" s="20"/>
      <c r="C1482" s="30"/>
      <c r="D1482" s="30"/>
      <c r="E1482" s="30"/>
      <c r="F1482" s="22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</row>
    <row r="1483">
      <c r="A1483" s="20"/>
      <c r="B1483" s="20"/>
      <c r="C1483" s="30"/>
      <c r="D1483" s="30"/>
      <c r="E1483" s="30"/>
      <c r="F1483" s="22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</row>
    <row r="1484">
      <c r="A1484" s="20"/>
      <c r="B1484" s="20"/>
      <c r="C1484" s="30"/>
      <c r="D1484" s="30"/>
      <c r="E1484" s="30"/>
      <c r="F1484" s="22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</row>
    <row r="1485">
      <c r="A1485" s="20"/>
      <c r="B1485" s="20"/>
      <c r="C1485" s="30"/>
      <c r="D1485" s="30"/>
      <c r="E1485" s="30"/>
      <c r="F1485" s="22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</row>
    <row r="1486">
      <c r="A1486" s="20"/>
      <c r="B1486" s="20"/>
      <c r="C1486" s="30"/>
      <c r="D1486" s="30"/>
      <c r="E1486" s="30"/>
      <c r="F1486" s="22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</row>
    <row r="1487">
      <c r="A1487" s="20"/>
      <c r="B1487" s="20"/>
      <c r="C1487" s="30"/>
      <c r="D1487" s="30"/>
      <c r="E1487" s="30"/>
      <c r="F1487" s="22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</row>
    <row r="1488">
      <c r="A1488" s="20"/>
      <c r="B1488" s="20"/>
      <c r="C1488" s="30"/>
      <c r="D1488" s="30"/>
      <c r="E1488" s="30"/>
      <c r="F1488" s="22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</row>
    <row r="1489">
      <c r="A1489" s="20"/>
      <c r="B1489" s="20"/>
      <c r="C1489" s="30"/>
      <c r="D1489" s="30"/>
      <c r="E1489" s="30"/>
      <c r="F1489" s="22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</row>
    <row r="1490">
      <c r="A1490" s="20"/>
      <c r="B1490" s="20"/>
      <c r="C1490" s="30"/>
      <c r="D1490" s="30"/>
      <c r="E1490" s="30"/>
      <c r="F1490" s="22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</row>
    <row r="1491">
      <c r="A1491" s="20"/>
      <c r="B1491" s="20"/>
      <c r="C1491" s="30"/>
      <c r="D1491" s="30"/>
      <c r="E1491" s="30"/>
      <c r="F1491" s="22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</row>
    <row r="1492">
      <c r="A1492" s="20"/>
      <c r="B1492" s="20"/>
      <c r="C1492" s="30"/>
      <c r="D1492" s="30"/>
      <c r="E1492" s="30"/>
      <c r="F1492" s="22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</row>
    <row r="1493">
      <c r="A1493" s="20"/>
      <c r="B1493" s="20"/>
      <c r="C1493" s="30"/>
      <c r="D1493" s="30"/>
      <c r="E1493" s="30"/>
      <c r="F1493" s="22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</row>
    <row r="1494">
      <c r="A1494" s="20"/>
      <c r="B1494" s="20"/>
      <c r="C1494" s="30"/>
      <c r="D1494" s="30"/>
      <c r="E1494" s="30"/>
      <c r="F1494" s="22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</row>
    <row r="1495">
      <c r="A1495" s="20"/>
      <c r="B1495" s="20"/>
      <c r="C1495" s="30"/>
      <c r="D1495" s="30"/>
      <c r="E1495" s="30"/>
      <c r="F1495" s="22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</row>
    <row r="1496">
      <c r="A1496" s="20"/>
      <c r="B1496" s="20"/>
      <c r="C1496" s="30"/>
      <c r="D1496" s="30"/>
      <c r="E1496" s="30"/>
      <c r="F1496" s="22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</row>
    <row r="1497">
      <c r="A1497" s="20"/>
      <c r="B1497" s="20"/>
      <c r="C1497" s="30"/>
      <c r="D1497" s="30"/>
      <c r="E1497" s="30"/>
      <c r="F1497" s="22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</row>
    <row r="1498">
      <c r="A1498" s="20"/>
      <c r="B1498" s="20"/>
      <c r="C1498" s="30"/>
      <c r="D1498" s="30"/>
      <c r="E1498" s="30"/>
      <c r="F1498" s="22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</row>
    <row r="1499">
      <c r="A1499" s="20"/>
      <c r="B1499" s="20"/>
      <c r="C1499" s="30"/>
      <c r="D1499" s="30"/>
      <c r="E1499" s="30"/>
      <c r="F1499" s="22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</row>
    <row r="1500">
      <c r="A1500" s="20"/>
      <c r="B1500" s="20"/>
      <c r="C1500" s="30"/>
      <c r="D1500" s="30"/>
      <c r="E1500" s="30"/>
      <c r="F1500" s="22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</row>
    <row r="1501">
      <c r="A1501" s="20"/>
      <c r="B1501" s="20"/>
      <c r="C1501" s="30"/>
      <c r="D1501" s="30"/>
      <c r="E1501" s="30"/>
      <c r="F1501" s="22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</row>
    <row r="1502">
      <c r="A1502" s="20"/>
      <c r="B1502" s="20"/>
      <c r="C1502" s="30"/>
      <c r="D1502" s="30"/>
      <c r="E1502" s="30"/>
      <c r="F1502" s="22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</row>
    <row r="1503">
      <c r="A1503" s="20"/>
      <c r="B1503" s="20"/>
      <c r="C1503" s="30"/>
      <c r="D1503" s="30"/>
      <c r="E1503" s="30"/>
      <c r="F1503" s="22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</row>
    <row r="1504">
      <c r="A1504" s="20"/>
      <c r="B1504" s="20"/>
      <c r="C1504" s="30"/>
      <c r="D1504" s="30"/>
      <c r="E1504" s="30"/>
      <c r="F1504" s="22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</row>
    <row r="1505">
      <c r="A1505" s="20"/>
      <c r="B1505" s="20"/>
      <c r="C1505" s="30"/>
      <c r="D1505" s="30"/>
      <c r="E1505" s="30"/>
      <c r="F1505" s="22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</row>
    <row r="1506">
      <c r="A1506" s="20"/>
      <c r="B1506" s="20"/>
      <c r="C1506" s="30"/>
      <c r="D1506" s="30"/>
      <c r="E1506" s="30"/>
      <c r="F1506" s="22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</row>
    <row r="1507">
      <c r="A1507" s="20"/>
      <c r="B1507" s="20"/>
      <c r="C1507" s="30"/>
      <c r="D1507" s="30"/>
      <c r="E1507" s="30"/>
      <c r="F1507" s="22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</row>
    <row r="1508">
      <c r="A1508" s="20"/>
      <c r="B1508" s="20"/>
      <c r="C1508" s="30"/>
      <c r="D1508" s="30"/>
      <c r="E1508" s="30"/>
      <c r="F1508" s="22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</row>
    <row r="1509">
      <c r="A1509" s="20"/>
      <c r="B1509" s="20"/>
      <c r="C1509" s="30"/>
      <c r="D1509" s="30"/>
      <c r="E1509" s="30"/>
      <c r="F1509" s="22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</row>
    <row r="1510">
      <c r="A1510" s="20"/>
      <c r="B1510" s="20"/>
      <c r="C1510" s="30"/>
      <c r="D1510" s="30"/>
      <c r="E1510" s="30"/>
      <c r="F1510" s="22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</row>
    <row r="1511">
      <c r="A1511" s="20"/>
      <c r="B1511" s="20"/>
      <c r="C1511" s="30"/>
      <c r="D1511" s="30"/>
      <c r="E1511" s="30"/>
      <c r="F1511" s="22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</row>
    <row r="1512">
      <c r="A1512" s="20"/>
      <c r="B1512" s="20"/>
      <c r="C1512" s="30"/>
      <c r="D1512" s="30"/>
      <c r="E1512" s="30"/>
      <c r="F1512" s="22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</row>
    <row r="1513">
      <c r="A1513" s="20"/>
      <c r="B1513" s="20"/>
      <c r="C1513" s="30"/>
      <c r="D1513" s="30"/>
      <c r="E1513" s="30"/>
      <c r="F1513" s="22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</row>
    <row r="1514">
      <c r="A1514" s="20"/>
      <c r="B1514" s="20"/>
      <c r="C1514" s="30"/>
      <c r="D1514" s="30"/>
      <c r="E1514" s="30"/>
      <c r="F1514" s="22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</row>
    <row r="1515">
      <c r="A1515" s="20"/>
      <c r="B1515" s="20"/>
      <c r="C1515" s="30"/>
      <c r="D1515" s="30"/>
      <c r="E1515" s="30"/>
      <c r="F1515" s="22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</row>
    <row r="1516">
      <c r="A1516" s="20"/>
      <c r="B1516" s="20"/>
      <c r="C1516" s="30"/>
      <c r="D1516" s="30"/>
      <c r="E1516" s="30"/>
      <c r="F1516" s="22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</row>
    <row r="1517">
      <c r="A1517" s="20"/>
      <c r="B1517" s="20"/>
      <c r="C1517" s="30"/>
      <c r="D1517" s="30"/>
      <c r="E1517" s="30"/>
      <c r="F1517" s="22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</row>
    <row r="1518">
      <c r="A1518" s="20"/>
      <c r="B1518" s="20"/>
      <c r="C1518" s="30"/>
      <c r="D1518" s="30"/>
      <c r="E1518" s="30"/>
      <c r="F1518" s="22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</row>
    <row r="1519">
      <c r="A1519" s="20"/>
      <c r="B1519" s="20"/>
      <c r="C1519" s="30"/>
      <c r="D1519" s="30"/>
      <c r="E1519" s="30"/>
      <c r="F1519" s="22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</row>
    <row r="1520">
      <c r="A1520" s="20"/>
      <c r="B1520" s="20"/>
      <c r="C1520" s="30"/>
      <c r="D1520" s="30"/>
      <c r="E1520" s="30"/>
      <c r="F1520" s="22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</row>
    <row r="1521">
      <c r="A1521" s="20"/>
      <c r="B1521" s="20"/>
      <c r="C1521" s="30"/>
      <c r="D1521" s="30"/>
      <c r="E1521" s="30"/>
      <c r="F1521" s="22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</row>
    <row r="1522">
      <c r="A1522" s="20"/>
      <c r="B1522" s="20"/>
      <c r="C1522" s="30"/>
      <c r="D1522" s="30"/>
      <c r="E1522" s="30"/>
      <c r="F1522" s="22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</row>
    <row r="1523">
      <c r="A1523" s="20"/>
      <c r="B1523" s="20"/>
      <c r="C1523" s="30"/>
      <c r="D1523" s="30"/>
      <c r="E1523" s="30"/>
      <c r="F1523" s="22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</row>
    <row r="1524">
      <c r="A1524" s="20"/>
      <c r="B1524" s="20"/>
      <c r="C1524" s="30"/>
      <c r="D1524" s="30"/>
      <c r="E1524" s="30"/>
      <c r="F1524" s="22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</row>
    <row r="1525">
      <c r="A1525" s="20"/>
      <c r="B1525" s="20"/>
      <c r="C1525" s="30"/>
      <c r="D1525" s="30"/>
      <c r="E1525" s="30"/>
      <c r="F1525" s="22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</row>
    <row r="1526">
      <c r="A1526" s="20"/>
      <c r="B1526" s="20"/>
      <c r="C1526" s="30"/>
      <c r="D1526" s="30"/>
      <c r="E1526" s="30"/>
      <c r="F1526" s="22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</row>
    <row r="1527">
      <c r="A1527" s="20"/>
      <c r="B1527" s="20"/>
      <c r="C1527" s="30"/>
      <c r="D1527" s="30"/>
      <c r="E1527" s="30"/>
      <c r="F1527" s="22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</row>
    <row r="1528">
      <c r="A1528" s="20"/>
      <c r="B1528" s="20"/>
      <c r="C1528" s="30"/>
      <c r="D1528" s="30"/>
      <c r="E1528" s="30"/>
      <c r="F1528" s="22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</row>
    <row r="1529">
      <c r="A1529" s="20"/>
      <c r="B1529" s="20"/>
      <c r="C1529" s="30"/>
      <c r="D1529" s="30"/>
      <c r="E1529" s="30"/>
      <c r="F1529" s="22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</row>
    <row r="1530">
      <c r="A1530" s="20"/>
      <c r="B1530" s="20"/>
      <c r="C1530" s="30"/>
      <c r="D1530" s="30"/>
      <c r="E1530" s="30"/>
      <c r="F1530" s="22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</row>
    <row r="1531">
      <c r="A1531" s="20"/>
      <c r="B1531" s="20"/>
      <c r="C1531" s="30"/>
      <c r="D1531" s="30"/>
      <c r="E1531" s="30"/>
      <c r="F1531" s="22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</row>
    <row r="1532">
      <c r="A1532" s="20"/>
      <c r="B1532" s="20"/>
      <c r="C1532" s="30"/>
      <c r="D1532" s="30"/>
      <c r="E1532" s="30"/>
      <c r="F1532" s="22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</row>
    <row r="1533">
      <c r="A1533" s="20"/>
      <c r="B1533" s="20"/>
      <c r="C1533" s="30"/>
      <c r="D1533" s="30"/>
      <c r="E1533" s="30"/>
      <c r="F1533" s="22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</row>
    <row r="1534">
      <c r="A1534" s="20"/>
      <c r="B1534" s="20"/>
      <c r="C1534" s="30"/>
      <c r="D1534" s="30"/>
      <c r="E1534" s="30"/>
      <c r="F1534" s="22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</row>
    <row r="1535">
      <c r="A1535" s="20"/>
      <c r="B1535" s="20"/>
      <c r="C1535" s="30"/>
      <c r="D1535" s="30"/>
      <c r="E1535" s="30"/>
      <c r="F1535" s="22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</row>
    <row r="1536">
      <c r="A1536" s="20"/>
      <c r="B1536" s="20"/>
      <c r="C1536" s="30"/>
      <c r="D1536" s="30"/>
      <c r="E1536" s="30"/>
      <c r="F1536" s="22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</row>
    <row r="1537">
      <c r="A1537" s="20"/>
      <c r="B1537" s="20"/>
      <c r="C1537" s="30"/>
      <c r="D1537" s="30"/>
      <c r="E1537" s="30"/>
      <c r="F1537" s="22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</row>
    <row r="1538">
      <c r="A1538" s="20"/>
      <c r="B1538" s="20"/>
      <c r="C1538" s="30"/>
      <c r="D1538" s="30"/>
      <c r="E1538" s="30"/>
      <c r="F1538" s="22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</row>
    <row r="1539">
      <c r="A1539" s="20"/>
      <c r="B1539" s="20"/>
      <c r="C1539" s="30"/>
      <c r="D1539" s="30"/>
      <c r="E1539" s="30"/>
      <c r="F1539" s="22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</row>
    <row r="1540">
      <c r="A1540" s="20"/>
      <c r="B1540" s="20"/>
      <c r="C1540" s="30"/>
      <c r="D1540" s="30"/>
      <c r="E1540" s="30"/>
      <c r="F1540" s="22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</row>
    <row r="1541">
      <c r="A1541" s="20"/>
      <c r="B1541" s="20"/>
      <c r="C1541" s="30"/>
      <c r="D1541" s="30"/>
      <c r="E1541" s="30"/>
      <c r="F1541" s="22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</row>
    <row r="1542">
      <c r="A1542" s="20"/>
      <c r="B1542" s="20"/>
      <c r="C1542" s="30"/>
      <c r="D1542" s="30"/>
      <c r="E1542" s="30"/>
      <c r="F1542" s="22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</row>
    <row r="1543">
      <c r="A1543" s="20"/>
      <c r="B1543" s="20"/>
      <c r="C1543" s="30"/>
      <c r="D1543" s="30"/>
      <c r="E1543" s="30"/>
      <c r="F1543" s="22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</row>
    <row r="1544">
      <c r="A1544" s="20"/>
      <c r="B1544" s="20"/>
      <c r="C1544" s="30"/>
      <c r="D1544" s="30"/>
      <c r="E1544" s="30"/>
      <c r="F1544" s="22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</row>
    <row r="1545">
      <c r="A1545" s="20"/>
      <c r="B1545" s="20"/>
      <c r="C1545" s="30"/>
      <c r="D1545" s="30"/>
      <c r="E1545" s="30"/>
      <c r="F1545" s="22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</row>
    <row r="1546">
      <c r="A1546" s="20"/>
      <c r="B1546" s="20"/>
      <c r="C1546" s="30"/>
      <c r="D1546" s="30"/>
      <c r="E1546" s="30"/>
      <c r="F1546" s="22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</row>
    <row r="1547">
      <c r="A1547" s="20"/>
      <c r="B1547" s="20"/>
      <c r="C1547" s="30"/>
      <c r="D1547" s="30"/>
      <c r="E1547" s="30"/>
      <c r="F1547" s="22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</row>
    <row r="1548">
      <c r="A1548" s="20"/>
      <c r="B1548" s="20"/>
      <c r="C1548" s="30"/>
      <c r="D1548" s="30"/>
      <c r="E1548" s="30"/>
      <c r="F1548" s="22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</row>
    <row r="1549">
      <c r="A1549" s="20"/>
      <c r="B1549" s="20"/>
      <c r="C1549" s="30"/>
      <c r="D1549" s="30"/>
      <c r="E1549" s="30"/>
      <c r="F1549" s="22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</row>
    <row r="1550">
      <c r="A1550" s="20"/>
      <c r="B1550" s="20"/>
      <c r="C1550" s="30"/>
      <c r="D1550" s="30"/>
      <c r="E1550" s="30"/>
      <c r="F1550" s="22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</row>
    <row r="1551">
      <c r="A1551" s="20"/>
      <c r="B1551" s="20"/>
      <c r="C1551" s="30"/>
      <c r="D1551" s="30"/>
      <c r="E1551" s="30"/>
      <c r="F1551" s="22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</row>
    <row r="1552">
      <c r="A1552" s="20"/>
      <c r="B1552" s="20"/>
      <c r="C1552" s="30"/>
      <c r="D1552" s="30"/>
      <c r="E1552" s="30"/>
      <c r="F1552" s="22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</row>
    <row r="1553">
      <c r="A1553" s="20"/>
      <c r="B1553" s="20"/>
      <c r="C1553" s="30"/>
      <c r="D1553" s="30"/>
      <c r="E1553" s="30"/>
      <c r="F1553" s="22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</row>
    <row r="1554">
      <c r="A1554" s="20"/>
      <c r="B1554" s="20"/>
      <c r="C1554" s="30"/>
      <c r="D1554" s="30"/>
      <c r="E1554" s="30"/>
      <c r="F1554" s="22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</row>
    <row r="1555">
      <c r="A1555" s="20"/>
      <c r="B1555" s="20"/>
      <c r="C1555" s="30"/>
      <c r="D1555" s="30"/>
      <c r="E1555" s="30"/>
      <c r="F1555" s="22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</row>
    <row r="1556">
      <c r="A1556" s="20"/>
      <c r="B1556" s="20"/>
      <c r="C1556" s="30"/>
      <c r="D1556" s="30"/>
      <c r="E1556" s="30"/>
      <c r="F1556" s="22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</row>
    <row r="1557">
      <c r="A1557" s="20"/>
      <c r="B1557" s="20"/>
      <c r="C1557" s="30"/>
      <c r="D1557" s="30"/>
      <c r="E1557" s="30"/>
      <c r="F1557" s="22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</row>
    <row r="1558">
      <c r="A1558" s="20"/>
      <c r="B1558" s="20"/>
      <c r="C1558" s="30"/>
      <c r="D1558" s="30"/>
      <c r="E1558" s="30"/>
      <c r="F1558" s="22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</row>
    <row r="1559">
      <c r="A1559" s="20"/>
      <c r="B1559" s="20"/>
      <c r="C1559" s="30"/>
      <c r="D1559" s="30"/>
      <c r="E1559" s="30"/>
      <c r="F1559" s="22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</row>
    <row r="1560">
      <c r="A1560" s="20"/>
      <c r="B1560" s="20"/>
      <c r="C1560" s="30"/>
      <c r="D1560" s="30"/>
      <c r="E1560" s="30"/>
      <c r="F1560" s="22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</row>
    <row r="1561">
      <c r="A1561" s="20"/>
      <c r="B1561" s="20"/>
      <c r="C1561" s="30"/>
      <c r="D1561" s="30"/>
      <c r="E1561" s="30"/>
      <c r="F1561" s="22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</row>
    <row r="1562">
      <c r="A1562" s="20"/>
      <c r="B1562" s="20"/>
      <c r="C1562" s="30"/>
      <c r="D1562" s="30"/>
      <c r="E1562" s="30"/>
      <c r="F1562" s="22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</row>
    <row r="1563">
      <c r="A1563" s="20"/>
      <c r="B1563" s="20"/>
      <c r="C1563" s="30"/>
      <c r="D1563" s="30"/>
      <c r="E1563" s="30"/>
      <c r="F1563" s="22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</row>
    <row r="1564">
      <c r="A1564" s="20"/>
      <c r="B1564" s="20"/>
      <c r="C1564" s="30"/>
      <c r="D1564" s="30"/>
      <c r="E1564" s="30"/>
      <c r="F1564" s="22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</row>
    <row r="1565">
      <c r="A1565" s="20"/>
      <c r="B1565" s="20"/>
      <c r="C1565" s="30"/>
      <c r="D1565" s="30"/>
      <c r="E1565" s="30"/>
      <c r="F1565" s="22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</row>
    <row r="1566">
      <c r="A1566" s="20"/>
      <c r="B1566" s="20"/>
      <c r="C1566" s="30"/>
      <c r="D1566" s="30"/>
      <c r="E1566" s="30"/>
      <c r="F1566" s="22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</row>
    <row r="1567">
      <c r="A1567" s="20"/>
      <c r="B1567" s="20"/>
      <c r="C1567" s="30"/>
      <c r="D1567" s="30"/>
      <c r="E1567" s="30"/>
      <c r="F1567" s="22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</row>
    <row r="1568">
      <c r="A1568" s="20"/>
      <c r="B1568" s="20"/>
      <c r="C1568" s="30"/>
      <c r="D1568" s="30"/>
      <c r="E1568" s="30"/>
      <c r="F1568" s="22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</row>
    <row r="1569">
      <c r="A1569" s="20"/>
      <c r="B1569" s="20"/>
      <c r="C1569" s="30"/>
      <c r="D1569" s="30"/>
      <c r="E1569" s="30"/>
      <c r="F1569" s="22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</row>
    <row r="1570">
      <c r="A1570" s="20"/>
      <c r="B1570" s="20"/>
      <c r="C1570" s="30"/>
      <c r="D1570" s="30"/>
      <c r="E1570" s="30"/>
      <c r="F1570" s="22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</row>
    <row r="1571">
      <c r="A1571" s="20"/>
      <c r="B1571" s="20"/>
      <c r="C1571" s="30"/>
      <c r="D1571" s="30"/>
      <c r="E1571" s="30"/>
      <c r="F1571" s="22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</row>
    <row r="1572">
      <c r="A1572" s="20"/>
      <c r="B1572" s="20"/>
      <c r="C1572" s="30"/>
      <c r="D1572" s="30"/>
      <c r="E1572" s="30"/>
      <c r="F1572" s="22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</row>
    <row r="1573">
      <c r="A1573" s="20"/>
      <c r="B1573" s="20"/>
      <c r="C1573" s="30"/>
      <c r="D1573" s="30"/>
      <c r="E1573" s="30"/>
      <c r="F1573" s="22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</row>
    <row r="1574">
      <c r="A1574" s="20"/>
      <c r="B1574" s="20"/>
      <c r="C1574" s="30"/>
      <c r="D1574" s="30"/>
      <c r="E1574" s="30"/>
      <c r="F1574" s="22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</row>
    <row r="1575">
      <c r="A1575" s="20"/>
      <c r="B1575" s="20"/>
      <c r="C1575" s="30"/>
      <c r="D1575" s="30"/>
      <c r="E1575" s="30"/>
      <c r="F1575" s="22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</row>
    <row r="1576">
      <c r="A1576" s="20"/>
      <c r="B1576" s="20"/>
      <c r="C1576" s="30"/>
      <c r="D1576" s="30"/>
      <c r="E1576" s="30"/>
      <c r="F1576" s="22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</row>
    <row r="1577">
      <c r="A1577" s="20"/>
      <c r="B1577" s="20"/>
      <c r="C1577" s="30"/>
      <c r="D1577" s="30"/>
      <c r="E1577" s="30"/>
      <c r="F1577" s="22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</row>
    <row r="1578">
      <c r="A1578" s="20"/>
      <c r="B1578" s="20"/>
      <c r="C1578" s="30"/>
      <c r="D1578" s="30"/>
      <c r="E1578" s="30"/>
      <c r="F1578" s="22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</row>
    <row r="1579">
      <c r="A1579" s="20"/>
      <c r="B1579" s="20"/>
      <c r="C1579" s="30"/>
      <c r="D1579" s="30"/>
      <c r="E1579" s="30"/>
      <c r="F1579" s="22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</row>
    <row r="1580">
      <c r="A1580" s="20"/>
      <c r="B1580" s="20"/>
      <c r="C1580" s="30"/>
      <c r="D1580" s="30"/>
      <c r="E1580" s="30"/>
      <c r="F1580" s="22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</row>
    <row r="1581">
      <c r="A1581" s="20"/>
      <c r="B1581" s="20"/>
      <c r="C1581" s="30"/>
      <c r="D1581" s="30"/>
      <c r="E1581" s="30"/>
      <c r="F1581" s="22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</row>
    <row r="1582">
      <c r="A1582" s="20"/>
      <c r="B1582" s="20"/>
      <c r="C1582" s="30"/>
      <c r="D1582" s="30"/>
      <c r="E1582" s="30"/>
      <c r="F1582" s="22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</row>
    <row r="1583">
      <c r="A1583" s="20"/>
      <c r="B1583" s="20"/>
      <c r="C1583" s="30"/>
      <c r="D1583" s="30"/>
      <c r="E1583" s="30"/>
      <c r="F1583" s="22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</row>
    <row r="1584">
      <c r="A1584" s="20"/>
      <c r="B1584" s="20"/>
      <c r="C1584" s="30"/>
      <c r="D1584" s="30"/>
      <c r="E1584" s="30"/>
      <c r="F1584" s="22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</row>
    <row r="1585">
      <c r="A1585" s="20"/>
      <c r="B1585" s="20"/>
      <c r="C1585" s="30"/>
      <c r="D1585" s="30"/>
      <c r="E1585" s="30"/>
      <c r="F1585" s="22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</row>
    <row r="1586">
      <c r="A1586" s="20"/>
      <c r="B1586" s="20"/>
      <c r="C1586" s="30"/>
      <c r="D1586" s="30"/>
      <c r="E1586" s="30"/>
      <c r="F1586" s="22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</row>
    <row r="1587">
      <c r="A1587" s="20"/>
      <c r="B1587" s="20"/>
      <c r="C1587" s="30"/>
      <c r="D1587" s="30"/>
      <c r="E1587" s="30"/>
      <c r="F1587" s="22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</row>
    <row r="1588">
      <c r="A1588" s="20"/>
      <c r="B1588" s="20"/>
      <c r="C1588" s="30"/>
      <c r="D1588" s="30"/>
      <c r="E1588" s="30"/>
      <c r="F1588" s="22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</row>
    <row r="1589">
      <c r="A1589" s="20"/>
      <c r="B1589" s="20"/>
      <c r="C1589" s="30"/>
      <c r="D1589" s="30"/>
      <c r="E1589" s="30"/>
      <c r="F1589" s="22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</row>
    <row r="1590">
      <c r="A1590" s="20"/>
      <c r="B1590" s="20"/>
      <c r="C1590" s="30"/>
      <c r="D1590" s="30"/>
      <c r="E1590" s="30"/>
      <c r="F1590" s="22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</row>
    <row r="1591">
      <c r="A1591" s="20"/>
      <c r="B1591" s="20"/>
      <c r="C1591" s="30"/>
      <c r="D1591" s="30"/>
      <c r="E1591" s="30"/>
      <c r="F1591" s="22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</row>
    <row r="1592">
      <c r="A1592" s="20"/>
      <c r="B1592" s="20"/>
      <c r="C1592" s="30"/>
      <c r="D1592" s="30"/>
      <c r="E1592" s="30"/>
      <c r="F1592" s="22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</row>
    <row r="1593">
      <c r="A1593" s="20"/>
      <c r="B1593" s="20"/>
      <c r="C1593" s="30"/>
      <c r="D1593" s="30"/>
      <c r="E1593" s="30"/>
      <c r="F1593" s="22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</row>
    <row r="1594">
      <c r="A1594" s="20"/>
      <c r="B1594" s="20"/>
      <c r="C1594" s="30"/>
      <c r="D1594" s="30"/>
      <c r="E1594" s="30"/>
      <c r="F1594" s="22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</row>
    <row r="1595">
      <c r="A1595" s="20"/>
      <c r="B1595" s="20"/>
      <c r="C1595" s="30"/>
      <c r="D1595" s="30"/>
      <c r="E1595" s="30"/>
      <c r="F1595" s="22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</row>
    <row r="1596">
      <c r="A1596" s="20"/>
      <c r="B1596" s="20"/>
      <c r="C1596" s="30"/>
      <c r="D1596" s="30"/>
      <c r="E1596" s="30"/>
      <c r="F1596" s="22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</row>
    <row r="1597">
      <c r="A1597" s="20"/>
      <c r="B1597" s="20"/>
      <c r="C1597" s="30"/>
      <c r="D1597" s="30"/>
      <c r="E1597" s="30"/>
      <c r="F1597" s="22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</row>
    <row r="1598">
      <c r="A1598" s="20"/>
      <c r="B1598" s="20"/>
      <c r="C1598" s="30"/>
      <c r="D1598" s="30"/>
      <c r="E1598" s="30"/>
      <c r="F1598" s="22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</row>
    <row r="1599">
      <c r="A1599" s="20"/>
      <c r="B1599" s="20"/>
      <c r="C1599" s="30"/>
      <c r="D1599" s="30"/>
      <c r="E1599" s="30"/>
      <c r="F1599" s="22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</row>
    <row r="1600">
      <c r="A1600" s="20"/>
      <c r="B1600" s="20"/>
      <c r="C1600" s="30"/>
      <c r="D1600" s="30"/>
      <c r="E1600" s="30"/>
      <c r="F1600" s="22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</row>
    <row r="1601">
      <c r="A1601" s="20"/>
      <c r="B1601" s="20"/>
      <c r="C1601" s="30"/>
      <c r="D1601" s="30"/>
      <c r="E1601" s="30"/>
      <c r="F1601" s="22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</row>
    <row r="1602">
      <c r="A1602" s="20"/>
      <c r="B1602" s="20"/>
      <c r="C1602" s="30"/>
      <c r="D1602" s="30"/>
      <c r="E1602" s="30"/>
      <c r="F1602" s="22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</row>
    <row r="1603">
      <c r="A1603" s="20"/>
      <c r="B1603" s="20"/>
      <c r="C1603" s="30"/>
      <c r="D1603" s="30"/>
      <c r="E1603" s="30"/>
      <c r="F1603" s="22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</row>
    <row r="1604">
      <c r="A1604" s="20"/>
      <c r="B1604" s="20"/>
      <c r="C1604" s="30"/>
      <c r="D1604" s="30"/>
      <c r="E1604" s="30"/>
      <c r="F1604" s="22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</row>
    <row r="1605">
      <c r="A1605" s="20"/>
      <c r="B1605" s="20"/>
      <c r="C1605" s="30"/>
      <c r="D1605" s="30"/>
      <c r="E1605" s="30"/>
      <c r="F1605" s="22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</row>
    <row r="1606">
      <c r="A1606" s="20"/>
      <c r="B1606" s="20"/>
      <c r="C1606" s="30"/>
      <c r="D1606" s="30"/>
      <c r="E1606" s="30"/>
      <c r="F1606" s="22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</row>
    <row r="1607">
      <c r="A1607" s="20"/>
      <c r="B1607" s="20"/>
      <c r="C1607" s="30"/>
      <c r="D1607" s="30"/>
      <c r="E1607" s="30"/>
      <c r="F1607" s="22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</row>
    <row r="1608">
      <c r="A1608" s="20"/>
      <c r="B1608" s="20"/>
      <c r="C1608" s="30"/>
      <c r="D1608" s="30"/>
      <c r="E1608" s="30"/>
      <c r="F1608" s="22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</row>
    <row r="1609">
      <c r="A1609" s="20"/>
      <c r="B1609" s="20"/>
      <c r="C1609" s="30"/>
      <c r="D1609" s="30"/>
      <c r="E1609" s="30"/>
      <c r="F1609" s="22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</row>
    <row r="1610">
      <c r="A1610" s="20"/>
      <c r="B1610" s="20"/>
      <c r="C1610" s="30"/>
      <c r="D1610" s="30"/>
      <c r="E1610" s="30"/>
      <c r="F1610" s="22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</row>
    <row r="1611">
      <c r="A1611" s="20"/>
      <c r="B1611" s="20"/>
      <c r="C1611" s="30"/>
      <c r="D1611" s="30"/>
      <c r="E1611" s="30"/>
      <c r="F1611" s="22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</row>
    <row r="1612">
      <c r="A1612" s="20"/>
      <c r="B1612" s="20"/>
      <c r="C1612" s="30"/>
      <c r="D1612" s="30"/>
      <c r="E1612" s="30"/>
      <c r="F1612" s="22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</row>
    <row r="1613">
      <c r="A1613" s="20"/>
      <c r="B1613" s="20"/>
      <c r="C1613" s="30"/>
      <c r="D1613" s="30"/>
      <c r="E1613" s="30"/>
      <c r="F1613" s="22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</row>
    <row r="1614">
      <c r="A1614" s="20"/>
      <c r="B1614" s="20"/>
      <c r="C1614" s="30"/>
      <c r="D1614" s="30"/>
      <c r="E1614" s="30"/>
      <c r="F1614" s="22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</row>
    <row r="1615">
      <c r="A1615" s="20"/>
      <c r="B1615" s="20"/>
      <c r="C1615" s="30"/>
      <c r="D1615" s="30"/>
      <c r="E1615" s="30"/>
      <c r="F1615" s="22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</row>
    <row r="1616">
      <c r="A1616" s="20"/>
      <c r="B1616" s="20"/>
      <c r="C1616" s="30"/>
      <c r="D1616" s="30"/>
      <c r="E1616" s="30"/>
      <c r="F1616" s="22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</row>
    <row r="1617">
      <c r="A1617" s="20"/>
      <c r="B1617" s="20"/>
      <c r="C1617" s="30"/>
      <c r="D1617" s="30"/>
      <c r="E1617" s="30"/>
      <c r="F1617" s="22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</row>
    <row r="1618">
      <c r="A1618" s="20"/>
      <c r="B1618" s="20"/>
      <c r="C1618" s="30"/>
      <c r="D1618" s="30"/>
      <c r="E1618" s="30"/>
      <c r="F1618" s="22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</row>
    <row r="1619">
      <c r="A1619" s="20"/>
      <c r="B1619" s="20"/>
      <c r="C1619" s="30"/>
      <c r="D1619" s="30"/>
      <c r="E1619" s="30"/>
      <c r="F1619" s="22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</row>
    <row r="1620">
      <c r="A1620" s="20"/>
      <c r="B1620" s="20"/>
      <c r="C1620" s="30"/>
      <c r="D1620" s="30"/>
      <c r="E1620" s="30"/>
      <c r="F1620" s="22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</row>
    <row r="1621">
      <c r="A1621" s="20"/>
      <c r="B1621" s="20"/>
      <c r="C1621" s="30"/>
      <c r="D1621" s="30"/>
      <c r="E1621" s="30"/>
      <c r="F1621" s="22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</row>
    <row r="1622">
      <c r="A1622" s="20"/>
      <c r="B1622" s="20"/>
      <c r="C1622" s="30"/>
      <c r="D1622" s="30"/>
      <c r="E1622" s="30"/>
      <c r="F1622" s="22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</row>
    <row r="1623">
      <c r="A1623" s="20"/>
      <c r="B1623" s="20"/>
      <c r="C1623" s="30"/>
      <c r="D1623" s="30"/>
      <c r="E1623" s="30"/>
      <c r="F1623" s="22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</row>
    <row r="1624">
      <c r="A1624" s="20"/>
      <c r="B1624" s="20"/>
      <c r="C1624" s="30"/>
      <c r="D1624" s="30"/>
      <c r="E1624" s="30"/>
      <c r="F1624" s="22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</row>
    <row r="1625">
      <c r="A1625" s="20"/>
      <c r="B1625" s="20"/>
      <c r="C1625" s="30"/>
      <c r="D1625" s="30"/>
      <c r="E1625" s="30"/>
      <c r="F1625" s="22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</row>
    <row r="1626">
      <c r="A1626" s="20"/>
      <c r="B1626" s="20"/>
      <c r="C1626" s="30"/>
      <c r="D1626" s="30"/>
      <c r="E1626" s="30"/>
      <c r="F1626" s="22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</row>
    <row r="1627">
      <c r="A1627" s="20"/>
      <c r="B1627" s="20"/>
      <c r="C1627" s="30"/>
      <c r="D1627" s="30"/>
      <c r="E1627" s="30"/>
      <c r="F1627" s="22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</row>
    <row r="1628">
      <c r="A1628" s="20"/>
      <c r="B1628" s="20"/>
      <c r="C1628" s="30"/>
      <c r="D1628" s="30"/>
      <c r="E1628" s="30"/>
      <c r="F1628" s="22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</row>
    <row r="1629">
      <c r="A1629" s="20"/>
      <c r="B1629" s="20"/>
      <c r="C1629" s="30"/>
      <c r="D1629" s="30"/>
      <c r="E1629" s="30"/>
      <c r="F1629" s="22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</row>
    <row r="1630">
      <c r="A1630" s="20"/>
      <c r="B1630" s="20"/>
      <c r="C1630" s="30"/>
      <c r="D1630" s="30"/>
      <c r="E1630" s="30"/>
      <c r="F1630" s="22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</row>
    <row r="1631">
      <c r="A1631" s="20"/>
      <c r="B1631" s="20"/>
      <c r="C1631" s="30"/>
      <c r="D1631" s="30"/>
      <c r="E1631" s="30"/>
      <c r="F1631" s="22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</row>
    <row r="1632">
      <c r="A1632" s="20"/>
      <c r="B1632" s="20"/>
      <c r="C1632" s="30"/>
      <c r="D1632" s="30"/>
      <c r="E1632" s="30"/>
      <c r="F1632" s="22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</row>
    <row r="1633">
      <c r="A1633" s="20"/>
      <c r="B1633" s="20"/>
      <c r="C1633" s="30"/>
      <c r="D1633" s="30"/>
      <c r="E1633" s="30"/>
      <c r="F1633" s="22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</row>
    <row r="1634">
      <c r="A1634" s="20"/>
      <c r="B1634" s="20"/>
      <c r="C1634" s="30"/>
      <c r="D1634" s="30"/>
      <c r="E1634" s="30"/>
      <c r="F1634" s="22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</row>
    <row r="1635">
      <c r="A1635" s="20"/>
      <c r="B1635" s="20"/>
      <c r="C1635" s="30"/>
      <c r="D1635" s="30"/>
      <c r="E1635" s="30"/>
      <c r="F1635" s="22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</row>
    <row r="1636">
      <c r="A1636" s="20"/>
      <c r="B1636" s="20"/>
      <c r="C1636" s="30"/>
      <c r="D1636" s="30"/>
      <c r="E1636" s="30"/>
      <c r="F1636" s="22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</row>
    <row r="1637">
      <c r="A1637" s="20"/>
      <c r="B1637" s="20"/>
      <c r="C1637" s="30"/>
      <c r="D1637" s="30"/>
      <c r="E1637" s="30"/>
      <c r="F1637" s="22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</row>
    <row r="1638">
      <c r="A1638" s="20"/>
      <c r="B1638" s="20"/>
      <c r="C1638" s="30"/>
      <c r="D1638" s="30"/>
      <c r="E1638" s="30"/>
      <c r="F1638" s="22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</row>
    <row r="1639">
      <c r="A1639" s="20"/>
      <c r="B1639" s="20"/>
      <c r="C1639" s="30"/>
      <c r="D1639" s="30"/>
      <c r="E1639" s="30"/>
      <c r="F1639" s="22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</row>
    <row r="1640">
      <c r="A1640" s="20"/>
      <c r="B1640" s="20"/>
      <c r="C1640" s="30"/>
      <c r="D1640" s="30"/>
      <c r="E1640" s="30"/>
      <c r="F1640" s="22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</row>
    <row r="1641">
      <c r="A1641" s="20"/>
      <c r="B1641" s="20"/>
      <c r="C1641" s="30"/>
      <c r="D1641" s="30"/>
      <c r="E1641" s="30"/>
      <c r="F1641" s="22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</row>
    <row r="1642">
      <c r="A1642" s="20"/>
      <c r="B1642" s="20"/>
      <c r="C1642" s="30"/>
      <c r="D1642" s="30"/>
      <c r="E1642" s="30"/>
      <c r="F1642" s="22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</row>
    <row r="1643">
      <c r="A1643" s="20"/>
      <c r="B1643" s="20"/>
      <c r="C1643" s="30"/>
      <c r="D1643" s="30"/>
      <c r="E1643" s="30"/>
      <c r="F1643" s="22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</row>
    <row r="1644">
      <c r="A1644" s="20"/>
      <c r="B1644" s="20"/>
      <c r="C1644" s="30"/>
      <c r="D1644" s="30"/>
      <c r="E1644" s="30"/>
      <c r="F1644" s="22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</row>
    <row r="1645">
      <c r="A1645" s="20"/>
      <c r="B1645" s="20"/>
      <c r="C1645" s="30"/>
      <c r="D1645" s="30"/>
      <c r="E1645" s="30"/>
      <c r="F1645" s="22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</row>
    <row r="1646">
      <c r="A1646" s="20"/>
      <c r="B1646" s="20"/>
      <c r="C1646" s="30"/>
      <c r="D1646" s="30"/>
      <c r="E1646" s="30"/>
      <c r="F1646" s="22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</row>
    <row r="1647">
      <c r="A1647" s="20"/>
      <c r="B1647" s="20"/>
      <c r="C1647" s="30"/>
      <c r="D1647" s="30"/>
      <c r="E1647" s="30"/>
      <c r="F1647" s="22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</row>
    <row r="1648">
      <c r="A1648" s="20"/>
      <c r="B1648" s="20"/>
      <c r="C1648" s="30"/>
      <c r="D1648" s="30"/>
      <c r="E1648" s="30"/>
      <c r="F1648" s="22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</row>
    <row r="1649">
      <c r="A1649" s="20"/>
      <c r="B1649" s="20"/>
      <c r="C1649" s="30"/>
      <c r="D1649" s="30"/>
      <c r="E1649" s="30"/>
      <c r="F1649" s="22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</row>
    <row r="1650">
      <c r="A1650" s="20"/>
      <c r="B1650" s="20"/>
      <c r="C1650" s="30"/>
      <c r="D1650" s="30"/>
      <c r="E1650" s="30"/>
      <c r="F1650" s="22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</row>
    <row r="1651">
      <c r="A1651" s="20"/>
      <c r="B1651" s="20"/>
      <c r="C1651" s="30"/>
      <c r="D1651" s="30"/>
      <c r="E1651" s="30"/>
      <c r="F1651" s="22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</row>
    <row r="1652">
      <c r="A1652" s="20"/>
      <c r="B1652" s="20"/>
      <c r="C1652" s="30"/>
      <c r="D1652" s="30"/>
      <c r="E1652" s="30"/>
      <c r="F1652" s="22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</row>
    <row r="1653">
      <c r="A1653" s="20"/>
      <c r="B1653" s="20"/>
      <c r="C1653" s="30"/>
      <c r="D1653" s="30"/>
      <c r="E1653" s="30"/>
      <c r="F1653" s="22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</row>
    <row r="1654">
      <c r="A1654" s="20"/>
      <c r="B1654" s="20"/>
      <c r="C1654" s="30"/>
      <c r="D1654" s="30"/>
      <c r="E1654" s="30"/>
      <c r="F1654" s="22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</row>
    <row r="1655">
      <c r="A1655" s="20"/>
      <c r="B1655" s="20"/>
      <c r="C1655" s="30"/>
      <c r="D1655" s="30"/>
      <c r="E1655" s="30"/>
      <c r="F1655" s="22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</row>
    <row r="1656">
      <c r="A1656" s="20"/>
      <c r="B1656" s="20"/>
      <c r="C1656" s="30"/>
      <c r="D1656" s="30"/>
      <c r="E1656" s="30"/>
      <c r="F1656" s="22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</row>
    <row r="1657">
      <c r="A1657" s="20"/>
      <c r="B1657" s="20"/>
      <c r="C1657" s="30"/>
      <c r="D1657" s="30"/>
      <c r="E1657" s="30"/>
      <c r="F1657" s="22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</row>
    <row r="1658">
      <c r="A1658" s="20"/>
      <c r="B1658" s="20"/>
      <c r="C1658" s="30"/>
      <c r="D1658" s="30"/>
      <c r="E1658" s="30"/>
      <c r="F1658" s="22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</row>
    <row r="1659">
      <c r="A1659" s="20"/>
      <c r="B1659" s="20"/>
      <c r="C1659" s="30"/>
      <c r="D1659" s="30"/>
      <c r="E1659" s="30"/>
      <c r="F1659" s="22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</row>
    <row r="1660">
      <c r="A1660" s="20"/>
      <c r="B1660" s="20"/>
      <c r="C1660" s="30"/>
      <c r="D1660" s="30"/>
      <c r="E1660" s="30"/>
      <c r="F1660" s="22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</row>
    <row r="1661">
      <c r="A1661" s="20"/>
      <c r="B1661" s="20"/>
      <c r="C1661" s="30"/>
      <c r="D1661" s="30"/>
      <c r="E1661" s="30"/>
      <c r="F1661" s="22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</row>
    <row r="1662">
      <c r="A1662" s="20"/>
      <c r="B1662" s="20"/>
      <c r="C1662" s="30"/>
      <c r="D1662" s="30"/>
      <c r="E1662" s="30"/>
      <c r="F1662" s="22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</row>
    <row r="1663">
      <c r="A1663" s="20"/>
      <c r="B1663" s="20"/>
      <c r="C1663" s="30"/>
      <c r="D1663" s="30"/>
      <c r="E1663" s="30"/>
      <c r="F1663" s="22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</row>
    <row r="1664">
      <c r="A1664" s="20"/>
      <c r="B1664" s="20"/>
      <c r="C1664" s="30"/>
      <c r="D1664" s="30"/>
      <c r="E1664" s="30"/>
      <c r="F1664" s="22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</row>
    <row r="1665">
      <c r="A1665" s="20"/>
      <c r="B1665" s="20"/>
      <c r="C1665" s="30"/>
      <c r="D1665" s="30"/>
      <c r="E1665" s="30"/>
      <c r="F1665" s="22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</row>
    <row r="1666">
      <c r="A1666" s="20"/>
      <c r="B1666" s="20"/>
      <c r="C1666" s="30"/>
      <c r="D1666" s="30"/>
      <c r="E1666" s="30"/>
      <c r="F1666" s="22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</row>
    <row r="1667">
      <c r="A1667" s="20"/>
      <c r="B1667" s="20"/>
      <c r="C1667" s="30"/>
      <c r="D1667" s="30"/>
      <c r="E1667" s="30"/>
      <c r="F1667" s="22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</row>
    <row r="1668">
      <c r="A1668" s="20"/>
      <c r="B1668" s="20"/>
      <c r="C1668" s="30"/>
      <c r="D1668" s="30"/>
      <c r="E1668" s="30"/>
      <c r="F1668" s="22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</row>
    <row r="1669">
      <c r="A1669" s="20"/>
      <c r="B1669" s="20"/>
      <c r="C1669" s="30"/>
      <c r="D1669" s="30"/>
      <c r="E1669" s="30"/>
      <c r="F1669" s="22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</row>
    <row r="1670">
      <c r="A1670" s="20"/>
      <c r="B1670" s="20"/>
      <c r="C1670" s="30"/>
      <c r="D1670" s="30"/>
      <c r="E1670" s="30"/>
      <c r="F1670" s="22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</row>
    <row r="1671">
      <c r="A1671" s="20"/>
      <c r="B1671" s="20"/>
      <c r="C1671" s="30"/>
      <c r="D1671" s="30"/>
      <c r="E1671" s="30"/>
      <c r="F1671" s="22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</row>
    <row r="1672">
      <c r="A1672" s="20"/>
      <c r="B1672" s="20"/>
      <c r="C1672" s="30"/>
      <c r="D1672" s="30"/>
      <c r="E1672" s="30"/>
      <c r="F1672" s="22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</row>
    <row r="1673">
      <c r="A1673" s="20"/>
      <c r="B1673" s="20"/>
      <c r="C1673" s="30"/>
      <c r="D1673" s="30"/>
      <c r="E1673" s="30"/>
      <c r="F1673" s="22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</row>
    <row r="1674">
      <c r="A1674" s="20"/>
      <c r="B1674" s="20"/>
      <c r="C1674" s="30"/>
      <c r="D1674" s="30"/>
      <c r="E1674" s="30"/>
      <c r="F1674" s="22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</row>
    <row r="1675">
      <c r="A1675" s="20"/>
      <c r="B1675" s="20"/>
      <c r="C1675" s="30"/>
      <c r="D1675" s="30"/>
      <c r="E1675" s="30"/>
      <c r="F1675" s="22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</row>
    <row r="1676">
      <c r="A1676" s="20"/>
      <c r="B1676" s="20"/>
      <c r="C1676" s="30"/>
      <c r="D1676" s="30"/>
      <c r="E1676" s="30"/>
      <c r="F1676" s="22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</row>
    <row r="1677">
      <c r="A1677" s="20"/>
      <c r="B1677" s="20"/>
      <c r="C1677" s="30"/>
      <c r="D1677" s="30"/>
      <c r="E1677" s="30"/>
      <c r="F1677" s="22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</row>
    <row r="1678">
      <c r="A1678" s="20"/>
      <c r="B1678" s="20"/>
      <c r="C1678" s="30"/>
      <c r="D1678" s="30"/>
      <c r="E1678" s="30"/>
      <c r="F1678" s="22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</row>
    <row r="1679">
      <c r="A1679" s="20"/>
      <c r="B1679" s="20"/>
      <c r="C1679" s="30"/>
      <c r="D1679" s="30"/>
      <c r="E1679" s="30"/>
      <c r="F1679" s="22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</row>
    <row r="1680">
      <c r="A1680" s="20"/>
      <c r="B1680" s="20"/>
      <c r="C1680" s="30"/>
      <c r="D1680" s="30"/>
      <c r="E1680" s="30"/>
      <c r="F1680" s="22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</row>
    <row r="1681">
      <c r="A1681" s="20"/>
      <c r="B1681" s="20"/>
      <c r="C1681" s="30"/>
      <c r="D1681" s="30"/>
      <c r="E1681" s="30"/>
      <c r="F1681" s="22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</row>
    <row r="1682">
      <c r="A1682" s="20"/>
      <c r="B1682" s="20"/>
      <c r="C1682" s="30"/>
      <c r="D1682" s="30"/>
      <c r="E1682" s="30"/>
      <c r="F1682" s="22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</row>
    <row r="1683">
      <c r="A1683" s="20"/>
      <c r="B1683" s="20"/>
      <c r="C1683" s="30"/>
      <c r="D1683" s="30"/>
      <c r="E1683" s="30"/>
      <c r="F1683" s="22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</row>
    <row r="1684">
      <c r="A1684" s="20"/>
      <c r="B1684" s="20"/>
      <c r="C1684" s="30"/>
      <c r="D1684" s="30"/>
      <c r="E1684" s="30"/>
      <c r="F1684" s="22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</row>
    <row r="1685">
      <c r="A1685" s="20"/>
      <c r="B1685" s="20"/>
      <c r="C1685" s="30"/>
      <c r="D1685" s="30"/>
      <c r="E1685" s="30"/>
      <c r="F1685" s="22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</row>
    <row r="1686">
      <c r="A1686" s="20"/>
      <c r="B1686" s="20"/>
      <c r="C1686" s="30"/>
      <c r="D1686" s="30"/>
      <c r="E1686" s="30"/>
      <c r="F1686" s="22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</row>
    <row r="1687">
      <c r="A1687" s="20"/>
      <c r="B1687" s="20"/>
      <c r="C1687" s="30"/>
      <c r="D1687" s="30"/>
      <c r="E1687" s="30"/>
      <c r="F1687" s="22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</row>
    <row r="1688">
      <c r="A1688" s="20"/>
      <c r="B1688" s="20"/>
      <c r="C1688" s="30"/>
      <c r="D1688" s="30"/>
      <c r="E1688" s="30"/>
      <c r="F1688" s="22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</row>
    <row r="1689">
      <c r="A1689" s="20"/>
      <c r="B1689" s="20"/>
      <c r="C1689" s="30"/>
      <c r="D1689" s="30"/>
      <c r="E1689" s="30"/>
      <c r="F1689" s="22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</row>
    <row r="1690">
      <c r="A1690" s="20"/>
      <c r="B1690" s="20"/>
      <c r="C1690" s="30"/>
      <c r="D1690" s="30"/>
      <c r="E1690" s="30"/>
      <c r="F1690" s="22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</row>
    <row r="1691">
      <c r="A1691" s="20"/>
      <c r="B1691" s="20"/>
      <c r="C1691" s="30"/>
      <c r="D1691" s="30"/>
      <c r="E1691" s="30"/>
      <c r="F1691" s="22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</row>
    <row r="1692">
      <c r="A1692" s="20"/>
      <c r="B1692" s="20"/>
      <c r="C1692" s="30"/>
      <c r="D1692" s="30"/>
      <c r="E1692" s="30"/>
      <c r="F1692" s="22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</row>
    <row r="1693">
      <c r="A1693" s="20"/>
      <c r="B1693" s="20"/>
      <c r="C1693" s="30"/>
      <c r="D1693" s="30"/>
      <c r="E1693" s="30"/>
      <c r="F1693" s="22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</row>
    <row r="1694">
      <c r="A1694" s="20"/>
      <c r="B1694" s="20"/>
      <c r="C1694" s="30"/>
      <c r="D1694" s="30"/>
      <c r="E1694" s="30"/>
      <c r="F1694" s="22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</row>
    <row r="1695">
      <c r="A1695" s="20"/>
      <c r="B1695" s="20"/>
      <c r="C1695" s="30"/>
      <c r="D1695" s="30"/>
      <c r="E1695" s="30"/>
      <c r="F1695" s="22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</row>
    <row r="1696">
      <c r="A1696" s="20"/>
      <c r="B1696" s="20"/>
      <c r="C1696" s="30"/>
      <c r="D1696" s="30"/>
      <c r="E1696" s="30"/>
      <c r="F1696" s="22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</row>
    <row r="1697">
      <c r="A1697" s="20"/>
      <c r="B1697" s="20"/>
      <c r="C1697" s="30"/>
      <c r="D1697" s="30"/>
      <c r="E1697" s="30"/>
      <c r="F1697" s="22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</row>
    <row r="1698">
      <c r="A1698" s="20"/>
      <c r="B1698" s="20"/>
      <c r="C1698" s="30"/>
      <c r="D1698" s="30"/>
      <c r="E1698" s="30"/>
      <c r="F1698" s="22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</row>
    <row r="1699">
      <c r="A1699" s="20"/>
      <c r="B1699" s="20"/>
      <c r="C1699" s="30"/>
      <c r="D1699" s="30"/>
      <c r="E1699" s="30"/>
      <c r="F1699" s="22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</row>
    <row r="1700">
      <c r="A1700" s="20"/>
      <c r="B1700" s="20"/>
      <c r="C1700" s="30"/>
      <c r="D1700" s="30"/>
      <c r="E1700" s="30"/>
      <c r="F1700" s="22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</row>
    <row r="1701">
      <c r="A1701" s="20"/>
      <c r="B1701" s="20"/>
      <c r="C1701" s="30"/>
      <c r="D1701" s="30"/>
      <c r="E1701" s="30"/>
      <c r="F1701" s="22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</row>
    <row r="1702">
      <c r="A1702" s="20"/>
      <c r="B1702" s="20"/>
      <c r="C1702" s="30"/>
      <c r="D1702" s="30"/>
      <c r="E1702" s="30"/>
      <c r="F1702" s="22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</row>
    <row r="1703">
      <c r="A1703" s="20"/>
      <c r="B1703" s="20"/>
      <c r="C1703" s="30"/>
      <c r="D1703" s="30"/>
      <c r="E1703" s="30"/>
      <c r="F1703" s="22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</row>
    <row r="1704">
      <c r="A1704" s="20"/>
      <c r="B1704" s="20"/>
      <c r="C1704" s="30"/>
      <c r="D1704" s="30"/>
      <c r="E1704" s="30"/>
      <c r="F1704" s="22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</row>
    <row r="1705">
      <c r="A1705" s="20"/>
      <c r="B1705" s="20"/>
      <c r="C1705" s="30"/>
      <c r="D1705" s="30"/>
      <c r="E1705" s="30"/>
      <c r="F1705" s="22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</row>
    <row r="1706">
      <c r="A1706" s="20"/>
      <c r="B1706" s="20"/>
      <c r="C1706" s="30"/>
      <c r="D1706" s="30"/>
      <c r="E1706" s="30"/>
      <c r="F1706" s="22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</row>
    <row r="1707">
      <c r="A1707" s="20"/>
      <c r="B1707" s="20"/>
      <c r="C1707" s="30"/>
      <c r="D1707" s="30"/>
      <c r="E1707" s="30"/>
      <c r="F1707" s="22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</row>
    <row r="1708">
      <c r="A1708" s="20"/>
      <c r="B1708" s="20"/>
      <c r="C1708" s="30"/>
      <c r="D1708" s="30"/>
      <c r="E1708" s="30"/>
      <c r="F1708" s="22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</row>
    <row r="1709">
      <c r="A1709" s="20"/>
      <c r="B1709" s="20"/>
      <c r="C1709" s="30"/>
      <c r="D1709" s="30"/>
      <c r="E1709" s="30"/>
      <c r="F1709" s="22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</row>
    <row r="1710">
      <c r="A1710" s="20"/>
      <c r="B1710" s="20"/>
      <c r="C1710" s="30"/>
      <c r="D1710" s="30"/>
      <c r="E1710" s="30"/>
      <c r="F1710" s="22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</row>
    <row r="1711">
      <c r="A1711" s="20"/>
      <c r="B1711" s="20"/>
      <c r="C1711" s="30"/>
      <c r="D1711" s="30"/>
      <c r="E1711" s="30"/>
      <c r="F1711" s="22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</row>
    <row r="1712">
      <c r="A1712" s="20"/>
      <c r="B1712" s="20"/>
      <c r="C1712" s="30"/>
      <c r="D1712" s="30"/>
      <c r="E1712" s="30"/>
      <c r="F1712" s="22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</row>
    <row r="1713">
      <c r="A1713" s="20"/>
      <c r="B1713" s="20"/>
      <c r="C1713" s="30"/>
      <c r="D1713" s="30"/>
      <c r="E1713" s="30"/>
      <c r="F1713" s="22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</row>
    <row r="1714">
      <c r="A1714" s="20"/>
      <c r="B1714" s="20"/>
      <c r="C1714" s="30"/>
      <c r="D1714" s="30"/>
      <c r="E1714" s="30"/>
      <c r="F1714" s="22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</row>
    <row r="1715">
      <c r="A1715" s="20"/>
      <c r="B1715" s="20"/>
      <c r="C1715" s="30"/>
      <c r="D1715" s="30"/>
      <c r="E1715" s="30"/>
      <c r="F1715" s="22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</row>
    <row r="1716">
      <c r="A1716" s="20"/>
      <c r="B1716" s="20"/>
      <c r="C1716" s="30"/>
      <c r="D1716" s="30"/>
      <c r="E1716" s="30"/>
      <c r="F1716" s="22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</row>
    <row r="1717">
      <c r="A1717" s="20"/>
      <c r="B1717" s="20"/>
      <c r="C1717" s="30"/>
      <c r="D1717" s="30"/>
      <c r="E1717" s="30"/>
      <c r="F1717" s="22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</row>
    <row r="1718">
      <c r="A1718" s="20"/>
      <c r="B1718" s="20"/>
      <c r="C1718" s="30"/>
      <c r="D1718" s="30"/>
      <c r="E1718" s="30"/>
      <c r="F1718" s="22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</row>
    <row r="1719">
      <c r="A1719" s="20"/>
      <c r="B1719" s="20"/>
      <c r="C1719" s="30"/>
      <c r="D1719" s="30"/>
      <c r="E1719" s="30"/>
      <c r="F1719" s="22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</row>
    <row r="1720">
      <c r="A1720" s="20"/>
      <c r="B1720" s="20"/>
      <c r="C1720" s="30"/>
      <c r="D1720" s="30"/>
      <c r="E1720" s="30"/>
      <c r="F1720" s="22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</row>
    <row r="1721">
      <c r="A1721" s="20"/>
      <c r="B1721" s="20"/>
      <c r="C1721" s="30"/>
      <c r="D1721" s="30"/>
      <c r="E1721" s="30"/>
      <c r="F1721" s="22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</row>
    <row r="1722">
      <c r="A1722" s="20"/>
      <c r="B1722" s="20"/>
      <c r="C1722" s="30"/>
      <c r="D1722" s="30"/>
      <c r="E1722" s="30"/>
      <c r="F1722" s="22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</row>
    <row r="1723">
      <c r="A1723" s="20"/>
      <c r="B1723" s="20"/>
      <c r="C1723" s="30"/>
      <c r="D1723" s="30"/>
      <c r="E1723" s="30"/>
      <c r="F1723" s="22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</row>
    <row r="1724">
      <c r="A1724" s="20"/>
      <c r="B1724" s="20"/>
      <c r="C1724" s="30"/>
      <c r="D1724" s="30"/>
      <c r="E1724" s="30"/>
      <c r="F1724" s="22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</row>
    <row r="1725">
      <c r="A1725" s="20"/>
      <c r="B1725" s="20"/>
      <c r="C1725" s="30"/>
      <c r="D1725" s="30"/>
      <c r="E1725" s="30"/>
      <c r="F1725" s="22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</row>
    <row r="1726">
      <c r="A1726" s="20"/>
      <c r="B1726" s="20"/>
      <c r="C1726" s="30"/>
      <c r="D1726" s="30"/>
      <c r="E1726" s="30"/>
      <c r="F1726" s="22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</row>
    <row r="1727">
      <c r="A1727" s="20"/>
      <c r="B1727" s="20"/>
      <c r="C1727" s="30"/>
      <c r="D1727" s="30"/>
      <c r="E1727" s="30"/>
      <c r="F1727" s="22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</row>
    <row r="1728">
      <c r="A1728" s="20"/>
      <c r="B1728" s="20"/>
      <c r="C1728" s="30"/>
      <c r="D1728" s="30"/>
      <c r="E1728" s="30"/>
      <c r="F1728" s="22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</row>
    <row r="1729">
      <c r="A1729" s="20"/>
      <c r="B1729" s="20"/>
      <c r="C1729" s="30"/>
      <c r="D1729" s="30"/>
      <c r="E1729" s="30"/>
      <c r="F1729" s="22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</row>
    <row r="1730">
      <c r="A1730" s="20"/>
      <c r="B1730" s="20"/>
      <c r="C1730" s="30"/>
      <c r="D1730" s="30"/>
      <c r="E1730" s="30"/>
      <c r="F1730" s="22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</row>
    <row r="1731">
      <c r="A1731" s="20"/>
      <c r="B1731" s="20"/>
      <c r="C1731" s="30"/>
      <c r="D1731" s="30"/>
      <c r="E1731" s="30"/>
      <c r="F1731" s="22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</row>
    <row r="1732">
      <c r="A1732" s="20"/>
      <c r="B1732" s="20"/>
      <c r="C1732" s="30"/>
      <c r="D1732" s="30"/>
      <c r="E1732" s="30"/>
      <c r="F1732" s="22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</row>
    <row r="1733">
      <c r="A1733" s="20"/>
      <c r="B1733" s="20"/>
      <c r="C1733" s="30"/>
      <c r="D1733" s="30"/>
      <c r="E1733" s="30"/>
      <c r="F1733" s="22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</row>
    <row r="1734">
      <c r="A1734" s="20"/>
      <c r="B1734" s="20"/>
      <c r="C1734" s="30"/>
      <c r="D1734" s="30"/>
      <c r="E1734" s="30"/>
      <c r="F1734" s="22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</row>
    <row r="1735">
      <c r="A1735" s="20"/>
      <c r="B1735" s="20"/>
      <c r="C1735" s="30"/>
      <c r="D1735" s="30"/>
      <c r="E1735" s="30"/>
      <c r="F1735" s="22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</row>
    <row r="1736">
      <c r="A1736" s="20"/>
      <c r="B1736" s="20"/>
      <c r="C1736" s="30"/>
      <c r="D1736" s="30"/>
      <c r="E1736" s="30"/>
      <c r="F1736" s="22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</row>
    <row r="1737">
      <c r="A1737" s="20"/>
      <c r="B1737" s="20"/>
      <c r="C1737" s="30"/>
      <c r="D1737" s="30"/>
      <c r="E1737" s="30"/>
      <c r="F1737" s="22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</row>
    <row r="1738">
      <c r="A1738" s="20"/>
      <c r="B1738" s="20"/>
      <c r="C1738" s="30"/>
      <c r="D1738" s="30"/>
      <c r="E1738" s="30"/>
      <c r="F1738" s="22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</row>
    <row r="1739">
      <c r="A1739" s="20"/>
      <c r="B1739" s="20"/>
      <c r="C1739" s="30"/>
      <c r="D1739" s="30"/>
      <c r="E1739" s="30"/>
      <c r="F1739" s="22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</row>
    <row r="1740">
      <c r="A1740" s="20"/>
      <c r="B1740" s="20"/>
      <c r="C1740" s="30"/>
      <c r="D1740" s="30"/>
      <c r="E1740" s="30"/>
      <c r="F1740" s="22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</row>
    <row r="1741">
      <c r="A1741" s="20"/>
      <c r="B1741" s="20"/>
      <c r="C1741" s="30"/>
      <c r="D1741" s="30"/>
      <c r="E1741" s="30"/>
      <c r="F1741" s="22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</row>
    <row r="1742">
      <c r="A1742" s="20"/>
      <c r="B1742" s="20"/>
      <c r="C1742" s="30"/>
      <c r="D1742" s="30"/>
      <c r="E1742" s="30"/>
      <c r="F1742" s="22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</row>
    <row r="1743">
      <c r="A1743" s="20"/>
      <c r="B1743" s="20"/>
      <c r="C1743" s="30"/>
      <c r="D1743" s="30"/>
      <c r="E1743" s="30"/>
      <c r="F1743" s="22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</row>
    <row r="1744">
      <c r="A1744" s="20"/>
      <c r="B1744" s="20"/>
      <c r="C1744" s="30"/>
      <c r="D1744" s="30"/>
      <c r="E1744" s="30"/>
      <c r="F1744" s="22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</row>
    <row r="1745">
      <c r="A1745" s="20"/>
      <c r="B1745" s="20"/>
      <c r="C1745" s="30"/>
      <c r="D1745" s="30"/>
      <c r="E1745" s="30"/>
      <c r="F1745" s="22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</row>
    <row r="1746">
      <c r="A1746" s="20"/>
      <c r="B1746" s="20"/>
      <c r="C1746" s="30"/>
      <c r="D1746" s="30"/>
      <c r="E1746" s="30"/>
      <c r="F1746" s="22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</row>
    <row r="1747">
      <c r="A1747" s="20"/>
      <c r="B1747" s="20"/>
      <c r="C1747" s="30"/>
      <c r="D1747" s="30"/>
      <c r="E1747" s="30"/>
      <c r="F1747" s="22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</row>
    <row r="1748">
      <c r="A1748" s="20"/>
      <c r="B1748" s="20"/>
      <c r="C1748" s="30"/>
      <c r="D1748" s="30"/>
      <c r="E1748" s="30"/>
      <c r="F1748" s="22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</row>
    <row r="1749">
      <c r="A1749" s="20"/>
      <c r="B1749" s="20"/>
      <c r="C1749" s="30"/>
      <c r="D1749" s="30"/>
      <c r="E1749" s="30"/>
      <c r="F1749" s="22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</row>
    <row r="1750">
      <c r="A1750" s="20"/>
      <c r="B1750" s="20"/>
      <c r="C1750" s="30"/>
      <c r="D1750" s="30"/>
      <c r="E1750" s="30"/>
      <c r="F1750" s="22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</row>
    <row r="1751">
      <c r="A1751" s="20"/>
      <c r="B1751" s="20"/>
      <c r="C1751" s="30"/>
      <c r="D1751" s="30"/>
      <c r="E1751" s="30"/>
      <c r="F1751" s="22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</row>
    <row r="1752">
      <c r="A1752" s="20"/>
      <c r="B1752" s="20"/>
      <c r="C1752" s="30"/>
      <c r="D1752" s="30"/>
      <c r="E1752" s="30"/>
      <c r="F1752" s="22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</row>
    <row r="1753">
      <c r="A1753" s="20"/>
      <c r="B1753" s="20"/>
      <c r="C1753" s="30"/>
      <c r="D1753" s="30"/>
      <c r="E1753" s="30"/>
      <c r="F1753" s="22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</row>
    <row r="1754">
      <c r="A1754" s="20"/>
      <c r="B1754" s="20"/>
      <c r="C1754" s="30"/>
      <c r="D1754" s="30"/>
      <c r="E1754" s="30"/>
      <c r="F1754" s="22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</row>
    <row r="1755">
      <c r="A1755" s="20"/>
      <c r="B1755" s="20"/>
      <c r="C1755" s="30"/>
      <c r="D1755" s="30"/>
      <c r="E1755" s="30"/>
      <c r="F1755" s="22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</row>
    <row r="1756">
      <c r="A1756" s="20"/>
      <c r="B1756" s="20"/>
      <c r="C1756" s="30"/>
      <c r="D1756" s="30"/>
      <c r="E1756" s="30"/>
      <c r="F1756" s="22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</row>
    <row r="1757">
      <c r="A1757" s="20"/>
      <c r="B1757" s="20"/>
      <c r="C1757" s="30"/>
      <c r="D1757" s="30"/>
      <c r="E1757" s="30"/>
      <c r="F1757" s="22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</row>
    <row r="1758">
      <c r="A1758" s="20"/>
      <c r="B1758" s="20"/>
      <c r="C1758" s="30"/>
      <c r="D1758" s="30"/>
      <c r="E1758" s="30"/>
      <c r="F1758" s="22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</row>
    <row r="1759">
      <c r="A1759" s="20"/>
      <c r="B1759" s="20"/>
      <c r="C1759" s="30"/>
      <c r="D1759" s="30"/>
      <c r="E1759" s="30"/>
      <c r="F1759" s="22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</row>
    <row r="1760">
      <c r="A1760" s="20"/>
      <c r="B1760" s="20"/>
      <c r="C1760" s="30"/>
      <c r="D1760" s="30"/>
      <c r="E1760" s="30"/>
      <c r="F1760" s="22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</row>
    <row r="1761">
      <c r="A1761" s="20"/>
      <c r="B1761" s="20"/>
      <c r="C1761" s="30"/>
      <c r="D1761" s="30"/>
      <c r="E1761" s="30"/>
      <c r="F1761" s="22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</row>
    <row r="1762">
      <c r="A1762" s="20"/>
      <c r="B1762" s="20"/>
      <c r="C1762" s="30"/>
      <c r="D1762" s="30"/>
      <c r="E1762" s="30"/>
      <c r="F1762" s="22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</row>
    <row r="1763">
      <c r="A1763" s="20"/>
      <c r="B1763" s="20"/>
      <c r="C1763" s="30"/>
      <c r="D1763" s="30"/>
      <c r="E1763" s="30"/>
      <c r="F1763" s="22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</row>
    <row r="1764">
      <c r="A1764" s="20"/>
      <c r="B1764" s="20"/>
      <c r="C1764" s="30"/>
      <c r="D1764" s="30"/>
      <c r="E1764" s="30"/>
      <c r="F1764" s="22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</row>
    <row r="1765">
      <c r="A1765" s="20"/>
      <c r="B1765" s="20"/>
      <c r="C1765" s="30"/>
      <c r="D1765" s="30"/>
      <c r="E1765" s="30"/>
      <c r="F1765" s="22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</row>
    <row r="1766">
      <c r="A1766" s="20"/>
      <c r="B1766" s="20"/>
      <c r="C1766" s="30"/>
      <c r="D1766" s="30"/>
      <c r="E1766" s="30"/>
      <c r="F1766" s="22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</row>
    <row r="1767">
      <c r="A1767" s="20"/>
      <c r="B1767" s="20"/>
      <c r="C1767" s="30"/>
      <c r="D1767" s="30"/>
      <c r="E1767" s="30"/>
      <c r="F1767" s="22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</row>
    <row r="1768">
      <c r="A1768" s="20"/>
      <c r="B1768" s="20"/>
      <c r="C1768" s="30"/>
      <c r="D1768" s="30"/>
      <c r="E1768" s="30"/>
      <c r="F1768" s="22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</row>
    <row r="1769">
      <c r="A1769" s="20"/>
      <c r="B1769" s="20"/>
      <c r="C1769" s="30"/>
      <c r="D1769" s="30"/>
      <c r="E1769" s="30"/>
      <c r="F1769" s="22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</row>
    <row r="1770">
      <c r="A1770" s="20"/>
      <c r="B1770" s="20"/>
      <c r="C1770" s="30"/>
      <c r="D1770" s="30"/>
      <c r="E1770" s="30"/>
      <c r="F1770" s="22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</row>
    <row r="1771">
      <c r="A1771" s="20"/>
      <c r="B1771" s="20"/>
      <c r="C1771" s="30"/>
      <c r="D1771" s="30"/>
      <c r="E1771" s="30"/>
      <c r="F1771" s="22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</row>
    <row r="1772">
      <c r="A1772" s="20"/>
      <c r="B1772" s="20"/>
      <c r="C1772" s="30"/>
      <c r="D1772" s="30"/>
      <c r="E1772" s="30"/>
      <c r="F1772" s="22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</row>
    <row r="1773">
      <c r="A1773" s="20"/>
      <c r="B1773" s="20"/>
      <c r="C1773" s="30"/>
      <c r="D1773" s="30"/>
      <c r="E1773" s="30"/>
      <c r="F1773" s="22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</row>
    <row r="1774">
      <c r="A1774" s="20"/>
      <c r="B1774" s="20"/>
      <c r="C1774" s="30"/>
      <c r="D1774" s="30"/>
      <c r="E1774" s="30"/>
      <c r="F1774" s="22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</row>
    <row r="1775">
      <c r="A1775" s="20"/>
      <c r="B1775" s="20"/>
      <c r="C1775" s="30"/>
      <c r="D1775" s="30"/>
      <c r="E1775" s="30"/>
      <c r="F1775" s="22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</row>
    <row r="1776">
      <c r="A1776" s="20"/>
      <c r="B1776" s="20"/>
      <c r="C1776" s="30"/>
      <c r="D1776" s="30"/>
      <c r="E1776" s="30"/>
      <c r="F1776" s="22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</row>
    <row r="1777">
      <c r="A1777" s="20"/>
      <c r="B1777" s="20"/>
      <c r="C1777" s="30"/>
      <c r="D1777" s="30"/>
      <c r="E1777" s="30"/>
      <c r="F1777" s="22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</row>
    <row r="1778">
      <c r="A1778" s="20"/>
      <c r="B1778" s="20"/>
      <c r="C1778" s="30"/>
      <c r="D1778" s="30"/>
      <c r="E1778" s="30"/>
      <c r="F1778" s="22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</row>
    <row r="1779">
      <c r="A1779" s="20"/>
      <c r="B1779" s="20"/>
      <c r="C1779" s="30"/>
      <c r="D1779" s="30"/>
      <c r="E1779" s="30"/>
      <c r="F1779" s="22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</row>
    <row r="1780">
      <c r="A1780" s="20"/>
      <c r="B1780" s="20"/>
      <c r="C1780" s="30"/>
      <c r="D1780" s="30"/>
      <c r="E1780" s="30"/>
      <c r="F1780" s="22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</row>
    <row r="1781">
      <c r="A1781" s="20"/>
      <c r="B1781" s="20"/>
      <c r="C1781" s="30"/>
      <c r="D1781" s="30"/>
      <c r="E1781" s="30"/>
      <c r="F1781" s="22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</row>
    <row r="1782">
      <c r="A1782" s="20"/>
      <c r="B1782" s="20"/>
      <c r="C1782" s="30"/>
      <c r="D1782" s="30"/>
      <c r="E1782" s="30"/>
      <c r="F1782" s="22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</row>
    <row r="1783">
      <c r="A1783" s="20"/>
      <c r="B1783" s="20"/>
      <c r="C1783" s="30"/>
      <c r="D1783" s="30"/>
      <c r="E1783" s="30"/>
      <c r="F1783" s="22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</row>
    <row r="1784">
      <c r="A1784" s="20"/>
      <c r="B1784" s="20"/>
      <c r="C1784" s="30"/>
      <c r="D1784" s="30"/>
      <c r="E1784" s="30"/>
      <c r="F1784" s="22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</row>
    <row r="1785">
      <c r="A1785" s="20"/>
      <c r="B1785" s="20"/>
      <c r="C1785" s="30"/>
      <c r="D1785" s="30"/>
      <c r="E1785" s="30"/>
      <c r="F1785" s="22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</row>
    <row r="1786">
      <c r="A1786" s="20"/>
      <c r="B1786" s="20"/>
      <c r="C1786" s="30"/>
      <c r="D1786" s="30"/>
      <c r="E1786" s="30"/>
      <c r="F1786" s="22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</row>
    <row r="1787">
      <c r="A1787" s="20"/>
      <c r="B1787" s="20"/>
      <c r="C1787" s="30"/>
      <c r="D1787" s="30"/>
      <c r="E1787" s="30"/>
      <c r="F1787" s="22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</row>
    <row r="1788">
      <c r="A1788" s="20"/>
      <c r="B1788" s="20"/>
      <c r="C1788" s="30"/>
      <c r="D1788" s="30"/>
      <c r="E1788" s="30"/>
      <c r="F1788" s="22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</row>
    <row r="1789">
      <c r="A1789" s="20"/>
      <c r="B1789" s="20"/>
      <c r="C1789" s="30"/>
      <c r="D1789" s="30"/>
      <c r="E1789" s="30"/>
      <c r="F1789" s="22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</row>
    <row r="1790">
      <c r="A1790" s="20"/>
      <c r="B1790" s="20"/>
      <c r="C1790" s="30"/>
      <c r="D1790" s="30"/>
      <c r="E1790" s="30"/>
      <c r="F1790" s="22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</row>
    <row r="1791">
      <c r="A1791" s="20"/>
      <c r="B1791" s="20"/>
      <c r="C1791" s="30"/>
      <c r="D1791" s="30"/>
      <c r="E1791" s="30"/>
      <c r="F1791" s="22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</row>
    <row r="1792">
      <c r="A1792" s="20"/>
      <c r="B1792" s="20"/>
      <c r="C1792" s="30"/>
      <c r="D1792" s="30"/>
      <c r="E1792" s="30"/>
      <c r="F1792" s="22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</row>
    <row r="1793">
      <c r="A1793" s="20"/>
      <c r="B1793" s="20"/>
      <c r="C1793" s="30"/>
      <c r="D1793" s="30"/>
      <c r="E1793" s="30"/>
      <c r="F1793" s="22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</row>
    <row r="1794">
      <c r="A1794" s="20"/>
      <c r="B1794" s="20"/>
      <c r="C1794" s="30"/>
      <c r="D1794" s="30"/>
      <c r="E1794" s="30"/>
      <c r="F1794" s="22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</row>
    <row r="1795">
      <c r="A1795" s="20"/>
      <c r="B1795" s="20"/>
      <c r="C1795" s="30"/>
      <c r="D1795" s="30"/>
      <c r="E1795" s="30"/>
      <c r="F1795" s="22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</row>
    <row r="1796">
      <c r="A1796" s="20"/>
      <c r="B1796" s="20"/>
      <c r="C1796" s="30"/>
      <c r="D1796" s="30"/>
      <c r="E1796" s="30"/>
      <c r="F1796" s="22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</row>
    <row r="1797">
      <c r="A1797" s="20"/>
      <c r="B1797" s="20"/>
      <c r="C1797" s="30"/>
      <c r="D1797" s="30"/>
      <c r="E1797" s="30"/>
      <c r="F1797" s="22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</row>
    <row r="1798">
      <c r="A1798" s="20"/>
      <c r="B1798" s="20"/>
      <c r="C1798" s="30"/>
      <c r="D1798" s="30"/>
      <c r="E1798" s="30"/>
      <c r="F1798" s="22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</row>
    <row r="1799">
      <c r="A1799" s="20"/>
      <c r="B1799" s="20"/>
      <c r="C1799" s="30"/>
      <c r="D1799" s="30"/>
      <c r="E1799" s="30"/>
      <c r="F1799" s="22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</row>
    <row r="1800">
      <c r="A1800" s="20"/>
      <c r="B1800" s="20"/>
      <c r="C1800" s="30"/>
      <c r="D1800" s="30"/>
      <c r="E1800" s="30"/>
      <c r="F1800" s="22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</row>
    <row r="1801">
      <c r="A1801" s="20"/>
      <c r="B1801" s="20"/>
      <c r="C1801" s="30"/>
      <c r="D1801" s="30"/>
      <c r="E1801" s="30"/>
      <c r="F1801" s="22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</row>
    <row r="1802">
      <c r="A1802" s="20"/>
      <c r="B1802" s="20"/>
      <c r="C1802" s="30"/>
      <c r="D1802" s="30"/>
      <c r="E1802" s="30"/>
      <c r="F1802" s="22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</row>
    <row r="1803">
      <c r="A1803" s="20"/>
      <c r="B1803" s="20"/>
      <c r="C1803" s="30"/>
      <c r="D1803" s="30"/>
      <c r="E1803" s="30"/>
      <c r="F1803" s="22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</row>
    <row r="1804">
      <c r="A1804" s="20"/>
      <c r="B1804" s="20"/>
      <c r="C1804" s="30"/>
      <c r="D1804" s="30"/>
      <c r="E1804" s="30"/>
      <c r="F1804" s="22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</row>
    <row r="1805">
      <c r="A1805" s="20"/>
      <c r="B1805" s="20"/>
      <c r="C1805" s="30"/>
      <c r="D1805" s="30"/>
      <c r="E1805" s="30"/>
      <c r="F1805" s="22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</row>
    <row r="1806">
      <c r="A1806" s="20"/>
      <c r="B1806" s="20"/>
      <c r="C1806" s="30"/>
      <c r="D1806" s="30"/>
      <c r="E1806" s="30"/>
      <c r="F1806" s="22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</row>
    <row r="1807">
      <c r="A1807" s="20"/>
      <c r="B1807" s="20"/>
      <c r="C1807" s="30"/>
      <c r="D1807" s="30"/>
      <c r="E1807" s="30"/>
      <c r="F1807" s="22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</row>
    <row r="1808">
      <c r="A1808" s="20"/>
      <c r="B1808" s="20"/>
      <c r="C1808" s="30"/>
      <c r="D1808" s="30"/>
      <c r="E1808" s="30"/>
      <c r="F1808" s="22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</row>
    <row r="1809">
      <c r="A1809" s="20"/>
      <c r="B1809" s="20"/>
      <c r="C1809" s="30"/>
      <c r="D1809" s="30"/>
      <c r="E1809" s="30"/>
      <c r="F1809" s="22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</row>
    <row r="1810">
      <c r="A1810" s="20"/>
      <c r="B1810" s="20"/>
      <c r="C1810" s="30"/>
      <c r="D1810" s="30"/>
      <c r="E1810" s="30"/>
      <c r="F1810" s="22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</row>
    <row r="1811">
      <c r="A1811" s="20"/>
      <c r="B1811" s="20"/>
      <c r="C1811" s="30"/>
      <c r="D1811" s="30"/>
      <c r="E1811" s="30"/>
      <c r="F1811" s="22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</row>
    <row r="1812">
      <c r="A1812" s="20"/>
      <c r="B1812" s="20"/>
      <c r="C1812" s="30"/>
      <c r="D1812" s="30"/>
      <c r="E1812" s="30"/>
      <c r="F1812" s="22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</row>
    <row r="1813">
      <c r="A1813" s="20"/>
      <c r="B1813" s="20"/>
      <c r="C1813" s="30"/>
      <c r="D1813" s="30"/>
      <c r="E1813" s="30"/>
      <c r="F1813" s="22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</row>
    <row r="1814">
      <c r="A1814" s="20"/>
      <c r="B1814" s="20"/>
      <c r="C1814" s="30"/>
      <c r="D1814" s="30"/>
      <c r="E1814" s="30"/>
      <c r="F1814" s="22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</row>
    <row r="1815">
      <c r="A1815" s="20"/>
      <c r="B1815" s="20"/>
      <c r="C1815" s="30"/>
      <c r="D1815" s="30"/>
      <c r="E1815" s="30"/>
      <c r="F1815" s="22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</row>
    <row r="1816">
      <c r="A1816" s="20"/>
      <c r="B1816" s="20"/>
      <c r="C1816" s="30"/>
      <c r="D1816" s="30"/>
      <c r="E1816" s="30"/>
      <c r="F1816" s="22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</row>
    <row r="1817">
      <c r="A1817" s="20"/>
      <c r="B1817" s="20"/>
      <c r="C1817" s="30"/>
      <c r="D1817" s="30"/>
      <c r="E1817" s="30"/>
      <c r="F1817" s="22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</row>
    <row r="1818">
      <c r="A1818" s="20"/>
      <c r="B1818" s="20"/>
      <c r="C1818" s="30"/>
      <c r="D1818" s="30"/>
      <c r="E1818" s="30"/>
      <c r="F1818" s="22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</row>
    <row r="1819">
      <c r="A1819" s="20"/>
      <c r="B1819" s="20"/>
      <c r="C1819" s="30"/>
      <c r="D1819" s="30"/>
      <c r="E1819" s="30"/>
      <c r="F1819" s="22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</row>
    <row r="1820">
      <c r="A1820" s="20"/>
      <c r="B1820" s="20"/>
      <c r="C1820" s="30"/>
      <c r="D1820" s="30"/>
      <c r="E1820" s="30"/>
      <c r="F1820" s="22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</row>
    <row r="1821">
      <c r="A1821" s="20"/>
      <c r="B1821" s="20"/>
      <c r="C1821" s="30"/>
      <c r="D1821" s="30"/>
      <c r="E1821" s="30"/>
      <c r="F1821" s="22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</row>
    <row r="1822">
      <c r="A1822" s="20"/>
      <c r="B1822" s="20"/>
      <c r="C1822" s="30"/>
      <c r="D1822" s="30"/>
      <c r="E1822" s="30"/>
      <c r="F1822" s="22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</row>
    <row r="1823">
      <c r="A1823" s="20"/>
      <c r="B1823" s="20"/>
      <c r="C1823" s="30"/>
      <c r="D1823" s="30"/>
      <c r="E1823" s="30"/>
      <c r="F1823" s="22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</row>
    <row r="1824">
      <c r="A1824" s="20"/>
      <c r="B1824" s="20"/>
      <c r="C1824" s="30"/>
      <c r="D1824" s="30"/>
      <c r="E1824" s="30"/>
      <c r="F1824" s="22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</row>
    <row r="1825">
      <c r="A1825" s="20"/>
      <c r="B1825" s="20"/>
      <c r="C1825" s="30"/>
      <c r="D1825" s="30"/>
      <c r="E1825" s="30"/>
      <c r="F1825" s="22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</row>
    <row r="1826">
      <c r="A1826" s="20"/>
      <c r="B1826" s="20"/>
      <c r="C1826" s="30"/>
      <c r="D1826" s="30"/>
      <c r="E1826" s="30"/>
      <c r="F1826" s="22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</row>
    <row r="1827">
      <c r="A1827" s="20"/>
      <c r="B1827" s="20"/>
      <c r="C1827" s="30"/>
      <c r="D1827" s="30"/>
      <c r="E1827" s="30"/>
      <c r="F1827" s="22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</row>
    <row r="1828">
      <c r="A1828" s="20"/>
      <c r="B1828" s="20"/>
      <c r="C1828" s="30"/>
      <c r="D1828" s="30"/>
      <c r="E1828" s="30"/>
      <c r="F1828" s="22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</row>
    <row r="1829">
      <c r="A1829" s="20"/>
      <c r="B1829" s="20"/>
      <c r="C1829" s="30"/>
      <c r="D1829" s="30"/>
      <c r="E1829" s="30"/>
      <c r="F1829" s="22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</row>
    <row r="1830">
      <c r="A1830" s="20"/>
      <c r="B1830" s="20"/>
      <c r="C1830" s="30"/>
      <c r="D1830" s="30"/>
      <c r="E1830" s="30"/>
      <c r="F1830" s="22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</row>
    <row r="1831">
      <c r="A1831" s="20"/>
      <c r="B1831" s="20"/>
      <c r="C1831" s="30"/>
      <c r="D1831" s="30"/>
      <c r="E1831" s="30"/>
      <c r="F1831" s="22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</row>
    <row r="1832">
      <c r="A1832" s="20"/>
      <c r="B1832" s="20"/>
      <c r="C1832" s="30"/>
      <c r="D1832" s="30"/>
      <c r="E1832" s="30"/>
      <c r="F1832" s="22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</row>
    <row r="1833">
      <c r="A1833" s="20"/>
      <c r="B1833" s="20"/>
      <c r="C1833" s="30"/>
      <c r="D1833" s="30"/>
      <c r="E1833" s="30"/>
      <c r="F1833" s="22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</row>
    <row r="1834">
      <c r="A1834" s="20"/>
      <c r="B1834" s="20"/>
      <c r="C1834" s="30"/>
      <c r="D1834" s="30"/>
      <c r="E1834" s="30"/>
      <c r="F1834" s="22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</row>
    <row r="1835">
      <c r="A1835" s="20"/>
      <c r="B1835" s="20"/>
      <c r="C1835" s="30"/>
      <c r="D1835" s="30"/>
      <c r="E1835" s="30"/>
      <c r="F1835" s="22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</row>
    <row r="1836">
      <c r="A1836" s="20"/>
      <c r="B1836" s="20"/>
      <c r="C1836" s="30"/>
      <c r="D1836" s="30"/>
      <c r="E1836" s="30"/>
      <c r="F1836" s="22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</row>
    <row r="1837">
      <c r="A1837" s="20"/>
      <c r="B1837" s="20"/>
      <c r="C1837" s="30"/>
      <c r="D1837" s="30"/>
      <c r="E1837" s="30"/>
      <c r="F1837" s="22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</row>
    <row r="1838">
      <c r="A1838" s="20"/>
      <c r="B1838" s="20"/>
      <c r="C1838" s="30"/>
      <c r="D1838" s="30"/>
      <c r="E1838" s="30"/>
      <c r="F1838" s="22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</row>
    <row r="1839">
      <c r="A1839" s="20"/>
      <c r="B1839" s="20"/>
      <c r="C1839" s="30"/>
      <c r="D1839" s="30"/>
      <c r="E1839" s="30"/>
      <c r="F1839" s="22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</row>
    <row r="1840">
      <c r="A1840" s="20"/>
      <c r="B1840" s="20"/>
      <c r="C1840" s="30"/>
      <c r="D1840" s="30"/>
      <c r="E1840" s="30"/>
      <c r="F1840" s="22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</row>
    <row r="1841">
      <c r="A1841" s="20"/>
      <c r="B1841" s="20"/>
      <c r="C1841" s="30"/>
      <c r="D1841" s="30"/>
      <c r="E1841" s="30"/>
      <c r="F1841" s="22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</row>
    <row r="1842">
      <c r="A1842" s="20"/>
      <c r="B1842" s="20"/>
      <c r="C1842" s="30"/>
      <c r="D1842" s="30"/>
      <c r="E1842" s="30"/>
      <c r="F1842" s="22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</row>
    <row r="1843">
      <c r="A1843" s="20"/>
      <c r="B1843" s="20"/>
      <c r="C1843" s="30"/>
      <c r="D1843" s="30"/>
      <c r="E1843" s="30"/>
      <c r="F1843" s="22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</row>
    <row r="1844">
      <c r="A1844" s="20"/>
      <c r="B1844" s="20"/>
      <c r="C1844" s="30"/>
      <c r="D1844" s="30"/>
      <c r="E1844" s="30"/>
      <c r="F1844" s="22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</row>
    <row r="1845">
      <c r="A1845" s="20"/>
      <c r="B1845" s="20"/>
      <c r="C1845" s="30"/>
      <c r="D1845" s="30"/>
      <c r="E1845" s="30"/>
      <c r="F1845" s="22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</row>
    <row r="1846">
      <c r="A1846" s="20"/>
      <c r="B1846" s="20"/>
      <c r="C1846" s="30"/>
      <c r="D1846" s="30"/>
      <c r="E1846" s="30"/>
      <c r="F1846" s="22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</row>
    <row r="1847">
      <c r="A1847" s="20"/>
      <c r="B1847" s="20"/>
      <c r="C1847" s="30"/>
      <c r="D1847" s="30"/>
      <c r="E1847" s="30"/>
      <c r="F1847" s="22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</row>
    <row r="1848">
      <c r="A1848" s="20"/>
      <c r="B1848" s="20"/>
      <c r="C1848" s="30"/>
      <c r="D1848" s="30"/>
      <c r="E1848" s="30"/>
      <c r="F1848" s="22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</row>
    <row r="1849">
      <c r="A1849" s="20"/>
      <c r="B1849" s="20"/>
      <c r="C1849" s="30"/>
      <c r="D1849" s="30"/>
      <c r="E1849" s="30"/>
      <c r="F1849" s="22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</row>
    <row r="1850">
      <c r="A1850" s="20"/>
      <c r="B1850" s="20"/>
      <c r="C1850" s="30"/>
      <c r="D1850" s="30"/>
      <c r="E1850" s="30"/>
      <c r="F1850" s="22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</row>
    <row r="1851">
      <c r="A1851" s="20"/>
      <c r="B1851" s="20"/>
      <c r="C1851" s="30"/>
      <c r="D1851" s="30"/>
      <c r="E1851" s="30"/>
      <c r="F1851" s="22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</row>
    <row r="1852">
      <c r="A1852" s="20"/>
      <c r="B1852" s="20"/>
      <c r="C1852" s="30"/>
      <c r="D1852" s="30"/>
      <c r="E1852" s="30"/>
      <c r="F1852" s="22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</row>
    <row r="1853">
      <c r="A1853" s="20"/>
      <c r="B1853" s="20"/>
      <c r="C1853" s="30"/>
      <c r="D1853" s="30"/>
      <c r="E1853" s="30"/>
      <c r="F1853" s="22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</row>
    <row r="1854">
      <c r="A1854" s="20"/>
      <c r="B1854" s="20"/>
      <c r="C1854" s="30"/>
      <c r="D1854" s="30"/>
      <c r="E1854" s="30"/>
      <c r="F1854" s="22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</row>
    <row r="1855">
      <c r="A1855" s="20"/>
      <c r="B1855" s="20"/>
      <c r="C1855" s="30"/>
      <c r="D1855" s="30"/>
      <c r="E1855" s="30"/>
      <c r="F1855" s="22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</row>
    <row r="1856">
      <c r="A1856" s="20"/>
      <c r="B1856" s="20"/>
      <c r="C1856" s="30"/>
      <c r="D1856" s="30"/>
      <c r="E1856" s="30"/>
      <c r="F1856" s="22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</row>
    <row r="1857">
      <c r="A1857" s="20"/>
      <c r="B1857" s="20"/>
      <c r="C1857" s="30"/>
      <c r="D1857" s="30"/>
      <c r="E1857" s="30"/>
      <c r="F1857" s="22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</row>
    <row r="1858">
      <c r="A1858" s="20"/>
      <c r="B1858" s="20"/>
      <c r="C1858" s="30"/>
      <c r="D1858" s="30"/>
      <c r="E1858" s="30"/>
      <c r="F1858" s="22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</row>
    <row r="1859">
      <c r="A1859" s="20"/>
      <c r="B1859" s="20"/>
      <c r="C1859" s="30"/>
      <c r="D1859" s="30"/>
      <c r="E1859" s="30"/>
      <c r="F1859" s="22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</row>
    <row r="1860">
      <c r="A1860" s="20"/>
      <c r="B1860" s="20"/>
      <c r="C1860" s="30"/>
      <c r="D1860" s="30"/>
      <c r="E1860" s="30"/>
      <c r="F1860" s="22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</row>
    <row r="1861">
      <c r="A1861" s="20"/>
      <c r="B1861" s="20"/>
      <c r="C1861" s="30"/>
      <c r="D1861" s="30"/>
      <c r="E1861" s="30"/>
      <c r="F1861" s="22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</row>
    <row r="1862">
      <c r="A1862" s="20"/>
      <c r="B1862" s="20"/>
      <c r="C1862" s="30"/>
      <c r="D1862" s="30"/>
      <c r="E1862" s="30"/>
      <c r="F1862" s="22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</row>
    <row r="1863">
      <c r="A1863" s="20"/>
      <c r="B1863" s="20"/>
      <c r="C1863" s="30"/>
      <c r="D1863" s="30"/>
      <c r="E1863" s="30"/>
      <c r="F1863" s="22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</row>
    <row r="1864">
      <c r="A1864" s="20"/>
      <c r="B1864" s="20"/>
      <c r="C1864" s="30"/>
      <c r="D1864" s="30"/>
      <c r="E1864" s="30"/>
      <c r="F1864" s="22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</row>
    <row r="1865">
      <c r="A1865" s="20"/>
      <c r="B1865" s="20"/>
      <c r="C1865" s="30"/>
      <c r="D1865" s="30"/>
      <c r="E1865" s="30"/>
      <c r="F1865" s="22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</row>
    <row r="1866">
      <c r="A1866" s="20"/>
      <c r="B1866" s="20"/>
      <c r="C1866" s="30"/>
      <c r="D1866" s="30"/>
      <c r="E1866" s="30"/>
      <c r="F1866" s="22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</row>
    <row r="1867">
      <c r="A1867" s="20"/>
      <c r="B1867" s="20"/>
      <c r="C1867" s="30"/>
      <c r="D1867" s="30"/>
      <c r="E1867" s="30"/>
      <c r="F1867" s="22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</row>
    <row r="1868">
      <c r="A1868" s="20"/>
      <c r="B1868" s="20"/>
      <c r="C1868" s="30"/>
      <c r="D1868" s="30"/>
      <c r="E1868" s="30"/>
      <c r="F1868" s="22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</row>
    <row r="1869">
      <c r="A1869" s="20"/>
      <c r="B1869" s="20"/>
      <c r="C1869" s="30"/>
      <c r="D1869" s="30"/>
      <c r="E1869" s="30"/>
      <c r="F1869" s="22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</row>
    <row r="1870">
      <c r="A1870" s="20"/>
      <c r="B1870" s="20"/>
      <c r="C1870" s="30"/>
      <c r="D1870" s="30"/>
      <c r="E1870" s="30"/>
      <c r="F1870" s="22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</row>
    <row r="1871">
      <c r="A1871" s="20"/>
      <c r="B1871" s="20"/>
      <c r="C1871" s="30"/>
      <c r="D1871" s="30"/>
      <c r="E1871" s="30"/>
      <c r="F1871" s="22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</row>
    <row r="1872">
      <c r="A1872" s="20"/>
      <c r="B1872" s="20"/>
      <c r="C1872" s="30"/>
      <c r="D1872" s="30"/>
      <c r="E1872" s="30"/>
      <c r="F1872" s="22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</row>
    <row r="1873">
      <c r="A1873" s="20"/>
      <c r="B1873" s="20"/>
      <c r="C1873" s="30"/>
      <c r="D1873" s="30"/>
      <c r="E1873" s="30"/>
      <c r="F1873" s="22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</row>
    <row r="1874">
      <c r="A1874" s="20"/>
      <c r="B1874" s="20"/>
      <c r="C1874" s="30"/>
      <c r="D1874" s="30"/>
      <c r="E1874" s="30"/>
      <c r="F1874" s="22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</row>
    <row r="1875">
      <c r="A1875" s="20"/>
      <c r="B1875" s="20"/>
      <c r="C1875" s="30"/>
      <c r="D1875" s="30"/>
      <c r="E1875" s="30"/>
      <c r="F1875" s="22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</row>
    <row r="1876">
      <c r="A1876" s="20"/>
      <c r="B1876" s="20"/>
      <c r="C1876" s="30"/>
      <c r="D1876" s="30"/>
      <c r="E1876" s="30"/>
      <c r="F1876" s="22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</row>
    <row r="1877">
      <c r="A1877" s="20"/>
      <c r="B1877" s="20"/>
      <c r="C1877" s="30"/>
      <c r="D1877" s="30"/>
      <c r="E1877" s="30"/>
      <c r="F1877" s="22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</row>
    <row r="1878">
      <c r="A1878" s="20"/>
      <c r="B1878" s="20"/>
      <c r="C1878" s="30"/>
      <c r="D1878" s="30"/>
      <c r="E1878" s="30"/>
      <c r="F1878" s="22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</row>
    <row r="1879">
      <c r="A1879" s="20"/>
      <c r="B1879" s="20"/>
      <c r="C1879" s="30"/>
      <c r="D1879" s="30"/>
      <c r="E1879" s="30"/>
      <c r="F1879" s="22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</row>
    <row r="1880">
      <c r="A1880" s="20"/>
      <c r="B1880" s="20"/>
      <c r="C1880" s="30"/>
      <c r="D1880" s="30"/>
      <c r="E1880" s="30"/>
      <c r="F1880" s="22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</row>
    <row r="1881">
      <c r="A1881" s="20"/>
      <c r="B1881" s="20"/>
      <c r="C1881" s="30"/>
      <c r="D1881" s="30"/>
      <c r="E1881" s="30"/>
      <c r="F1881" s="22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</row>
    <row r="1882">
      <c r="A1882" s="20"/>
      <c r="B1882" s="20"/>
      <c r="C1882" s="30"/>
      <c r="D1882" s="30"/>
      <c r="E1882" s="30"/>
      <c r="F1882" s="22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</row>
    <row r="1883">
      <c r="A1883" s="20"/>
      <c r="B1883" s="20"/>
      <c r="C1883" s="30"/>
      <c r="D1883" s="30"/>
      <c r="E1883" s="30"/>
      <c r="F1883" s="22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</row>
    <row r="1884">
      <c r="A1884" s="20"/>
      <c r="B1884" s="20"/>
      <c r="C1884" s="30"/>
      <c r="D1884" s="30"/>
      <c r="E1884" s="30"/>
      <c r="F1884" s="22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</row>
    <row r="1885">
      <c r="A1885" s="20"/>
      <c r="B1885" s="20"/>
      <c r="C1885" s="30"/>
      <c r="D1885" s="30"/>
      <c r="E1885" s="30"/>
      <c r="F1885" s="22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</row>
    <row r="1886">
      <c r="A1886" s="20"/>
      <c r="B1886" s="20"/>
      <c r="C1886" s="30"/>
      <c r="D1886" s="30"/>
      <c r="E1886" s="30"/>
      <c r="F1886" s="22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</row>
    <row r="1887">
      <c r="A1887" s="20"/>
      <c r="B1887" s="20"/>
      <c r="C1887" s="30"/>
      <c r="D1887" s="30"/>
      <c r="E1887" s="30"/>
      <c r="F1887" s="22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</row>
    <row r="1888">
      <c r="A1888" s="20"/>
      <c r="B1888" s="20"/>
      <c r="C1888" s="30"/>
      <c r="D1888" s="30"/>
      <c r="E1888" s="30"/>
      <c r="F1888" s="22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</row>
    <row r="1889">
      <c r="A1889" s="20"/>
      <c r="B1889" s="20"/>
      <c r="C1889" s="30"/>
      <c r="D1889" s="30"/>
      <c r="E1889" s="30"/>
      <c r="F1889" s="22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</row>
    <row r="1890">
      <c r="A1890" s="20"/>
      <c r="B1890" s="20"/>
      <c r="C1890" s="30"/>
      <c r="D1890" s="30"/>
      <c r="E1890" s="30"/>
      <c r="F1890" s="22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</row>
    <row r="1891">
      <c r="A1891" s="20"/>
      <c r="B1891" s="20"/>
      <c r="C1891" s="30"/>
      <c r="D1891" s="30"/>
      <c r="E1891" s="30"/>
      <c r="F1891" s="22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</row>
    <row r="1892">
      <c r="A1892" s="20"/>
      <c r="B1892" s="20"/>
      <c r="C1892" s="30"/>
      <c r="D1892" s="30"/>
      <c r="E1892" s="30"/>
      <c r="F1892" s="22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</row>
    <row r="1893">
      <c r="A1893" s="20"/>
      <c r="B1893" s="20"/>
      <c r="C1893" s="30"/>
      <c r="D1893" s="30"/>
      <c r="E1893" s="30"/>
      <c r="F1893" s="22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</row>
    <row r="1894">
      <c r="A1894" s="20"/>
      <c r="B1894" s="20"/>
      <c r="C1894" s="30"/>
      <c r="D1894" s="30"/>
      <c r="E1894" s="30"/>
      <c r="F1894" s="22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</row>
    <row r="1895">
      <c r="A1895" s="20"/>
      <c r="B1895" s="20"/>
      <c r="C1895" s="30"/>
      <c r="D1895" s="30"/>
      <c r="E1895" s="30"/>
      <c r="F1895" s="22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</row>
    <row r="1896">
      <c r="A1896" s="20"/>
      <c r="B1896" s="20"/>
      <c r="C1896" s="30"/>
      <c r="D1896" s="30"/>
      <c r="E1896" s="30"/>
      <c r="F1896" s="22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</row>
    <row r="1897">
      <c r="A1897" s="20"/>
      <c r="B1897" s="20"/>
      <c r="C1897" s="30"/>
      <c r="D1897" s="30"/>
      <c r="E1897" s="30"/>
      <c r="F1897" s="22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</row>
    <row r="1898">
      <c r="A1898" s="20"/>
      <c r="B1898" s="20"/>
      <c r="C1898" s="30"/>
      <c r="D1898" s="30"/>
      <c r="E1898" s="30"/>
      <c r="F1898" s="22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</row>
    <row r="1899">
      <c r="A1899" s="20"/>
      <c r="B1899" s="20"/>
      <c r="C1899" s="30"/>
      <c r="D1899" s="30"/>
      <c r="E1899" s="30"/>
      <c r="F1899" s="22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</row>
    <row r="1900">
      <c r="A1900" s="20"/>
      <c r="B1900" s="20"/>
      <c r="C1900" s="30"/>
      <c r="D1900" s="30"/>
      <c r="E1900" s="30"/>
      <c r="F1900" s="22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</row>
    <row r="1901">
      <c r="A1901" s="20"/>
      <c r="B1901" s="20"/>
      <c r="C1901" s="30"/>
      <c r="D1901" s="30"/>
      <c r="E1901" s="30"/>
      <c r="F1901" s="22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</row>
    <row r="1902">
      <c r="A1902" s="20"/>
      <c r="B1902" s="20"/>
      <c r="C1902" s="30"/>
      <c r="D1902" s="30"/>
      <c r="E1902" s="30"/>
      <c r="F1902" s="22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</row>
    <row r="1903">
      <c r="A1903" s="20"/>
      <c r="B1903" s="20"/>
      <c r="C1903" s="30"/>
      <c r="D1903" s="30"/>
      <c r="E1903" s="30"/>
      <c r="F1903" s="22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</row>
    <row r="1904">
      <c r="A1904" s="20"/>
      <c r="B1904" s="20"/>
      <c r="C1904" s="30"/>
      <c r="D1904" s="30"/>
      <c r="E1904" s="30"/>
      <c r="F1904" s="22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</row>
    <row r="1905">
      <c r="A1905" s="20"/>
      <c r="B1905" s="20"/>
      <c r="C1905" s="30"/>
      <c r="D1905" s="30"/>
      <c r="E1905" s="30"/>
      <c r="F1905" s="22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</row>
    <row r="1906">
      <c r="A1906" s="20"/>
      <c r="B1906" s="20"/>
      <c r="C1906" s="30"/>
      <c r="D1906" s="30"/>
      <c r="E1906" s="30"/>
      <c r="F1906" s="22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</row>
    <row r="1907">
      <c r="A1907" s="20"/>
      <c r="B1907" s="20"/>
      <c r="C1907" s="30"/>
      <c r="D1907" s="30"/>
      <c r="E1907" s="30"/>
      <c r="F1907" s="22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</row>
    <row r="1908">
      <c r="A1908" s="20"/>
      <c r="B1908" s="20"/>
      <c r="C1908" s="30"/>
      <c r="D1908" s="30"/>
      <c r="E1908" s="30"/>
      <c r="F1908" s="22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</row>
    <row r="1909">
      <c r="A1909" s="20"/>
      <c r="B1909" s="20"/>
      <c r="C1909" s="30"/>
      <c r="D1909" s="30"/>
      <c r="E1909" s="30"/>
      <c r="F1909" s="22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</row>
    <row r="1910">
      <c r="A1910" s="20"/>
      <c r="B1910" s="20"/>
      <c r="C1910" s="30"/>
      <c r="D1910" s="30"/>
      <c r="E1910" s="30"/>
      <c r="F1910" s="22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</row>
    <row r="1911">
      <c r="A1911" s="20"/>
      <c r="B1911" s="20"/>
      <c r="C1911" s="30"/>
      <c r="D1911" s="30"/>
      <c r="E1911" s="30"/>
      <c r="F1911" s="22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</row>
    <row r="1912">
      <c r="A1912" s="20"/>
      <c r="B1912" s="20"/>
      <c r="C1912" s="30"/>
      <c r="D1912" s="30"/>
      <c r="E1912" s="30"/>
      <c r="F1912" s="22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</row>
    <row r="1913">
      <c r="A1913" s="20"/>
      <c r="B1913" s="20"/>
      <c r="C1913" s="30"/>
      <c r="D1913" s="30"/>
      <c r="E1913" s="30"/>
      <c r="F1913" s="22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</row>
    <row r="1914">
      <c r="A1914" s="20"/>
      <c r="B1914" s="20"/>
      <c r="C1914" s="30"/>
      <c r="D1914" s="30"/>
      <c r="E1914" s="30"/>
      <c r="F1914" s="22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</row>
    <row r="1915">
      <c r="A1915" s="20"/>
      <c r="B1915" s="20"/>
      <c r="C1915" s="30"/>
      <c r="D1915" s="30"/>
      <c r="E1915" s="30"/>
      <c r="F1915" s="22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</row>
    <row r="1916">
      <c r="A1916" s="20"/>
      <c r="B1916" s="20"/>
      <c r="C1916" s="30"/>
      <c r="D1916" s="30"/>
      <c r="E1916" s="30"/>
      <c r="F1916" s="22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</row>
    <row r="1917">
      <c r="A1917" s="20"/>
      <c r="B1917" s="20"/>
      <c r="C1917" s="30"/>
      <c r="D1917" s="30"/>
      <c r="E1917" s="30"/>
      <c r="F1917" s="22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</row>
    <row r="1918">
      <c r="A1918" s="20"/>
      <c r="B1918" s="20"/>
      <c r="C1918" s="30"/>
      <c r="D1918" s="30"/>
      <c r="E1918" s="30"/>
      <c r="F1918" s="22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</row>
    <row r="1919">
      <c r="A1919" s="20"/>
      <c r="B1919" s="20"/>
      <c r="C1919" s="30"/>
      <c r="D1919" s="30"/>
      <c r="E1919" s="30"/>
      <c r="F1919" s="22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</row>
    <row r="1920">
      <c r="A1920" s="20"/>
      <c r="B1920" s="20"/>
      <c r="C1920" s="30"/>
      <c r="D1920" s="30"/>
      <c r="E1920" s="30"/>
      <c r="F1920" s="22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</row>
    <row r="1921">
      <c r="A1921" s="20"/>
      <c r="B1921" s="20"/>
      <c r="C1921" s="30"/>
      <c r="D1921" s="30"/>
      <c r="E1921" s="30"/>
      <c r="F1921" s="22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</row>
    <row r="1922">
      <c r="A1922" s="20"/>
      <c r="B1922" s="20"/>
      <c r="C1922" s="30"/>
      <c r="D1922" s="30"/>
      <c r="E1922" s="30"/>
      <c r="F1922" s="22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</row>
    <row r="1923">
      <c r="A1923" s="20"/>
      <c r="B1923" s="20"/>
      <c r="C1923" s="30"/>
      <c r="D1923" s="30"/>
      <c r="E1923" s="30"/>
      <c r="F1923" s="22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</row>
    <row r="1924">
      <c r="A1924" s="20"/>
      <c r="B1924" s="20"/>
      <c r="C1924" s="30"/>
      <c r="D1924" s="30"/>
      <c r="E1924" s="30"/>
      <c r="F1924" s="22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</row>
    <row r="1925">
      <c r="A1925" s="20"/>
      <c r="B1925" s="20"/>
      <c r="C1925" s="30"/>
      <c r="D1925" s="30"/>
      <c r="E1925" s="30"/>
      <c r="F1925" s="22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</row>
    <row r="1926">
      <c r="A1926" s="20"/>
      <c r="B1926" s="20"/>
      <c r="C1926" s="30"/>
      <c r="D1926" s="30"/>
      <c r="E1926" s="30"/>
      <c r="F1926" s="22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</row>
    <row r="1927">
      <c r="A1927" s="20"/>
      <c r="B1927" s="20"/>
      <c r="C1927" s="30"/>
      <c r="D1927" s="30"/>
      <c r="E1927" s="30"/>
      <c r="F1927" s="22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</row>
    <row r="1928">
      <c r="A1928" s="20"/>
      <c r="B1928" s="20"/>
      <c r="C1928" s="30"/>
      <c r="D1928" s="30"/>
      <c r="E1928" s="30"/>
      <c r="F1928" s="22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</row>
    <row r="1929">
      <c r="A1929" s="20"/>
      <c r="B1929" s="20"/>
      <c r="C1929" s="30"/>
      <c r="D1929" s="30"/>
      <c r="E1929" s="30"/>
      <c r="F1929" s="22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</row>
    <row r="1930">
      <c r="A1930" s="20"/>
      <c r="B1930" s="20"/>
      <c r="C1930" s="30"/>
      <c r="D1930" s="30"/>
      <c r="E1930" s="30"/>
      <c r="F1930" s="22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</row>
    <row r="1931">
      <c r="A1931" s="20"/>
      <c r="B1931" s="20"/>
      <c r="C1931" s="30"/>
      <c r="D1931" s="30"/>
      <c r="E1931" s="30"/>
      <c r="F1931" s="22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</row>
    <row r="1932">
      <c r="A1932" s="20"/>
      <c r="B1932" s="20"/>
      <c r="C1932" s="30"/>
      <c r="D1932" s="30"/>
      <c r="E1932" s="30"/>
      <c r="F1932" s="22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</row>
    <row r="1933">
      <c r="A1933" s="20"/>
      <c r="B1933" s="20"/>
      <c r="C1933" s="30"/>
      <c r="D1933" s="30"/>
      <c r="E1933" s="30"/>
      <c r="F1933" s="22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</row>
    <row r="1934">
      <c r="A1934" s="20"/>
      <c r="B1934" s="20"/>
      <c r="C1934" s="30"/>
      <c r="D1934" s="30"/>
      <c r="E1934" s="30"/>
      <c r="F1934" s="22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</row>
    <row r="1935">
      <c r="A1935" s="20"/>
      <c r="B1935" s="20"/>
      <c r="C1935" s="30"/>
      <c r="D1935" s="30"/>
      <c r="E1935" s="30"/>
      <c r="F1935" s="22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</row>
    <row r="1936">
      <c r="A1936" s="20"/>
      <c r="B1936" s="20"/>
      <c r="C1936" s="30"/>
      <c r="D1936" s="30"/>
      <c r="E1936" s="30"/>
      <c r="F1936" s="22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</row>
    <row r="1937">
      <c r="A1937" s="20"/>
      <c r="B1937" s="20"/>
      <c r="C1937" s="30"/>
      <c r="D1937" s="30"/>
      <c r="E1937" s="30"/>
      <c r="F1937" s="22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</row>
    <row r="1938">
      <c r="A1938" s="20"/>
      <c r="B1938" s="20"/>
      <c r="C1938" s="30"/>
      <c r="D1938" s="30"/>
      <c r="E1938" s="30"/>
      <c r="F1938" s="22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</row>
    <row r="1939">
      <c r="A1939" s="20"/>
      <c r="B1939" s="20"/>
      <c r="C1939" s="30"/>
      <c r="D1939" s="30"/>
      <c r="E1939" s="30"/>
      <c r="F1939" s="22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</row>
    <row r="1940">
      <c r="A1940" s="20"/>
      <c r="B1940" s="20"/>
      <c r="C1940" s="30"/>
      <c r="D1940" s="30"/>
      <c r="E1940" s="30"/>
      <c r="F1940" s="22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</row>
    <row r="1941">
      <c r="A1941" s="20"/>
      <c r="B1941" s="20"/>
      <c r="C1941" s="30"/>
      <c r="D1941" s="30"/>
      <c r="E1941" s="30"/>
      <c r="F1941" s="22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</row>
    <row r="1942">
      <c r="A1942" s="20"/>
      <c r="B1942" s="20"/>
      <c r="C1942" s="30"/>
      <c r="D1942" s="30"/>
      <c r="E1942" s="30"/>
      <c r="F1942" s="22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</row>
    <row r="1943">
      <c r="A1943" s="20"/>
      <c r="B1943" s="20"/>
      <c r="C1943" s="30"/>
      <c r="D1943" s="30"/>
      <c r="E1943" s="30"/>
      <c r="F1943" s="22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</row>
    <row r="1944">
      <c r="A1944" s="20"/>
      <c r="B1944" s="20"/>
      <c r="C1944" s="30"/>
      <c r="D1944" s="30"/>
      <c r="E1944" s="30"/>
      <c r="F1944" s="22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</row>
    <row r="1945">
      <c r="A1945" s="20"/>
      <c r="B1945" s="20"/>
      <c r="C1945" s="30"/>
      <c r="D1945" s="30"/>
      <c r="E1945" s="30"/>
      <c r="F1945" s="22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</row>
    <row r="1946">
      <c r="A1946" s="20"/>
      <c r="B1946" s="20"/>
      <c r="C1946" s="30"/>
      <c r="D1946" s="30"/>
      <c r="E1946" s="30"/>
      <c r="F1946" s="22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</row>
    <row r="1947">
      <c r="A1947" s="20"/>
      <c r="B1947" s="20"/>
      <c r="C1947" s="30"/>
      <c r="D1947" s="30"/>
      <c r="E1947" s="30"/>
      <c r="F1947" s="22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</row>
    <row r="1948">
      <c r="A1948" s="20"/>
      <c r="B1948" s="20"/>
      <c r="C1948" s="30"/>
      <c r="D1948" s="30"/>
      <c r="E1948" s="30"/>
      <c r="F1948" s="22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</row>
    <row r="1949">
      <c r="A1949" s="20"/>
      <c r="B1949" s="20"/>
      <c r="C1949" s="30"/>
      <c r="D1949" s="30"/>
      <c r="E1949" s="30"/>
      <c r="F1949" s="22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</row>
    <row r="1950">
      <c r="A1950" s="20"/>
      <c r="B1950" s="20"/>
      <c r="C1950" s="30"/>
      <c r="D1950" s="30"/>
      <c r="E1950" s="30"/>
      <c r="F1950" s="22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</row>
    <row r="1951">
      <c r="A1951" s="20"/>
      <c r="B1951" s="20"/>
      <c r="C1951" s="30"/>
      <c r="D1951" s="30"/>
      <c r="E1951" s="30"/>
      <c r="F1951" s="22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</row>
    <row r="1952">
      <c r="A1952" s="20"/>
      <c r="B1952" s="20"/>
      <c r="C1952" s="30"/>
      <c r="D1952" s="30"/>
      <c r="E1952" s="30"/>
      <c r="F1952" s="22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</row>
    <row r="1953">
      <c r="A1953" s="20"/>
      <c r="B1953" s="20"/>
      <c r="C1953" s="30"/>
      <c r="D1953" s="30"/>
      <c r="E1953" s="30"/>
      <c r="F1953" s="22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</row>
    <row r="1954">
      <c r="A1954" s="20"/>
      <c r="B1954" s="20"/>
      <c r="C1954" s="30"/>
      <c r="D1954" s="30"/>
      <c r="E1954" s="30"/>
      <c r="F1954" s="22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</row>
    <row r="1955">
      <c r="A1955" s="20"/>
      <c r="B1955" s="20"/>
      <c r="C1955" s="30"/>
      <c r="D1955" s="30"/>
      <c r="E1955" s="30"/>
      <c r="F1955" s="22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</row>
    <row r="1956">
      <c r="A1956" s="20"/>
      <c r="B1956" s="20"/>
      <c r="C1956" s="30"/>
      <c r="D1956" s="30"/>
      <c r="E1956" s="30"/>
      <c r="F1956" s="22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</row>
    <row r="1957">
      <c r="A1957" s="20"/>
      <c r="B1957" s="20"/>
      <c r="C1957" s="30"/>
      <c r="D1957" s="30"/>
      <c r="E1957" s="30"/>
      <c r="F1957" s="22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</row>
    <row r="1958">
      <c r="A1958" s="20"/>
      <c r="B1958" s="20"/>
      <c r="C1958" s="30"/>
      <c r="D1958" s="30"/>
      <c r="E1958" s="30"/>
      <c r="F1958" s="22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</row>
    <row r="1959">
      <c r="A1959" s="20"/>
      <c r="B1959" s="20"/>
      <c r="C1959" s="30"/>
      <c r="D1959" s="30"/>
      <c r="E1959" s="30"/>
      <c r="F1959" s="22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</row>
    <row r="1960">
      <c r="A1960" s="20"/>
      <c r="B1960" s="20"/>
      <c r="C1960" s="30"/>
      <c r="D1960" s="30"/>
      <c r="E1960" s="30"/>
      <c r="F1960" s="22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</row>
    <row r="1961">
      <c r="A1961" s="20"/>
      <c r="B1961" s="20"/>
      <c r="C1961" s="30"/>
      <c r="D1961" s="30"/>
      <c r="E1961" s="30"/>
      <c r="F1961" s="22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</row>
    <row r="1962">
      <c r="A1962" s="20"/>
      <c r="B1962" s="20"/>
      <c r="C1962" s="30"/>
      <c r="D1962" s="30"/>
      <c r="E1962" s="30"/>
      <c r="F1962" s="22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</row>
    <row r="1963">
      <c r="A1963" s="20"/>
      <c r="B1963" s="20"/>
      <c r="C1963" s="30"/>
      <c r="D1963" s="30"/>
      <c r="E1963" s="30"/>
      <c r="F1963" s="22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</row>
    <row r="1964">
      <c r="A1964" s="20"/>
      <c r="B1964" s="20"/>
      <c r="C1964" s="30"/>
      <c r="D1964" s="30"/>
      <c r="E1964" s="30"/>
      <c r="F1964" s="22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</row>
    <row r="1965">
      <c r="A1965" s="20"/>
      <c r="B1965" s="20"/>
      <c r="C1965" s="30"/>
      <c r="D1965" s="30"/>
      <c r="E1965" s="30"/>
      <c r="F1965" s="22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</row>
    <row r="1966">
      <c r="A1966" s="20"/>
      <c r="B1966" s="20"/>
      <c r="C1966" s="30"/>
      <c r="D1966" s="30"/>
      <c r="E1966" s="30"/>
      <c r="F1966" s="22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</row>
    <row r="1967">
      <c r="A1967" s="20"/>
      <c r="B1967" s="20"/>
      <c r="C1967" s="30"/>
      <c r="D1967" s="30"/>
      <c r="E1967" s="30"/>
      <c r="F1967" s="22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</row>
    <row r="1968">
      <c r="A1968" s="20"/>
      <c r="B1968" s="20"/>
      <c r="C1968" s="30"/>
      <c r="D1968" s="30"/>
      <c r="E1968" s="30"/>
      <c r="F1968" s="22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</row>
    <row r="1969">
      <c r="A1969" s="20"/>
      <c r="B1969" s="20"/>
      <c r="C1969" s="30"/>
      <c r="D1969" s="30"/>
      <c r="E1969" s="30"/>
      <c r="F1969" s="22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</row>
    <row r="1970">
      <c r="A1970" s="20"/>
      <c r="B1970" s="20"/>
      <c r="C1970" s="30"/>
      <c r="D1970" s="30"/>
      <c r="E1970" s="30"/>
      <c r="F1970" s="22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</row>
    <row r="1971">
      <c r="A1971" s="20"/>
      <c r="B1971" s="20"/>
      <c r="C1971" s="30"/>
      <c r="D1971" s="30"/>
      <c r="E1971" s="30"/>
      <c r="F1971" s="22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</row>
    <row r="1972">
      <c r="A1972" s="20"/>
      <c r="B1972" s="20"/>
      <c r="C1972" s="30"/>
      <c r="D1972" s="30"/>
      <c r="E1972" s="30"/>
      <c r="F1972" s="22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</row>
    <row r="1973">
      <c r="A1973" s="20"/>
      <c r="B1973" s="20"/>
      <c r="C1973" s="30"/>
      <c r="D1973" s="30"/>
      <c r="E1973" s="30"/>
      <c r="F1973" s="22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</row>
    <row r="1974">
      <c r="A1974" s="20"/>
      <c r="B1974" s="20"/>
      <c r="C1974" s="30"/>
      <c r="D1974" s="30"/>
      <c r="E1974" s="30"/>
      <c r="F1974" s="22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</row>
    <row r="1975">
      <c r="A1975" s="20"/>
      <c r="B1975" s="20"/>
      <c r="C1975" s="30"/>
      <c r="D1975" s="30"/>
      <c r="E1975" s="30"/>
      <c r="F1975" s="22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</row>
    <row r="1976">
      <c r="A1976" s="20"/>
      <c r="B1976" s="20"/>
      <c r="C1976" s="30"/>
      <c r="D1976" s="30"/>
      <c r="E1976" s="30"/>
      <c r="F1976" s="22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</row>
    <row r="1977">
      <c r="A1977" s="20"/>
      <c r="B1977" s="20"/>
      <c r="C1977" s="30"/>
      <c r="D1977" s="30"/>
      <c r="E1977" s="30"/>
      <c r="F1977" s="22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</row>
    <row r="1978">
      <c r="A1978" s="20"/>
      <c r="B1978" s="20"/>
      <c r="C1978" s="30"/>
      <c r="D1978" s="30"/>
      <c r="E1978" s="30"/>
      <c r="F1978" s="22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</row>
    <row r="1979">
      <c r="A1979" s="20"/>
      <c r="B1979" s="20"/>
      <c r="C1979" s="30"/>
      <c r="D1979" s="30"/>
      <c r="E1979" s="30"/>
      <c r="F1979" s="22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</row>
    <row r="1980">
      <c r="A1980" s="20"/>
      <c r="B1980" s="20"/>
      <c r="C1980" s="30"/>
      <c r="D1980" s="30"/>
      <c r="E1980" s="30"/>
      <c r="F1980" s="22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</row>
    <row r="1981">
      <c r="A1981" s="20"/>
      <c r="B1981" s="20"/>
      <c r="C1981" s="30"/>
      <c r="D1981" s="30"/>
      <c r="E1981" s="30"/>
      <c r="F1981" s="22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</row>
    <row r="1982">
      <c r="A1982" s="20"/>
      <c r="B1982" s="20"/>
      <c r="C1982" s="30"/>
      <c r="D1982" s="30"/>
      <c r="E1982" s="30"/>
      <c r="F1982" s="22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</row>
    <row r="1983">
      <c r="A1983" s="20"/>
      <c r="B1983" s="20"/>
      <c r="C1983" s="30"/>
      <c r="D1983" s="30"/>
      <c r="E1983" s="30"/>
      <c r="F1983" s="22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</row>
    <row r="1984">
      <c r="A1984" s="20"/>
      <c r="B1984" s="20"/>
      <c r="C1984" s="30"/>
      <c r="D1984" s="30"/>
      <c r="E1984" s="30"/>
      <c r="F1984" s="22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</row>
    <row r="1985">
      <c r="A1985" s="20"/>
      <c r="B1985" s="20"/>
      <c r="C1985" s="30"/>
      <c r="D1985" s="30"/>
      <c r="E1985" s="30"/>
      <c r="F1985" s="22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</row>
    <row r="1986">
      <c r="A1986" s="20"/>
      <c r="B1986" s="20"/>
      <c r="C1986" s="30"/>
      <c r="D1986" s="30"/>
      <c r="E1986" s="30"/>
      <c r="F1986" s="22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</row>
    <row r="1987">
      <c r="A1987" s="20"/>
      <c r="B1987" s="20"/>
      <c r="C1987" s="30"/>
      <c r="D1987" s="30"/>
      <c r="E1987" s="30"/>
      <c r="F1987" s="22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</row>
    <row r="1988">
      <c r="A1988" s="20"/>
      <c r="B1988" s="20"/>
      <c r="C1988" s="30"/>
      <c r="D1988" s="30"/>
      <c r="E1988" s="30"/>
      <c r="F1988" s="22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</row>
    <row r="1989">
      <c r="A1989" s="20"/>
      <c r="B1989" s="20"/>
      <c r="C1989" s="30"/>
      <c r="D1989" s="30"/>
      <c r="E1989" s="30"/>
      <c r="F1989" s="22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</row>
    <row r="1990">
      <c r="A1990" s="20"/>
      <c r="B1990" s="20"/>
      <c r="C1990" s="30"/>
      <c r="D1990" s="30"/>
      <c r="E1990" s="30"/>
      <c r="F1990" s="22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</row>
    <row r="1991">
      <c r="A1991" s="20"/>
      <c r="B1991" s="20"/>
      <c r="C1991" s="30"/>
      <c r="D1991" s="30"/>
      <c r="E1991" s="30"/>
      <c r="F1991" s="22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</row>
    <row r="1992">
      <c r="A1992" s="20"/>
      <c r="B1992" s="20"/>
      <c r="C1992" s="30"/>
      <c r="D1992" s="30"/>
      <c r="E1992" s="30"/>
      <c r="F1992" s="22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</row>
    <row r="1993">
      <c r="A1993" s="20"/>
      <c r="B1993" s="20"/>
      <c r="C1993" s="30"/>
      <c r="D1993" s="30"/>
      <c r="E1993" s="30"/>
      <c r="F1993" s="22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</row>
    <row r="1994">
      <c r="A1994" s="20"/>
      <c r="B1994" s="20"/>
      <c r="C1994" s="30"/>
      <c r="D1994" s="30"/>
      <c r="E1994" s="30"/>
      <c r="F1994" s="22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</row>
    <row r="1995">
      <c r="A1995" s="20"/>
      <c r="B1995" s="20"/>
      <c r="C1995" s="30"/>
      <c r="D1995" s="30"/>
      <c r="E1995" s="30"/>
      <c r="F1995" s="22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</row>
    <row r="1996">
      <c r="A1996" s="20"/>
      <c r="B1996" s="20"/>
      <c r="C1996" s="30"/>
      <c r="D1996" s="30"/>
      <c r="E1996" s="30"/>
      <c r="F1996" s="22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</row>
    <row r="1997">
      <c r="A1997" s="20"/>
      <c r="B1997" s="20"/>
      <c r="C1997" s="30"/>
      <c r="D1997" s="30"/>
      <c r="E1997" s="30"/>
      <c r="F1997" s="22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</row>
    <row r="1998">
      <c r="A1998" s="20"/>
      <c r="B1998" s="20"/>
      <c r="C1998" s="30"/>
      <c r="D1998" s="30"/>
      <c r="E1998" s="30"/>
      <c r="F1998" s="22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</row>
    <row r="1999">
      <c r="A1999" s="20"/>
      <c r="B1999" s="20"/>
      <c r="C1999" s="30"/>
      <c r="D1999" s="30"/>
      <c r="E1999" s="30"/>
      <c r="F1999" s="22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</row>
    <row r="2000">
      <c r="A2000" s="20"/>
      <c r="B2000" s="20"/>
      <c r="C2000" s="30"/>
      <c r="D2000" s="30"/>
      <c r="E2000" s="30"/>
      <c r="F2000" s="22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</row>
    <row r="2001">
      <c r="A2001" s="20"/>
      <c r="B2001" s="20"/>
      <c r="C2001" s="30"/>
      <c r="D2001" s="30"/>
      <c r="E2001" s="30"/>
      <c r="F2001" s="22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</row>
    <row r="2002">
      <c r="A2002" s="20"/>
      <c r="B2002" s="20"/>
      <c r="C2002" s="30"/>
      <c r="D2002" s="30"/>
      <c r="E2002" s="30"/>
      <c r="F2002" s="22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</row>
    <row r="2003">
      <c r="A2003" s="20"/>
      <c r="B2003" s="20"/>
      <c r="C2003" s="30"/>
      <c r="D2003" s="30"/>
      <c r="E2003" s="30"/>
      <c r="F2003" s="22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</row>
    <row r="2004">
      <c r="A2004" s="20"/>
      <c r="B2004" s="20"/>
      <c r="C2004" s="30"/>
      <c r="D2004" s="30"/>
      <c r="E2004" s="30"/>
      <c r="F2004" s="22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</row>
    <row r="2005">
      <c r="A2005" s="20"/>
      <c r="B2005" s="20"/>
      <c r="C2005" s="30"/>
      <c r="D2005" s="30"/>
      <c r="E2005" s="30"/>
      <c r="F2005" s="22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</row>
    <row r="2006">
      <c r="A2006" s="20"/>
      <c r="B2006" s="20"/>
      <c r="C2006" s="30"/>
      <c r="D2006" s="30"/>
      <c r="E2006" s="30"/>
      <c r="F2006" s="22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</row>
    <row r="2007">
      <c r="A2007" s="20"/>
      <c r="B2007" s="20"/>
      <c r="C2007" s="30"/>
      <c r="D2007" s="30"/>
      <c r="E2007" s="30"/>
      <c r="F2007" s="22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</row>
    <row r="2008">
      <c r="A2008" s="20"/>
      <c r="B2008" s="20"/>
      <c r="C2008" s="30"/>
      <c r="D2008" s="30"/>
      <c r="E2008" s="30"/>
      <c r="F2008" s="22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</row>
    <row r="2009">
      <c r="A2009" s="20"/>
      <c r="B2009" s="20"/>
      <c r="C2009" s="30"/>
      <c r="D2009" s="30"/>
      <c r="E2009" s="30"/>
      <c r="F2009" s="22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</row>
    <row r="2010">
      <c r="A2010" s="20"/>
      <c r="B2010" s="20"/>
      <c r="C2010" s="30"/>
      <c r="D2010" s="30"/>
      <c r="E2010" s="30"/>
      <c r="F2010" s="22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</row>
    <row r="2011">
      <c r="A2011" s="20"/>
      <c r="B2011" s="20"/>
      <c r="C2011" s="30"/>
      <c r="D2011" s="30"/>
      <c r="E2011" s="30"/>
      <c r="F2011" s="22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</row>
    <row r="2012">
      <c r="A2012" s="20"/>
      <c r="B2012" s="20"/>
      <c r="C2012" s="30"/>
      <c r="D2012" s="30"/>
      <c r="E2012" s="30"/>
      <c r="F2012" s="22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</row>
    <row r="2013">
      <c r="A2013" s="20"/>
      <c r="B2013" s="20"/>
      <c r="C2013" s="30"/>
      <c r="D2013" s="30"/>
      <c r="E2013" s="30"/>
      <c r="F2013" s="22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</row>
    <row r="2014">
      <c r="A2014" s="20"/>
      <c r="B2014" s="20"/>
      <c r="C2014" s="30"/>
      <c r="D2014" s="30"/>
      <c r="E2014" s="30"/>
      <c r="F2014" s="22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</row>
    <row r="2015">
      <c r="A2015" s="20"/>
      <c r="B2015" s="20"/>
      <c r="C2015" s="30"/>
      <c r="D2015" s="30"/>
      <c r="E2015" s="30"/>
      <c r="F2015" s="22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</row>
    <row r="2016">
      <c r="A2016" s="20"/>
      <c r="B2016" s="20"/>
      <c r="C2016" s="30"/>
      <c r="D2016" s="30"/>
      <c r="E2016" s="30"/>
      <c r="F2016" s="22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</row>
    <row r="2017">
      <c r="A2017" s="20"/>
      <c r="B2017" s="20"/>
      <c r="C2017" s="30"/>
      <c r="D2017" s="30"/>
      <c r="E2017" s="30"/>
      <c r="F2017" s="22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</row>
    <row r="2018">
      <c r="A2018" s="20"/>
      <c r="B2018" s="20"/>
      <c r="C2018" s="30"/>
      <c r="D2018" s="30"/>
      <c r="E2018" s="30"/>
      <c r="F2018" s="22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</row>
    <row r="2019">
      <c r="A2019" s="20"/>
      <c r="B2019" s="20"/>
      <c r="C2019" s="30"/>
      <c r="D2019" s="30"/>
      <c r="E2019" s="30"/>
      <c r="F2019" s="22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</row>
    <row r="2020">
      <c r="A2020" s="20"/>
      <c r="B2020" s="20"/>
      <c r="C2020" s="30"/>
      <c r="D2020" s="30"/>
      <c r="E2020" s="30"/>
      <c r="F2020" s="22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</row>
    <row r="2021">
      <c r="A2021" s="20"/>
      <c r="B2021" s="20"/>
      <c r="C2021" s="30"/>
      <c r="D2021" s="30"/>
      <c r="E2021" s="30"/>
      <c r="F2021" s="22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</row>
    <row r="2022">
      <c r="A2022" s="20"/>
      <c r="B2022" s="20"/>
      <c r="C2022" s="30"/>
      <c r="D2022" s="30"/>
      <c r="E2022" s="30"/>
      <c r="F2022" s="22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</row>
    <row r="2023">
      <c r="A2023" s="20"/>
      <c r="B2023" s="20"/>
      <c r="C2023" s="30"/>
      <c r="D2023" s="30"/>
      <c r="E2023" s="30"/>
      <c r="F2023" s="22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</row>
    <row r="2024">
      <c r="A2024" s="20"/>
      <c r="B2024" s="20"/>
      <c r="C2024" s="30"/>
      <c r="D2024" s="30"/>
      <c r="E2024" s="30"/>
      <c r="F2024" s="22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</row>
    <row r="2025">
      <c r="A2025" s="20"/>
      <c r="B2025" s="20"/>
      <c r="C2025" s="30"/>
      <c r="D2025" s="30"/>
      <c r="E2025" s="30"/>
      <c r="F2025" s="22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</row>
    <row r="2026">
      <c r="A2026" s="20"/>
      <c r="B2026" s="20"/>
      <c r="C2026" s="30"/>
      <c r="D2026" s="30"/>
      <c r="E2026" s="30"/>
      <c r="F2026" s="22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</row>
    <row r="2027">
      <c r="A2027" s="20"/>
      <c r="B2027" s="20"/>
      <c r="C2027" s="30"/>
      <c r="D2027" s="30"/>
      <c r="E2027" s="30"/>
      <c r="F2027" s="22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</row>
    <row r="2028">
      <c r="A2028" s="20"/>
      <c r="B2028" s="20"/>
      <c r="C2028" s="30"/>
      <c r="D2028" s="30"/>
      <c r="E2028" s="30"/>
      <c r="F2028" s="22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</row>
    <row r="2029">
      <c r="A2029" s="20"/>
      <c r="B2029" s="20"/>
      <c r="C2029" s="30"/>
      <c r="D2029" s="30"/>
      <c r="E2029" s="30"/>
      <c r="F2029" s="22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</row>
    <row r="2030">
      <c r="A2030" s="20"/>
      <c r="B2030" s="20"/>
      <c r="C2030" s="30"/>
      <c r="D2030" s="30"/>
      <c r="E2030" s="30"/>
      <c r="F2030" s="22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</row>
    <row r="2031">
      <c r="A2031" s="20"/>
      <c r="B2031" s="20"/>
      <c r="C2031" s="30"/>
      <c r="D2031" s="30"/>
      <c r="E2031" s="30"/>
      <c r="F2031" s="22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</row>
    <row r="2032">
      <c r="A2032" s="20"/>
      <c r="B2032" s="20"/>
      <c r="C2032" s="30"/>
      <c r="D2032" s="30"/>
      <c r="E2032" s="30"/>
      <c r="F2032" s="22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</row>
    <row r="2033">
      <c r="A2033" s="20"/>
      <c r="B2033" s="20"/>
      <c r="C2033" s="30"/>
      <c r="D2033" s="30"/>
      <c r="E2033" s="30"/>
      <c r="F2033" s="22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</row>
    <row r="2034">
      <c r="A2034" s="20"/>
      <c r="B2034" s="20"/>
      <c r="C2034" s="30"/>
      <c r="D2034" s="30"/>
      <c r="E2034" s="30"/>
      <c r="F2034" s="22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</row>
    <row r="2035">
      <c r="A2035" s="20"/>
      <c r="B2035" s="20"/>
      <c r="C2035" s="30"/>
      <c r="D2035" s="30"/>
      <c r="E2035" s="30"/>
      <c r="F2035" s="22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</row>
    <row r="2036">
      <c r="A2036" s="20"/>
      <c r="B2036" s="20"/>
      <c r="C2036" s="30"/>
      <c r="D2036" s="30"/>
      <c r="E2036" s="30"/>
      <c r="F2036" s="22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</row>
    <row r="2037">
      <c r="A2037" s="20"/>
      <c r="B2037" s="20"/>
      <c r="C2037" s="30"/>
      <c r="D2037" s="30"/>
      <c r="E2037" s="30"/>
      <c r="F2037" s="22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</row>
    <row r="2038">
      <c r="A2038" s="20"/>
      <c r="B2038" s="20"/>
      <c r="C2038" s="30"/>
      <c r="D2038" s="30"/>
      <c r="E2038" s="30"/>
      <c r="F2038" s="22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</row>
    <row r="2039">
      <c r="A2039" s="20"/>
      <c r="B2039" s="20"/>
      <c r="C2039" s="30"/>
      <c r="D2039" s="30"/>
      <c r="E2039" s="30"/>
      <c r="F2039" s="22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</row>
    <row r="2040">
      <c r="A2040" s="20"/>
      <c r="B2040" s="20"/>
      <c r="C2040" s="30"/>
      <c r="D2040" s="30"/>
      <c r="E2040" s="30"/>
      <c r="F2040" s="22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</row>
    <row r="2041">
      <c r="A2041" s="20"/>
      <c r="B2041" s="20"/>
      <c r="C2041" s="30"/>
      <c r="D2041" s="30"/>
      <c r="E2041" s="30"/>
      <c r="F2041" s="22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</row>
    <row r="2042">
      <c r="A2042" s="20"/>
      <c r="B2042" s="20"/>
      <c r="C2042" s="30"/>
      <c r="D2042" s="30"/>
      <c r="E2042" s="30"/>
      <c r="F2042" s="22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</row>
    <row r="2043">
      <c r="A2043" s="20"/>
      <c r="B2043" s="20"/>
      <c r="C2043" s="30"/>
      <c r="D2043" s="30"/>
      <c r="E2043" s="30"/>
      <c r="F2043" s="22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</row>
    <row r="2044">
      <c r="A2044" s="20"/>
      <c r="B2044" s="20"/>
      <c r="C2044" s="30"/>
      <c r="D2044" s="30"/>
      <c r="E2044" s="30"/>
      <c r="F2044" s="22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</row>
    <row r="2045">
      <c r="A2045" s="20"/>
      <c r="B2045" s="20"/>
      <c r="C2045" s="30"/>
      <c r="D2045" s="30"/>
      <c r="E2045" s="30"/>
      <c r="F2045" s="22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</row>
    <row r="2046">
      <c r="A2046" s="20"/>
      <c r="B2046" s="20"/>
      <c r="C2046" s="30"/>
      <c r="D2046" s="30"/>
      <c r="E2046" s="30"/>
      <c r="F2046" s="22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</row>
    <row r="2047">
      <c r="A2047" s="20"/>
      <c r="B2047" s="20"/>
      <c r="C2047" s="30"/>
      <c r="D2047" s="30"/>
      <c r="E2047" s="30"/>
      <c r="F2047" s="22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</row>
    <row r="2048">
      <c r="A2048" s="20"/>
      <c r="B2048" s="20"/>
      <c r="C2048" s="30"/>
      <c r="D2048" s="30"/>
      <c r="E2048" s="30"/>
      <c r="F2048" s="22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</row>
    <row r="2049">
      <c r="A2049" s="20"/>
      <c r="B2049" s="20"/>
      <c r="C2049" s="30"/>
      <c r="D2049" s="30"/>
      <c r="E2049" s="30"/>
      <c r="F2049" s="22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</row>
    <row r="2050">
      <c r="A2050" s="20"/>
      <c r="B2050" s="20"/>
      <c r="C2050" s="30"/>
      <c r="D2050" s="30"/>
      <c r="E2050" s="30"/>
      <c r="F2050" s="22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</row>
    <row r="2051">
      <c r="A2051" s="20"/>
      <c r="B2051" s="20"/>
      <c r="C2051" s="30"/>
      <c r="D2051" s="30"/>
      <c r="E2051" s="30"/>
      <c r="F2051" s="22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</row>
    <row r="2052">
      <c r="A2052" s="20"/>
      <c r="B2052" s="20"/>
      <c r="C2052" s="30"/>
      <c r="D2052" s="30"/>
      <c r="E2052" s="30"/>
      <c r="F2052" s="22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</row>
    <row r="2053">
      <c r="A2053" s="20"/>
      <c r="B2053" s="20"/>
      <c r="C2053" s="30"/>
      <c r="D2053" s="30"/>
      <c r="E2053" s="30"/>
      <c r="F2053" s="22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</row>
    <row r="2054">
      <c r="A2054" s="20"/>
      <c r="B2054" s="20"/>
      <c r="C2054" s="30"/>
      <c r="D2054" s="30"/>
      <c r="E2054" s="30"/>
      <c r="F2054" s="22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</row>
    <row r="2055">
      <c r="A2055" s="20"/>
      <c r="B2055" s="20"/>
      <c r="C2055" s="30"/>
      <c r="D2055" s="30"/>
      <c r="E2055" s="30"/>
      <c r="F2055" s="22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</row>
    <row r="2056">
      <c r="A2056" s="20"/>
      <c r="B2056" s="20"/>
      <c r="C2056" s="30"/>
      <c r="D2056" s="30"/>
      <c r="E2056" s="30"/>
      <c r="F2056" s="22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</row>
    <row r="2057">
      <c r="A2057" s="20"/>
      <c r="B2057" s="20"/>
      <c r="C2057" s="30"/>
      <c r="D2057" s="30"/>
      <c r="E2057" s="30"/>
      <c r="F2057" s="22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</row>
    <row r="2058">
      <c r="A2058" s="20"/>
      <c r="B2058" s="20"/>
      <c r="C2058" s="30"/>
      <c r="D2058" s="30"/>
      <c r="E2058" s="30"/>
      <c r="F2058" s="22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</row>
    <row r="2059">
      <c r="A2059" s="20"/>
      <c r="B2059" s="20"/>
      <c r="C2059" s="30"/>
      <c r="D2059" s="30"/>
      <c r="E2059" s="30"/>
      <c r="F2059" s="22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</row>
    <row r="2060">
      <c r="A2060" s="20"/>
      <c r="B2060" s="20"/>
      <c r="C2060" s="30"/>
      <c r="D2060" s="30"/>
      <c r="E2060" s="30"/>
      <c r="F2060" s="22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</row>
    <row r="2061">
      <c r="A2061" s="20"/>
      <c r="B2061" s="20"/>
      <c r="C2061" s="30"/>
      <c r="D2061" s="30"/>
      <c r="E2061" s="30"/>
      <c r="F2061" s="22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</row>
    <row r="2062">
      <c r="A2062" s="20"/>
      <c r="B2062" s="20"/>
      <c r="C2062" s="30"/>
      <c r="D2062" s="30"/>
      <c r="E2062" s="30"/>
      <c r="F2062" s="22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</row>
    <row r="2063">
      <c r="A2063" s="20"/>
      <c r="B2063" s="20"/>
      <c r="C2063" s="30"/>
      <c r="D2063" s="30"/>
      <c r="E2063" s="30"/>
      <c r="F2063" s="22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</row>
    <row r="2064">
      <c r="A2064" s="20"/>
      <c r="B2064" s="20"/>
      <c r="C2064" s="30"/>
      <c r="D2064" s="30"/>
      <c r="E2064" s="30"/>
      <c r="F2064" s="22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</row>
    <row r="2065">
      <c r="A2065" s="20"/>
      <c r="B2065" s="20"/>
      <c r="C2065" s="30"/>
      <c r="D2065" s="30"/>
      <c r="E2065" s="30"/>
      <c r="F2065" s="22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</row>
    <row r="2066">
      <c r="A2066" s="20"/>
      <c r="B2066" s="20"/>
      <c r="C2066" s="30"/>
      <c r="D2066" s="30"/>
      <c r="E2066" s="30"/>
      <c r="F2066" s="22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</row>
    <row r="2067">
      <c r="A2067" s="20"/>
      <c r="B2067" s="20"/>
      <c r="C2067" s="30"/>
      <c r="D2067" s="30"/>
      <c r="E2067" s="30"/>
      <c r="F2067" s="22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</row>
    <row r="2068">
      <c r="A2068" s="20"/>
      <c r="B2068" s="20"/>
      <c r="C2068" s="30"/>
      <c r="D2068" s="30"/>
      <c r="E2068" s="30"/>
      <c r="F2068" s="22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</row>
    <row r="2069">
      <c r="A2069" s="20"/>
      <c r="B2069" s="20"/>
      <c r="C2069" s="30"/>
      <c r="D2069" s="30"/>
      <c r="E2069" s="30"/>
      <c r="F2069" s="22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</row>
    <row r="2070">
      <c r="A2070" s="20"/>
      <c r="B2070" s="20"/>
      <c r="C2070" s="30"/>
      <c r="D2070" s="30"/>
      <c r="E2070" s="30"/>
      <c r="F2070" s="22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</row>
    <row r="2071">
      <c r="A2071" s="20"/>
      <c r="B2071" s="20"/>
      <c r="C2071" s="30"/>
      <c r="D2071" s="30"/>
      <c r="E2071" s="30"/>
      <c r="F2071" s="22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</row>
    <row r="2072">
      <c r="A2072" s="20"/>
      <c r="B2072" s="20"/>
      <c r="C2072" s="30"/>
      <c r="D2072" s="30"/>
      <c r="E2072" s="30"/>
      <c r="F2072" s="22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</row>
    <row r="2073">
      <c r="A2073" s="20"/>
      <c r="B2073" s="20"/>
      <c r="C2073" s="30"/>
      <c r="D2073" s="30"/>
      <c r="E2073" s="30"/>
      <c r="F2073" s="22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</row>
    <row r="2074">
      <c r="A2074" s="20"/>
      <c r="B2074" s="20"/>
      <c r="C2074" s="30"/>
      <c r="D2074" s="30"/>
      <c r="E2074" s="30"/>
      <c r="F2074" s="22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</row>
    <row r="2075">
      <c r="A2075" s="20"/>
      <c r="B2075" s="20"/>
      <c r="C2075" s="30"/>
      <c r="D2075" s="30"/>
      <c r="E2075" s="30"/>
      <c r="F2075" s="22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</row>
    <row r="2076">
      <c r="A2076" s="20"/>
      <c r="B2076" s="20"/>
      <c r="C2076" s="30"/>
      <c r="D2076" s="30"/>
      <c r="E2076" s="30"/>
      <c r="F2076" s="22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</row>
    <row r="2077">
      <c r="A2077" s="20"/>
      <c r="B2077" s="20"/>
      <c r="C2077" s="30"/>
      <c r="D2077" s="30"/>
      <c r="E2077" s="30"/>
      <c r="F2077" s="22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</row>
    <row r="2078">
      <c r="A2078" s="20"/>
      <c r="B2078" s="20"/>
      <c r="C2078" s="30"/>
      <c r="D2078" s="30"/>
      <c r="E2078" s="30"/>
      <c r="F2078" s="22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</row>
    <row r="2079">
      <c r="A2079" s="20"/>
      <c r="B2079" s="20"/>
      <c r="C2079" s="30"/>
      <c r="D2079" s="30"/>
      <c r="E2079" s="30"/>
      <c r="F2079" s="22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</row>
    <row r="2080">
      <c r="A2080" s="20"/>
      <c r="B2080" s="20"/>
      <c r="C2080" s="30"/>
      <c r="D2080" s="30"/>
      <c r="E2080" s="30"/>
      <c r="F2080" s="22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</row>
    <row r="2081">
      <c r="A2081" s="20"/>
      <c r="B2081" s="20"/>
      <c r="C2081" s="30"/>
      <c r="D2081" s="30"/>
      <c r="E2081" s="30"/>
      <c r="F2081" s="22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</row>
    <row r="2082">
      <c r="A2082" s="20"/>
      <c r="B2082" s="20"/>
      <c r="C2082" s="30"/>
      <c r="D2082" s="30"/>
      <c r="E2082" s="30"/>
      <c r="F2082" s="22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</row>
    <row r="2083">
      <c r="A2083" s="20"/>
      <c r="B2083" s="20"/>
      <c r="C2083" s="30"/>
      <c r="D2083" s="30"/>
      <c r="E2083" s="30"/>
      <c r="F2083" s="22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</row>
    <row r="2084">
      <c r="A2084" s="20"/>
      <c r="B2084" s="20"/>
      <c r="C2084" s="30"/>
      <c r="D2084" s="30"/>
      <c r="E2084" s="30"/>
      <c r="F2084" s="22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</row>
    <row r="2085">
      <c r="A2085" s="20"/>
      <c r="B2085" s="20"/>
      <c r="C2085" s="30"/>
      <c r="D2085" s="30"/>
      <c r="E2085" s="30"/>
      <c r="F2085" s="22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</row>
    <row r="2086">
      <c r="A2086" s="20"/>
      <c r="B2086" s="20"/>
      <c r="C2086" s="30"/>
      <c r="D2086" s="30"/>
      <c r="E2086" s="30"/>
      <c r="F2086" s="22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</row>
    <row r="2087">
      <c r="A2087" s="20"/>
      <c r="B2087" s="20"/>
      <c r="C2087" s="30"/>
      <c r="D2087" s="30"/>
      <c r="E2087" s="30"/>
      <c r="F2087" s="22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</row>
    <row r="2088">
      <c r="A2088" s="20"/>
      <c r="B2088" s="20"/>
      <c r="C2088" s="30"/>
      <c r="D2088" s="30"/>
      <c r="E2088" s="30"/>
      <c r="F2088" s="22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</row>
    <row r="2089">
      <c r="A2089" s="20"/>
      <c r="B2089" s="20"/>
      <c r="C2089" s="30"/>
      <c r="D2089" s="30"/>
      <c r="E2089" s="30"/>
      <c r="F2089" s="22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</row>
    <row r="2090">
      <c r="A2090" s="20"/>
      <c r="B2090" s="20"/>
      <c r="C2090" s="30"/>
      <c r="D2090" s="30"/>
      <c r="E2090" s="30"/>
      <c r="F2090" s="22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</row>
    <row r="2091">
      <c r="A2091" s="20"/>
      <c r="B2091" s="20"/>
      <c r="C2091" s="30"/>
      <c r="D2091" s="30"/>
      <c r="E2091" s="30"/>
      <c r="F2091" s="22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</row>
    <row r="2092">
      <c r="A2092" s="20"/>
      <c r="B2092" s="20"/>
      <c r="C2092" s="30"/>
      <c r="D2092" s="30"/>
      <c r="E2092" s="30"/>
      <c r="F2092" s="22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</row>
    <row r="2093">
      <c r="A2093" s="20"/>
      <c r="B2093" s="20"/>
      <c r="C2093" s="30"/>
      <c r="D2093" s="30"/>
      <c r="E2093" s="30"/>
      <c r="F2093" s="22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</row>
    <row r="2094">
      <c r="A2094" s="20"/>
      <c r="B2094" s="20"/>
      <c r="C2094" s="30"/>
      <c r="D2094" s="30"/>
      <c r="E2094" s="30"/>
      <c r="F2094" s="22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</row>
    <row r="2095">
      <c r="A2095" s="20"/>
      <c r="B2095" s="20"/>
      <c r="C2095" s="30"/>
      <c r="D2095" s="30"/>
      <c r="E2095" s="30"/>
      <c r="F2095" s="22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</row>
    <row r="2096">
      <c r="A2096" s="20"/>
      <c r="B2096" s="20"/>
      <c r="C2096" s="30"/>
      <c r="D2096" s="30"/>
      <c r="E2096" s="30"/>
      <c r="F2096" s="22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</row>
    <row r="2097">
      <c r="A2097" s="20"/>
      <c r="B2097" s="20"/>
      <c r="C2097" s="30"/>
      <c r="D2097" s="30"/>
      <c r="E2097" s="30"/>
      <c r="F2097" s="22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</row>
    <row r="2098">
      <c r="A2098" s="20"/>
      <c r="B2098" s="20"/>
      <c r="C2098" s="30"/>
      <c r="D2098" s="30"/>
      <c r="E2098" s="30"/>
      <c r="F2098" s="22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</row>
    <row r="2099">
      <c r="A2099" s="20"/>
      <c r="B2099" s="20"/>
      <c r="C2099" s="30"/>
      <c r="D2099" s="30"/>
      <c r="E2099" s="30"/>
      <c r="F2099" s="22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</row>
    <row r="2100">
      <c r="A2100" s="20"/>
      <c r="B2100" s="20"/>
      <c r="C2100" s="30"/>
      <c r="D2100" s="30"/>
      <c r="E2100" s="30"/>
      <c r="F2100" s="22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</row>
    <row r="2101">
      <c r="A2101" s="20"/>
      <c r="B2101" s="20"/>
      <c r="C2101" s="30"/>
      <c r="D2101" s="30"/>
      <c r="E2101" s="30"/>
      <c r="F2101" s="22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</row>
    <row r="2102">
      <c r="A2102" s="20"/>
      <c r="B2102" s="20"/>
      <c r="C2102" s="30"/>
      <c r="D2102" s="30"/>
      <c r="E2102" s="30"/>
      <c r="F2102" s="22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</row>
    <row r="2103">
      <c r="A2103" s="20"/>
      <c r="B2103" s="20"/>
      <c r="C2103" s="30"/>
      <c r="D2103" s="30"/>
      <c r="E2103" s="30"/>
      <c r="F2103" s="22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</row>
    <row r="2104">
      <c r="A2104" s="20"/>
      <c r="B2104" s="20"/>
      <c r="C2104" s="30"/>
      <c r="D2104" s="30"/>
      <c r="E2104" s="30"/>
      <c r="F2104" s="22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</row>
    <row r="2105">
      <c r="A2105" s="20"/>
      <c r="B2105" s="20"/>
      <c r="C2105" s="30"/>
      <c r="D2105" s="30"/>
      <c r="E2105" s="30"/>
      <c r="F2105" s="22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</row>
    <row r="2106">
      <c r="A2106" s="20"/>
      <c r="B2106" s="20"/>
      <c r="C2106" s="30"/>
      <c r="D2106" s="30"/>
      <c r="E2106" s="30"/>
      <c r="F2106" s="22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</row>
    <row r="2107">
      <c r="A2107" s="20"/>
      <c r="B2107" s="20"/>
      <c r="C2107" s="30"/>
      <c r="D2107" s="30"/>
      <c r="E2107" s="30"/>
      <c r="F2107" s="22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</row>
    <row r="2108">
      <c r="A2108" s="20"/>
      <c r="B2108" s="20"/>
      <c r="C2108" s="30"/>
      <c r="D2108" s="30"/>
      <c r="E2108" s="30"/>
      <c r="F2108" s="22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</row>
    <row r="2109">
      <c r="A2109" s="20"/>
      <c r="B2109" s="20"/>
      <c r="C2109" s="30"/>
      <c r="D2109" s="30"/>
      <c r="E2109" s="30"/>
      <c r="F2109" s="22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</row>
    <row r="2110">
      <c r="A2110" s="20"/>
      <c r="B2110" s="20"/>
      <c r="C2110" s="30"/>
      <c r="D2110" s="30"/>
      <c r="E2110" s="30"/>
      <c r="F2110" s="22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</row>
    <row r="2111">
      <c r="A2111" s="20"/>
      <c r="B2111" s="20"/>
      <c r="C2111" s="30"/>
      <c r="D2111" s="30"/>
      <c r="E2111" s="30"/>
      <c r="F2111" s="22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</row>
    <row r="2112">
      <c r="A2112" s="20"/>
      <c r="B2112" s="20"/>
      <c r="C2112" s="30"/>
      <c r="D2112" s="30"/>
      <c r="E2112" s="30"/>
      <c r="F2112" s="22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</row>
    <row r="2113">
      <c r="A2113" s="20"/>
      <c r="B2113" s="20"/>
      <c r="C2113" s="30"/>
      <c r="D2113" s="30"/>
      <c r="E2113" s="30"/>
      <c r="F2113" s="22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</row>
    <row r="2114">
      <c r="A2114" s="20"/>
      <c r="B2114" s="20"/>
      <c r="C2114" s="30"/>
      <c r="D2114" s="30"/>
      <c r="E2114" s="30"/>
      <c r="F2114" s="22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</row>
    <row r="2115">
      <c r="A2115" s="20"/>
      <c r="B2115" s="20"/>
      <c r="C2115" s="30"/>
      <c r="D2115" s="30"/>
      <c r="E2115" s="30"/>
      <c r="F2115" s="22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</row>
    <row r="2116">
      <c r="A2116" s="20"/>
      <c r="B2116" s="20"/>
      <c r="C2116" s="30"/>
      <c r="D2116" s="30"/>
      <c r="E2116" s="30"/>
      <c r="F2116" s="22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</row>
    <row r="2117">
      <c r="A2117" s="20"/>
      <c r="B2117" s="20"/>
      <c r="C2117" s="30"/>
      <c r="D2117" s="30"/>
      <c r="E2117" s="30"/>
      <c r="F2117" s="22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</row>
    <row r="2118">
      <c r="A2118" s="20"/>
      <c r="B2118" s="20"/>
      <c r="C2118" s="30"/>
      <c r="D2118" s="30"/>
      <c r="E2118" s="30"/>
      <c r="F2118" s="22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</row>
    <row r="2119">
      <c r="A2119" s="20"/>
      <c r="B2119" s="20"/>
      <c r="C2119" s="30"/>
      <c r="D2119" s="30"/>
      <c r="E2119" s="30"/>
      <c r="F2119" s="22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</row>
    <row r="2120">
      <c r="A2120" s="20"/>
      <c r="B2120" s="20"/>
      <c r="C2120" s="30"/>
      <c r="D2120" s="30"/>
      <c r="E2120" s="30"/>
      <c r="F2120" s="22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</row>
    <row r="2121">
      <c r="A2121" s="20"/>
      <c r="B2121" s="20"/>
      <c r="C2121" s="30"/>
      <c r="D2121" s="30"/>
      <c r="E2121" s="30"/>
      <c r="F2121" s="22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</row>
    <row r="2122">
      <c r="A2122" s="20"/>
      <c r="B2122" s="20"/>
      <c r="C2122" s="30"/>
      <c r="D2122" s="30"/>
      <c r="E2122" s="30"/>
      <c r="F2122" s="22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</row>
    <row r="2123">
      <c r="A2123" s="20"/>
      <c r="B2123" s="20"/>
      <c r="C2123" s="30"/>
      <c r="D2123" s="30"/>
      <c r="E2123" s="30"/>
      <c r="F2123" s="22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</row>
    <row r="2124">
      <c r="A2124" s="20"/>
      <c r="B2124" s="20"/>
      <c r="C2124" s="30"/>
      <c r="D2124" s="30"/>
      <c r="E2124" s="30"/>
      <c r="F2124" s="22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</row>
    <row r="2125">
      <c r="A2125" s="20"/>
      <c r="B2125" s="20"/>
      <c r="C2125" s="30"/>
      <c r="D2125" s="30"/>
      <c r="E2125" s="30"/>
      <c r="F2125" s="22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</row>
    <row r="2126">
      <c r="A2126" s="20"/>
      <c r="B2126" s="20"/>
      <c r="C2126" s="30"/>
      <c r="D2126" s="30"/>
      <c r="E2126" s="30"/>
      <c r="F2126" s="22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</row>
    <row r="2127">
      <c r="A2127" s="20"/>
      <c r="B2127" s="20"/>
      <c r="C2127" s="30"/>
      <c r="D2127" s="30"/>
      <c r="E2127" s="30"/>
      <c r="F2127" s="22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</row>
    <row r="2128">
      <c r="A2128" s="20"/>
      <c r="B2128" s="20"/>
      <c r="C2128" s="30"/>
      <c r="D2128" s="30"/>
      <c r="E2128" s="30"/>
      <c r="F2128" s="22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</row>
    <row r="2129">
      <c r="A2129" s="20"/>
      <c r="B2129" s="20"/>
      <c r="C2129" s="30"/>
      <c r="D2129" s="30"/>
      <c r="E2129" s="30"/>
      <c r="F2129" s="22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</row>
    <row r="2130">
      <c r="A2130" s="20"/>
      <c r="B2130" s="20"/>
      <c r="C2130" s="30"/>
      <c r="D2130" s="30"/>
      <c r="E2130" s="30"/>
      <c r="F2130" s="22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</row>
    <row r="2131">
      <c r="A2131" s="20"/>
      <c r="B2131" s="20"/>
      <c r="C2131" s="30"/>
      <c r="D2131" s="30"/>
      <c r="E2131" s="30"/>
      <c r="F2131" s="22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</row>
    <row r="2132">
      <c r="A2132" s="20"/>
      <c r="B2132" s="20"/>
      <c r="C2132" s="30"/>
      <c r="D2132" s="30"/>
      <c r="E2132" s="30"/>
      <c r="F2132" s="22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</row>
    <row r="2133">
      <c r="A2133" s="20"/>
      <c r="B2133" s="20"/>
      <c r="C2133" s="30"/>
      <c r="D2133" s="30"/>
      <c r="E2133" s="30"/>
      <c r="F2133" s="22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</row>
    <row r="2134">
      <c r="A2134" s="20"/>
      <c r="B2134" s="20"/>
      <c r="C2134" s="30"/>
      <c r="D2134" s="30"/>
      <c r="E2134" s="30"/>
      <c r="F2134" s="22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</row>
    <row r="2135">
      <c r="A2135" s="20"/>
      <c r="B2135" s="20"/>
      <c r="C2135" s="30"/>
      <c r="D2135" s="30"/>
      <c r="E2135" s="30"/>
      <c r="F2135" s="22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</row>
    <row r="2136">
      <c r="A2136" s="20"/>
      <c r="B2136" s="20"/>
      <c r="C2136" s="30"/>
      <c r="D2136" s="30"/>
      <c r="E2136" s="30"/>
      <c r="F2136" s="22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</row>
    <row r="2137">
      <c r="A2137" s="20"/>
      <c r="B2137" s="20"/>
      <c r="C2137" s="30"/>
      <c r="D2137" s="30"/>
      <c r="E2137" s="30"/>
      <c r="F2137" s="22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</row>
    <row r="2138">
      <c r="A2138" s="20"/>
      <c r="B2138" s="20"/>
      <c r="C2138" s="30"/>
      <c r="D2138" s="30"/>
      <c r="E2138" s="30"/>
      <c r="F2138" s="22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</row>
    <row r="2139">
      <c r="A2139" s="20"/>
      <c r="B2139" s="20"/>
      <c r="C2139" s="30"/>
      <c r="D2139" s="30"/>
      <c r="E2139" s="30"/>
      <c r="F2139" s="22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</row>
    <row r="2140">
      <c r="A2140" s="20"/>
      <c r="B2140" s="20"/>
      <c r="C2140" s="30"/>
      <c r="D2140" s="30"/>
      <c r="E2140" s="30"/>
      <c r="F2140" s="22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</row>
    <row r="2141">
      <c r="A2141" s="20"/>
      <c r="B2141" s="20"/>
      <c r="C2141" s="30"/>
      <c r="D2141" s="30"/>
      <c r="E2141" s="30"/>
      <c r="F2141" s="22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</row>
    <row r="2142">
      <c r="A2142" s="20"/>
      <c r="B2142" s="20"/>
      <c r="C2142" s="30"/>
      <c r="D2142" s="30"/>
      <c r="E2142" s="30"/>
      <c r="F2142" s="22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</row>
    <row r="2143">
      <c r="A2143" s="20"/>
      <c r="B2143" s="20"/>
      <c r="C2143" s="30"/>
      <c r="D2143" s="30"/>
      <c r="E2143" s="30"/>
      <c r="F2143" s="22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</row>
    <row r="2144">
      <c r="A2144" s="20"/>
      <c r="B2144" s="20"/>
      <c r="C2144" s="30"/>
      <c r="D2144" s="30"/>
      <c r="E2144" s="30"/>
      <c r="F2144" s="22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</row>
    <row r="2145">
      <c r="A2145" s="20"/>
      <c r="B2145" s="20"/>
      <c r="C2145" s="30"/>
      <c r="D2145" s="30"/>
      <c r="E2145" s="30"/>
      <c r="F2145" s="22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</row>
    <row r="2146">
      <c r="A2146" s="20"/>
      <c r="B2146" s="20"/>
      <c r="C2146" s="30"/>
      <c r="D2146" s="30"/>
      <c r="E2146" s="30"/>
      <c r="F2146" s="22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</row>
    <row r="2147">
      <c r="A2147" s="20"/>
      <c r="B2147" s="20"/>
      <c r="C2147" s="30"/>
      <c r="D2147" s="30"/>
      <c r="E2147" s="30"/>
      <c r="F2147" s="22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</row>
    <row r="2148">
      <c r="A2148" s="20"/>
      <c r="B2148" s="20"/>
      <c r="C2148" s="30"/>
      <c r="D2148" s="30"/>
      <c r="E2148" s="30"/>
      <c r="F2148" s="22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</row>
    <row r="2149">
      <c r="A2149" s="20"/>
      <c r="B2149" s="20"/>
      <c r="C2149" s="30"/>
      <c r="D2149" s="30"/>
      <c r="E2149" s="30"/>
      <c r="F2149" s="22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</row>
    <row r="2150">
      <c r="A2150" s="20"/>
      <c r="B2150" s="20"/>
      <c r="C2150" s="30"/>
      <c r="D2150" s="30"/>
      <c r="E2150" s="30"/>
      <c r="F2150" s="22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</row>
    <row r="2151">
      <c r="A2151" s="20"/>
      <c r="B2151" s="20"/>
      <c r="C2151" s="30"/>
      <c r="D2151" s="30"/>
      <c r="E2151" s="30"/>
      <c r="F2151" s="22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</row>
    <row r="2152">
      <c r="A2152" s="20"/>
      <c r="B2152" s="20"/>
      <c r="C2152" s="30"/>
      <c r="D2152" s="30"/>
      <c r="E2152" s="30"/>
      <c r="F2152" s="22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</row>
    <row r="2153">
      <c r="A2153" s="20"/>
      <c r="B2153" s="20"/>
      <c r="C2153" s="30"/>
      <c r="D2153" s="30"/>
      <c r="E2153" s="30"/>
      <c r="F2153" s="22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</row>
    <row r="2154">
      <c r="A2154" s="20"/>
      <c r="B2154" s="20"/>
      <c r="C2154" s="30"/>
      <c r="D2154" s="30"/>
      <c r="E2154" s="30"/>
      <c r="F2154" s="22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</row>
    <row r="2155">
      <c r="A2155" s="20"/>
      <c r="B2155" s="20"/>
      <c r="C2155" s="30"/>
      <c r="D2155" s="30"/>
      <c r="E2155" s="30"/>
      <c r="F2155" s="22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</row>
    <row r="2156">
      <c r="A2156" s="20"/>
      <c r="B2156" s="20"/>
      <c r="C2156" s="30"/>
      <c r="D2156" s="30"/>
      <c r="E2156" s="30"/>
      <c r="F2156" s="22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</row>
    <row r="2157">
      <c r="A2157" s="20"/>
      <c r="B2157" s="20"/>
      <c r="C2157" s="30"/>
      <c r="D2157" s="30"/>
      <c r="E2157" s="30"/>
      <c r="F2157" s="22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</row>
    <row r="2158">
      <c r="A2158" s="20"/>
      <c r="B2158" s="20"/>
      <c r="C2158" s="30"/>
      <c r="D2158" s="30"/>
      <c r="E2158" s="30"/>
      <c r="F2158" s="22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</row>
    <row r="2159">
      <c r="A2159" s="20"/>
      <c r="B2159" s="20"/>
      <c r="C2159" s="30"/>
      <c r="D2159" s="30"/>
      <c r="E2159" s="30"/>
      <c r="F2159" s="22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</row>
    <row r="2160">
      <c r="A2160" s="20"/>
      <c r="B2160" s="20"/>
      <c r="C2160" s="30"/>
      <c r="D2160" s="30"/>
      <c r="E2160" s="30"/>
      <c r="F2160" s="22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</row>
    <row r="2161">
      <c r="A2161" s="20"/>
      <c r="B2161" s="20"/>
      <c r="C2161" s="30"/>
      <c r="D2161" s="30"/>
      <c r="E2161" s="30"/>
      <c r="F2161" s="22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</row>
    <row r="2162">
      <c r="A2162" s="20"/>
      <c r="B2162" s="20"/>
      <c r="C2162" s="30"/>
      <c r="D2162" s="30"/>
      <c r="E2162" s="30"/>
      <c r="F2162" s="22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</row>
    <row r="2163">
      <c r="A2163" s="20"/>
      <c r="B2163" s="20"/>
      <c r="C2163" s="30"/>
      <c r="D2163" s="30"/>
      <c r="E2163" s="30"/>
      <c r="F2163" s="22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</row>
    <row r="2164">
      <c r="A2164" s="20"/>
      <c r="B2164" s="20"/>
      <c r="C2164" s="30"/>
      <c r="D2164" s="30"/>
      <c r="E2164" s="30"/>
      <c r="F2164" s="22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</row>
    <row r="2165">
      <c r="A2165" s="20"/>
      <c r="B2165" s="20"/>
      <c r="C2165" s="30"/>
      <c r="D2165" s="30"/>
      <c r="E2165" s="30"/>
      <c r="F2165" s="22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</row>
    <row r="2166">
      <c r="A2166" s="20"/>
      <c r="B2166" s="20"/>
      <c r="C2166" s="30"/>
      <c r="D2166" s="30"/>
      <c r="E2166" s="30"/>
      <c r="F2166" s="22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</row>
    <row r="2167">
      <c r="A2167" s="20"/>
      <c r="B2167" s="20"/>
      <c r="C2167" s="30"/>
      <c r="D2167" s="30"/>
      <c r="E2167" s="30"/>
      <c r="F2167" s="22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</row>
    <row r="2168">
      <c r="A2168" s="20"/>
      <c r="B2168" s="20"/>
      <c r="C2168" s="30"/>
      <c r="D2168" s="30"/>
      <c r="E2168" s="30"/>
      <c r="F2168" s="22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</row>
    <row r="2169">
      <c r="A2169" s="20"/>
      <c r="B2169" s="20"/>
      <c r="C2169" s="30"/>
      <c r="D2169" s="30"/>
      <c r="E2169" s="30"/>
      <c r="F2169" s="22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</row>
    <row r="2170">
      <c r="A2170" s="20"/>
      <c r="B2170" s="20"/>
      <c r="C2170" s="30"/>
      <c r="D2170" s="30"/>
      <c r="E2170" s="30"/>
      <c r="F2170" s="22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</row>
    <row r="2171">
      <c r="A2171" s="20"/>
      <c r="B2171" s="20"/>
      <c r="C2171" s="30"/>
      <c r="D2171" s="30"/>
      <c r="E2171" s="30"/>
      <c r="F2171" s="22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</row>
    <row r="2172">
      <c r="A2172" s="20"/>
      <c r="B2172" s="20"/>
      <c r="C2172" s="30"/>
      <c r="D2172" s="30"/>
      <c r="E2172" s="30"/>
      <c r="F2172" s="22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</row>
    <row r="2173">
      <c r="A2173" s="20"/>
      <c r="B2173" s="20"/>
      <c r="C2173" s="30"/>
      <c r="D2173" s="30"/>
      <c r="E2173" s="30"/>
      <c r="F2173" s="22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</row>
    <row r="2174">
      <c r="A2174" s="20"/>
      <c r="B2174" s="20"/>
      <c r="C2174" s="30"/>
      <c r="D2174" s="30"/>
      <c r="E2174" s="30"/>
      <c r="F2174" s="22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</row>
    <row r="2175">
      <c r="A2175" s="20"/>
      <c r="B2175" s="20"/>
      <c r="C2175" s="30"/>
      <c r="D2175" s="30"/>
      <c r="E2175" s="30"/>
      <c r="F2175" s="22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</row>
    <row r="2176">
      <c r="A2176" s="20"/>
      <c r="B2176" s="20"/>
      <c r="C2176" s="30"/>
      <c r="D2176" s="30"/>
      <c r="E2176" s="30"/>
      <c r="F2176" s="22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</row>
    <row r="2177">
      <c r="A2177" s="20"/>
      <c r="B2177" s="20"/>
      <c r="C2177" s="30"/>
      <c r="D2177" s="30"/>
      <c r="E2177" s="30"/>
      <c r="F2177" s="22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</row>
    <row r="2178">
      <c r="A2178" s="20"/>
      <c r="B2178" s="20"/>
      <c r="C2178" s="30"/>
      <c r="D2178" s="30"/>
      <c r="E2178" s="30"/>
      <c r="F2178" s="22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</row>
    <row r="2179">
      <c r="A2179" s="20"/>
      <c r="B2179" s="20"/>
      <c r="C2179" s="30"/>
      <c r="D2179" s="30"/>
      <c r="E2179" s="30"/>
      <c r="F2179" s="22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</row>
    <row r="2180">
      <c r="A2180" s="20"/>
      <c r="B2180" s="20"/>
      <c r="C2180" s="30"/>
      <c r="D2180" s="30"/>
      <c r="E2180" s="30"/>
      <c r="F2180" s="22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</row>
    <row r="2181">
      <c r="A2181" s="20"/>
      <c r="B2181" s="20"/>
      <c r="C2181" s="30"/>
      <c r="D2181" s="30"/>
      <c r="E2181" s="30"/>
      <c r="F2181" s="22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</row>
    <row r="2182">
      <c r="A2182" s="20"/>
      <c r="B2182" s="20"/>
      <c r="C2182" s="30"/>
      <c r="D2182" s="30"/>
      <c r="E2182" s="30"/>
      <c r="F2182" s="22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</row>
    <row r="2183">
      <c r="A2183" s="20"/>
      <c r="B2183" s="20"/>
      <c r="C2183" s="30"/>
      <c r="D2183" s="30"/>
      <c r="E2183" s="30"/>
      <c r="F2183" s="22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</row>
    <row r="2184">
      <c r="A2184" s="20"/>
      <c r="B2184" s="20"/>
      <c r="C2184" s="30"/>
      <c r="D2184" s="30"/>
      <c r="E2184" s="30"/>
      <c r="F2184" s="22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</row>
    <row r="2185">
      <c r="A2185" s="20"/>
      <c r="B2185" s="20"/>
      <c r="C2185" s="30"/>
      <c r="D2185" s="30"/>
      <c r="E2185" s="30"/>
      <c r="F2185" s="22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</row>
    <row r="2186">
      <c r="A2186" s="20"/>
      <c r="B2186" s="20"/>
      <c r="C2186" s="30"/>
      <c r="D2186" s="30"/>
      <c r="E2186" s="30"/>
      <c r="F2186" s="22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</row>
    <row r="2187">
      <c r="A2187" s="20"/>
      <c r="B2187" s="20"/>
      <c r="C2187" s="30"/>
      <c r="D2187" s="30"/>
      <c r="E2187" s="30"/>
      <c r="F2187" s="22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</row>
    <row r="2188">
      <c r="A2188" s="20"/>
      <c r="B2188" s="20"/>
      <c r="C2188" s="30"/>
      <c r="D2188" s="30"/>
      <c r="E2188" s="30"/>
      <c r="F2188" s="22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</row>
    <row r="2189">
      <c r="A2189" s="20"/>
      <c r="B2189" s="20"/>
      <c r="C2189" s="30"/>
      <c r="D2189" s="30"/>
      <c r="E2189" s="30"/>
      <c r="F2189" s="22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</row>
    <row r="2190">
      <c r="A2190" s="20"/>
      <c r="B2190" s="20"/>
      <c r="C2190" s="30"/>
      <c r="D2190" s="30"/>
      <c r="E2190" s="30"/>
      <c r="F2190" s="22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</row>
    <row r="2191">
      <c r="A2191" s="20"/>
      <c r="B2191" s="20"/>
      <c r="C2191" s="30"/>
      <c r="D2191" s="30"/>
      <c r="E2191" s="30"/>
      <c r="F2191" s="22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</row>
    <row r="2192">
      <c r="A2192" s="20"/>
      <c r="B2192" s="20"/>
      <c r="C2192" s="30"/>
      <c r="D2192" s="30"/>
      <c r="E2192" s="30"/>
      <c r="F2192" s="22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</row>
    <row r="2193">
      <c r="A2193" s="20"/>
      <c r="B2193" s="20"/>
      <c r="C2193" s="30"/>
      <c r="D2193" s="30"/>
      <c r="E2193" s="30"/>
      <c r="F2193" s="22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</row>
    <row r="2194">
      <c r="A2194" s="20"/>
      <c r="B2194" s="20"/>
      <c r="C2194" s="30"/>
      <c r="D2194" s="30"/>
      <c r="E2194" s="30"/>
      <c r="F2194" s="22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</row>
    <row r="2195">
      <c r="A2195" s="20"/>
      <c r="B2195" s="20"/>
      <c r="C2195" s="30"/>
      <c r="D2195" s="30"/>
      <c r="E2195" s="30"/>
      <c r="F2195" s="22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</row>
    <row r="2196">
      <c r="A2196" s="20"/>
      <c r="B2196" s="20"/>
      <c r="C2196" s="30"/>
      <c r="D2196" s="30"/>
      <c r="E2196" s="30"/>
      <c r="F2196" s="22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</row>
    <row r="2197">
      <c r="A2197" s="20"/>
      <c r="B2197" s="20"/>
      <c r="C2197" s="30"/>
      <c r="D2197" s="30"/>
      <c r="E2197" s="30"/>
      <c r="F2197" s="22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</row>
    <row r="2198">
      <c r="A2198" s="20"/>
      <c r="B2198" s="20"/>
      <c r="C2198" s="30"/>
      <c r="D2198" s="30"/>
      <c r="E2198" s="30"/>
      <c r="F2198" s="22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</row>
    <row r="2199">
      <c r="A2199" s="20"/>
      <c r="B2199" s="20"/>
      <c r="C2199" s="30"/>
      <c r="D2199" s="30"/>
      <c r="E2199" s="30"/>
      <c r="F2199" s="22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</row>
    <row r="2200">
      <c r="A2200" s="20"/>
      <c r="B2200" s="20"/>
      <c r="C2200" s="30"/>
      <c r="D2200" s="30"/>
      <c r="E2200" s="30"/>
      <c r="F2200" s="22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</row>
    <row r="2201">
      <c r="A2201" s="20"/>
      <c r="B2201" s="20"/>
      <c r="C2201" s="30"/>
      <c r="D2201" s="30"/>
      <c r="E2201" s="30"/>
      <c r="F2201" s="22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</row>
    <row r="2202">
      <c r="A2202" s="20"/>
      <c r="B2202" s="20"/>
      <c r="C2202" s="30"/>
      <c r="D2202" s="30"/>
      <c r="E2202" s="30"/>
      <c r="F2202" s="22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</row>
    <row r="2203">
      <c r="A2203" s="20"/>
      <c r="B2203" s="20"/>
      <c r="C2203" s="30"/>
      <c r="D2203" s="30"/>
      <c r="E2203" s="30"/>
      <c r="F2203" s="22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</row>
    <row r="2204">
      <c r="A2204" s="20"/>
      <c r="B2204" s="20"/>
      <c r="C2204" s="30"/>
      <c r="D2204" s="30"/>
      <c r="E2204" s="30"/>
      <c r="F2204" s="22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</row>
    <row r="2205">
      <c r="A2205" s="20"/>
      <c r="B2205" s="20"/>
      <c r="C2205" s="30"/>
      <c r="D2205" s="30"/>
      <c r="E2205" s="30"/>
      <c r="F2205" s="22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</row>
    <row r="2206">
      <c r="A2206" s="20"/>
      <c r="B2206" s="20"/>
      <c r="C2206" s="30"/>
      <c r="D2206" s="30"/>
      <c r="E2206" s="30"/>
      <c r="F2206" s="22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</row>
    <row r="2207">
      <c r="A2207" s="20"/>
      <c r="B2207" s="20"/>
      <c r="C2207" s="30"/>
      <c r="D2207" s="30"/>
      <c r="E2207" s="30"/>
      <c r="F2207" s="22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</row>
    <row r="2208">
      <c r="A2208" s="20"/>
      <c r="B2208" s="20"/>
      <c r="C2208" s="30"/>
      <c r="D2208" s="30"/>
      <c r="E2208" s="30"/>
      <c r="F2208" s="22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</row>
    <row r="2209">
      <c r="A2209" s="20"/>
      <c r="B2209" s="20"/>
      <c r="C2209" s="30"/>
      <c r="D2209" s="30"/>
      <c r="E2209" s="30"/>
      <c r="F2209" s="22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</row>
    <row r="2210">
      <c r="A2210" s="20"/>
      <c r="B2210" s="20"/>
      <c r="C2210" s="30"/>
      <c r="D2210" s="30"/>
      <c r="E2210" s="30"/>
      <c r="F2210" s="22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</row>
    <row r="2211">
      <c r="A2211" s="20"/>
      <c r="B2211" s="20"/>
      <c r="C2211" s="30"/>
      <c r="D2211" s="30"/>
      <c r="E2211" s="30"/>
      <c r="F2211" s="22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</row>
    <row r="2212">
      <c r="A2212" s="20"/>
      <c r="B2212" s="20"/>
      <c r="C2212" s="30"/>
      <c r="D2212" s="30"/>
      <c r="E2212" s="30"/>
      <c r="F2212" s="22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</row>
    <row r="2213">
      <c r="A2213" s="20"/>
      <c r="B2213" s="20"/>
      <c r="C2213" s="30"/>
      <c r="D2213" s="30"/>
      <c r="E2213" s="30"/>
      <c r="F2213" s="22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</row>
    <row r="2214">
      <c r="A2214" s="20"/>
      <c r="B2214" s="20"/>
      <c r="C2214" s="30"/>
      <c r="D2214" s="30"/>
      <c r="E2214" s="30"/>
      <c r="F2214" s="22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</row>
    <row r="2215">
      <c r="A2215" s="20"/>
      <c r="B2215" s="20"/>
      <c r="C2215" s="30"/>
      <c r="D2215" s="30"/>
      <c r="E2215" s="30"/>
      <c r="F2215" s="22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</row>
    <row r="2216">
      <c r="A2216" s="20"/>
      <c r="B2216" s="20"/>
      <c r="C2216" s="30"/>
      <c r="D2216" s="30"/>
      <c r="E2216" s="30"/>
      <c r="F2216" s="22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</row>
    <row r="2217">
      <c r="A2217" s="20"/>
      <c r="B2217" s="20"/>
      <c r="C2217" s="30"/>
      <c r="D2217" s="30"/>
      <c r="E2217" s="30"/>
      <c r="F2217" s="22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</row>
    <row r="2218">
      <c r="A2218" s="20"/>
      <c r="B2218" s="20"/>
      <c r="C2218" s="30"/>
      <c r="D2218" s="30"/>
      <c r="E2218" s="30"/>
      <c r="F2218" s="22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</row>
    <row r="2219">
      <c r="A2219" s="20"/>
      <c r="B2219" s="20"/>
      <c r="C2219" s="30"/>
      <c r="D2219" s="30"/>
      <c r="E2219" s="30"/>
      <c r="F2219" s="22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</row>
    <row r="2220">
      <c r="A2220" s="20"/>
      <c r="B2220" s="20"/>
      <c r="C2220" s="30"/>
      <c r="D2220" s="30"/>
      <c r="E2220" s="30"/>
      <c r="F2220" s="22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</row>
    <row r="2221">
      <c r="A2221" s="20"/>
      <c r="B2221" s="20"/>
      <c r="C2221" s="30"/>
      <c r="D2221" s="30"/>
      <c r="E2221" s="30"/>
      <c r="F2221" s="22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</row>
    <row r="2222">
      <c r="A2222" s="20"/>
      <c r="B2222" s="20"/>
      <c r="C2222" s="30"/>
      <c r="D2222" s="30"/>
      <c r="E2222" s="30"/>
      <c r="F2222" s="22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</row>
    <row r="2223">
      <c r="A2223" s="20"/>
      <c r="B2223" s="20"/>
      <c r="C2223" s="30"/>
      <c r="D2223" s="30"/>
      <c r="E2223" s="30"/>
      <c r="F2223" s="22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</row>
    <row r="2224">
      <c r="A2224" s="20"/>
      <c r="B2224" s="20"/>
      <c r="C2224" s="30"/>
      <c r="D2224" s="30"/>
      <c r="E2224" s="30"/>
      <c r="F2224" s="22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</row>
    <row r="2225">
      <c r="A2225" s="20"/>
      <c r="B2225" s="20"/>
      <c r="C2225" s="30"/>
      <c r="D2225" s="30"/>
      <c r="E2225" s="30"/>
      <c r="F2225" s="22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</row>
    <row r="2226">
      <c r="A2226" s="20"/>
      <c r="B2226" s="20"/>
      <c r="C2226" s="30"/>
      <c r="D2226" s="30"/>
      <c r="E2226" s="30"/>
      <c r="F2226" s="22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</row>
    <row r="2227">
      <c r="A2227" s="20"/>
      <c r="B2227" s="20"/>
      <c r="C2227" s="30"/>
      <c r="D2227" s="30"/>
      <c r="E2227" s="30"/>
      <c r="F2227" s="22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</row>
    <row r="2228">
      <c r="A2228" s="20"/>
      <c r="B2228" s="20"/>
      <c r="C2228" s="30"/>
      <c r="D2228" s="30"/>
      <c r="E2228" s="30"/>
      <c r="F2228" s="22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</row>
    <row r="2229">
      <c r="A2229" s="20"/>
      <c r="B2229" s="20"/>
      <c r="C2229" s="30"/>
      <c r="D2229" s="30"/>
      <c r="E2229" s="30"/>
      <c r="F2229" s="22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</row>
    <row r="2230">
      <c r="A2230" s="20"/>
      <c r="B2230" s="20"/>
      <c r="C2230" s="30"/>
      <c r="D2230" s="30"/>
      <c r="E2230" s="30"/>
      <c r="F2230" s="22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</row>
    <row r="2231">
      <c r="A2231" s="20"/>
      <c r="B2231" s="20"/>
      <c r="C2231" s="30"/>
      <c r="D2231" s="30"/>
      <c r="E2231" s="30"/>
      <c r="F2231" s="22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</row>
    <row r="2232">
      <c r="A2232" s="20"/>
      <c r="B2232" s="20"/>
      <c r="C2232" s="30"/>
      <c r="D2232" s="30"/>
      <c r="E2232" s="30"/>
      <c r="F2232" s="22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</row>
    <row r="2233">
      <c r="A2233" s="20"/>
      <c r="B2233" s="20"/>
      <c r="C2233" s="30"/>
      <c r="D2233" s="30"/>
      <c r="E2233" s="30"/>
      <c r="F2233" s="22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</row>
    <row r="2234">
      <c r="A2234" s="20"/>
      <c r="B2234" s="20"/>
      <c r="C2234" s="30"/>
      <c r="D2234" s="30"/>
      <c r="E2234" s="30"/>
      <c r="F2234" s="22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</row>
    <row r="2235">
      <c r="A2235" s="20"/>
      <c r="B2235" s="20"/>
      <c r="C2235" s="30"/>
      <c r="D2235" s="30"/>
      <c r="E2235" s="30"/>
      <c r="F2235" s="22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</row>
    <row r="2236">
      <c r="A2236" s="20"/>
      <c r="B2236" s="20"/>
      <c r="C2236" s="30"/>
      <c r="D2236" s="30"/>
      <c r="E2236" s="30"/>
      <c r="F2236" s="22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</row>
    <row r="2237">
      <c r="A2237" s="20"/>
      <c r="B2237" s="20"/>
      <c r="C2237" s="30"/>
      <c r="D2237" s="30"/>
      <c r="E2237" s="30"/>
      <c r="F2237" s="22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</row>
    <row r="2238">
      <c r="A2238" s="20"/>
      <c r="B2238" s="20"/>
      <c r="C2238" s="30"/>
      <c r="D2238" s="30"/>
      <c r="E2238" s="30"/>
      <c r="F2238" s="22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</row>
    <row r="2239">
      <c r="A2239" s="20"/>
      <c r="B2239" s="20"/>
      <c r="C2239" s="30"/>
      <c r="D2239" s="30"/>
      <c r="E2239" s="30"/>
      <c r="F2239" s="22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</row>
    <row r="2240">
      <c r="A2240" s="20"/>
      <c r="B2240" s="20"/>
      <c r="C2240" s="30"/>
      <c r="D2240" s="30"/>
      <c r="E2240" s="30"/>
      <c r="F2240" s="22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</row>
    <row r="2241">
      <c r="A2241" s="20"/>
      <c r="B2241" s="20"/>
      <c r="C2241" s="30"/>
      <c r="D2241" s="30"/>
      <c r="E2241" s="30"/>
      <c r="F2241" s="22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</row>
    <row r="2242">
      <c r="A2242" s="20"/>
      <c r="B2242" s="20"/>
      <c r="C2242" s="30"/>
      <c r="D2242" s="30"/>
      <c r="E2242" s="30"/>
      <c r="F2242" s="22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</row>
    <row r="2243">
      <c r="A2243" s="20"/>
      <c r="B2243" s="20"/>
      <c r="C2243" s="30"/>
      <c r="D2243" s="30"/>
      <c r="E2243" s="30"/>
      <c r="F2243" s="22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</row>
    <row r="2244">
      <c r="A2244" s="20"/>
      <c r="B2244" s="20"/>
      <c r="C2244" s="30"/>
      <c r="D2244" s="30"/>
      <c r="E2244" s="30"/>
      <c r="F2244" s="22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</row>
    <row r="2245">
      <c r="A2245" s="20"/>
      <c r="B2245" s="20"/>
      <c r="C2245" s="30"/>
      <c r="D2245" s="30"/>
      <c r="E2245" s="30"/>
      <c r="F2245" s="22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</row>
    <row r="2246">
      <c r="A2246" s="20"/>
      <c r="B2246" s="20"/>
      <c r="C2246" s="30"/>
      <c r="D2246" s="30"/>
      <c r="E2246" s="30"/>
      <c r="F2246" s="22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</row>
    <row r="2247">
      <c r="A2247" s="20"/>
      <c r="B2247" s="20"/>
      <c r="C2247" s="30"/>
      <c r="D2247" s="30"/>
      <c r="E2247" s="30"/>
      <c r="F2247" s="22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</row>
    <row r="2248">
      <c r="A2248" s="20"/>
      <c r="B2248" s="20"/>
      <c r="C2248" s="30"/>
      <c r="D2248" s="30"/>
      <c r="E2248" s="30"/>
      <c r="F2248" s="22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</row>
    <row r="2249">
      <c r="A2249" s="20"/>
      <c r="B2249" s="20"/>
      <c r="C2249" s="30"/>
      <c r="D2249" s="30"/>
      <c r="E2249" s="30"/>
      <c r="F2249" s="22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</row>
    <row r="2250">
      <c r="A2250" s="20"/>
      <c r="B2250" s="20"/>
      <c r="C2250" s="30"/>
      <c r="D2250" s="30"/>
      <c r="E2250" s="30"/>
      <c r="F2250" s="22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</row>
    <row r="2251">
      <c r="A2251" s="20"/>
      <c r="B2251" s="20"/>
      <c r="C2251" s="30"/>
      <c r="D2251" s="30"/>
      <c r="E2251" s="30"/>
      <c r="F2251" s="22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</row>
    <row r="2252">
      <c r="A2252" s="20"/>
      <c r="B2252" s="20"/>
      <c r="C2252" s="30"/>
      <c r="D2252" s="30"/>
      <c r="E2252" s="30"/>
      <c r="F2252" s="22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</row>
    <row r="2253">
      <c r="A2253" s="20"/>
      <c r="B2253" s="20"/>
      <c r="C2253" s="30"/>
      <c r="D2253" s="30"/>
      <c r="E2253" s="30"/>
      <c r="F2253" s="22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</row>
    <row r="2254">
      <c r="A2254" s="20"/>
      <c r="B2254" s="20"/>
      <c r="C2254" s="30"/>
      <c r="D2254" s="30"/>
      <c r="E2254" s="30"/>
      <c r="F2254" s="22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</row>
    <row r="2255">
      <c r="A2255" s="20"/>
      <c r="B2255" s="20"/>
      <c r="C2255" s="30"/>
      <c r="D2255" s="30"/>
      <c r="E2255" s="30"/>
      <c r="F2255" s="22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</row>
    <row r="2256">
      <c r="A2256" s="20"/>
      <c r="B2256" s="20"/>
      <c r="C2256" s="30"/>
      <c r="D2256" s="30"/>
      <c r="E2256" s="30"/>
      <c r="F2256" s="22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</row>
    <row r="2257">
      <c r="A2257" s="20"/>
      <c r="B2257" s="20"/>
      <c r="C2257" s="30"/>
      <c r="D2257" s="30"/>
      <c r="E2257" s="30"/>
      <c r="F2257" s="22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</row>
    <row r="2258">
      <c r="A2258" s="20"/>
      <c r="B2258" s="20"/>
      <c r="C2258" s="30"/>
      <c r="D2258" s="30"/>
      <c r="E2258" s="30"/>
      <c r="F2258" s="22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</row>
    <row r="2259">
      <c r="A2259" s="20"/>
      <c r="B2259" s="20"/>
      <c r="C2259" s="30"/>
      <c r="D2259" s="30"/>
      <c r="E2259" s="30"/>
      <c r="F2259" s="22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</row>
    <row r="2260">
      <c r="A2260" s="20"/>
      <c r="B2260" s="20"/>
      <c r="C2260" s="30"/>
      <c r="D2260" s="30"/>
      <c r="E2260" s="30"/>
      <c r="F2260" s="22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</row>
    <row r="2261">
      <c r="A2261" s="20"/>
      <c r="B2261" s="20"/>
      <c r="C2261" s="30"/>
      <c r="D2261" s="30"/>
      <c r="E2261" s="30"/>
      <c r="F2261" s="22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</row>
    <row r="2262">
      <c r="A2262" s="20"/>
      <c r="B2262" s="20"/>
      <c r="C2262" s="30"/>
      <c r="D2262" s="30"/>
      <c r="E2262" s="30"/>
      <c r="F2262" s="22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</row>
    <row r="2263">
      <c r="A2263" s="20"/>
      <c r="B2263" s="20"/>
      <c r="C2263" s="30"/>
      <c r="D2263" s="30"/>
      <c r="E2263" s="30"/>
      <c r="F2263" s="22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</row>
    <row r="2264">
      <c r="A2264" s="20"/>
      <c r="B2264" s="20"/>
      <c r="C2264" s="30"/>
      <c r="D2264" s="30"/>
      <c r="E2264" s="30"/>
      <c r="F2264" s="22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</row>
    <row r="2265">
      <c r="A2265" s="20"/>
      <c r="B2265" s="20"/>
      <c r="C2265" s="30"/>
      <c r="D2265" s="30"/>
      <c r="E2265" s="30"/>
      <c r="F2265" s="22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</row>
    <row r="2266">
      <c r="A2266" s="20"/>
      <c r="B2266" s="20"/>
      <c r="C2266" s="30"/>
      <c r="D2266" s="30"/>
      <c r="E2266" s="30"/>
      <c r="F2266" s="22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</row>
    <row r="2267">
      <c r="A2267" s="20"/>
      <c r="B2267" s="20"/>
      <c r="C2267" s="30"/>
      <c r="D2267" s="30"/>
      <c r="E2267" s="30"/>
      <c r="F2267" s="22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</row>
    <row r="2268">
      <c r="A2268" s="20"/>
      <c r="B2268" s="20"/>
      <c r="C2268" s="30"/>
      <c r="D2268" s="30"/>
      <c r="E2268" s="30"/>
      <c r="F2268" s="22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</row>
    <row r="2269">
      <c r="A2269" s="20"/>
      <c r="B2269" s="20"/>
      <c r="C2269" s="30"/>
      <c r="D2269" s="30"/>
      <c r="E2269" s="30"/>
      <c r="F2269" s="22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</row>
    <row r="2270">
      <c r="A2270" s="20"/>
      <c r="B2270" s="20"/>
      <c r="C2270" s="30"/>
      <c r="D2270" s="30"/>
      <c r="E2270" s="30"/>
      <c r="F2270" s="22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</row>
    <row r="2271">
      <c r="A2271" s="20"/>
      <c r="B2271" s="20"/>
      <c r="C2271" s="30"/>
      <c r="D2271" s="30"/>
      <c r="E2271" s="30"/>
      <c r="F2271" s="22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</row>
    <row r="2272">
      <c r="A2272" s="20"/>
      <c r="B2272" s="20"/>
      <c r="C2272" s="30"/>
      <c r="D2272" s="30"/>
      <c r="E2272" s="30"/>
      <c r="F2272" s="22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</row>
    <row r="2273">
      <c r="A2273" s="20"/>
      <c r="B2273" s="20"/>
      <c r="C2273" s="30"/>
      <c r="D2273" s="30"/>
      <c r="E2273" s="30"/>
      <c r="F2273" s="22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</row>
    <row r="2274">
      <c r="A2274" s="20"/>
      <c r="B2274" s="20"/>
      <c r="C2274" s="30"/>
      <c r="D2274" s="30"/>
      <c r="E2274" s="30"/>
      <c r="F2274" s="22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</row>
    <row r="2275">
      <c r="A2275" s="20"/>
      <c r="B2275" s="20"/>
      <c r="C2275" s="30"/>
      <c r="D2275" s="30"/>
      <c r="E2275" s="30"/>
      <c r="F2275" s="22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</row>
    <row r="2276">
      <c r="A2276" s="20"/>
      <c r="B2276" s="20"/>
      <c r="C2276" s="30"/>
      <c r="D2276" s="30"/>
      <c r="E2276" s="30"/>
      <c r="F2276" s="22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</row>
    <row r="2277">
      <c r="A2277" s="20"/>
      <c r="B2277" s="20"/>
      <c r="C2277" s="30"/>
      <c r="D2277" s="30"/>
      <c r="E2277" s="30"/>
      <c r="F2277" s="22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</row>
    <row r="2278">
      <c r="A2278" s="20"/>
      <c r="B2278" s="20"/>
      <c r="C2278" s="30"/>
      <c r="D2278" s="30"/>
      <c r="E2278" s="30"/>
      <c r="F2278" s="22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</row>
    <row r="2279">
      <c r="A2279" s="20"/>
      <c r="B2279" s="20"/>
      <c r="C2279" s="30"/>
      <c r="D2279" s="30"/>
      <c r="E2279" s="30"/>
      <c r="F2279" s="22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</row>
    <row r="2280">
      <c r="A2280" s="20"/>
      <c r="B2280" s="20"/>
      <c r="C2280" s="30"/>
      <c r="D2280" s="30"/>
      <c r="E2280" s="30"/>
      <c r="F2280" s="22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</row>
    <row r="2281">
      <c r="A2281" s="20"/>
      <c r="B2281" s="20"/>
      <c r="C2281" s="30"/>
      <c r="D2281" s="30"/>
      <c r="E2281" s="30"/>
      <c r="F2281" s="22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</row>
    <row r="2282">
      <c r="A2282" s="20"/>
      <c r="B2282" s="20"/>
      <c r="C2282" s="30"/>
      <c r="D2282" s="30"/>
      <c r="E2282" s="30"/>
      <c r="F2282" s="22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</row>
    <row r="2283">
      <c r="A2283" s="20"/>
      <c r="B2283" s="20"/>
      <c r="C2283" s="30"/>
      <c r="D2283" s="30"/>
      <c r="E2283" s="30"/>
      <c r="F2283" s="22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</row>
    <row r="2284">
      <c r="A2284" s="20"/>
      <c r="B2284" s="20"/>
      <c r="C2284" s="30"/>
      <c r="D2284" s="30"/>
      <c r="E2284" s="30"/>
      <c r="F2284" s="22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</row>
    <row r="2285">
      <c r="A2285" s="20"/>
      <c r="B2285" s="20"/>
      <c r="C2285" s="30"/>
      <c r="D2285" s="30"/>
      <c r="E2285" s="30"/>
      <c r="F2285" s="22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</row>
    <row r="2286">
      <c r="A2286" s="20"/>
      <c r="B2286" s="20"/>
      <c r="C2286" s="30"/>
      <c r="D2286" s="30"/>
      <c r="E2286" s="30"/>
      <c r="F2286" s="22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</row>
    <row r="2287">
      <c r="A2287" s="20"/>
      <c r="B2287" s="20"/>
      <c r="C2287" s="30"/>
      <c r="D2287" s="30"/>
      <c r="E2287" s="30"/>
      <c r="F2287" s="22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</row>
    <row r="2288">
      <c r="A2288" s="20"/>
      <c r="B2288" s="20"/>
      <c r="C2288" s="30"/>
      <c r="D2288" s="30"/>
      <c r="E2288" s="30"/>
      <c r="F2288" s="22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</row>
    <row r="2289">
      <c r="A2289" s="20"/>
      <c r="B2289" s="20"/>
      <c r="C2289" s="30"/>
      <c r="D2289" s="30"/>
      <c r="E2289" s="30"/>
      <c r="F2289" s="22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</row>
    <row r="2290">
      <c r="A2290" s="20"/>
      <c r="B2290" s="20"/>
      <c r="C2290" s="30"/>
      <c r="D2290" s="30"/>
      <c r="E2290" s="30"/>
      <c r="F2290" s="22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</row>
    <row r="2291">
      <c r="A2291" s="20"/>
      <c r="B2291" s="20"/>
      <c r="C2291" s="30"/>
      <c r="D2291" s="30"/>
      <c r="E2291" s="30"/>
      <c r="F2291" s="22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</row>
    <row r="2292">
      <c r="A2292" s="20"/>
      <c r="B2292" s="20"/>
      <c r="C2292" s="30"/>
      <c r="D2292" s="30"/>
      <c r="E2292" s="30"/>
      <c r="F2292" s="22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</row>
    <row r="2293">
      <c r="A2293" s="20"/>
      <c r="B2293" s="20"/>
      <c r="C2293" s="30"/>
      <c r="D2293" s="30"/>
      <c r="E2293" s="30"/>
      <c r="F2293" s="22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</row>
    <row r="2294">
      <c r="A2294" s="20"/>
      <c r="B2294" s="20"/>
      <c r="C2294" s="30"/>
      <c r="D2294" s="30"/>
      <c r="E2294" s="30"/>
      <c r="F2294" s="22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</row>
    <row r="2295">
      <c r="A2295" s="20"/>
      <c r="B2295" s="20"/>
      <c r="C2295" s="30"/>
      <c r="D2295" s="30"/>
      <c r="E2295" s="30"/>
      <c r="F2295" s="22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</row>
    <row r="2296">
      <c r="A2296" s="20"/>
      <c r="B2296" s="20"/>
      <c r="C2296" s="30"/>
      <c r="D2296" s="30"/>
      <c r="E2296" s="30"/>
      <c r="F2296" s="22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</row>
    <row r="2297">
      <c r="A2297" s="20"/>
      <c r="B2297" s="20"/>
      <c r="C2297" s="30"/>
      <c r="D2297" s="30"/>
      <c r="E2297" s="30"/>
      <c r="F2297" s="22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</row>
    <row r="2298">
      <c r="A2298" s="20"/>
      <c r="B2298" s="20"/>
      <c r="C2298" s="30"/>
      <c r="D2298" s="30"/>
      <c r="E2298" s="30"/>
      <c r="F2298" s="22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</row>
    <row r="2299">
      <c r="A2299" s="20"/>
      <c r="B2299" s="20"/>
      <c r="C2299" s="30"/>
      <c r="D2299" s="30"/>
      <c r="E2299" s="30"/>
      <c r="F2299" s="22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</row>
    <row r="2300">
      <c r="A2300" s="20"/>
      <c r="B2300" s="20"/>
      <c r="C2300" s="30"/>
      <c r="D2300" s="30"/>
      <c r="E2300" s="30"/>
      <c r="F2300" s="22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</row>
    <row r="2301">
      <c r="A2301" s="20"/>
      <c r="B2301" s="20"/>
      <c r="C2301" s="30"/>
      <c r="D2301" s="30"/>
      <c r="E2301" s="30"/>
      <c r="F2301" s="22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</row>
    <row r="2302">
      <c r="A2302" s="20"/>
      <c r="B2302" s="20"/>
      <c r="C2302" s="30"/>
      <c r="D2302" s="30"/>
      <c r="E2302" s="30"/>
      <c r="F2302" s="22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</row>
    <row r="2303">
      <c r="A2303" s="20"/>
      <c r="B2303" s="20"/>
      <c r="C2303" s="30"/>
      <c r="D2303" s="30"/>
      <c r="E2303" s="30"/>
      <c r="F2303" s="22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</row>
    <row r="2304">
      <c r="A2304" s="20"/>
      <c r="B2304" s="20"/>
      <c r="C2304" s="30"/>
      <c r="D2304" s="30"/>
      <c r="E2304" s="30"/>
      <c r="F2304" s="22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</row>
    <row r="2305">
      <c r="A2305" s="20"/>
      <c r="B2305" s="20"/>
      <c r="C2305" s="30"/>
      <c r="D2305" s="30"/>
      <c r="E2305" s="30"/>
      <c r="F2305" s="22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</row>
    <row r="2306">
      <c r="A2306" s="20"/>
      <c r="B2306" s="20"/>
      <c r="C2306" s="30"/>
      <c r="D2306" s="30"/>
      <c r="E2306" s="30"/>
      <c r="F2306" s="22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</row>
    <row r="2307">
      <c r="A2307" s="20"/>
      <c r="B2307" s="20"/>
      <c r="C2307" s="30"/>
      <c r="D2307" s="30"/>
      <c r="E2307" s="30"/>
      <c r="F2307" s="22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</row>
    <row r="2308">
      <c r="A2308" s="20"/>
      <c r="B2308" s="20"/>
      <c r="C2308" s="30"/>
      <c r="D2308" s="30"/>
      <c r="E2308" s="30"/>
      <c r="F2308" s="22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</row>
    <row r="2309">
      <c r="A2309" s="20"/>
      <c r="B2309" s="20"/>
      <c r="C2309" s="30"/>
      <c r="D2309" s="30"/>
      <c r="E2309" s="30"/>
      <c r="F2309" s="22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</row>
    <row r="2310">
      <c r="A2310" s="20"/>
      <c r="B2310" s="20"/>
      <c r="C2310" s="30"/>
      <c r="D2310" s="30"/>
      <c r="E2310" s="30"/>
      <c r="F2310" s="22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</row>
    <row r="2311">
      <c r="A2311" s="20"/>
      <c r="B2311" s="20"/>
      <c r="C2311" s="30"/>
      <c r="D2311" s="30"/>
      <c r="E2311" s="30"/>
      <c r="F2311" s="22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</row>
    <row r="2312">
      <c r="A2312" s="20"/>
      <c r="B2312" s="20"/>
      <c r="C2312" s="30"/>
      <c r="D2312" s="30"/>
      <c r="E2312" s="30"/>
      <c r="F2312" s="22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</row>
    <row r="2313">
      <c r="A2313" s="20"/>
      <c r="B2313" s="20"/>
      <c r="C2313" s="30"/>
      <c r="D2313" s="30"/>
      <c r="E2313" s="30"/>
      <c r="F2313" s="22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</row>
    <row r="2314">
      <c r="A2314" s="20"/>
      <c r="B2314" s="20"/>
      <c r="C2314" s="30"/>
      <c r="D2314" s="30"/>
      <c r="E2314" s="30"/>
      <c r="F2314" s="22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</row>
    <row r="2315">
      <c r="A2315" s="20"/>
      <c r="B2315" s="20"/>
      <c r="C2315" s="30"/>
      <c r="D2315" s="30"/>
      <c r="E2315" s="30"/>
      <c r="F2315" s="22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</row>
    <row r="2316">
      <c r="A2316" s="20"/>
      <c r="B2316" s="20"/>
      <c r="C2316" s="30"/>
      <c r="D2316" s="30"/>
      <c r="E2316" s="30"/>
      <c r="F2316" s="22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</row>
    <row r="2317">
      <c r="A2317" s="20"/>
      <c r="B2317" s="20"/>
      <c r="C2317" s="30"/>
      <c r="D2317" s="30"/>
      <c r="E2317" s="30"/>
      <c r="F2317" s="22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</row>
    <row r="2318">
      <c r="A2318" s="20"/>
      <c r="B2318" s="20"/>
      <c r="C2318" s="30"/>
      <c r="D2318" s="30"/>
      <c r="E2318" s="30"/>
      <c r="F2318" s="22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</row>
    <row r="2319">
      <c r="A2319" s="20"/>
      <c r="B2319" s="20"/>
      <c r="C2319" s="30"/>
      <c r="D2319" s="30"/>
      <c r="E2319" s="30"/>
      <c r="F2319" s="22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</row>
    <row r="2320">
      <c r="A2320" s="20"/>
      <c r="B2320" s="20"/>
      <c r="C2320" s="30"/>
      <c r="D2320" s="30"/>
      <c r="E2320" s="30"/>
      <c r="F2320" s="22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</row>
    <row r="2321">
      <c r="A2321" s="20"/>
      <c r="B2321" s="20"/>
      <c r="C2321" s="30"/>
      <c r="D2321" s="30"/>
      <c r="E2321" s="30"/>
      <c r="F2321" s="22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</row>
    <row r="2322">
      <c r="A2322" s="20"/>
      <c r="B2322" s="20"/>
      <c r="C2322" s="30"/>
      <c r="D2322" s="30"/>
      <c r="E2322" s="30"/>
      <c r="F2322" s="22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</row>
    <row r="2323">
      <c r="A2323" s="20"/>
      <c r="B2323" s="20"/>
      <c r="C2323" s="30"/>
      <c r="D2323" s="30"/>
      <c r="E2323" s="30"/>
      <c r="F2323" s="22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</row>
    <row r="2324">
      <c r="A2324" s="20"/>
      <c r="B2324" s="20"/>
      <c r="C2324" s="30"/>
      <c r="D2324" s="30"/>
      <c r="E2324" s="30"/>
      <c r="F2324" s="22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</row>
    <row r="2325">
      <c r="A2325" s="20"/>
      <c r="B2325" s="20"/>
      <c r="C2325" s="30"/>
      <c r="D2325" s="30"/>
      <c r="E2325" s="30"/>
      <c r="F2325" s="22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</row>
    <row r="2326">
      <c r="A2326" s="20"/>
      <c r="B2326" s="20"/>
      <c r="C2326" s="30"/>
      <c r="D2326" s="30"/>
      <c r="E2326" s="30"/>
      <c r="F2326" s="22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</row>
    <row r="2327">
      <c r="A2327" s="20"/>
      <c r="B2327" s="20"/>
      <c r="C2327" s="30"/>
      <c r="D2327" s="30"/>
      <c r="E2327" s="30"/>
      <c r="F2327" s="22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</row>
    <row r="2328">
      <c r="A2328" s="20"/>
      <c r="B2328" s="20"/>
      <c r="C2328" s="30"/>
      <c r="D2328" s="30"/>
      <c r="E2328" s="30"/>
      <c r="F2328" s="22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</row>
    <row r="2329">
      <c r="A2329" s="20"/>
      <c r="B2329" s="20"/>
      <c r="C2329" s="30"/>
      <c r="D2329" s="30"/>
      <c r="E2329" s="30"/>
      <c r="F2329" s="22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</row>
    <row r="2330">
      <c r="A2330" s="20"/>
      <c r="B2330" s="20"/>
      <c r="C2330" s="30"/>
      <c r="D2330" s="30"/>
      <c r="E2330" s="30"/>
      <c r="F2330" s="22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</row>
    <row r="2331">
      <c r="A2331" s="20"/>
      <c r="B2331" s="20"/>
      <c r="C2331" s="30"/>
      <c r="D2331" s="30"/>
      <c r="E2331" s="30"/>
      <c r="F2331" s="22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</row>
    <row r="2332">
      <c r="A2332" s="20"/>
      <c r="B2332" s="20"/>
      <c r="C2332" s="30"/>
      <c r="D2332" s="30"/>
      <c r="E2332" s="30"/>
      <c r="F2332" s="22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</row>
    <row r="2333">
      <c r="A2333" s="20"/>
      <c r="B2333" s="20"/>
      <c r="C2333" s="30"/>
      <c r="D2333" s="30"/>
      <c r="E2333" s="30"/>
      <c r="F2333" s="22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</row>
    <row r="2334">
      <c r="A2334" s="20"/>
      <c r="B2334" s="20"/>
      <c r="C2334" s="30"/>
      <c r="D2334" s="30"/>
      <c r="E2334" s="30"/>
      <c r="F2334" s="22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</row>
    <row r="2335">
      <c r="A2335" s="20"/>
      <c r="B2335" s="20"/>
      <c r="C2335" s="30"/>
      <c r="D2335" s="30"/>
      <c r="E2335" s="30"/>
      <c r="F2335" s="22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</row>
    <row r="2336">
      <c r="A2336" s="20"/>
      <c r="B2336" s="20"/>
      <c r="C2336" s="30"/>
      <c r="D2336" s="30"/>
      <c r="E2336" s="30"/>
      <c r="F2336" s="22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</row>
    <row r="2337">
      <c r="A2337" s="20"/>
      <c r="B2337" s="20"/>
      <c r="C2337" s="30"/>
      <c r="D2337" s="30"/>
      <c r="E2337" s="30"/>
      <c r="F2337" s="22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</row>
    <row r="2338">
      <c r="A2338" s="20"/>
      <c r="B2338" s="20"/>
      <c r="C2338" s="30"/>
      <c r="D2338" s="30"/>
      <c r="E2338" s="30"/>
      <c r="F2338" s="22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</row>
    <row r="2339">
      <c r="A2339" s="20"/>
      <c r="B2339" s="20"/>
      <c r="C2339" s="30"/>
      <c r="D2339" s="30"/>
      <c r="E2339" s="30"/>
      <c r="F2339" s="22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</row>
    <row r="2340">
      <c r="A2340" s="20"/>
      <c r="B2340" s="20"/>
      <c r="C2340" s="30"/>
      <c r="D2340" s="30"/>
      <c r="E2340" s="30"/>
      <c r="F2340" s="22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</row>
    <row r="2341">
      <c r="A2341" s="20"/>
      <c r="B2341" s="20"/>
      <c r="C2341" s="30"/>
      <c r="D2341" s="30"/>
      <c r="E2341" s="30"/>
      <c r="F2341" s="22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</row>
    <row r="2342">
      <c r="A2342" s="20"/>
      <c r="B2342" s="20"/>
      <c r="C2342" s="30"/>
      <c r="D2342" s="30"/>
      <c r="E2342" s="30"/>
      <c r="F2342" s="22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</row>
    <row r="2343">
      <c r="A2343" s="20"/>
      <c r="B2343" s="20"/>
      <c r="C2343" s="30"/>
      <c r="D2343" s="30"/>
      <c r="E2343" s="30"/>
      <c r="F2343" s="22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</row>
    <row r="2344">
      <c r="A2344" s="20"/>
      <c r="B2344" s="20"/>
      <c r="C2344" s="30"/>
      <c r="D2344" s="30"/>
      <c r="E2344" s="30"/>
      <c r="F2344" s="22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</row>
    <row r="2345">
      <c r="A2345" s="20"/>
      <c r="B2345" s="20"/>
      <c r="C2345" s="30"/>
      <c r="D2345" s="30"/>
      <c r="E2345" s="30"/>
      <c r="F2345" s="22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</row>
    <row r="2346">
      <c r="A2346" s="20"/>
      <c r="B2346" s="20"/>
      <c r="C2346" s="30"/>
      <c r="D2346" s="30"/>
      <c r="E2346" s="30"/>
      <c r="F2346" s="22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</row>
    <row r="2347">
      <c r="A2347" s="20"/>
      <c r="B2347" s="20"/>
      <c r="C2347" s="30"/>
      <c r="D2347" s="30"/>
      <c r="E2347" s="30"/>
      <c r="F2347" s="22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</row>
    <row r="2348">
      <c r="A2348" s="20"/>
      <c r="B2348" s="20"/>
      <c r="C2348" s="30"/>
      <c r="D2348" s="30"/>
      <c r="E2348" s="30"/>
      <c r="F2348" s="22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</row>
    <row r="2349">
      <c r="A2349" s="20"/>
      <c r="B2349" s="20"/>
      <c r="C2349" s="30"/>
      <c r="D2349" s="30"/>
      <c r="E2349" s="30"/>
      <c r="F2349" s="22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</row>
    <row r="2350">
      <c r="A2350" s="20"/>
      <c r="B2350" s="20"/>
      <c r="C2350" s="30"/>
      <c r="D2350" s="30"/>
      <c r="E2350" s="30"/>
      <c r="F2350" s="22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</row>
    <row r="2351">
      <c r="A2351" s="20"/>
      <c r="B2351" s="20"/>
      <c r="C2351" s="30"/>
      <c r="D2351" s="30"/>
      <c r="E2351" s="30"/>
      <c r="F2351" s="22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</row>
    <row r="2352">
      <c r="A2352" s="20"/>
      <c r="B2352" s="20"/>
      <c r="C2352" s="30"/>
      <c r="D2352" s="30"/>
      <c r="E2352" s="30"/>
      <c r="F2352" s="22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</row>
    <row r="2353">
      <c r="A2353" s="20"/>
      <c r="B2353" s="20"/>
      <c r="C2353" s="30"/>
      <c r="D2353" s="30"/>
      <c r="E2353" s="30"/>
      <c r="F2353" s="22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</row>
    <row r="2354">
      <c r="A2354" s="20"/>
      <c r="B2354" s="20"/>
      <c r="C2354" s="30"/>
      <c r="D2354" s="30"/>
      <c r="E2354" s="30"/>
      <c r="F2354" s="22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</row>
    <row r="2355">
      <c r="A2355" s="20"/>
      <c r="B2355" s="20"/>
      <c r="C2355" s="30"/>
      <c r="D2355" s="30"/>
      <c r="E2355" s="30"/>
      <c r="F2355" s="22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</row>
    <row r="2356">
      <c r="A2356" s="20"/>
      <c r="B2356" s="20"/>
      <c r="C2356" s="30"/>
      <c r="D2356" s="30"/>
      <c r="E2356" s="30"/>
      <c r="F2356" s="22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</row>
    <row r="2357">
      <c r="A2357" s="20"/>
      <c r="B2357" s="20"/>
      <c r="C2357" s="30"/>
      <c r="D2357" s="30"/>
      <c r="E2357" s="30"/>
      <c r="F2357" s="22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</row>
    <row r="2358">
      <c r="A2358" s="20"/>
      <c r="B2358" s="20"/>
      <c r="C2358" s="30"/>
      <c r="D2358" s="30"/>
      <c r="E2358" s="30"/>
      <c r="F2358" s="22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</row>
    <row r="2359">
      <c r="A2359" s="20"/>
      <c r="B2359" s="20"/>
      <c r="C2359" s="30"/>
      <c r="D2359" s="30"/>
      <c r="E2359" s="30"/>
      <c r="F2359" s="22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</row>
    <row r="2360">
      <c r="A2360" s="20"/>
      <c r="B2360" s="20"/>
      <c r="C2360" s="30"/>
      <c r="D2360" s="30"/>
      <c r="E2360" s="30"/>
      <c r="F2360" s="22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</row>
    <row r="2361">
      <c r="A2361" s="20"/>
      <c r="B2361" s="20"/>
      <c r="C2361" s="30"/>
      <c r="D2361" s="30"/>
      <c r="E2361" s="30"/>
      <c r="F2361" s="22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</row>
    <row r="2362">
      <c r="A2362" s="20"/>
      <c r="B2362" s="20"/>
      <c r="C2362" s="30"/>
      <c r="D2362" s="30"/>
      <c r="E2362" s="30"/>
      <c r="F2362" s="22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</row>
    <row r="2363">
      <c r="A2363" s="20"/>
      <c r="B2363" s="20"/>
      <c r="C2363" s="30"/>
      <c r="D2363" s="30"/>
      <c r="E2363" s="30"/>
      <c r="F2363" s="22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</row>
    <row r="2364">
      <c r="A2364" s="20"/>
      <c r="B2364" s="20"/>
      <c r="C2364" s="30"/>
      <c r="D2364" s="30"/>
      <c r="E2364" s="30"/>
      <c r="F2364" s="22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</row>
    <row r="2365">
      <c r="A2365" s="20"/>
      <c r="B2365" s="20"/>
      <c r="C2365" s="30"/>
      <c r="D2365" s="30"/>
      <c r="E2365" s="30"/>
      <c r="F2365" s="22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</row>
    <row r="2366">
      <c r="A2366" s="20"/>
      <c r="B2366" s="20"/>
      <c r="C2366" s="30"/>
      <c r="D2366" s="30"/>
      <c r="E2366" s="30"/>
      <c r="F2366" s="22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</row>
    <row r="2367">
      <c r="A2367" s="20"/>
      <c r="B2367" s="20"/>
      <c r="C2367" s="30"/>
      <c r="D2367" s="30"/>
      <c r="E2367" s="30"/>
      <c r="F2367" s="22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</row>
    <row r="2368">
      <c r="A2368" s="20"/>
      <c r="B2368" s="20"/>
      <c r="C2368" s="30"/>
      <c r="D2368" s="30"/>
      <c r="E2368" s="30"/>
      <c r="F2368" s="22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</row>
    <row r="2369">
      <c r="A2369" s="20"/>
      <c r="B2369" s="20"/>
      <c r="C2369" s="30"/>
      <c r="D2369" s="30"/>
      <c r="E2369" s="30"/>
      <c r="F2369" s="22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</row>
    <row r="2370">
      <c r="A2370" s="20"/>
      <c r="B2370" s="20"/>
      <c r="C2370" s="30"/>
      <c r="D2370" s="30"/>
      <c r="E2370" s="30"/>
      <c r="F2370" s="22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</row>
    <row r="2371">
      <c r="A2371" s="20"/>
      <c r="B2371" s="20"/>
      <c r="C2371" s="30"/>
      <c r="D2371" s="30"/>
      <c r="E2371" s="30"/>
      <c r="F2371" s="22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</row>
    <row r="2372">
      <c r="A2372" s="20"/>
      <c r="B2372" s="20"/>
      <c r="C2372" s="30"/>
      <c r="D2372" s="30"/>
      <c r="E2372" s="30"/>
      <c r="F2372" s="22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</row>
    <row r="2373">
      <c r="A2373" s="20"/>
      <c r="B2373" s="20"/>
      <c r="C2373" s="30"/>
      <c r="D2373" s="30"/>
      <c r="E2373" s="30"/>
      <c r="F2373" s="22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</row>
    <row r="2374">
      <c r="A2374" s="20"/>
      <c r="B2374" s="20"/>
      <c r="C2374" s="30"/>
      <c r="D2374" s="30"/>
      <c r="E2374" s="30"/>
      <c r="F2374" s="22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</row>
    <row r="2375">
      <c r="A2375" s="20"/>
      <c r="B2375" s="20"/>
      <c r="C2375" s="30"/>
      <c r="D2375" s="30"/>
      <c r="E2375" s="30"/>
      <c r="F2375" s="22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</row>
    <row r="2376">
      <c r="A2376" s="20"/>
      <c r="B2376" s="20"/>
      <c r="C2376" s="30"/>
      <c r="D2376" s="30"/>
      <c r="E2376" s="30"/>
      <c r="F2376" s="22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</row>
    <row r="2377">
      <c r="A2377" s="20"/>
      <c r="B2377" s="20"/>
      <c r="C2377" s="30"/>
      <c r="D2377" s="30"/>
      <c r="E2377" s="30"/>
      <c r="F2377" s="22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</row>
    <row r="2378">
      <c r="A2378" s="20"/>
      <c r="B2378" s="20"/>
      <c r="C2378" s="30"/>
      <c r="D2378" s="30"/>
      <c r="E2378" s="30"/>
      <c r="F2378" s="22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</row>
    <row r="2379">
      <c r="A2379" s="20"/>
      <c r="B2379" s="20"/>
      <c r="C2379" s="30"/>
      <c r="D2379" s="30"/>
      <c r="E2379" s="30"/>
      <c r="F2379" s="22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</row>
    <row r="2380">
      <c r="A2380" s="20"/>
      <c r="B2380" s="20"/>
      <c r="C2380" s="30"/>
      <c r="D2380" s="30"/>
      <c r="E2380" s="30"/>
      <c r="F2380" s="22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</row>
    <row r="2381">
      <c r="A2381" s="20"/>
      <c r="B2381" s="20"/>
      <c r="C2381" s="30"/>
      <c r="D2381" s="30"/>
      <c r="E2381" s="30"/>
      <c r="F2381" s="22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</row>
    <row r="2382">
      <c r="A2382" s="20"/>
      <c r="B2382" s="20"/>
      <c r="C2382" s="30"/>
      <c r="D2382" s="30"/>
      <c r="E2382" s="30"/>
      <c r="F2382" s="22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</row>
    <row r="2383">
      <c r="A2383" s="20"/>
      <c r="B2383" s="20"/>
      <c r="C2383" s="30"/>
      <c r="D2383" s="30"/>
      <c r="E2383" s="30"/>
      <c r="F2383" s="22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</row>
    <row r="2384">
      <c r="A2384" s="20"/>
      <c r="B2384" s="20"/>
      <c r="C2384" s="30"/>
      <c r="D2384" s="30"/>
      <c r="E2384" s="30"/>
      <c r="F2384" s="22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</row>
    <row r="2385">
      <c r="A2385" s="20"/>
      <c r="B2385" s="20"/>
      <c r="C2385" s="30"/>
      <c r="D2385" s="30"/>
      <c r="E2385" s="30"/>
      <c r="F2385" s="22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</row>
    <row r="2386">
      <c r="A2386" s="20"/>
      <c r="B2386" s="20"/>
      <c r="C2386" s="30"/>
      <c r="D2386" s="30"/>
      <c r="E2386" s="30"/>
      <c r="F2386" s="22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</row>
    <row r="2387">
      <c r="A2387" s="20"/>
      <c r="B2387" s="20"/>
      <c r="C2387" s="30"/>
      <c r="D2387" s="30"/>
      <c r="E2387" s="30"/>
      <c r="F2387" s="22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</row>
    <row r="2388">
      <c r="A2388" s="20"/>
      <c r="B2388" s="20"/>
      <c r="C2388" s="30"/>
      <c r="D2388" s="30"/>
      <c r="E2388" s="30"/>
      <c r="F2388" s="22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</row>
    <row r="2389">
      <c r="A2389" s="20"/>
      <c r="B2389" s="20"/>
      <c r="C2389" s="30"/>
      <c r="D2389" s="30"/>
      <c r="E2389" s="30"/>
      <c r="F2389" s="22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</row>
    <row r="2390">
      <c r="A2390" s="20"/>
      <c r="B2390" s="20"/>
      <c r="C2390" s="30"/>
      <c r="D2390" s="30"/>
      <c r="E2390" s="30"/>
      <c r="F2390" s="22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</row>
    <row r="2391">
      <c r="A2391" s="20"/>
      <c r="B2391" s="20"/>
      <c r="C2391" s="30"/>
      <c r="D2391" s="30"/>
      <c r="E2391" s="30"/>
      <c r="F2391" s="22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</row>
    <row r="2392">
      <c r="A2392" s="20"/>
      <c r="B2392" s="20"/>
      <c r="C2392" s="30"/>
      <c r="D2392" s="30"/>
      <c r="E2392" s="30"/>
      <c r="F2392" s="22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</row>
    <row r="2393">
      <c r="A2393" s="20"/>
      <c r="B2393" s="20"/>
      <c r="C2393" s="30"/>
      <c r="D2393" s="30"/>
      <c r="E2393" s="30"/>
      <c r="F2393" s="22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</row>
    <row r="2394">
      <c r="A2394" s="20"/>
      <c r="B2394" s="20"/>
      <c r="C2394" s="30"/>
      <c r="D2394" s="30"/>
      <c r="E2394" s="30"/>
      <c r="F2394" s="22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</row>
    <row r="2395">
      <c r="A2395" s="20"/>
      <c r="B2395" s="20"/>
      <c r="C2395" s="30"/>
      <c r="D2395" s="30"/>
      <c r="E2395" s="30"/>
      <c r="F2395" s="22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</row>
    <row r="2396">
      <c r="A2396" s="20"/>
      <c r="B2396" s="20"/>
      <c r="C2396" s="30"/>
      <c r="D2396" s="30"/>
      <c r="E2396" s="30"/>
      <c r="F2396" s="22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</row>
    <row r="2397">
      <c r="A2397" s="20"/>
      <c r="B2397" s="20"/>
      <c r="C2397" s="30"/>
      <c r="D2397" s="30"/>
      <c r="E2397" s="30"/>
      <c r="F2397" s="22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</row>
    <row r="2398">
      <c r="A2398" s="20"/>
      <c r="B2398" s="20"/>
      <c r="C2398" s="30"/>
      <c r="D2398" s="30"/>
      <c r="E2398" s="30"/>
      <c r="F2398" s="22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</row>
    <row r="2399">
      <c r="A2399" s="20"/>
      <c r="B2399" s="20"/>
      <c r="C2399" s="30"/>
      <c r="D2399" s="30"/>
      <c r="E2399" s="30"/>
      <c r="F2399" s="22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</row>
    <row r="2400">
      <c r="A2400" s="20"/>
      <c r="B2400" s="20"/>
      <c r="C2400" s="30"/>
      <c r="D2400" s="30"/>
      <c r="E2400" s="30"/>
      <c r="F2400" s="22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</row>
    <row r="2401">
      <c r="A2401" s="20"/>
      <c r="B2401" s="20"/>
      <c r="C2401" s="30"/>
      <c r="D2401" s="30"/>
      <c r="E2401" s="30"/>
      <c r="F2401" s="22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</row>
    <row r="2402">
      <c r="A2402" s="20"/>
      <c r="B2402" s="20"/>
      <c r="C2402" s="30"/>
      <c r="D2402" s="30"/>
      <c r="E2402" s="30"/>
      <c r="F2402" s="22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</row>
    <row r="2403">
      <c r="A2403" s="20"/>
      <c r="B2403" s="20"/>
      <c r="C2403" s="30"/>
      <c r="D2403" s="30"/>
      <c r="E2403" s="30"/>
      <c r="F2403" s="22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</row>
    <row r="2404">
      <c r="A2404" s="20"/>
      <c r="B2404" s="20"/>
      <c r="C2404" s="30"/>
      <c r="D2404" s="30"/>
      <c r="E2404" s="30"/>
      <c r="F2404" s="22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</row>
    <row r="2405">
      <c r="A2405" s="20"/>
      <c r="B2405" s="20"/>
      <c r="C2405" s="30"/>
      <c r="D2405" s="30"/>
      <c r="E2405" s="30"/>
      <c r="F2405" s="22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</row>
    <row r="2406">
      <c r="A2406" s="20"/>
      <c r="B2406" s="20"/>
      <c r="C2406" s="30"/>
      <c r="D2406" s="30"/>
      <c r="E2406" s="30"/>
      <c r="F2406" s="22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</row>
    <row r="2407">
      <c r="A2407" s="20"/>
      <c r="B2407" s="20"/>
      <c r="C2407" s="30"/>
      <c r="D2407" s="30"/>
      <c r="E2407" s="30"/>
      <c r="F2407" s="22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</row>
    <row r="2408">
      <c r="A2408" s="20"/>
      <c r="B2408" s="20"/>
      <c r="C2408" s="30"/>
      <c r="D2408" s="30"/>
      <c r="E2408" s="30"/>
      <c r="F2408" s="22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</row>
    <row r="2409">
      <c r="A2409" s="20"/>
      <c r="B2409" s="20"/>
      <c r="C2409" s="30"/>
      <c r="D2409" s="30"/>
      <c r="E2409" s="30"/>
      <c r="F2409" s="22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</row>
    <row r="2410">
      <c r="A2410" s="20"/>
      <c r="B2410" s="20"/>
      <c r="C2410" s="30"/>
      <c r="D2410" s="30"/>
      <c r="E2410" s="30"/>
      <c r="F2410" s="22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</row>
    <row r="2411">
      <c r="A2411" s="20"/>
      <c r="B2411" s="20"/>
      <c r="C2411" s="30"/>
      <c r="D2411" s="30"/>
      <c r="E2411" s="30"/>
      <c r="F2411" s="22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</row>
    <row r="2412">
      <c r="A2412" s="20"/>
      <c r="B2412" s="20"/>
      <c r="C2412" s="30"/>
      <c r="D2412" s="30"/>
      <c r="E2412" s="30"/>
      <c r="F2412" s="22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</row>
    <row r="2413">
      <c r="A2413" s="20"/>
      <c r="B2413" s="20"/>
      <c r="C2413" s="30"/>
      <c r="D2413" s="30"/>
      <c r="E2413" s="30"/>
      <c r="F2413" s="22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</row>
    <row r="2414">
      <c r="A2414" s="20"/>
      <c r="B2414" s="20"/>
      <c r="C2414" s="30"/>
      <c r="D2414" s="30"/>
      <c r="E2414" s="30"/>
      <c r="F2414" s="22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</row>
    <row r="2415">
      <c r="A2415" s="20"/>
      <c r="B2415" s="20"/>
      <c r="C2415" s="30"/>
      <c r="D2415" s="30"/>
      <c r="E2415" s="30"/>
      <c r="F2415" s="22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</row>
    <row r="2416">
      <c r="A2416" s="20"/>
      <c r="B2416" s="20"/>
      <c r="C2416" s="30"/>
      <c r="D2416" s="30"/>
      <c r="E2416" s="30"/>
      <c r="F2416" s="22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</row>
    <row r="2417">
      <c r="A2417" s="20"/>
      <c r="B2417" s="20"/>
      <c r="C2417" s="30"/>
      <c r="D2417" s="30"/>
      <c r="E2417" s="30"/>
      <c r="F2417" s="22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</row>
    <row r="2418">
      <c r="A2418" s="20"/>
      <c r="B2418" s="20"/>
      <c r="C2418" s="30"/>
      <c r="D2418" s="30"/>
      <c r="E2418" s="30"/>
      <c r="F2418" s="22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</row>
    <row r="2419">
      <c r="A2419" s="20"/>
      <c r="B2419" s="20"/>
      <c r="C2419" s="30"/>
      <c r="D2419" s="30"/>
      <c r="E2419" s="30"/>
      <c r="F2419" s="22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</row>
    <row r="2420">
      <c r="A2420" s="20"/>
      <c r="B2420" s="20"/>
      <c r="C2420" s="30"/>
      <c r="D2420" s="30"/>
      <c r="E2420" s="30"/>
      <c r="F2420" s="22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</row>
    <row r="2421">
      <c r="A2421" s="20"/>
      <c r="B2421" s="20"/>
      <c r="C2421" s="30"/>
      <c r="D2421" s="30"/>
      <c r="E2421" s="30"/>
      <c r="F2421" s="22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</row>
    <row r="2422">
      <c r="A2422" s="20"/>
      <c r="B2422" s="20"/>
      <c r="C2422" s="30"/>
      <c r="D2422" s="30"/>
      <c r="E2422" s="30"/>
      <c r="F2422" s="22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</row>
    <row r="2423">
      <c r="A2423" s="20"/>
      <c r="B2423" s="20"/>
      <c r="C2423" s="30"/>
      <c r="D2423" s="30"/>
      <c r="E2423" s="30"/>
      <c r="F2423" s="22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</row>
    <row r="2424">
      <c r="A2424" s="20"/>
      <c r="B2424" s="20"/>
      <c r="C2424" s="30"/>
      <c r="D2424" s="30"/>
      <c r="E2424" s="30"/>
      <c r="F2424" s="22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</row>
    <row r="2425">
      <c r="A2425" s="20"/>
      <c r="B2425" s="20"/>
      <c r="C2425" s="30"/>
      <c r="D2425" s="30"/>
      <c r="E2425" s="30"/>
      <c r="F2425" s="22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</row>
    <row r="2426">
      <c r="A2426" s="20"/>
      <c r="B2426" s="20"/>
      <c r="C2426" s="30"/>
      <c r="D2426" s="30"/>
      <c r="E2426" s="30"/>
      <c r="F2426" s="22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</row>
    <row r="2427">
      <c r="A2427" s="20"/>
      <c r="B2427" s="20"/>
      <c r="C2427" s="30"/>
      <c r="D2427" s="30"/>
      <c r="E2427" s="30"/>
      <c r="F2427" s="22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</row>
    <row r="2428">
      <c r="A2428" s="20"/>
      <c r="B2428" s="20"/>
      <c r="C2428" s="30"/>
      <c r="D2428" s="30"/>
      <c r="E2428" s="30"/>
      <c r="F2428" s="22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</row>
    <row r="2429">
      <c r="A2429" s="20"/>
      <c r="B2429" s="20"/>
      <c r="C2429" s="30"/>
      <c r="D2429" s="30"/>
      <c r="E2429" s="30"/>
      <c r="F2429" s="22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</row>
    <row r="2430">
      <c r="A2430" s="20"/>
      <c r="B2430" s="20"/>
      <c r="C2430" s="30"/>
      <c r="D2430" s="30"/>
      <c r="E2430" s="30"/>
      <c r="F2430" s="22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</row>
    <row r="2431">
      <c r="A2431" s="20"/>
      <c r="B2431" s="20"/>
      <c r="C2431" s="30"/>
      <c r="D2431" s="30"/>
      <c r="E2431" s="30"/>
      <c r="F2431" s="22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</row>
    <row r="2432">
      <c r="A2432" s="20"/>
      <c r="B2432" s="20"/>
      <c r="C2432" s="30"/>
      <c r="D2432" s="30"/>
      <c r="E2432" s="30"/>
      <c r="F2432" s="22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</row>
    <row r="2433">
      <c r="A2433" s="20"/>
      <c r="B2433" s="20"/>
      <c r="C2433" s="30"/>
      <c r="D2433" s="30"/>
      <c r="E2433" s="30"/>
      <c r="F2433" s="22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</row>
    <row r="2434">
      <c r="A2434" s="20"/>
      <c r="B2434" s="20"/>
      <c r="C2434" s="30"/>
      <c r="D2434" s="30"/>
      <c r="E2434" s="30"/>
      <c r="F2434" s="22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</row>
    <row r="2435">
      <c r="A2435" s="20"/>
      <c r="B2435" s="20"/>
      <c r="C2435" s="30"/>
      <c r="D2435" s="30"/>
      <c r="E2435" s="30"/>
      <c r="F2435" s="22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</row>
    <row r="2436">
      <c r="A2436" s="20"/>
      <c r="B2436" s="20"/>
      <c r="C2436" s="30"/>
      <c r="D2436" s="30"/>
      <c r="E2436" s="30"/>
      <c r="F2436" s="22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</row>
    <row r="2437">
      <c r="A2437" s="20"/>
      <c r="B2437" s="20"/>
      <c r="C2437" s="30"/>
      <c r="D2437" s="30"/>
      <c r="E2437" s="30"/>
      <c r="F2437" s="22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</row>
    <row r="2438">
      <c r="A2438" s="20"/>
      <c r="B2438" s="20"/>
      <c r="C2438" s="30"/>
      <c r="D2438" s="30"/>
      <c r="E2438" s="30"/>
      <c r="F2438" s="22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</row>
    <row r="2439">
      <c r="A2439" s="20"/>
      <c r="B2439" s="20"/>
      <c r="C2439" s="30"/>
      <c r="D2439" s="30"/>
      <c r="E2439" s="30"/>
      <c r="F2439" s="22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</row>
    <row r="2440">
      <c r="A2440" s="20"/>
      <c r="B2440" s="20"/>
      <c r="C2440" s="30"/>
      <c r="D2440" s="30"/>
      <c r="E2440" s="30"/>
      <c r="F2440" s="22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</row>
    <row r="2441">
      <c r="A2441" s="20"/>
      <c r="B2441" s="20"/>
      <c r="C2441" s="30"/>
      <c r="D2441" s="30"/>
      <c r="E2441" s="30"/>
      <c r="F2441" s="22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</row>
    <row r="2442">
      <c r="A2442" s="20"/>
      <c r="B2442" s="20"/>
      <c r="C2442" s="30"/>
      <c r="D2442" s="30"/>
      <c r="E2442" s="30"/>
      <c r="F2442" s="22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</row>
    <row r="2443">
      <c r="A2443" s="20"/>
      <c r="B2443" s="20"/>
      <c r="C2443" s="30"/>
      <c r="D2443" s="30"/>
      <c r="E2443" s="30"/>
      <c r="F2443" s="22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</row>
    <row r="2444">
      <c r="A2444" s="20"/>
      <c r="B2444" s="20"/>
      <c r="C2444" s="30"/>
      <c r="D2444" s="30"/>
      <c r="E2444" s="30"/>
      <c r="F2444" s="22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</row>
    <row r="2445">
      <c r="A2445" s="20"/>
      <c r="B2445" s="20"/>
      <c r="C2445" s="30"/>
      <c r="D2445" s="30"/>
      <c r="E2445" s="30"/>
      <c r="F2445" s="22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</row>
    <row r="2446">
      <c r="A2446" s="20"/>
      <c r="B2446" s="20"/>
      <c r="C2446" s="30"/>
      <c r="D2446" s="30"/>
      <c r="E2446" s="30"/>
      <c r="F2446" s="22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</row>
    <row r="2447">
      <c r="A2447" s="20"/>
      <c r="B2447" s="20"/>
      <c r="C2447" s="30"/>
      <c r="D2447" s="30"/>
      <c r="E2447" s="30"/>
      <c r="F2447" s="22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</row>
    <row r="2448">
      <c r="A2448" s="20"/>
      <c r="B2448" s="20"/>
      <c r="C2448" s="30"/>
      <c r="D2448" s="30"/>
      <c r="E2448" s="30"/>
      <c r="F2448" s="22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</row>
    <row r="2449">
      <c r="A2449" s="20"/>
      <c r="B2449" s="20"/>
      <c r="C2449" s="30"/>
      <c r="D2449" s="30"/>
      <c r="E2449" s="30"/>
      <c r="F2449" s="22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</row>
    <row r="2450">
      <c r="A2450" s="20"/>
      <c r="B2450" s="20"/>
      <c r="C2450" s="30"/>
      <c r="D2450" s="30"/>
      <c r="E2450" s="30"/>
      <c r="F2450" s="22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</row>
    <row r="2451">
      <c r="A2451" s="20"/>
      <c r="B2451" s="20"/>
      <c r="C2451" s="30"/>
      <c r="D2451" s="30"/>
      <c r="E2451" s="30"/>
      <c r="F2451" s="22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</row>
    <row r="2452">
      <c r="A2452" s="20"/>
      <c r="B2452" s="20"/>
      <c r="C2452" s="30"/>
      <c r="D2452" s="30"/>
      <c r="E2452" s="30"/>
      <c r="F2452" s="22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</row>
    <row r="2453">
      <c r="A2453" s="20"/>
      <c r="B2453" s="20"/>
      <c r="C2453" s="30"/>
      <c r="D2453" s="30"/>
      <c r="E2453" s="30"/>
      <c r="F2453" s="22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</row>
    <row r="2454">
      <c r="A2454" s="20"/>
      <c r="B2454" s="20"/>
      <c r="C2454" s="30"/>
      <c r="D2454" s="30"/>
      <c r="E2454" s="30"/>
      <c r="F2454" s="22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</row>
    <row r="2455">
      <c r="A2455" s="20"/>
      <c r="B2455" s="20"/>
      <c r="C2455" s="30"/>
      <c r="D2455" s="30"/>
      <c r="E2455" s="30"/>
      <c r="F2455" s="22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</row>
    <row r="2456">
      <c r="A2456" s="20"/>
      <c r="B2456" s="20"/>
      <c r="C2456" s="30"/>
      <c r="D2456" s="30"/>
      <c r="E2456" s="30"/>
      <c r="F2456" s="22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</row>
    <row r="2457">
      <c r="A2457" s="20"/>
      <c r="B2457" s="20"/>
      <c r="C2457" s="30"/>
      <c r="D2457" s="30"/>
      <c r="E2457" s="30"/>
      <c r="F2457" s="22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</row>
    <row r="2458">
      <c r="A2458" s="20"/>
      <c r="B2458" s="20"/>
      <c r="C2458" s="30"/>
      <c r="D2458" s="30"/>
      <c r="E2458" s="30"/>
      <c r="F2458" s="22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</row>
    <row r="2459">
      <c r="A2459" s="20"/>
      <c r="B2459" s="20"/>
      <c r="C2459" s="30"/>
      <c r="D2459" s="30"/>
      <c r="E2459" s="30"/>
      <c r="F2459" s="22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</row>
    <row r="2460">
      <c r="A2460" s="20"/>
      <c r="B2460" s="20"/>
      <c r="C2460" s="30"/>
      <c r="D2460" s="30"/>
      <c r="E2460" s="30"/>
      <c r="F2460" s="22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</row>
    <row r="2461">
      <c r="A2461" s="20"/>
      <c r="B2461" s="20"/>
      <c r="C2461" s="30"/>
      <c r="D2461" s="30"/>
      <c r="E2461" s="30"/>
      <c r="F2461" s="22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</row>
    <row r="2462">
      <c r="A2462" s="20"/>
      <c r="B2462" s="20"/>
      <c r="C2462" s="30"/>
      <c r="D2462" s="30"/>
      <c r="E2462" s="30"/>
      <c r="F2462" s="22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</row>
    <row r="2463">
      <c r="A2463" s="20"/>
      <c r="B2463" s="20"/>
      <c r="C2463" s="30"/>
      <c r="D2463" s="30"/>
      <c r="E2463" s="30"/>
      <c r="F2463" s="22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</row>
    <row r="2464">
      <c r="A2464" s="20"/>
      <c r="B2464" s="20"/>
      <c r="C2464" s="30"/>
      <c r="D2464" s="30"/>
      <c r="E2464" s="30"/>
      <c r="F2464" s="22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</row>
    <row r="2465">
      <c r="A2465" s="20"/>
      <c r="B2465" s="20"/>
      <c r="C2465" s="30"/>
      <c r="D2465" s="30"/>
      <c r="E2465" s="30"/>
      <c r="F2465" s="22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</row>
    <row r="2466">
      <c r="A2466" s="20"/>
      <c r="B2466" s="20"/>
      <c r="C2466" s="30"/>
      <c r="D2466" s="30"/>
      <c r="E2466" s="30"/>
      <c r="F2466" s="22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</row>
    <row r="2467">
      <c r="A2467" s="20"/>
      <c r="B2467" s="20"/>
      <c r="C2467" s="30"/>
      <c r="D2467" s="30"/>
      <c r="E2467" s="30"/>
      <c r="F2467" s="22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</row>
    <row r="2468">
      <c r="A2468" s="20"/>
      <c r="B2468" s="20"/>
      <c r="C2468" s="30"/>
      <c r="D2468" s="30"/>
      <c r="E2468" s="30"/>
      <c r="F2468" s="22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</row>
    <row r="2469">
      <c r="A2469" s="20"/>
      <c r="B2469" s="20"/>
      <c r="C2469" s="30"/>
      <c r="D2469" s="30"/>
      <c r="E2469" s="30"/>
      <c r="F2469" s="22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</row>
    <row r="2470">
      <c r="A2470" s="20"/>
      <c r="B2470" s="20"/>
      <c r="C2470" s="30"/>
      <c r="D2470" s="30"/>
      <c r="E2470" s="30"/>
      <c r="F2470" s="22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</row>
    <row r="2471">
      <c r="A2471" s="20"/>
      <c r="B2471" s="20"/>
      <c r="C2471" s="30"/>
      <c r="D2471" s="30"/>
      <c r="E2471" s="30"/>
      <c r="F2471" s="22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</row>
    <row r="2472">
      <c r="A2472" s="20"/>
      <c r="B2472" s="20"/>
      <c r="C2472" s="30"/>
      <c r="D2472" s="30"/>
      <c r="E2472" s="30"/>
      <c r="F2472" s="22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</row>
    <row r="2473">
      <c r="A2473" s="20"/>
      <c r="B2473" s="20"/>
      <c r="C2473" s="30"/>
      <c r="D2473" s="30"/>
      <c r="E2473" s="30"/>
      <c r="F2473" s="22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</row>
    <row r="2474">
      <c r="A2474" s="20"/>
      <c r="B2474" s="20"/>
      <c r="C2474" s="30"/>
      <c r="D2474" s="30"/>
      <c r="E2474" s="30"/>
      <c r="F2474" s="22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</row>
    <row r="2475">
      <c r="A2475" s="20"/>
      <c r="B2475" s="20"/>
      <c r="C2475" s="30"/>
      <c r="D2475" s="30"/>
      <c r="E2475" s="30"/>
      <c r="F2475" s="22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</row>
    <row r="2476">
      <c r="A2476" s="20"/>
      <c r="B2476" s="20"/>
      <c r="C2476" s="30"/>
      <c r="D2476" s="30"/>
      <c r="E2476" s="30"/>
      <c r="F2476" s="22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</row>
    <row r="2477">
      <c r="A2477" s="20"/>
      <c r="B2477" s="20"/>
      <c r="C2477" s="30"/>
      <c r="D2477" s="30"/>
      <c r="E2477" s="30"/>
      <c r="F2477" s="22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</row>
    <row r="2478">
      <c r="A2478" s="20"/>
      <c r="B2478" s="20"/>
      <c r="C2478" s="30"/>
      <c r="D2478" s="30"/>
      <c r="E2478" s="30"/>
      <c r="F2478" s="22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</row>
    <row r="2479">
      <c r="A2479" s="20"/>
      <c r="B2479" s="20"/>
      <c r="C2479" s="30"/>
      <c r="D2479" s="30"/>
      <c r="E2479" s="30"/>
      <c r="F2479" s="22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</row>
    <row r="2480">
      <c r="A2480" s="20"/>
      <c r="B2480" s="20"/>
      <c r="C2480" s="30"/>
      <c r="D2480" s="30"/>
      <c r="E2480" s="30"/>
      <c r="F2480" s="22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</row>
    <row r="2481">
      <c r="A2481" s="20"/>
      <c r="B2481" s="20"/>
      <c r="C2481" s="30"/>
      <c r="D2481" s="30"/>
      <c r="E2481" s="30"/>
      <c r="F2481" s="22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</row>
    <row r="2482">
      <c r="A2482" s="20"/>
      <c r="B2482" s="20"/>
      <c r="C2482" s="30"/>
      <c r="D2482" s="30"/>
      <c r="E2482" s="30"/>
      <c r="F2482" s="22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</row>
    <row r="2483">
      <c r="A2483" s="20"/>
      <c r="B2483" s="20"/>
      <c r="C2483" s="30"/>
      <c r="D2483" s="30"/>
      <c r="E2483" s="30"/>
      <c r="F2483" s="22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</row>
    <row r="2484">
      <c r="A2484" s="20"/>
      <c r="B2484" s="20"/>
      <c r="C2484" s="30"/>
      <c r="D2484" s="30"/>
      <c r="E2484" s="30"/>
      <c r="F2484" s="22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</row>
    <row r="2485">
      <c r="A2485" s="20"/>
      <c r="B2485" s="20"/>
      <c r="C2485" s="30"/>
      <c r="D2485" s="30"/>
      <c r="E2485" s="30"/>
      <c r="F2485" s="22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</row>
    <row r="2486">
      <c r="A2486" s="20"/>
      <c r="B2486" s="20"/>
      <c r="C2486" s="30"/>
      <c r="D2486" s="30"/>
      <c r="E2486" s="30"/>
      <c r="F2486" s="22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</row>
    <row r="2487">
      <c r="A2487" s="20"/>
      <c r="B2487" s="20"/>
      <c r="C2487" s="30"/>
      <c r="D2487" s="30"/>
      <c r="E2487" s="30"/>
      <c r="F2487" s="22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</row>
    <row r="2488">
      <c r="A2488" s="20"/>
      <c r="B2488" s="20"/>
      <c r="C2488" s="30"/>
      <c r="D2488" s="30"/>
      <c r="E2488" s="30"/>
      <c r="F2488" s="22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</row>
    <row r="2489">
      <c r="A2489" s="20"/>
      <c r="B2489" s="20"/>
      <c r="C2489" s="30"/>
      <c r="D2489" s="30"/>
      <c r="E2489" s="30"/>
      <c r="F2489" s="22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</row>
    <row r="2490">
      <c r="A2490" s="20"/>
      <c r="B2490" s="20"/>
      <c r="C2490" s="30"/>
      <c r="D2490" s="30"/>
      <c r="E2490" s="30"/>
      <c r="F2490" s="22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</row>
    <row r="2491">
      <c r="A2491" s="20"/>
      <c r="B2491" s="20"/>
      <c r="C2491" s="30"/>
      <c r="D2491" s="30"/>
      <c r="E2491" s="30"/>
      <c r="F2491" s="22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</row>
    <row r="2492">
      <c r="A2492" s="20"/>
      <c r="B2492" s="20"/>
      <c r="C2492" s="30"/>
      <c r="D2492" s="30"/>
      <c r="E2492" s="30"/>
      <c r="F2492" s="22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</row>
    <row r="2493">
      <c r="A2493" s="20"/>
      <c r="B2493" s="20"/>
      <c r="C2493" s="30"/>
      <c r="D2493" s="30"/>
      <c r="E2493" s="30"/>
      <c r="F2493" s="22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</row>
    <row r="2494">
      <c r="A2494" s="20"/>
      <c r="B2494" s="20"/>
      <c r="C2494" s="30"/>
      <c r="D2494" s="30"/>
      <c r="E2494" s="30"/>
      <c r="F2494" s="22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</row>
    <row r="2495">
      <c r="A2495" s="20"/>
      <c r="B2495" s="20"/>
      <c r="C2495" s="30"/>
      <c r="D2495" s="30"/>
      <c r="E2495" s="30"/>
      <c r="F2495" s="22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</row>
    <row r="2496">
      <c r="A2496" s="20"/>
      <c r="B2496" s="20"/>
      <c r="C2496" s="30"/>
      <c r="D2496" s="30"/>
      <c r="E2496" s="30"/>
      <c r="F2496" s="22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</row>
    <row r="2497">
      <c r="A2497" s="20"/>
      <c r="B2497" s="20"/>
      <c r="C2497" s="30"/>
      <c r="D2497" s="30"/>
      <c r="E2497" s="30"/>
      <c r="F2497" s="22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</row>
    <row r="2498">
      <c r="A2498" s="20"/>
      <c r="B2498" s="20"/>
      <c r="C2498" s="30"/>
      <c r="D2498" s="30"/>
      <c r="E2498" s="30"/>
      <c r="F2498" s="22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</row>
    <row r="2499">
      <c r="A2499" s="20"/>
      <c r="B2499" s="20"/>
      <c r="C2499" s="30"/>
      <c r="D2499" s="30"/>
      <c r="E2499" s="30"/>
      <c r="F2499" s="22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</row>
    <row r="2500">
      <c r="A2500" s="20"/>
      <c r="B2500" s="20"/>
      <c r="C2500" s="30"/>
      <c r="D2500" s="30"/>
      <c r="E2500" s="30"/>
      <c r="F2500" s="22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</row>
    <row r="2501">
      <c r="A2501" s="20"/>
      <c r="B2501" s="20"/>
      <c r="C2501" s="30"/>
      <c r="D2501" s="30"/>
      <c r="E2501" s="30"/>
      <c r="F2501" s="22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</row>
    <row r="2502">
      <c r="A2502" s="20"/>
      <c r="B2502" s="20"/>
      <c r="C2502" s="30"/>
      <c r="D2502" s="30"/>
      <c r="E2502" s="30"/>
      <c r="F2502" s="22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</row>
    <row r="2503">
      <c r="A2503" s="20"/>
      <c r="B2503" s="20"/>
      <c r="C2503" s="30"/>
      <c r="D2503" s="30"/>
      <c r="E2503" s="30"/>
      <c r="F2503" s="22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</row>
    <row r="2504">
      <c r="A2504" s="20"/>
      <c r="B2504" s="20"/>
      <c r="C2504" s="30"/>
      <c r="D2504" s="30"/>
      <c r="E2504" s="30"/>
      <c r="F2504" s="22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</row>
    <row r="2505">
      <c r="A2505" s="20"/>
      <c r="B2505" s="20"/>
      <c r="C2505" s="30"/>
      <c r="D2505" s="30"/>
      <c r="E2505" s="30"/>
      <c r="F2505" s="22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</row>
    <row r="2506">
      <c r="A2506" s="20"/>
      <c r="B2506" s="20"/>
      <c r="C2506" s="30"/>
      <c r="D2506" s="30"/>
      <c r="E2506" s="30"/>
      <c r="F2506" s="22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</row>
    <row r="2507">
      <c r="A2507" s="20"/>
      <c r="B2507" s="20"/>
      <c r="C2507" s="30"/>
      <c r="D2507" s="30"/>
      <c r="E2507" s="30"/>
      <c r="F2507" s="22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</row>
    <row r="2508">
      <c r="A2508" s="20"/>
      <c r="B2508" s="20"/>
      <c r="C2508" s="30"/>
      <c r="D2508" s="30"/>
      <c r="E2508" s="30"/>
      <c r="F2508" s="22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</row>
    <row r="2509">
      <c r="A2509" s="20"/>
      <c r="B2509" s="20"/>
      <c r="C2509" s="30"/>
      <c r="D2509" s="30"/>
      <c r="E2509" s="30"/>
      <c r="F2509" s="22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</row>
    <row r="2510">
      <c r="A2510" s="20"/>
      <c r="B2510" s="20"/>
      <c r="C2510" s="30"/>
      <c r="D2510" s="30"/>
      <c r="E2510" s="30"/>
      <c r="F2510" s="22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</row>
    <row r="2511">
      <c r="A2511" s="20"/>
      <c r="B2511" s="20"/>
      <c r="C2511" s="30"/>
      <c r="D2511" s="30"/>
      <c r="E2511" s="30"/>
      <c r="F2511" s="22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</row>
    <row r="2512">
      <c r="A2512" s="20"/>
      <c r="B2512" s="20"/>
      <c r="C2512" s="30"/>
      <c r="D2512" s="30"/>
      <c r="E2512" s="30"/>
      <c r="F2512" s="22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</row>
    <row r="2513">
      <c r="A2513" s="20"/>
      <c r="B2513" s="20"/>
      <c r="C2513" s="30"/>
      <c r="D2513" s="30"/>
      <c r="E2513" s="30"/>
      <c r="F2513" s="22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</row>
    <row r="2514">
      <c r="A2514" s="20"/>
      <c r="B2514" s="20"/>
      <c r="C2514" s="30"/>
      <c r="D2514" s="30"/>
      <c r="E2514" s="30"/>
      <c r="F2514" s="22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</row>
    <row r="2515">
      <c r="A2515" s="20"/>
      <c r="B2515" s="20"/>
      <c r="C2515" s="30"/>
      <c r="D2515" s="30"/>
      <c r="E2515" s="30"/>
      <c r="F2515" s="22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</row>
    <row r="2516">
      <c r="A2516" s="20"/>
      <c r="B2516" s="20"/>
      <c r="C2516" s="30"/>
      <c r="D2516" s="30"/>
      <c r="E2516" s="30"/>
      <c r="F2516" s="22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</row>
    <row r="2517">
      <c r="A2517" s="20"/>
      <c r="B2517" s="20"/>
      <c r="C2517" s="30"/>
      <c r="D2517" s="30"/>
      <c r="E2517" s="30"/>
      <c r="F2517" s="22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</row>
    <row r="2518">
      <c r="A2518" s="20"/>
      <c r="B2518" s="20"/>
      <c r="C2518" s="30"/>
      <c r="D2518" s="30"/>
      <c r="E2518" s="30"/>
      <c r="F2518" s="22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</row>
    <row r="2519">
      <c r="A2519" s="20"/>
      <c r="B2519" s="20"/>
      <c r="C2519" s="30"/>
      <c r="D2519" s="30"/>
      <c r="E2519" s="30"/>
      <c r="F2519" s="22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</row>
    <row r="2520">
      <c r="A2520" s="20"/>
      <c r="B2520" s="20"/>
      <c r="C2520" s="30"/>
      <c r="D2520" s="30"/>
      <c r="E2520" s="30"/>
      <c r="F2520" s="22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</row>
    <row r="2521">
      <c r="A2521" s="20"/>
      <c r="B2521" s="20"/>
      <c r="C2521" s="30"/>
      <c r="D2521" s="30"/>
      <c r="E2521" s="30"/>
      <c r="F2521" s="22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</row>
    <row r="2522">
      <c r="A2522" s="20"/>
      <c r="B2522" s="20"/>
      <c r="C2522" s="30"/>
      <c r="D2522" s="30"/>
      <c r="E2522" s="30"/>
      <c r="F2522" s="22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</row>
    <row r="2523">
      <c r="A2523" s="20"/>
      <c r="B2523" s="20"/>
      <c r="C2523" s="30"/>
      <c r="D2523" s="30"/>
      <c r="E2523" s="30"/>
      <c r="F2523" s="22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</row>
    <row r="2524">
      <c r="A2524" s="20"/>
      <c r="B2524" s="20"/>
      <c r="C2524" s="30"/>
      <c r="D2524" s="30"/>
      <c r="E2524" s="30"/>
      <c r="F2524" s="22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</row>
    <row r="2525">
      <c r="A2525" s="20"/>
      <c r="B2525" s="20"/>
      <c r="C2525" s="30"/>
      <c r="D2525" s="30"/>
      <c r="E2525" s="30"/>
      <c r="F2525" s="22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</row>
    <row r="2526">
      <c r="A2526" s="20"/>
      <c r="B2526" s="20"/>
      <c r="C2526" s="30"/>
      <c r="D2526" s="30"/>
      <c r="E2526" s="30"/>
      <c r="F2526" s="22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</row>
    <row r="2527">
      <c r="A2527" s="20"/>
      <c r="B2527" s="20"/>
      <c r="C2527" s="30"/>
      <c r="D2527" s="30"/>
      <c r="E2527" s="30"/>
      <c r="F2527" s="22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</row>
    <row r="2528">
      <c r="A2528" s="20"/>
      <c r="B2528" s="20"/>
      <c r="C2528" s="30"/>
      <c r="D2528" s="30"/>
      <c r="E2528" s="30"/>
      <c r="F2528" s="22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</row>
    <row r="2529">
      <c r="A2529" s="20"/>
      <c r="B2529" s="20"/>
      <c r="C2529" s="30"/>
      <c r="D2529" s="30"/>
      <c r="E2529" s="30"/>
      <c r="F2529" s="22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</row>
    <row r="2530">
      <c r="A2530" s="20"/>
      <c r="B2530" s="20"/>
      <c r="C2530" s="30"/>
      <c r="D2530" s="30"/>
      <c r="E2530" s="30"/>
      <c r="F2530" s="22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</row>
    <row r="2531">
      <c r="A2531" s="20"/>
      <c r="B2531" s="20"/>
      <c r="C2531" s="30"/>
      <c r="D2531" s="30"/>
      <c r="E2531" s="30"/>
      <c r="F2531" s="22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</row>
    <row r="2532">
      <c r="A2532" s="20"/>
      <c r="B2532" s="20"/>
      <c r="C2532" s="30"/>
      <c r="D2532" s="30"/>
      <c r="E2532" s="30"/>
      <c r="F2532" s="22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</row>
    <row r="2533">
      <c r="A2533" s="20"/>
      <c r="B2533" s="20"/>
      <c r="C2533" s="30"/>
      <c r="D2533" s="30"/>
      <c r="E2533" s="30"/>
      <c r="F2533" s="22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</row>
    <row r="2534">
      <c r="A2534" s="20"/>
      <c r="B2534" s="20"/>
      <c r="C2534" s="30"/>
      <c r="D2534" s="30"/>
      <c r="E2534" s="30"/>
      <c r="F2534" s="22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</row>
    <row r="2535">
      <c r="A2535" s="20"/>
      <c r="B2535" s="20"/>
      <c r="C2535" s="30"/>
      <c r="D2535" s="30"/>
      <c r="E2535" s="30"/>
      <c r="F2535" s="22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</row>
    <row r="2536">
      <c r="A2536" s="20"/>
      <c r="B2536" s="20"/>
      <c r="C2536" s="30"/>
      <c r="D2536" s="30"/>
      <c r="E2536" s="30"/>
      <c r="F2536" s="22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</row>
    <row r="2537">
      <c r="A2537" s="20"/>
      <c r="B2537" s="20"/>
      <c r="C2537" s="30"/>
      <c r="D2537" s="30"/>
      <c r="E2537" s="30"/>
      <c r="F2537" s="22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</row>
    <row r="2538">
      <c r="A2538" s="20"/>
      <c r="B2538" s="20"/>
      <c r="C2538" s="30"/>
      <c r="D2538" s="30"/>
      <c r="E2538" s="30"/>
      <c r="F2538" s="22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</row>
    <row r="2539">
      <c r="A2539" s="20"/>
      <c r="B2539" s="20"/>
      <c r="C2539" s="30"/>
      <c r="D2539" s="30"/>
      <c r="E2539" s="30"/>
      <c r="F2539" s="22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</row>
    <row r="2540">
      <c r="A2540" s="20"/>
      <c r="B2540" s="20"/>
      <c r="C2540" s="30"/>
      <c r="D2540" s="30"/>
      <c r="E2540" s="30"/>
      <c r="F2540" s="22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</row>
    <row r="2541">
      <c r="A2541" s="20"/>
      <c r="B2541" s="20"/>
      <c r="C2541" s="30"/>
      <c r="D2541" s="30"/>
      <c r="E2541" s="30"/>
      <c r="F2541" s="22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</row>
    <row r="2542">
      <c r="A2542" s="20"/>
      <c r="B2542" s="20"/>
      <c r="C2542" s="30"/>
      <c r="D2542" s="30"/>
      <c r="E2542" s="30"/>
      <c r="F2542" s="22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</row>
    <row r="2543">
      <c r="A2543" s="20"/>
      <c r="B2543" s="20"/>
      <c r="C2543" s="30"/>
      <c r="D2543" s="30"/>
      <c r="E2543" s="30"/>
      <c r="F2543" s="22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</row>
    <row r="2544">
      <c r="A2544" s="20"/>
      <c r="B2544" s="20"/>
      <c r="C2544" s="30"/>
      <c r="D2544" s="30"/>
      <c r="E2544" s="30"/>
      <c r="F2544" s="22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</row>
    <row r="2545">
      <c r="A2545" s="20"/>
      <c r="B2545" s="20"/>
      <c r="C2545" s="30"/>
      <c r="D2545" s="30"/>
      <c r="E2545" s="30"/>
      <c r="F2545" s="22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</row>
    <row r="2546">
      <c r="A2546" s="20"/>
      <c r="B2546" s="20"/>
      <c r="C2546" s="30"/>
      <c r="D2546" s="30"/>
      <c r="E2546" s="30"/>
      <c r="F2546" s="22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</row>
    <row r="2547">
      <c r="A2547" s="20"/>
      <c r="B2547" s="20"/>
      <c r="C2547" s="30"/>
      <c r="D2547" s="30"/>
      <c r="E2547" s="30"/>
      <c r="F2547" s="22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</row>
    <row r="2548">
      <c r="A2548" s="20"/>
      <c r="B2548" s="20"/>
      <c r="C2548" s="30"/>
      <c r="D2548" s="30"/>
      <c r="E2548" s="30"/>
      <c r="F2548" s="22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</row>
    <row r="2549">
      <c r="A2549" s="20"/>
      <c r="B2549" s="20"/>
      <c r="C2549" s="30"/>
      <c r="D2549" s="30"/>
      <c r="E2549" s="30"/>
      <c r="F2549" s="22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</row>
    <row r="2550">
      <c r="A2550" s="20"/>
      <c r="B2550" s="20"/>
      <c r="C2550" s="30"/>
      <c r="D2550" s="30"/>
      <c r="E2550" s="30"/>
      <c r="F2550" s="22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</row>
    <row r="2551">
      <c r="A2551" s="20"/>
      <c r="B2551" s="20"/>
      <c r="C2551" s="30"/>
      <c r="D2551" s="30"/>
      <c r="E2551" s="30"/>
      <c r="F2551" s="22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</row>
    <row r="2552">
      <c r="A2552" s="20"/>
      <c r="B2552" s="20"/>
      <c r="C2552" s="30"/>
      <c r="D2552" s="30"/>
      <c r="E2552" s="30"/>
      <c r="F2552" s="22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</row>
    <row r="2553">
      <c r="A2553" s="20"/>
      <c r="B2553" s="20"/>
      <c r="C2553" s="30"/>
      <c r="D2553" s="30"/>
      <c r="E2553" s="30"/>
      <c r="F2553" s="22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</row>
    <row r="2554">
      <c r="A2554" s="20"/>
      <c r="B2554" s="20"/>
      <c r="C2554" s="30"/>
      <c r="D2554" s="30"/>
      <c r="E2554" s="30"/>
      <c r="F2554" s="22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</row>
    <row r="2555">
      <c r="A2555" s="20"/>
      <c r="B2555" s="20"/>
      <c r="C2555" s="30"/>
      <c r="D2555" s="30"/>
      <c r="E2555" s="30"/>
      <c r="F2555" s="22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</row>
    <row r="2556">
      <c r="A2556" s="20"/>
      <c r="B2556" s="20"/>
      <c r="C2556" s="30"/>
      <c r="D2556" s="30"/>
      <c r="E2556" s="30"/>
      <c r="F2556" s="22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</row>
    <row r="2557">
      <c r="A2557" s="20"/>
      <c r="B2557" s="20"/>
      <c r="C2557" s="30"/>
      <c r="D2557" s="30"/>
      <c r="E2557" s="30"/>
      <c r="F2557" s="22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</row>
    <row r="2558">
      <c r="A2558" s="20"/>
      <c r="B2558" s="20"/>
      <c r="C2558" s="30"/>
      <c r="D2558" s="30"/>
      <c r="E2558" s="30"/>
      <c r="F2558" s="22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</row>
    <row r="2559">
      <c r="A2559" s="20"/>
      <c r="B2559" s="20"/>
      <c r="C2559" s="30"/>
      <c r="D2559" s="30"/>
      <c r="E2559" s="30"/>
      <c r="F2559" s="22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</row>
    <row r="2560">
      <c r="A2560" s="20"/>
      <c r="B2560" s="20"/>
      <c r="C2560" s="30"/>
      <c r="D2560" s="30"/>
      <c r="E2560" s="30"/>
      <c r="F2560" s="22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</row>
    <row r="2561">
      <c r="A2561" s="20"/>
      <c r="B2561" s="20"/>
      <c r="C2561" s="30"/>
      <c r="D2561" s="30"/>
      <c r="E2561" s="30"/>
      <c r="F2561" s="22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</row>
    <row r="2562">
      <c r="A2562" s="20"/>
      <c r="B2562" s="20"/>
      <c r="C2562" s="30"/>
      <c r="D2562" s="30"/>
      <c r="E2562" s="30"/>
      <c r="F2562" s="22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</row>
    <row r="2563">
      <c r="A2563" s="20"/>
      <c r="B2563" s="20"/>
      <c r="C2563" s="30"/>
      <c r="D2563" s="30"/>
      <c r="E2563" s="30"/>
      <c r="F2563" s="22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</row>
    <row r="2564">
      <c r="A2564" s="20"/>
      <c r="B2564" s="20"/>
      <c r="C2564" s="30"/>
      <c r="D2564" s="30"/>
      <c r="E2564" s="30"/>
      <c r="F2564" s="22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</row>
    <row r="2565">
      <c r="A2565" s="20"/>
      <c r="B2565" s="20"/>
      <c r="C2565" s="30"/>
      <c r="D2565" s="30"/>
      <c r="E2565" s="30"/>
      <c r="F2565" s="22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</row>
    <row r="2566">
      <c r="A2566" s="20"/>
      <c r="B2566" s="20"/>
      <c r="C2566" s="30"/>
      <c r="D2566" s="30"/>
      <c r="E2566" s="30"/>
      <c r="F2566" s="22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</row>
    <row r="2567">
      <c r="A2567" s="20"/>
      <c r="B2567" s="20"/>
      <c r="C2567" s="30"/>
      <c r="D2567" s="30"/>
      <c r="E2567" s="30"/>
      <c r="F2567" s="22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</row>
    <row r="2568">
      <c r="A2568" s="20"/>
      <c r="B2568" s="20"/>
      <c r="C2568" s="30"/>
      <c r="D2568" s="30"/>
      <c r="E2568" s="30"/>
      <c r="F2568" s="22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</row>
    <row r="2569">
      <c r="A2569" s="20"/>
      <c r="B2569" s="20"/>
      <c r="C2569" s="30"/>
      <c r="D2569" s="30"/>
      <c r="E2569" s="30"/>
      <c r="F2569" s="22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</row>
    <row r="2570">
      <c r="A2570" s="20"/>
      <c r="B2570" s="20"/>
      <c r="C2570" s="30"/>
      <c r="D2570" s="30"/>
      <c r="E2570" s="30"/>
      <c r="F2570" s="22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</row>
    <row r="2571">
      <c r="A2571" s="20"/>
      <c r="B2571" s="20"/>
      <c r="C2571" s="30"/>
      <c r="D2571" s="30"/>
      <c r="E2571" s="30"/>
      <c r="F2571" s="22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</row>
    <row r="2572">
      <c r="A2572" s="20"/>
      <c r="B2572" s="20"/>
      <c r="C2572" s="30"/>
      <c r="D2572" s="30"/>
      <c r="E2572" s="30"/>
      <c r="F2572" s="22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</row>
    <row r="2573">
      <c r="A2573" s="20"/>
      <c r="B2573" s="20"/>
      <c r="C2573" s="30"/>
      <c r="D2573" s="30"/>
      <c r="E2573" s="30"/>
      <c r="F2573" s="22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</row>
    <row r="2574">
      <c r="A2574" s="20"/>
      <c r="B2574" s="20"/>
      <c r="C2574" s="30"/>
      <c r="D2574" s="30"/>
      <c r="E2574" s="30"/>
      <c r="F2574" s="22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</row>
    <row r="2575">
      <c r="A2575" s="20"/>
      <c r="B2575" s="20"/>
      <c r="C2575" s="30"/>
      <c r="D2575" s="30"/>
      <c r="E2575" s="30"/>
      <c r="F2575" s="22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</row>
    <row r="2576">
      <c r="A2576" s="20"/>
      <c r="B2576" s="20"/>
      <c r="C2576" s="30"/>
      <c r="D2576" s="30"/>
      <c r="E2576" s="30"/>
      <c r="F2576" s="22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</row>
    <row r="2577">
      <c r="A2577" s="20"/>
      <c r="B2577" s="20"/>
      <c r="C2577" s="30"/>
      <c r="D2577" s="30"/>
      <c r="E2577" s="30"/>
      <c r="F2577" s="22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</row>
    <row r="2578">
      <c r="A2578" s="20"/>
      <c r="B2578" s="20"/>
      <c r="C2578" s="30"/>
      <c r="D2578" s="30"/>
      <c r="E2578" s="30"/>
      <c r="F2578" s="22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</row>
    <row r="2579">
      <c r="A2579" s="20"/>
      <c r="B2579" s="20"/>
      <c r="C2579" s="30"/>
      <c r="D2579" s="30"/>
      <c r="E2579" s="30"/>
      <c r="F2579" s="22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</row>
    <row r="2580">
      <c r="A2580" s="20"/>
      <c r="B2580" s="20"/>
      <c r="C2580" s="30"/>
      <c r="D2580" s="30"/>
      <c r="E2580" s="30"/>
      <c r="F2580" s="22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</row>
    <row r="2581">
      <c r="A2581" s="20"/>
      <c r="B2581" s="20"/>
      <c r="C2581" s="30"/>
      <c r="D2581" s="30"/>
      <c r="E2581" s="30"/>
      <c r="F2581" s="22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</row>
    <row r="2582">
      <c r="A2582" s="20"/>
      <c r="B2582" s="20"/>
      <c r="C2582" s="30"/>
      <c r="D2582" s="30"/>
      <c r="E2582" s="30"/>
      <c r="F2582" s="22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</row>
    <row r="2583">
      <c r="A2583" s="20"/>
      <c r="B2583" s="20"/>
      <c r="C2583" s="30"/>
      <c r="D2583" s="30"/>
      <c r="E2583" s="30"/>
      <c r="F2583" s="22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</row>
    <row r="2584">
      <c r="A2584" s="20"/>
      <c r="B2584" s="20"/>
      <c r="C2584" s="30"/>
      <c r="D2584" s="30"/>
      <c r="E2584" s="30"/>
      <c r="F2584" s="22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</row>
    <row r="2585">
      <c r="A2585" s="20"/>
      <c r="B2585" s="20"/>
      <c r="C2585" s="30"/>
      <c r="D2585" s="30"/>
      <c r="E2585" s="30"/>
      <c r="F2585" s="22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</row>
    <row r="2586">
      <c r="A2586" s="20"/>
      <c r="B2586" s="20"/>
      <c r="C2586" s="30"/>
      <c r="D2586" s="30"/>
      <c r="E2586" s="30"/>
      <c r="F2586" s="22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</row>
    <row r="2587">
      <c r="A2587" s="20"/>
      <c r="B2587" s="20"/>
      <c r="C2587" s="30"/>
      <c r="D2587" s="30"/>
      <c r="E2587" s="30"/>
      <c r="F2587" s="22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</row>
    <row r="2588">
      <c r="A2588" s="20"/>
      <c r="B2588" s="20"/>
      <c r="C2588" s="30"/>
      <c r="D2588" s="30"/>
      <c r="E2588" s="30"/>
      <c r="F2588" s="22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</row>
    <row r="2589">
      <c r="A2589" s="20"/>
      <c r="B2589" s="20"/>
      <c r="C2589" s="30"/>
      <c r="D2589" s="30"/>
      <c r="E2589" s="30"/>
      <c r="F2589" s="22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</row>
    <row r="2590">
      <c r="A2590" s="20"/>
      <c r="B2590" s="20"/>
      <c r="C2590" s="30"/>
      <c r="D2590" s="30"/>
      <c r="E2590" s="30"/>
      <c r="F2590" s="22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</row>
    <row r="2591">
      <c r="A2591" s="20"/>
      <c r="B2591" s="20"/>
      <c r="C2591" s="30"/>
      <c r="D2591" s="30"/>
      <c r="E2591" s="30"/>
      <c r="F2591" s="22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</row>
    <row r="2592">
      <c r="A2592" s="20"/>
      <c r="B2592" s="20"/>
      <c r="C2592" s="30"/>
      <c r="D2592" s="30"/>
      <c r="E2592" s="30"/>
      <c r="F2592" s="22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</row>
    <row r="2593">
      <c r="A2593" s="20"/>
      <c r="B2593" s="20"/>
      <c r="C2593" s="30"/>
      <c r="D2593" s="30"/>
      <c r="E2593" s="30"/>
      <c r="F2593" s="22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</row>
    <row r="2594">
      <c r="A2594" s="20"/>
      <c r="B2594" s="20"/>
      <c r="C2594" s="30"/>
      <c r="D2594" s="30"/>
      <c r="E2594" s="30"/>
      <c r="F2594" s="22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</row>
    <row r="2595">
      <c r="A2595" s="20"/>
      <c r="B2595" s="20"/>
      <c r="C2595" s="30"/>
      <c r="D2595" s="30"/>
      <c r="E2595" s="30"/>
      <c r="F2595" s="22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</row>
    <row r="2596">
      <c r="A2596" s="20"/>
      <c r="B2596" s="20"/>
      <c r="C2596" s="30"/>
      <c r="D2596" s="30"/>
      <c r="E2596" s="30"/>
      <c r="F2596" s="22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</row>
    <row r="2597">
      <c r="A2597" s="20"/>
      <c r="B2597" s="20"/>
      <c r="C2597" s="30"/>
      <c r="D2597" s="30"/>
      <c r="E2597" s="30"/>
      <c r="F2597" s="22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</row>
    <row r="2598">
      <c r="A2598" s="20"/>
      <c r="B2598" s="20"/>
      <c r="C2598" s="30"/>
      <c r="D2598" s="30"/>
      <c r="E2598" s="30"/>
      <c r="F2598" s="22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</row>
    <row r="2599">
      <c r="A2599" s="20"/>
      <c r="B2599" s="20"/>
      <c r="C2599" s="30"/>
      <c r="D2599" s="30"/>
      <c r="E2599" s="30"/>
      <c r="F2599" s="22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</row>
    <row r="2600">
      <c r="A2600" s="20"/>
      <c r="B2600" s="20"/>
      <c r="C2600" s="30"/>
      <c r="D2600" s="30"/>
      <c r="E2600" s="30"/>
      <c r="F2600" s="22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</row>
    <row r="2601">
      <c r="A2601" s="20"/>
      <c r="B2601" s="20"/>
      <c r="C2601" s="30"/>
      <c r="D2601" s="30"/>
      <c r="E2601" s="30"/>
      <c r="F2601" s="22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</row>
    <row r="2602">
      <c r="A2602" s="20"/>
      <c r="B2602" s="20"/>
      <c r="C2602" s="30"/>
      <c r="D2602" s="30"/>
      <c r="E2602" s="30"/>
      <c r="F2602" s="22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</row>
    <row r="2603">
      <c r="A2603" s="20"/>
      <c r="B2603" s="20"/>
      <c r="C2603" s="30"/>
      <c r="D2603" s="30"/>
      <c r="E2603" s="30"/>
      <c r="F2603" s="22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</row>
    <row r="2604">
      <c r="A2604" s="20"/>
      <c r="B2604" s="20"/>
      <c r="C2604" s="30"/>
      <c r="D2604" s="30"/>
      <c r="E2604" s="30"/>
      <c r="F2604" s="22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</row>
    <row r="2605">
      <c r="A2605" s="20"/>
      <c r="B2605" s="20"/>
      <c r="C2605" s="30"/>
      <c r="D2605" s="30"/>
      <c r="E2605" s="30"/>
      <c r="F2605" s="22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</row>
    <row r="2606">
      <c r="A2606" s="20"/>
      <c r="B2606" s="20"/>
      <c r="C2606" s="30"/>
      <c r="D2606" s="30"/>
      <c r="E2606" s="30"/>
      <c r="F2606" s="22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</row>
    <row r="2607">
      <c r="A2607" s="20"/>
      <c r="B2607" s="20"/>
      <c r="C2607" s="30"/>
      <c r="D2607" s="30"/>
      <c r="E2607" s="30"/>
      <c r="F2607" s="22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</row>
    <row r="2608">
      <c r="A2608" s="20"/>
      <c r="B2608" s="20"/>
      <c r="C2608" s="30"/>
      <c r="D2608" s="30"/>
      <c r="E2608" s="30"/>
      <c r="F2608" s="22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</row>
    <row r="2609">
      <c r="A2609" s="20"/>
      <c r="B2609" s="20"/>
      <c r="C2609" s="30"/>
      <c r="D2609" s="30"/>
      <c r="E2609" s="30"/>
      <c r="F2609" s="22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</row>
    <row r="2610">
      <c r="A2610" s="20"/>
      <c r="B2610" s="20"/>
      <c r="C2610" s="30"/>
      <c r="D2610" s="30"/>
      <c r="E2610" s="30"/>
      <c r="F2610" s="22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</row>
    <row r="2611">
      <c r="A2611" s="20"/>
      <c r="B2611" s="20"/>
      <c r="C2611" s="30"/>
      <c r="D2611" s="30"/>
      <c r="E2611" s="30"/>
      <c r="F2611" s="22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</row>
    <row r="2612">
      <c r="A2612" s="20"/>
      <c r="B2612" s="20"/>
      <c r="C2612" s="30"/>
      <c r="D2612" s="30"/>
      <c r="E2612" s="30"/>
      <c r="F2612" s="22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</row>
    <row r="2613">
      <c r="A2613" s="20"/>
      <c r="B2613" s="20"/>
      <c r="C2613" s="30"/>
      <c r="D2613" s="30"/>
      <c r="E2613" s="30"/>
      <c r="F2613" s="22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</row>
    <row r="2614">
      <c r="A2614" s="20"/>
      <c r="B2614" s="20"/>
      <c r="C2614" s="30"/>
      <c r="D2614" s="30"/>
      <c r="E2614" s="30"/>
      <c r="F2614" s="22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</row>
    <row r="2615">
      <c r="A2615" s="20"/>
      <c r="B2615" s="20"/>
      <c r="C2615" s="30"/>
      <c r="D2615" s="30"/>
      <c r="E2615" s="30"/>
      <c r="F2615" s="22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</row>
    <row r="2616">
      <c r="A2616" s="20"/>
      <c r="B2616" s="20"/>
      <c r="C2616" s="30"/>
      <c r="D2616" s="30"/>
      <c r="E2616" s="30"/>
      <c r="F2616" s="22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</row>
    <row r="2617">
      <c r="A2617" s="20"/>
      <c r="B2617" s="20"/>
      <c r="C2617" s="30"/>
      <c r="D2617" s="30"/>
      <c r="E2617" s="30"/>
      <c r="F2617" s="22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</row>
    <row r="2618">
      <c r="A2618" s="20"/>
      <c r="B2618" s="20"/>
      <c r="C2618" s="30"/>
      <c r="D2618" s="30"/>
      <c r="E2618" s="30"/>
      <c r="F2618" s="22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</row>
    <row r="2619">
      <c r="A2619" s="20"/>
      <c r="B2619" s="20"/>
      <c r="C2619" s="30"/>
      <c r="D2619" s="30"/>
      <c r="E2619" s="30"/>
      <c r="F2619" s="22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</row>
    <row r="2620">
      <c r="A2620" s="20"/>
      <c r="B2620" s="20"/>
      <c r="C2620" s="30"/>
      <c r="D2620" s="30"/>
      <c r="E2620" s="30"/>
      <c r="F2620" s="22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</row>
    <row r="2621">
      <c r="A2621" s="20"/>
      <c r="B2621" s="20"/>
      <c r="C2621" s="30"/>
      <c r="D2621" s="30"/>
      <c r="E2621" s="30"/>
      <c r="F2621" s="22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</row>
    <row r="2622">
      <c r="A2622" s="20"/>
      <c r="B2622" s="20"/>
      <c r="C2622" s="30"/>
      <c r="D2622" s="30"/>
      <c r="E2622" s="30"/>
      <c r="F2622" s="22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</row>
    <row r="2623">
      <c r="A2623" s="20"/>
      <c r="B2623" s="20"/>
      <c r="C2623" s="30"/>
      <c r="D2623" s="30"/>
      <c r="E2623" s="30"/>
      <c r="F2623" s="22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</row>
    <row r="2624">
      <c r="A2624" s="20"/>
      <c r="B2624" s="20"/>
      <c r="C2624" s="30"/>
      <c r="D2624" s="30"/>
      <c r="E2624" s="30"/>
      <c r="F2624" s="22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</row>
    <row r="2625">
      <c r="A2625" s="20"/>
      <c r="B2625" s="20"/>
      <c r="C2625" s="30"/>
      <c r="D2625" s="30"/>
      <c r="E2625" s="30"/>
      <c r="F2625" s="22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</row>
    <row r="2626">
      <c r="A2626" s="20"/>
      <c r="B2626" s="20"/>
      <c r="C2626" s="30"/>
      <c r="D2626" s="30"/>
      <c r="E2626" s="30"/>
      <c r="F2626" s="22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</row>
    <row r="2627">
      <c r="A2627" s="20"/>
      <c r="B2627" s="20"/>
      <c r="C2627" s="30"/>
      <c r="D2627" s="30"/>
      <c r="E2627" s="30"/>
      <c r="F2627" s="22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</row>
    <row r="2628">
      <c r="A2628" s="20"/>
      <c r="B2628" s="20"/>
      <c r="C2628" s="30"/>
      <c r="D2628" s="30"/>
      <c r="E2628" s="30"/>
      <c r="F2628" s="22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</row>
    <row r="2629">
      <c r="A2629" s="20"/>
      <c r="B2629" s="20"/>
      <c r="C2629" s="30"/>
      <c r="D2629" s="30"/>
      <c r="E2629" s="30"/>
      <c r="F2629" s="22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</row>
    <row r="2630">
      <c r="A2630" s="20"/>
      <c r="B2630" s="20"/>
      <c r="C2630" s="30"/>
      <c r="D2630" s="30"/>
      <c r="E2630" s="30"/>
      <c r="F2630" s="22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</row>
    <row r="2631">
      <c r="A2631" s="20"/>
      <c r="B2631" s="20"/>
      <c r="C2631" s="30"/>
      <c r="D2631" s="30"/>
      <c r="E2631" s="30"/>
      <c r="F2631" s="22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</row>
    <row r="2632">
      <c r="A2632" s="20"/>
      <c r="B2632" s="20"/>
      <c r="C2632" s="30"/>
      <c r="D2632" s="30"/>
      <c r="E2632" s="30"/>
      <c r="F2632" s="22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</row>
    <row r="2633">
      <c r="A2633" s="20"/>
      <c r="B2633" s="20"/>
      <c r="C2633" s="30"/>
      <c r="D2633" s="30"/>
      <c r="E2633" s="30"/>
      <c r="F2633" s="22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</row>
    <row r="2634">
      <c r="A2634" s="20"/>
      <c r="B2634" s="20"/>
      <c r="C2634" s="30"/>
      <c r="D2634" s="30"/>
      <c r="E2634" s="30"/>
      <c r="F2634" s="22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</row>
    <row r="2635">
      <c r="A2635" s="20"/>
      <c r="B2635" s="20"/>
      <c r="C2635" s="30"/>
      <c r="D2635" s="30"/>
      <c r="E2635" s="30"/>
      <c r="F2635" s="22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</row>
    <row r="2636">
      <c r="A2636" s="20"/>
      <c r="B2636" s="20"/>
      <c r="C2636" s="30"/>
      <c r="D2636" s="30"/>
      <c r="E2636" s="30"/>
      <c r="F2636" s="22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</row>
    <row r="2637">
      <c r="A2637" s="20"/>
      <c r="B2637" s="20"/>
      <c r="C2637" s="30"/>
      <c r="D2637" s="30"/>
      <c r="E2637" s="30"/>
      <c r="F2637" s="22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</row>
    <row r="2638">
      <c r="A2638" s="20"/>
      <c r="B2638" s="20"/>
      <c r="C2638" s="30"/>
      <c r="D2638" s="30"/>
      <c r="E2638" s="30"/>
      <c r="F2638" s="22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</row>
    <row r="2639">
      <c r="A2639" s="20"/>
      <c r="B2639" s="20"/>
      <c r="C2639" s="30"/>
      <c r="D2639" s="30"/>
      <c r="E2639" s="30"/>
      <c r="F2639" s="22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</row>
    <row r="2640">
      <c r="A2640" s="20"/>
      <c r="B2640" s="20"/>
      <c r="C2640" s="30"/>
      <c r="D2640" s="30"/>
      <c r="E2640" s="30"/>
      <c r="F2640" s="22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</row>
    <row r="2641">
      <c r="A2641" s="20"/>
      <c r="B2641" s="20"/>
      <c r="C2641" s="30"/>
      <c r="D2641" s="30"/>
      <c r="E2641" s="30"/>
      <c r="F2641" s="22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</row>
    <row r="2642">
      <c r="A2642" s="20"/>
      <c r="B2642" s="20"/>
      <c r="C2642" s="30"/>
      <c r="D2642" s="30"/>
      <c r="E2642" s="30"/>
      <c r="F2642" s="22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</row>
    <row r="2643">
      <c r="A2643" s="20"/>
      <c r="B2643" s="20"/>
      <c r="C2643" s="30"/>
      <c r="D2643" s="30"/>
      <c r="E2643" s="30"/>
      <c r="F2643" s="22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</row>
    <row r="2644">
      <c r="A2644" s="20"/>
      <c r="B2644" s="20"/>
      <c r="C2644" s="30"/>
      <c r="D2644" s="30"/>
      <c r="E2644" s="30"/>
      <c r="F2644" s="22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</row>
    <row r="2645">
      <c r="A2645" s="20"/>
      <c r="B2645" s="20"/>
      <c r="C2645" s="30"/>
      <c r="D2645" s="30"/>
      <c r="E2645" s="30"/>
      <c r="F2645" s="22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</row>
    <row r="2646">
      <c r="A2646" s="20"/>
      <c r="B2646" s="20"/>
      <c r="C2646" s="30"/>
      <c r="D2646" s="30"/>
      <c r="E2646" s="30"/>
      <c r="F2646" s="22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</row>
    <row r="2647">
      <c r="A2647" s="20"/>
      <c r="B2647" s="20"/>
      <c r="C2647" s="30"/>
      <c r="D2647" s="30"/>
      <c r="E2647" s="30"/>
      <c r="F2647" s="22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</row>
    <row r="2648">
      <c r="A2648" s="20"/>
      <c r="B2648" s="20"/>
      <c r="C2648" s="30"/>
      <c r="D2648" s="30"/>
      <c r="E2648" s="30"/>
      <c r="F2648" s="22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</row>
    <row r="2649">
      <c r="A2649" s="20"/>
      <c r="B2649" s="20"/>
      <c r="C2649" s="30"/>
      <c r="D2649" s="30"/>
      <c r="E2649" s="30"/>
      <c r="F2649" s="22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</row>
    <row r="2650">
      <c r="A2650" s="20"/>
      <c r="B2650" s="20"/>
      <c r="C2650" s="30"/>
      <c r="D2650" s="30"/>
      <c r="E2650" s="30"/>
      <c r="F2650" s="22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</row>
    <row r="2651">
      <c r="A2651" s="20"/>
      <c r="B2651" s="20"/>
      <c r="C2651" s="30"/>
      <c r="D2651" s="30"/>
      <c r="E2651" s="30"/>
      <c r="F2651" s="22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</row>
    <row r="2652">
      <c r="A2652" s="20"/>
      <c r="B2652" s="20"/>
      <c r="C2652" s="30"/>
      <c r="D2652" s="30"/>
      <c r="E2652" s="30"/>
      <c r="F2652" s="22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</row>
    <row r="2653">
      <c r="A2653" s="20"/>
      <c r="B2653" s="20"/>
      <c r="C2653" s="30"/>
      <c r="D2653" s="30"/>
      <c r="E2653" s="30"/>
      <c r="F2653" s="22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</row>
    <row r="2654">
      <c r="A2654" s="20"/>
      <c r="B2654" s="20"/>
      <c r="C2654" s="30"/>
      <c r="D2654" s="30"/>
      <c r="E2654" s="30"/>
      <c r="F2654" s="22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</row>
    <row r="2655">
      <c r="A2655" s="20"/>
      <c r="B2655" s="20"/>
      <c r="C2655" s="30"/>
      <c r="D2655" s="30"/>
      <c r="E2655" s="30"/>
      <c r="F2655" s="22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</row>
    <row r="2656">
      <c r="A2656" s="20"/>
      <c r="B2656" s="20"/>
      <c r="C2656" s="30"/>
      <c r="D2656" s="30"/>
      <c r="E2656" s="30"/>
      <c r="F2656" s="22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</row>
    <row r="2657">
      <c r="A2657" s="20"/>
      <c r="B2657" s="20"/>
      <c r="C2657" s="30"/>
      <c r="D2657" s="30"/>
      <c r="E2657" s="30"/>
      <c r="F2657" s="22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</row>
    <row r="2658">
      <c r="A2658" s="20"/>
      <c r="B2658" s="20"/>
      <c r="C2658" s="30"/>
      <c r="D2658" s="30"/>
      <c r="E2658" s="30"/>
      <c r="F2658" s="22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</row>
    <row r="2659">
      <c r="A2659" s="20"/>
      <c r="B2659" s="20"/>
      <c r="C2659" s="30"/>
      <c r="D2659" s="30"/>
      <c r="E2659" s="30"/>
      <c r="F2659" s="22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</row>
    <row r="2660">
      <c r="A2660" s="20"/>
      <c r="B2660" s="20"/>
      <c r="C2660" s="30"/>
      <c r="D2660" s="30"/>
      <c r="E2660" s="30"/>
      <c r="F2660" s="22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</row>
    <row r="2661">
      <c r="A2661" s="20"/>
      <c r="B2661" s="20"/>
      <c r="C2661" s="30"/>
      <c r="D2661" s="30"/>
      <c r="E2661" s="30"/>
      <c r="F2661" s="22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</row>
    <row r="2662">
      <c r="A2662" s="20"/>
      <c r="B2662" s="20"/>
      <c r="C2662" s="30"/>
      <c r="D2662" s="30"/>
      <c r="E2662" s="30"/>
      <c r="F2662" s="22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</row>
    <row r="2663">
      <c r="A2663" s="20"/>
      <c r="B2663" s="20"/>
      <c r="C2663" s="30"/>
      <c r="D2663" s="30"/>
      <c r="E2663" s="30"/>
      <c r="F2663" s="22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</row>
    <row r="2664">
      <c r="A2664" s="20"/>
      <c r="B2664" s="20"/>
      <c r="C2664" s="30"/>
      <c r="D2664" s="30"/>
      <c r="E2664" s="30"/>
      <c r="F2664" s="22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</row>
    <row r="2665">
      <c r="A2665" s="20"/>
      <c r="B2665" s="20"/>
      <c r="C2665" s="30"/>
      <c r="D2665" s="30"/>
      <c r="E2665" s="30"/>
      <c r="F2665" s="22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</row>
    <row r="2666">
      <c r="A2666" s="20"/>
      <c r="B2666" s="20"/>
      <c r="C2666" s="30"/>
      <c r="D2666" s="30"/>
      <c r="E2666" s="30"/>
      <c r="F2666" s="22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</row>
    <row r="2667">
      <c r="A2667" s="20"/>
      <c r="B2667" s="20"/>
      <c r="C2667" s="30"/>
      <c r="D2667" s="30"/>
      <c r="E2667" s="30"/>
      <c r="F2667" s="22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</row>
    <row r="2668">
      <c r="A2668" s="20"/>
      <c r="B2668" s="20"/>
      <c r="C2668" s="30"/>
      <c r="D2668" s="30"/>
      <c r="E2668" s="30"/>
      <c r="F2668" s="22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</row>
    <row r="2669">
      <c r="A2669" s="20"/>
      <c r="B2669" s="20"/>
      <c r="C2669" s="30"/>
      <c r="D2669" s="30"/>
      <c r="E2669" s="30"/>
      <c r="F2669" s="22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</row>
    <row r="2670">
      <c r="A2670" s="20"/>
      <c r="B2670" s="20"/>
      <c r="C2670" s="30"/>
      <c r="D2670" s="30"/>
      <c r="E2670" s="30"/>
      <c r="F2670" s="22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</row>
    <row r="2671">
      <c r="A2671" s="20"/>
      <c r="B2671" s="20"/>
      <c r="C2671" s="30"/>
      <c r="D2671" s="30"/>
      <c r="E2671" s="30"/>
      <c r="F2671" s="22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</row>
    <row r="2672">
      <c r="A2672" s="20"/>
      <c r="B2672" s="20"/>
      <c r="C2672" s="30"/>
      <c r="D2672" s="30"/>
      <c r="E2672" s="30"/>
      <c r="F2672" s="22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</row>
    <row r="2673">
      <c r="A2673" s="20"/>
      <c r="B2673" s="20"/>
      <c r="C2673" s="30"/>
      <c r="D2673" s="30"/>
      <c r="E2673" s="30"/>
      <c r="F2673" s="22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</row>
    <row r="2674">
      <c r="A2674" s="20"/>
      <c r="B2674" s="20"/>
      <c r="C2674" s="30"/>
      <c r="D2674" s="30"/>
      <c r="E2674" s="30"/>
      <c r="F2674" s="22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</row>
    <row r="2675">
      <c r="A2675" s="20"/>
      <c r="B2675" s="20"/>
      <c r="C2675" s="30"/>
      <c r="D2675" s="30"/>
      <c r="E2675" s="30"/>
      <c r="F2675" s="22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</row>
    <row r="2676">
      <c r="A2676" s="20"/>
      <c r="B2676" s="20"/>
      <c r="C2676" s="30"/>
      <c r="D2676" s="30"/>
      <c r="E2676" s="30"/>
      <c r="F2676" s="22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</row>
    <row r="2677">
      <c r="A2677" s="20"/>
      <c r="B2677" s="20"/>
      <c r="C2677" s="30"/>
      <c r="D2677" s="30"/>
      <c r="E2677" s="30"/>
      <c r="F2677" s="22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</row>
    <row r="2678">
      <c r="A2678" s="20"/>
      <c r="B2678" s="20"/>
      <c r="C2678" s="30"/>
      <c r="D2678" s="30"/>
      <c r="E2678" s="30"/>
      <c r="F2678" s="22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</row>
    <row r="2679">
      <c r="A2679" s="20"/>
      <c r="B2679" s="20"/>
      <c r="C2679" s="30"/>
      <c r="D2679" s="30"/>
      <c r="E2679" s="30"/>
      <c r="F2679" s="22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</row>
    <row r="2680">
      <c r="A2680" s="20"/>
      <c r="B2680" s="20"/>
      <c r="C2680" s="30"/>
      <c r="D2680" s="30"/>
      <c r="E2680" s="30"/>
      <c r="F2680" s="22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</row>
    <row r="2681">
      <c r="A2681" s="20"/>
      <c r="B2681" s="20"/>
      <c r="C2681" s="30"/>
      <c r="D2681" s="30"/>
      <c r="E2681" s="30"/>
      <c r="F2681" s="22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</row>
    <row r="2682">
      <c r="A2682" s="20"/>
      <c r="B2682" s="20"/>
      <c r="C2682" s="30"/>
      <c r="D2682" s="30"/>
      <c r="E2682" s="30"/>
      <c r="F2682" s="22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</row>
    <row r="2683">
      <c r="A2683" s="20"/>
      <c r="B2683" s="20"/>
      <c r="C2683" s="30"/>
      <c r="D2683" s="30"/>
      <c r="E2683" s="30"/>
      <c r="F2683" s="22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</row>
    <row r="2684">
      <c r="A2684" s="20"/>
      <c r="B2684" s="20"/>
      <c r="C2684" s="30"/>
      <c r="D2684" s="30"/>
      <c r="E2684" s="30"/>
      <c r="F2684" s="22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</row>
    <row r="2685">
      <c r="A2685" s="20"/>
      <c r="B2685" s="20"/>
      <c r="C2685" s="30"/>
      <c r="D2685" s="30"/>
      <c r="E2685" s="30"/>
      <c r="F2685" s="22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</row>
    <row r="2686">
      <c r="A2686" s="20"/>
      <c r="B2686" s="20"/>
      <c r="C2686" s="30"/>
      <c r="D2686" s="30"/>
      <c r="E2686" s="30"/>
      <c r="F2686" s="22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</row>
    <row r="2687">
      <c r="A2687" s="20"/>
      <c r="B2687" s="20"/>
      <c r="C2687" s="30"/>
      <c r="D2687" s="30"/>
      <c r="E2687" s="30"/>
      <c r="F2687" s="22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</row>
    <row r="2688">
      <c r="A2688" s="20"/>
      <c r="B2688" s="20"/>
      <c r="C2688" s="30"/>
      <c r="D2688" s="30"/>
      <c r="E2688" s="30"/>
      <c r="F2688" s="22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</row>
    <row r="2689">
      <c r="A2689" s="20"/>
      <c r="B2689" s="20"/>
      <c r="C2689" s="30"/>
      <c r="D2689" s="30"/>
      <c r="E2689" s="30"/>
      <c r="F2689" s="22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</row>
    <row r="2690">
      <c r="A2690" s="20"/>
      <c r="B2690" s="20"/>
      <c r="C2690" s="30"/>
      <c r="D2690" s="30"/>
      <c r="E2690" s="30"/>
      <c r="F2690" s="22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</row>
    <row r="2691">
      <c r="A2691" s="20"/>
      <c r="B2691" s="20"/>
      <c r="C2691" s="30"/>
      <c r="D2691" s="30"/>
      <c r="E2691" s="30"/>
      <c r="F2691" s="22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</row>
    <row r="2692">
      <c r="A2692" s="20"/>
      <c r="B2692" s="20"/>
      <c r="C2692" s="30"/>
      <c r="D2692" s="30"/>
      <c r="E2692" s="30"/>
      <c r="F2692" s="22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</row>
    <row r="2693">
      <c r="A2693" s="20"/>
      <c r="B2693" s="20"/>
      <c r="C2693" s="30"/>
      <c r="D2693" s="30"/>
      <c r="E2693" s="30"/>
      <c r="F2693" s="22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</row>
    <row r="2694">
      <c r="A2694" s="20"/>
      <c r="B2694" s="20"/>
      <c r="C2694" s="30"/>
      <c r="D2694" s="30"/>
      <c r="E2694" s="30"/>
      <c r="F2694" s="22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</row>
    <row r="2695">
      <c r="A2695" s="20"/>
      <c r="B2695" s="20"/>
      <c r="C2695" s="30"/>
      <c r="D2695" s="30"/>
      <c r="E2695" s="30"/>
      <c r="F2695" s="22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</row>
    <row r="2696">
      <c r="A2696" s="20"/>
      <c r="B2696" s="20"/>
      <c r="C2696" s="30"/>
      <c r="D2696" s="30"/>
      <c r="E2696" s="30"/>
      <c r="F2696" s="22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</row>
    <row r="2697">
      <c r="A2697" s="20"/>
      <c r="B2697" s="20"/>
      <c r="C2697" s="30"/>
      <c r="D2697" s="30"/>
      <c r="E2697" s="30"/>
      <c r="F2697" s="22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</row>
    <row r="2698">
      <c r="A2698" s="20"/>
      <c r="B2698" s="20"/>
      <c r="C2698" s="30"/>
      <c r="D2698" s="30"/>
      <c r="E2698" s="30"/>
      <c r="F2698" s="22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</row>
    <row r="2699">
      <c r="A2699" s="20"/>
      <c r="B2699" s="20"/>
      <c r="C2699" s="30"/>
      <c r="D2699" s="30"/>
      <c r="E2699" s="30"/>
      <c r="F2699" s="22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</row>
    <row r="2700">
      <c r="A2700" s="20"/>
      <c r="B2700" s="20"/>
      <c r="C2700" s="30"/>
      <c r="D2700" s="30"/>
      <c r="E2700" s="30"/>
      <c r="F2700" s="22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</row>
    <row r="2701">
      <c r="A2701" s="20"/>
      <c r="B2701" s="20"/>
      <c r="C2701" s="30"/>
      <c r="D2701" s="30"/>
      <c r="E2701" s="30"/>
      <c r="F2701" s="22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</row>
    <row r="2702">
      <c r="A2702" s="20"/>
      <c r="B2702" s="20"/>
      <c r="C2702" s="30"/>
      <c r="D2702" s="30"/>
      <c r="E2702" s="30"/>
      <c r="F2702" s="22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</row>
    <row r="2703">
      <c r="A2703" s="20"/>
      <c r="B2703" s="20"/>
      <c r="C2703" s="30"/>
      <c r="D2703" s="30"/>
      <c r="E2703" s="30"/>
      <c r="F2703" s="22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</row>
    <row r="2704">
      <c r="A2704" s="20"/>
      <c r="B2704" s="20"/>
      <c r="C2704" s="30"/>
      <c r="D2704" s="30"/>
      <c r="E2704" s="30"/>
      <c r="F2704" s="22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</row>
    <row r="2705">
      <c r="A2705" s="20"/>
      <c r="B2705" s="20"/>
      <c r="C2705" s="30"/>
      <c r="D2705" s="30"/>
      <c r="E2705" s="30"/>
      <c r="F2705" s="22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</row>
    <row r="2706">
      <c r="A2706" s="20"/>
      <c r="B2706" s="20"/>
      <c r="C2706" s="30"/>
      <c r="D2706" s="30"/>
      <c r="E2706" s="30"/>
      <c r="F2706" s="22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</row>
    <row r="2707">
      <c r="A2707" s="20"/>
      <c r="B2707" s="20"/>
      <c r="C2707" s="30"/>
      <c r="D2707" s="30"/>
      <c r="E2707" s="30"/>
      <c r="F2707" s="22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</row>
    <row r="2708">
      <c r="A2708" s="20"/>
      <c r="B2708" s="20"/>
      <c r="C2708" s="30"/>
      <c r="D2708" s="30"/>
      <c r="E2708" s="30"/>
      <c r="F2708" s="22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</row>
    <row r="2709">
      <c r="A2709" s="20"/>
      <c r="B2709" s="20"/>
      <c r="C2709" s="30"/>
      <c r="D2709" s="30"/>
      <c r="E2709" s="30"/>
      <c r="F2709" s="22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</row>
    <row r="2710">
      <c r="A2710" s="20"/>
      <c r="B2710" s="20"/>
      <c r="C2710" s="30"/>
      <c r="D2710" s="30"/>
      <c r="E2710" s="30"/>
      <c r="F2710" s="22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</row>
    <row r="2711">
      <c r="A2711" s="20"/>
      <c r="B2711" s="20"/>
      <c r="C2711" s="30"/>
      <c r="D2711" s="30"/>
      <c r="E2711" s="30"/>
      <c r="F2711" s="22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</row>
    <row r="2712">
      <c r="A2712" s="20"/>
      <c r="B2712" s="20"/>
      <c r="C2712" s="30"/>
      <c r="D2712" s="30"/>
      <c r="E2712" s="30"/>
      <c r="F2712" s="22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</row>
    <row r="2713">
      <c r="A2713" s="20"/>
      <c r="B2713" s="20"/>
      <c r="C2713" s="30"/>
      <c r="D2713" s="30"/>
      <c r="E2713" s="30"/>
      <c r="F2713" s="22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</row>
    <row r="2714">
      <c r="A2714" s="20"/>
      <c r="B2714" s="20"/>
      <c r="C2714" s="30"/>
      <c r="D2714" s="30"/>
      <c r="E2714" s="30"/>
      <c r="F2714" s="22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</row>
    <row r="2715">
      <c r="A2715" s="20"/>
      <c r="B2715" s="20"/>
      <c r="C2715" s="30"/>
      <c r="D2715" s="30"/>
      <c r="E2715" s="30"/>
      <c r="F2715" s="22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</row>
    <row r="2716">
      <c r="A2716" s="20"/>
      <c r="B2716" s="20"/>
      <c r="C2716" s="30"/>
      <c r="D2716" s="30"/>
      <c r="E2716" s="30"/>
      <c r="F2716" s="22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</row>
    <row r="2717">
      <c r="A2717" s="20"/>
      <c r="B2717" s="20"/>
      <c r="C2717" s="30"/>
      <c r="D2717" s="30"/>
      <c r="E2717" s="30"/>
      <c r="F2717" s="22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</row>
    <row r="2718">
      <c r="A2718" s="20"/>
      <c r="B2718" s="20"/>
      <c r="C2718" s="30"/>
      <c r="D2718" s="30"/>
      <c r="E2718" s="30"/>
      <c r="F2718" s="22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</row>
    <row r="2719">
      <c r="A2719" s="20"/>
      <c r="B2719" s="20"/>
      <c r="C2719" s="30"/>
      <c r="D2719" s="30"/>
      <c r="E2719" s="30"/>
      <c r="F2719" s="22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</row>
    <row r="2720">
      <c r="A2720" s="20"/>
      <c r="B2720" s="20"/>
      <c r="C2720" s="30"/>
      <c r="D2720" s="30"/>
      <c r="E2720" s="30"/>
      <c r="F2720" s="22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</row>
    <row r="2721">
      <c r="A2721" s="20"/>
      <c r="B2721" s="20"/>
      <c r="C2721" s="30"/>
      <c r="D2721" s="30"/>
      <c r="E2721" s="30"/>
      <c r="F2721" s="22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</row>
    <row r="2722">
      <c r="A2722" s="20"/>
      <c r="B2722" s="20"/>
      <c r="C2722" s="30"/>
      <c r="D2722" s="30"/>
      <c r="E2722" s="30"/>
      <c r="F2722" s="22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</row>
    <row r="2723">
      <c r="A2723" s="20"/>
      <c r="B2723" s="20"/>
      <c r="C2723" s="30"/>
      <c r="D2723" s="30"/>
      <c r="E2723" s="30"/>
      <c r="F2723" s="22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</row>
    <row r="2724">
      <c r="A2724" s="20"/>
      <c r="B2724" s="20"/>
      <c r="C2724" s="30"/>
      <c r="D2724" s="30"/>
      <c r="E2724" s="30"/>
      <c r="F2724" s="22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</row>
    <row r="2725">
      <c r="A2725" s="20"/>
      <c r="B2725" s="20"/>
      <c r="C2725" s="30"/>
      <c r="D2725" s="30"/>
      <c r="E2725" s="30"/>
      <c r="F2725" s="22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</row>
    <row r="2726">
      <c r="A2726" s="20"/>
      <c r="B2726" s="20"/>
      <c r="C2726" s="30"/>
      <c r="D2726" s="30"/>
      <c r="E2726" s="30"/>
      <c r="F2726" s="22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</row>
    <row r="2727">
      <c r="A2727" s="20"/>
      <c r="B2727" s="20"/>
      <c r="C2727" s="30"/>
      <c r="D2727" s="30"/>
      <c r="E2727" s="30"/>
      <c r="F2727" s="22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</row>
    <row r="2728">
      <c r="A2728" s="20"/>
      <c r="B2728" s="20"/>
      <c r="C2728" s="30"/>
      <c r="D2728" s="30"/>
      <c r="E2728" s="30"/>
      <c r="F2728" s="22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</row>
    <row r="2729">
      <c r="A2729" s="20"/>
      <c r="B2729" s="20"/>
      <c r="C2729" s="30"/>
      <c r="D2729" s="30"/>
      <c r="E2729" s="30"/>
      <c r="F2729" s="22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</row>
    <row r="2730">
      <c r="A2730" s="20"/>
      <c r="B2730" s="20"/>
      <c r="C2730" s="30"/>
      <c r="D2730" s="30"/>
      <c r="E2730" s="30"/>
      <c r="F2730" s="22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</row>
    <row r="2731">
      <c r="A2731" s="20"/>
      <c r="B2731" s="20"/>
      <c r="C2731" s="30"/>
      <c r="D2731" s="30"/>
      <c r="E2731" s="30"/>
      <c r="F2731" s="22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</row>
    <row r="2732">
      <c r="A2732" s="20"/>
      <c r="B2732" s="20"/>
      <c r="C2732" s="30"/>
      <c r="D2732" s="30"/>
      <c r="E2732" s="30"/>
      <c r="F2732" s="22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</row>
    <row r="2733">
      <c r="A2733" s="20"/>
      <c r="B2733" s="20"/>
      <c r="C2733" s="30"/>
      <c r="D2733" s="30"/>
      <c r="E2733" s="30"/>
      <c r="F2733" s="22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</row>
    <row r="2734">
      <c r="A2734" s="20"/>
      <c r="B2734" s="20"/>
      <c r="C2734" s="30"/>
      <c r="D2734" s="30"/>
      <c r="E2734" s="30"/>
      <c r="F2734" s="22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</row>
    <row r="2735">
      <c r="A2735" s="20"/>
      <c r="B2735" s="20"/>
      <c r="C2735" s="30"/>
      <c r="D2735" s="30"/>
      <c r="E2735" s="30"/>
      <c r="F2735" s="22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</row>
    <row r="2736">
      <c r="A2736" s="20"/>
      <c r="B2736" s="20"/>
      <c r="C2736" s="30"/>
      <c r="D2736" s="30"/>
      <c r="E2736" s="30"/>
      <c r="F2736" s="22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</row>
    <row r="2737">
      <c r="A2737" s="20"/>
      <c r="B2737" s="20"/>
      <c r="C2737" s="30"/>
      <c r="D2737" s="30"/>
      <c r="E2737" s="30"/>
      <c r="F2737" s="22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</row>
    <row r="2738">
      <c r="A2738" s="20"/>
      <c r="B2738" s="20"/>
      <c r="C2738" s="30"/>
      <c r="D2738" s="30"/>
      <c r="E2738" s="30"/>
      <c r="F2738" s="22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</row>
    <row r="2739">
      <c r="A2739" s="20"/>
      <c r="B2739" s="20"/>
      <c r="C2739" s="30"/>
      <c r="D2739" s="30"/>
      <c r="E2739" s="30"/>
      <c r="F2739" s="22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</row>
    <row r="2740">
      <c r="A2740" s="20"/>
      <c r="B2740" s="20"/>
      <c r="C2740" s="30"/>
      <c r="D2740" s="30"/>
      <c r="E2740" s="30"/>
      <c r="F2740" s="22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</row>
    <row r="2741">
      <c r="A2741" s="20"/>
      <c r="B2741" s="20"/>
      <c r="C2741" s="30"/>
      <c r="D2741" s="30"/>
      <c r="E2741" s="30"/>
      <c r="F2741" s="22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</row>
    <row r="2742">
      <c r="A2742" s="20"/>
      <c r="B2742" s="20"/>
      <c r="C2742" s="30"/>
      <c r="D2742" s="30"/>
      <c r="E2742" s="30"/>
      <c r="F2742" s="22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</row>
    <row r="2743">
      <c r="A2743" s="20"/>
      <c r="B2743" s="20"/>
      <c r="C2743" s="30"/>
      <c r="D2743" s="30"/>
      <c r="E2743" s="30"/>
      <c r="F2743" s="22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</row>
    <row r="2744">
      <c r="A2744" s="20"/>
      <c r="B2744" s="20"/>
      <c r="C2744" s="30"/>
      <c r="D2744" s="30"/>
      <c r="E2744" s="30"/>
      <c r="F2744" s="22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</row>
    <row r="2745">
      <c r="A2745" s="20"/>
      <c r="B2745" s="20"/>
      <c r="C2745" s="30"/>
      <c r="D2745" s="30"/>
      <c r="E2745" s="30"/>
      <c r="F2745" s="22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</row>
    <row r="2746">
      <c r="A2746" s="20"/>
      <c r="B2746" s="20"/>
      <c r="C2746" s="30"/>
      <c r="D2746" s="30"/>
      <c r="E2746" s="30"/>
      <c r="F2746" s="22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</row>
    <row r="2747">
      <c r="A2747" s="20"/>
      <c r="B2747" s="20"/>
      <c r="C2747" s="30"/>
      <c r="D2747" s="30"/>
      <c r="E2747" s="30"/>
      <c r="F2747" s="22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</row>
    <row r="2748">
      <c r="A2748" s="20"/>
      <c r="B2748" s="20"/>
      <c r="C2748" s="30"/>
      <c r="D2748" s="30"/>
      <c r="E2748" s="30"/>
      <c r="F2748" s="22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</row>
    <row r="2749">
      <c r="A2749" s="20"/>
      <c r="B2749" s="20"/>
      <c r="C2749" s="30"/>
      <c r="D2749" s="30"/>
      <c r="E2749" s="30"/>
      <c r="F2749" s="22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</row>
    <row r="2750">
      <c r="A2750" s="20"/>
      <c r="B2750" s="20"/>
      <c r="C2750" s="30"/>
      <c r="D2750" s="30"/>
      <c r="E2750" s="30"/>
      <c r="F2750" s="22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</row>
    <row r="2751">
      <c r="A2751" s="20"/>
      <c r="B2751" s="20"/>
      <c r="C2751" s="30"/>
      <c r="D2751" s="30"/>
      <c r="E2751" s="30"/>
      <c r="F2751" s="22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</row>
    <row r="2752">
      <c r="A2752" s="20"/>
      <c r="B2752" s="20"/>
      <c r="C2752" s="30"/>
      <c r="D2752" s="30"/>
      <c r="E2752" s="30"/>
      <c r="F2752" s="22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</row>
    <row r="2753">
      <c r="A2753" s="20"/>
      <c r="B2753" s="20"/>
      <c r="C2753" s="30"/>
      <c r="D2753" s="30"/>
      <c r="E2753" s="30"/>
      <c r="F2753" s="22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</row>
    <row r="2754">
      <c r="A2754" s="20"/>
      <c r="B2754" s="20"/>
      <c r="C2754" s="30"/>
      <c r="D2754" s="30"/>
      <c r="E2754" s="30"/>
      <c r="F2754" s="22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</row>
    <row r="2755">
      <c r="A2755" s="20"/>
      <c r="B2755" s="20"/>
      <c r="C2755" s="30"/>
      <c r="D2755" s="30"/>
      <c r="E2755" s="30"/>
      <c r="F2755" s="22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</row>
    <row r="2756">
      <c r="A2756" s="20"/>
      <c r="B2756" s="20"/>
      <c r="C2756" s="30"/>
      <c r="D2756" s="30"/>
      <c r="E2756" s="30"/>
      <c r="F2756" s="22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</row>
    <row r="2757">
      <c r="A2757" s="20"/>
      <c r="B2757" s="20"/>
      <c r="C2757" s="30"/>
      <c r="D2757" s="30"/>
      <c r="E2757" s="30"/>
      <c r="F2757" s="22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</row>
    <row r="2758">
      <c r="A2758" s="20"/>
      <c r="B2758" s="20"/>
      <c r="C2758" s="30"/>
      <c r="D2758" s="30"/>
      <c r="E2758" s="30"/>
      <c r="F2758" s="22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</row>
    <row r="2759">
      <c r="A2759" s="20"/>
      <c r="B2759" s="20"/>
      <c r="C2759" s="30"/>
      <c r="D2759" s="30"/>
      <c r="E2759" s="30"/>
      <c r="F2759" s="22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</row>
    <row r="2760">
      <c r="A2760" s="20"/>
      <c r="B2760" s="20"/>
      <c r="C2760" s="30"/>
      <c r="D2760" s="30"/>
      <c r="E2760" s="30"/>
      <c r="F2760" s="22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</row>
    <row r="2761">
      <c r="A2761" s="20"/>
      <c r="B2761" s="20"/>
      <c r="C2761" s="30"/>
      <c r="D2761" s="30"/>
      <c r="E2761" s="30"/>
      <c r="F2761" s="22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</row>
    <row r="2762">
      <c r="A2762" s="20"/>
      <c r="B2762" s="20"/>
      <c r="C2762" s="30"/>
      <c r="D2762" s="30"/>
      <c r="E2762" s="30"/>
      <c r="F2762" s="22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</row>
    <row r="2763">
      <c r="A2763" s="20"/>
      <c r="B2763" s="20"/>
      <c r="C2763" s="30"/>
      <c r="D2763" s="30"/>
      <c r="E2763" s="30"/>
      <c r="F2763" s="22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</row>
    <row r="2764">
      <c r="A2764" s="20"/>
      <c r="B2764" s="20"/>
      <c r="C2764" s="30"/>
      <c r="D2764" s="30"/>
      <c r="E2764" s="30"/>
      <c r="F2764" s="22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</row>
    <row r="2765">
      <c r="A2765" s="20"/>
      <c r="B2765" s="20"/>
      <c r="C2765" s="30"/>
      <c r="D2765" s="30"/>
      <c r="E2765" s="30"/>
      <c r="F2765" s="22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</row>
    <row r="2766">
      <c r="A2766" s="20"/>
      <c r="B2766" s="20"/>
      <c r="C2766" s="30"/>
      <c r="D2766" s="30"/>
      <c r="E2766" s="30"/>
      <c r="F2766" s="22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</row>
    <row r="2767">
      <c r="A2767" s="20"/>
      <c r="B2767" s="20"/>
      <c r="C2767" s="30"/>
      <c r="D2767" s="30"/>
      <c r="E2767" s="30"/>
      <c r="F2767" s="22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</row>
    <row r="2768">
      <c r="A2768" s="20"/>
      <c r="B2768" s="20"/>
      <c r="C2768" s="30"/>
      <c r="D2768" s="30"/>
      <c r="E2768" s="30"/>
      <c r="F2768" s="22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</row>
    <row r="2769">
      <c r="A2769" s="20"/>
      <c r="B2769" s="20"/>
      <c r="C2769" s="30"/>
      <c r="D2769" s="30"/>
      <c r="E2769" s="30"/>
      <c r="F2769" s="22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</row>
    <row r="2770">
      <c r="A2770" s="20"/>
      <c r="B2770" s="20"/>
      <c r="C2770" s="30"/>
      <c r="D2770" s="30"/>
      <c r="E2770" s="30"/>
      <c r="F2770" s="22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</row>
    <row r="2771">
      <c r="A2771" s="20"/>
      <c r="B2771" s="20"/>
      <c r="C2771" s="30"/>
      <c r="D2771" s="30"/>
      <c r="E2771" s="30"/>
      <c r="F2771" s="22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</row>
    <row r="2772">
      <c r="A2772" s="20"/>
      <c r="B2772" s="20"/>
      <c r="C2772" s="30"/>
      <c r="D2772" s="30"/>
      <c r="E2772" s="30"/>
      <c r="F2772" s="22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</row>
    <row r="2773">
      <c r="A2773" s="20"/>
      <c r="B2773" s="20"/>
      <c r="C2773" s="30"/>
      <c r="D2773" s="30"/>
      <c r="E2773" s="30"/>
      <c r="F2773" s="22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</row>
    <row r="2774">
      <c r="A2774" s="20"/>
      <c r="B2774" s="20"/>
      <c r="C2774" s="30"/>
      <c r="D2774" s="30"/>
      <c r="E2774" s="30"/>
      <c r="F2774" s="22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</row>
    <row r="2775">
      <c r="A2775" s="20"/>
      <c r="B2775" s="20"/>
      <c r="C2775" s="30"/>
      <c r="D2775" s="30"/>
      <c r="E2775" s="30"/>
      <c r="F2775" s="22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</row>
    <row r="2776">
      <c r="A2776" s="20"/>
      <c r="B2776" s="20"/>
      <c r="C2776" s="30"/>
      <c r="D2776" s="30"/>
      <c r="E2776" s="30"/>
      <c r="F2776" s="22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</row>
    <row r="2777">
      <c r="A2777" s="20"/>
      <c r="B2777" s="20"/>
      <c r="C2777" s="30"/>
      <c r="D2777" s="30"/>
      <c r="E2777" s="30"/>
      <c r="F2777" s="22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</row>
    <row r="2778">
      <c r="A2778" s="20"/>
      <c r="B2778" s="20"/>
      <c r="C2778" s="30"/>
      <c r="D2778" s="30"/>
      <c r="E2778" s="30"/>
      <c r="F2778" s="22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</row>
    <row r="2779">
      <c r="A2779" s="20"/>
      <c r="B2779" s="20"/>
      <c r="C2779" s="30"/>
      <c r="D2779" s="30"/>
      <c r="E2779" s="30"/>
      <c r="F2779" s="22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</row>
    <row r="2780">
      <c r="A2780" s="20"/>
      <c r="B2780" s="20"/>
      <c r="C2780" s="30"/>
      <c r="D2780" s="30"/>
      <c r="E2780" s="30"/>
      <c r="F2780" s="22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</row>
    <row r="2781">
      <c r="A2781" s="20"/>
      <c r="B2781" s="20"/>
      <c r="C2781" s="30"/>
      <c r="D2781" s="30"/>
      <c r="E2781" s="30"/>
      <c r="F2781" s="22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</row>
    <row r="2782">
      <c r="A2782" s="20"/>
      <c r="B2782" s="20"/>
      <c r="C2782" s="30"/>
      <c r="D2782" s="30"/>
      <c r="E2782" s="30"/>
      <c r="F2782" s="22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</row>
    <row r="2783">
      <c r="A2783" s="20"/>
      <c r="B2783" s="20"/>
      <c r="C2783" s="30"/>
      <c r="D2783" s="30"/>
      <c r="E2783" s="30"/>
      <c r="F2783" s="22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</row>
    <row r="2784">
      <c r="A2784" s="20"/>
      <c r="B2784" s="20"/>
      <c r="C2784" s="30"/>
      <c r="D2784" s="30"/>
      <c r="E2784" s="30"/>
      <c r="F2784" s="22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</row>
    <row r="2785">
      <c r="A2785" s="20"/>
      <c r="B2785" s="20"/>
      <c r="C2785" s="30"/>
      <c r="D2785" s="30"/>
      <c r="E2785" s="30"/>
      <c r="F2785" s="22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</row>
    <row r="2786">
      <c r="A2786" s="20"/>
      <c r="B2786" s="20"/>
      <c r="C2786" s="30"/>
      <c r="D2786" s="30"/>
      <c r="E2786" s="30"/>
      <c r="F2786" s="22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</row>
    <row r="2787">
      <c r="A2787" s="20"/>
      <c r="B2787" s="20"/>
      <c r="C2787" s="30"/>
      <c r="D2787" s="30"/>
      <c r="E2787" s="30"/>
      <c r="F2787" s="22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</row>
    <row r="2788">
      <c r="A2788" s="20"/>
      <c r="B2788" s="20"/>
      <c r="C2788" s="30"/>
      <c r="D2788" s="30"/>
      <c r="E2788" s="30"/>
      <c r="F2788" s="22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</row>
    <row r="2789">
      <c r="A2789" s="20"/>
      <c r="B2789" s="20"/>
      <c r="C2789" s="30"/>
      <c r="D2789" s="30"/>
      <c r="E2789" s="30"/>
      <c r="F2789" s="22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</row>
    <row r="2790">
      <c r="A2790" s="20"/>
      <c r="B2790" s="20"/>
      <c r="C2790" s="30"/>
      <c r="D2790" s="30"/>
      <c r="E2790" s="30"/>
      <c r="F2790" s="22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</row>
    <row r="2791">
      <c r="A2791" s="20"/>
      <c r="B2791" s="20"/>
      <c r="C2791" s="30"/>
      <c r="D2791" s="30"/>
      <c r="E2791" s="30"/>
      <c r="F2791" s="22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</row>
    <row r="2792">
      <c r="A2792" s="20"/>
      <c r="B2792" s="20"/>
      <c r="C2792" s="30"/>
      <c r="D2792" s="30"/>
      <c r="E2792" s="30"/>
      <c r="F2792" s="22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</row>
    <row r="2793">
      <c r="A2793" s="20"/>
      <c r="B2793" s="20"/>
      <c r="C2793" s="30"/>
      <c r="D2793" s="30"/>
      <c r="E2793" s="30"/>
      <c r="F2793" s="22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</row>
    <row r="2794">
      <c r="A2794" s="20"/>
      <c r="B2794" s="20"/>
      <c r="C2794" s="30"/>
      <c r="D2794" s="30"/>
      <c r="E2794" s="30"/>
      <c r="F2794" s="22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</row>
    <row r="2795">
      <c r="A2795" s="20"/>
      <c r="B2795" s="20"/>
      <c r="C2795" s="30"/>
      <c r="D2795" s="30"/>
      <c r="E2795" s="30"/>
      <c r="F2795" s="22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</row>
    <row r="2796">
      <c r="A2796" s="20"/>
      <c r="B2796" s="20"/>
      <c r="C2796" s="30"/>
      <c r="D2796" s="30"/>
      <c r="E2796" s="30"/>
      <c r="F2796" s="22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</row>
    <row r="2797">
      <c r="A2797" s="20"/>
      <c r="B2797" s="20"/>
      <c r="C2797" s="30"/>
      <c r="D2797" s="30"/>
      <c r="E2797" s="30"/>
      <c r="F2797" s="22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</row>
    <row r="2798">
      <c r="A2798" s="20"/>
      <c r="B2798" s="20"/>
      <c r="C2798" s="30"/>
      <c r="D2798" s="30"/>
      <c r="E2798" s="30"/>
      <c r="F2798" s="22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</row>
    <row r="2799">
      <c r="A2799" s="20"/>
      <c r="B2799" s="20"/>
      <c r="C2799" s="30"/>
      <c r="D2799" s="30"/>
      <c r="E2799" s="30"/>
      <c r="F2799" s="22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</row>
    <row r="2800">
      <c r="A2800" s="20"/>
      <c r="B2800" s="20"/>
      <c r="C2800" s="30"/>
      <c r="D2800" s="30"/>
      <c r="E2800" s="30"/>
      <c r="F2800" s="22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</row>
    <row r="2801">
      <c r="A2801" s="20"/>
      <c r="B2801" s="20"/>
      <c r="C2801" s="30"/>
      <c r="D2801" s="30"/>
      <c r="E2801" s="30"/>
      <c r="F2801" s="22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</row>
    <row r="2802">
      <c r="A2802" s="20"/>
      <c r="B2802" s="20"/>
      <c r="C2802" s="30"/>
      <c r="D2802" s="30"/>
      <c r="E2802" s="30"/>
      <c r="F2802" s="22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</row>
    <row r="2803">
      <c r="A2803" s="20"/>
      <c r="B2803" s="20"/>
      <c r="C2803" s="30"/>
      <c r="D2803" s="30"/>
      <c r="E2803" s="30"/>
      <c r="F2803" s="22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</row>
    <row r="2804">
      <c r="A2804" s="20"/>
      <c r="B2804" s="20"/>
      <c r="C2804" s="30"/>
      <c r="D2804" s="30"/>
      <c r="E2804" s="30"/>
      <c r="F2804" s="22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</row>
    <row r="2805">
      <c r="A2805" s="20"/>
      <c r="B2805" s="20"/>
      <c r="C2805" s="30"/>
      <c r="D2805" s="30"/>
      <c r="E2805" s="30"/>
      <c r="F2805" s="22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</row>
    <row r="2806">
      <c r="A2806" s="20"/>
      <c r="B2806" s="20"/>
      <c r="C2806" s="30"/>
      <c r="D2806" s="30"/>
      <c r="E2806" s="30"/>
      <c r="F2806" s="22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</row>
    <row r="2807">
      <c r="A2807" s="20"/>
      <c r="B2807" s="20"/>
      <c r="C2807" s="30"/>
      <c r="D2807" s="30"/>
      <c r="E2807" s="30"/>
      <c r="F2807" s="22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</row>
    <row r="2808">
      <c r="A2808" s="20"/>
      <c r="B2808" s="20"/>
      <c r="C2808" s="30"/>
      <c r="D2808" s="30"/>
      <c r="E2808" s="30"/>
      <c r="F2808" s="22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</row>
    <row r="2809">
      <c r="A2809" s="20"/>
      <c r="B2809" s="20"/>
      <c r="C2809" s="30"/>
      <c r="D2809" s="30"/>
      <c r="E2809" s="30"/>
      <c r="F2809" s="22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</row>
    <row r="2810">
      <c r="A2810" s="20"/>
      <c r="B2810" s="20"/>
      <c r="C2810" s="30"/>
      <c r="D2810" s="30"/>
      <c r="E2810" s="30"/>
      <c r="F2810" s="22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</row>
    <row r="2811">
      <c r="A2811" s="20"/>
      <c r="B2811" s="20"/>
      <c r="C2811" s="30"/>
      <c r="D2811" s="30"/>
      <c r="E2811" s="30"/>
      <c r="F2811" s="22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</row>
    <row r="2812">
      <c r="A2812" s="20"/>
      <c r="B2812" s="20"/>
      <c r="C2812" s="30"/>
      <c r="D2812" s="30"/>
      <c r="E2812" s="30"/>
      <c r="F2812" s="22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</row>
    <row r="2813">
      <c r="A2813" s="20"/>
      <c r="B2813" s="20"/>
      <c r="C2813" s="30"/>
      <c r="D2813" s="30"/>
      <c r="E2813" s="30"/>
      <c r="F2813" s="22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</row>
    <row r="2814">
      <c r="A2814" s="20"/>
      <c r="B2814" s="20"/>
      <c r="C2814" s="30"/>
      <c r="D2814" s="30"/>
      <c r="E2814" s="30"/>
      <c r="F2814" s="22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</row>
    <row r="2815">
      <c r="A2815" s="20"/>
      <c r="B2815" s="20"/>
      <c r="C2815" s="30"/>
      <c r="D2815" s="30"/>
      <c r="E2815" s="30"/>
      <c r="F2815" s="22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</row>
    <row r="2816">
      <c r="A2816" s="20"/>
      <c r="B2816" s="20"/>
      <c r="C2816" s="30"/>
      <c r="D2816" s="30"/>
      <c r="E2816" s="30"/>
      <c r="F2816" s="22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</row>
    <row r="2817">
      <c r="A2817" s="20"/>
      <c r="B2817" s="20"/>
      <c r="C2817" s="30"/>
      <c r="D2817" s="30"/>
      <c r="E2817" s="30"/>
      <c r="F2817" s="22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</row>
    <row r="2818">
      <c r="A2818" s="20"/>
      <c r="B2818" s="20"/>
      <c r="C2818" s="30"/>
      <c r="D2818" s="30"/>
      <c r="E2818" s="30"/>
      <c r="F2818" s="22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</row>
    <row r="2819">
      <c r="A2819" s="20"/>
      <c r="B2819" s="20"/>
      <c r="C2819" s="30"/>
      <c r="D2819" s="30"/>
      <c r="E2819" s="30"/>
      <c r="F2819" s="22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</row>
    <row r="2820">
      <c r="A2820" s="20"/>
      <c r="B2820" s="20"/>
      <c r="C2820" s="30"/>
      <c r="D2820" s="30"/>
      <c r="E2820" s="30"/>
      <c r="F2820" s="22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</row>
    <row r="2821">
      <c r="A2821" s="20"/>
      <c r="B2821" s="20"/>
      <c r="C2821" s="30"/>
      <c r="D2821" s="30"/>
      <c r="E2821" s="30"/>
      <c r="F2821" s="22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</row>
    <row r="2822">
      <c r="A2822" s="20"/>
      <c r="B2822" s="20"/>
      <c r="C2822" s="30"/>
      <c r="D2822" s="30"/>
      <c r="E2822" s="30"/>
      <c r="F2822" s="22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</row>
    <row r="2823">
      <c r="A2823" s="20"/>
      <c r="B2823" s="20"/>
      <c r="C2823" s="30"/>
      <c r="D2823" s="30"/>
      <c r="E2823" s="30"/>
      <c r="F2823" s="22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</row>
    <row r="2824">
      <c r="A2824" s="20"/>
      <c r="B2824" s="20"/>
      <c r="C2824" s="30"/>
      <c r="D2824" s="30"/>
      <c r="E2824" s="30"/>
      <c r="F2824" s="22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</row>
    <row r="2825">
      <c r="A2825" s="20"/>
      <c r="B2825" s="20"/>
      <c r="C2825" s="30"/>
      <c r="D2825" s="30"/>
      <c r="E2825" s="30"/>
      <c r="F2825" s="22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</row>
    <row r="2826">
      <c r="A2826" s="20"/>
      <c r="B2826" s="20"/>
      <c r="C2826" s="30"/>
      <c r="D2826" s="30"/>
      <c r="E2826" s="30"/>
      <c r="F2826" s="22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</row>
    <row r="2827">
      <c r="A2827" s="20"/>
      <c r="B2827" s="20"/>
      <c r="C2827" s="30"/>
      <c r="D2827" s="30"/>
      <c r="E2827" s="30"/>
      <c r="F2827" s="22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</row>
    <row r="2828">
      <c r="A2828" s="20"/>
      <c r="B2828" s="20"/>
      <c r="C2828" s="30"/>
      <c r="D2828" s="30"/>
      <c r="E2828" s="30"/>
      <c r="F2828" s="22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</row>
    <row r="2829">
      <c r="A2829" s="20"/>
      <c r="B2829" s="20"/>
      <c r="C2829" s="30"/>
      <c r="D2829" s="30"/>
      <c r="E2829" s="30"/>
      <c r="F2829" s="22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</row>
    <row r="2830">
      <c r="A2830" s="20"/>
      <c r="B2830" s="20"/>
      <c r="C2830" s="30"/>
      <c r="D2830" s="30"/>
      <c r="E2830" s="30"/>
      <c r="F2830" s="22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</row>
    <row r="2831">
      <c r="A2831" s="20"/>
      <c r="B2831" s="20"/>
      <c r="C2831" s="30"/>
      <c r="D2831" s="30"/>
      <c r="E2831" s="30"/>
      <c r="F2831" s="22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</row>
    <row r="2832">
      <c r="A2832" s="20"/>
      <c r="B2832" s="20"/>
      <c r="C2832" s="30"/>
      <c r="D2832" s="30"/>
      <c r="E2832" s="30"/>
      <c r="F2832" s="22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</row>
    <row r="2833">
      <c r="A2833" s="20"/>
      <c r="B2833" s="20"/>
      <c r="C2833" s="30"/>
      <c r="D2833" s="30"/>
      <c r="E2833" s="30"/>
      <c r="F2833" s="22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</row>
    <row r="2834">
      <c r="A2834" s="20"/>
      <c r="B2834" s="20"/>
      <c r="C2834" s="30"/>
      <c r="D2834" s="30"/>
      <c r="E2834" s="30"/>
      <c r="F2834" s="22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</row>
    <row r="2835">
      <c r="A2835" s="20"/>
      <c r="B2835" s="20"/>
      <c r="C2835" s="30"/>
      <c r="D2835" s="30"/>
      <c r="E2835" s="30"/>
      <c r="F2835" s="22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</row>
    <row r="2836">
      <c r="A2836" s="20"/>
      <c r="B2836" s="20"/>
      <c r="C2836" s="30"/>
      <c r="D2836" s="30"/>
      <c r="E2836" s="30"/>
      <c r="F2836" s="22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</row>
    <row r="2837">
      <c r="A2837" s="20"/>
      <c r="B2837" s="20"/>
      <c r="C2837" s="30"/>
      <c r="D2837" s="30"/>
      <c r="E2837" s="30"/>
      <c r="F2837" s="22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</row>
    <row r="2838">
      <c r="A2838" s="20"/>
      <c r="B2838" s="20"/>
      <c r="C2838" s="30"/>
      <c r="D2838" s="30"/>
      <c r="E2838" s="30"/>
      <c r="F2838" s="22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</row>
    <row r="2839">
      <c r="A2839" s="20"/>
      <c r="B2839" s="20"/>
      <c r="C2839" s="30"/>
      <c r="D2839" s="30"/>
      <c r="E2839" s="30"/>
      <c r="F2839" s="22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</row>
    <row r="2840">
      <c r="A2840" s="20"/>
      <c r="B2840" s="20"/>
      <c r="C2840" s="30"/>
      <c r="D2840" s="30"/>
      <c r="E2840" s="30"/>
      <c r="F2840" s="22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</row>
    <row r="2841">
      <c r="A2841" s="20"/>
      <c r="B2841" s="20"/>
      <c r="C2841" s="30"/>
      <c r="D2841" s="30"/>
      <c r="E2841" s="30"/>
      <c r="F2841" s="22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</row>
    <row r="2842">
      <c r="A2842" s="20"/>
      <c r="B2842" s="20"/>
      <c r="C2842" s="30"/>
      <c r="D2842" s="30"/>
      <c r="E2842" s="30"/>
      <c r="F2842" s="22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</row>
    <row r="2843">
      <c r="A2843" s="20"/>
      <c r="B2843" s="20"/>
      <c r="C2843" s="30"/>
      <c r="D2843" s="30"/>
      <c r="E2843" s="30"/>
      <c r="F2843" s="22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</row>
    <row r="2844">
      <c r="A2844" s="20"/>
      <c r="B2844" s="20"/>
      <c r="C2844" s="30"/>
      <c r="D2844" s="30"/>
      <c r="E2844" s="30"/>
      <c r="F2844" s="22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</row>
    <row r="2845">
      <c r="A2845" s="20"/>
      <c r="B2845" s="20"/>
      <c r="C2845" s="30"/>
      <c r="D2845" s="30"/>
      <c r="E2845" s="30"/>
      <c r="F2845" s="22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</row>
    <row r="2846">
      <c r="A2846" s="20"/>
      <c r="B2846" s="20"/>
      <c r="C2846" s="30"/>
      <c r="D2846" s="30"/>
      <c r="E2846" s="30"/>
      <c r="F2846" s="22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</row>
    <row r="2847">
      <c r="A2847" s="20"/>
      <c r="B2847" s="20"/>
      <c r="C2847" s="30"/>
      <c r="D2847" s="30"/>
      <c r="E2847" s="30"/>
      <c r="F2847" s="22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</row>
    <row r="2848">
      <c r="A2848" s="20"/>
      <c r="B2848" s="20"/>
      <c r="C2848" s="30"/>
      <c r="D2848" s="30"/>
      <c r="E2848" s="30"/>
      <c r="F2848" s="22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</row>
    <row r="2849">
      <c r="A2849" s="20"/>
      <c r="B2849" s="20"/>
      <c r="C2849" s="30"/>
      <c r="D2849" s="30"/>
      <c r="E2849" s="30"/>
      <c r="F2849" s="22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</row>
    <row r="2850">
      <c r="A2850" s="20"/>
      <c r="B2850" s="20"/>
      <c r="C2850" s="30"/>
      <c r="D2850" s="30"/>
      <c r="E2850" s="30"/>
      <c r="F2850" s="22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</row>
    <row r="2851">
      <c r="A2851" s="20"/>
      <c r="B2851" s="20"/>
      <c r="C2851" s="30"/>
      <c r="D2851" s="30"/>
      <c r="E2851" s="30"/>
      <c r="F2851" s="22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</row>
    <row r="2852">
      <c r="A2852" s="20"/>
      <c r="B2852" s="20"/>
      <c r="C2852" s="30"/>
      <c r="D2852" s="30"/>
      <c r="E2852" s="30"/>
      <c r="F2852" s="22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</row>
    <row r="2853">
      <c r="A2853" s="20"/>
      <c r="B2853" s="20"/>
      <c r="C2853" s="30"/>
      <c r="D2853" s="30"/>
      <c r="E2853" s="30"/>
      <c r="F2853" s="22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</row>
    <row r="2854">
      <c r="A2854" s="20"/>
      <c r="B2854" s="20"/>
      <c r="C2854" s="30"/>
      <c r="D2854" s="30"/>
      <c r="E2854" s="30"/>
      <c r="F2854" s="22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</row>
    <row r="2855">
      <c r="A2855" s="20"/>
      <c r="B2855" s="20"/>
      <c r="C2855" s="30"/>
      <c r="D2855" s="30"/>
      <c r="E2855" s="30"/>
      <c r="F2855" s="22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</row>
    <row r="2856">
      <c r="A2856" s="20"/>
      <c r="B2856" s="20"/>
      <c r="C2856" s="30"/>
      <c r="D2856" s="30"/>
      <c r="E2856" s="30"/>
      <c r="F2856" s="22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</row>
    <row r="2857">
      <c r="A2857" s="20"/>
      <c r="B2857" s="20"/>
      <c r="C2857" s="30"/>
      <c r="D2857" s="30"/>
      <c r="E2857" s="30"/>
      <c r="F2857" s="22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</row>
    <row r="2858">
      <c r="A2858" s="20"/>
      <c r="B2858" s="20"/>
      <c r="C2858" s="30"/>
      <c r="D2858" s="30"/>
      <c r="E2858" s="30"/>
      <c r="F2858" s="22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</row>
    <row r="2859">
      <c r="A2859" s="20"/>
      <c r="B2859" s="20"/>
      <c r="C2859" s="30"/>
      <c r="D2859" s="30"/>
      <c r="E2859" s="30"/>
      <c r="F2859" s="22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</row>
    <row r="2860">
      <c r="A2860" s="20"/>
      <c r="B2860" s="20"/>
      <c r="C2860" s="30"/>
      <c r="D2860" s="30"/>
      <c r="E2860" s="30"/>
      <c r="F2860" s="22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</row>
    <row r="2861">
      <c r="A2861" s="20"/>
      <c r="B2861" s="20"/>
      <c r="C2861" s="30"/>
      <c r="D2861" s="30"/>
      <c r="E2861" s="30"/>
      <c r="F2861" s="22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</row>
    <row r="2862">
      <c r="A2862" s="20"/>
      <c r="B2862" s="20"/>
      <c r="C2862" s="30"/>
      <c r="D2862" s="30"/>
      <c r="E2862" s="30"/>
      <c r="F2862" s="22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</row>
    <row r="2863">
      <c r="A2863" s="20"/>
      <c r="B2863" s="20"/>
      <c r="C2863" s="30"/>
      <c r="D2863" s="30"/>
      <c r="E2863" s="30"/>
      <c r="F2863" s="22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</row>
    <row r="2864">
      <c r="A2864" s="20"/>
      <c r="B2864" s="20"/>
      <c r="C2864" s="30"/>
      <c r="D2864" s="30"/>
      <c r="E2864" s="30"/>
      <c r="F2864" s="22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</row>
    <row r="2865">
      <c r="A2865" s="20"/>
      <c r="B2865" s="20"/>
      <c r="C2865" s="30"/>
      <c r="D2865" s="30"/>
      <c r="E2865" s="30"/>
      <c r="F2865" s="22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</row>
    <row r="2866">
      <c r="A2866" s="20"/>
      <c r="B2866" s="20"/>
      <c r="C2866" s="30"/>
      <c r="D2866" s="30"/>
      <c r="E2866" s="30"/>
      <c r="F2866" s="22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</row>
    <row r="2867">
      <c r="A2867" s="20"/>
      <c r="B2867" s="20"/>
      <c r="C2867" s="30"/>
      <c r="D2867" s="30"/>
      <c r="E2867" s="30"/>
      <c r="F2867" s="22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  <c r="T2867" s="23"/>
      <c r="U2867" s="23"/>
    </row>
    <row r="2868">
      <c r="A2868" s="20"/>
      <c r="B2868" s="20"/>
      <c r="C2868" s="30"/>
      <c r="D2868" s="30"/>
      <c r="E2868" s="30"/>
      <c r="F2868" s="22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  <c r="T2868" s="23"/>
      <c r="U2868" s="23"/>
    </row>
    <row r="2869">
      <c r="A2869" s="20"/>
      <c r="B2869" s="20"/>
      <c r="C2869" s="30"/>
      <c r="D2869" s="30"/>
      <c r="E2869" s="30"/>
      <c r="F2869" s="22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</row>
    <row r="2870">
      <c r="A2870" s="20"/>
      <c r="B2870" s="20"/>
      <c r="C2870" s="30"/>
      <c r="D2870" s="30"/>
      <c r="E2870" s="30"/>
      <c r="F2870" s="22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  <c r="T2870" s="23"/>
      <c r="U2870" s="23"/>
    </row>
    <row r="2871">
      <c r="A2871" s="20"/>
      <c r="B2871" s="20"/>
      <c r="C2871" s="30"/>
      <c r="D2871" s="30"/>
      <c r="E2871" s="30"/>
      <c r="F2871" s="22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  <c r="T2871" s="23"/>
      <c r="U2871" s="23"/>
    </row>
    <row r="2872">
      <c r="A2872" s="20"/>
      <c r="B2872" s="20"/>
      <c r="C2872" s="30"/>
      <c r="D2872" s="30"/>
      <c r="E2872" s="30"/>
      <c r="F2872" s="22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23"/>
    </row>
    <row r="2873">
      <c r="A2873" s="20"/>
      <c r="B2873" s="20"/>
      <c r="C2873" s="30"/>
      <c r="D2873" s="30"/>
      <c r="E2873" s="30"/>
      <c r="F2873" s="22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  <c r="T2873" s="23"/>
      <c r="U2873" s="23"/>
    </row>
    <row r="2874">
      <c r="A2874" s="20"/>
      <c r="B2874" s="20"/>
      <c r="C2874" s="30"/>
      <c r="D2874" s="30"/>
      <c r="E2874" s="30"/>
      <c r="F2874" s="22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  <c r="T2874" s="23"/>
      <c r="U2874" s="23"/>
    </row>
    <row r="2875">
      <c r="A2875" s="20"/>
      <c r="B2875" s="20"/>
      <c r="C2875" s="30"/>
      <c r="D2875" s="30"/>
      <c r="E2875" s="30"/>
      <c r="F2875" s="22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  <c r="T2875" s="23"/>
      <c r="U2875" s="23"/>
    </row>
    <row r="2876">
      <c r="A2876" s="20"/>
      <c r="B2876" s="20"/>
      <c r="C2876" s="30"/>
      <c r="D2876" s="30"/>
      <c r="E2876" s="30"/>
      <c r="F2876" s="22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  <c r="T2876" s="23"/>
      <c r="U2876" s="23"/>
    </row>
    <row r="2877">
      <c r="A2877" s="20"/>
      <c r="B2877" s="20"/>
      <c r="C2877" s="30"/>
      <c r="D2877" s="30"/>
      <c r="E2877" s="30"/>
      <c r="F2877" s="22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  <c r="T2877" s="23"/>
      <c r="U2877" s="23"/>
    </row>
    <row r="2878">
      <c r="A2878" s="20"/>
      <c r="B2878" s="20"/>
      <c r="C2878" s="30"/>
      <c r="D2878" s="30"/>
      <c r="E2878" s="30"/>
      <c r="F2878" s="22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  <c r="T2878" s="23"/>
      <c r="U2878" s="23"/>
    </row>
    <row r="2879">
      <c r="A2879" s="20"/>
      <c r="B2879" s="20"/>
      <c r="C2879" s="30"/>
      <c r="D2879" s="30"/>
      <c r="E2879" s="30"/>
      <c r="F2879" s="22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  <c r="T2879" s="23"/>
      <c r="U2879" s="23"/>
    </row>
    <row r="2880">
      <c r="A2880" s="20"/>
      <c r="B2880" s="20"/>
      <c r="C2880" s="30"/>
      <c r="D2880" s="30"/>
      <c r="E2880" s="30"/>
      <c r="F2880" s="22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</row>
    <row r="2881">
      <c r="A2881" s="20"/>
      <c r="B2881" s="20"/>
      <c r="C2881" s="30"/>
      <c r="D2881" s="30"/>
      <c r="E2881" s="30"/>
      <c r="F2881" s="22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  <c r="T2881" s="23"/>
      <c r="U2881" s="23"/>
    </row>
    <row r="2882">
      <c r="A2882" s="20"/>
      <c r="B2882" s="20"/>
      <c r="C2882" s="30"/>
      <c r="D2882" s="30"/>
      <c r="E2882" s="30"/>
      <c r="F2882" s="22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  <c r="T2882" s="23"/>
      <c r="U2882" s="23"/>
    </row>
    <row r="2883">
      <c r="A2883" s="20"/>
      <c r="B2883" s="20"/>
      <c r="C2883" s="30"/>
      <c r="D2883" s="30"/>
      <c r="E2883" s="30"/>
      <c r="F2883" s="22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  <c r="T2883" s="23"/>
      <c r="U2883" s="23"/>
    </row>
    <row r="2884">
      <c r="A2884" s="20"/>
      <c r="B2884" s="20"/>
      <c r="C2884" s="30"/>
      <c r="D2884" s="30"/>
      <c r="E2884" s="30"/>
      <c r="F2884" s="22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  <c r="T2884" s="23"/>
      <c r="U2884" s="23"/>
    </row>
    <row r="2885">
      <c r="A2885" s="20"/>
      <c r="B2885" s="20"/>
      <c r="C2885" s="30"/>
      <c r="D2885" s="30"/>
      <c r="E2885" s="30"/>
      <c r="F2885" s="22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</row>
    <row r="2886">
      <c r="A2886" s="20"/>
      <c r="B2886" s="20"/>
      <c r="C2886" s="30"/>
      <c r="D2886" s="30"/>
      <c r="E2886" s="30"/>
      <c r="F2886" s="22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</row>
    <row r="2887">
      <c r="A2887" s="20"/>
      <c r="B2887" s="20"/>
      <c r="C2887" s="30"/>
      <c r="D2887" s="30"/>
      <c r="E2887" s="30"/>
      <c r="F2887" s="22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</row>
    <row r="2888">
      <c r="A2888" s="20"/>
      <c r="B2888" s="20"/>
      <c r="C2888" s="30"/>
      <c r="D2888" s="30"/>
      <c r="E2888" s="30"/>
      <c r="F2888" s="22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</row>
    <row r="2889">
      <c r="A2889" s="20"/>
      <c r="B2889" s="20"/>
      <c r="C2889" s="30"/>
      <c r="D2889" s="30"/>
      <c r="E2889" s="30"/>
      <c r="F2889" s="22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</row>
    <row r="2890">
      <c r="A2890" s="20"/>
      <c r="B2890" s="20"/>
      <c r="C2890" s="30"/>
      <c r="D2890" s="30"/>
      <c r="E2890" s="30"/>
      <c r="F2890" s="22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</row>
    <row r="2891">
      <c r="A2891" s="20"/>
      <c r="B2891" s="20"/>
      <c r="C2891" s="30"/>
      <c r="D2891" s="30"/>
      <c r="E2891" s="30"/>
      <c r="F2891" s="22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</row>
    <row r="2892">
      <c r="A2892" s="20"/>
      <c r="B2892" s="20"/>
      <c r="C2892" s="30"/>
      <c r="D2892" s="30"/>
      <c r="E2892" s="30"/>
      <c r="F2892" s="22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</row>
    <row r="2893">
      <c r="A2893" s="20"/>
      <c r="B2893" s="20"/>
      <c r="C2893" s="30"/>
      <c r="D2893" s="30"/>
      <c r="E2893" s="30"/>
      <c r="F2893" s="22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</row>
    <row r="2894">
      <c r="A2894" s="20"/>
      <c r="B2894" s="20"/>
      <c r="C2894" s="30"/>
      <c r="D2894" s="30"/>
      <c r="E2894" s="30"/>
      <c r="F2894" s="22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</row>
    <row r="2895">
      <c r="A2895" s="20"/>
      <c r="B2895" s="20"/>
      <c r="C2895" s="30"/>
      <c r="D2895" s="30"/>
      <c r="E2895" s="30"/>
      <c r="F2895" s="22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</row>
    <row r="2896">
      <c r="A2896" s="20"/>
      <c r="B2896" s="20"/>
      <c r="C2896" s="30"/>
      <c r="D2896" s="30"/>
      <c r="E2896" s="30"/>
      <c r="F2896" s="22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</row>
    <row r="2897">
      <c r="A2897" s="20"/>
      <c r="B2897" s="20"/>
      <c r="C2897" s="30"/>
      <c r="D2897" s="30"/>
      <c r="E2897" s="30"/>
      <c r="F2897" s="22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</row>
    <row r="2898">
      <c r="A2898" s="20"/>
      <c r="B2898" s="20"/>
      <c r="C2898" s="30"/>
      <c r="D2898" s="30"/>
      <c r="E2898" s="30"/>
      <c r="F2898" s="22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</row>
    <row r="2899">
      <c r="A2899" s="20"/>
      <c r="B2899" s="20"/>
      <c r="C2899" s="30"/>
      <c r="D2899" s="30"/>
      <c r="E2899" s="30"/>
      <c r="F2899" s="22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</row>
    <row r="2900">
      <c r="A2900" s="20"/>
      <c r="B2900" s="20"/>
      <c r="C2900" s="30"/>
      <c r="D2900" s="30"/>
      <c r="E2900" s="30"/>
      <c r="F2900" s="22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</row>
    <row r="2901">
      <c r="A2901" s="20"/>
      <c r="B2901" s="20"/>
      <c r="C2901" s="30"/>
      <c r="D2901" s="30"/>
      <c r="E2901" s="30"/>
      <c r="F2901" s="22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</row>
    <row r="2902">
      <c r="A2902" s="20"/>
      <c r="B2902" s="20"/>
      <c r="C2902" s="30"/>
      <c r="D2902" s="30"/>
      <c r="E2902" s="30"/>
      <c r="F2902" s="22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</row>
    <row r="2903">
      <c r="A2903" s="20"/>
      <c r="B2903" s="20"/>
      <c r="C2903" s="30"/>
      <c r="D2903" s="30"/>
      <c r="E2903" s="30"/>
      <c r="F2903" s="22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</row>
    <row r="2904">
      <c r="A2904" s="20"/>
      <c r="B2904" s="20"/>
      <c r="C2904" s="30"/>
      <c r="D2904" s="30"/>
      <c r="E2904" s="30"/>
      <c r="F2904" s="22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</row>
    <row r="2905">
      <c r="A2905" s="20"/>
      <c r="B2905" s="20"/>
      <c r="C2905" s="30"/>
      <c r="D2905" s="30"/>
      <c r="E2905" s="30"/>
      <c r="F2905" s="22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</row>
    <row r="2906">
      <c r="A2906" s="20"/>
      <c r="B2906" s="20"/>
      <c r="C2906" s="30"/>
      <c r="D2906" s="30"/>
      <c r="E2906" s="30"/>
      <c r="F2906" s="22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</row>
    <row r="2907">
      <c r="A2907" s="20"/>
      <c r="B2907" s="20"/>
      <c r="C2907" s="30"/>
      <c r="D2907" s="30"/>
      <c r="E2907" s="30"/>
      <c r="F2907" s="22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</row>
    <row r="2908">
      <c r="A2908" s="20"/>
      <c r="B2908" s="20"/>
      <c r="C2908" s="30"/>
      <c r="D2908" s="30"/>
      <c r="E2908" s="30"/>
      <c r="F2908" s="22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</row>
    <row r="2909">
      <c r="A2909" s="20"/>
      <c r="B2909" s="20"/>
      <c r="C2909" s="30"/>
      <c r="D2909" s="30"/>
      <c r="E2909" s="30"/>
      <c r="F2909" s="22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</row>
    <row r="2910">
      <c r="A2910" s="20"/>
      <c r="B2910" s="20"/>
      <c r="C2910" s="30"/>
      <c r="D2910" s="30"/>
      <c r="E2910" s="30"/>
      <c r="F2910" s="22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</row>
    <row r="2911">
      <c r="A2911" s="20"/>
      <c r="B2911" s="20"/>
      <c r="C2911" s="30"/>
      <c r="D2911" s="30"/>
      <c r="E2911" s="30"/>
      <c r="F2911" s="22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</row>
    <row r="2912">
      <c r="A2912" s="20"/>
      <c r="B2912" s="20"/>
      <c r="C2912" s="30"/>
      <c r="D2912" s="30"/>
      <c r="E2912" s="30"/>
      <c r="F2912" s="22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</row>
    <row r="2913">
      <c r="A2913" s="20"/>
      <c r="B2913" s="20"/>
      <c r="C2913" s="30"/>
      <c r="D2913" s="30"/>
      <c r="E2913" s="30"/>
      <c r="F2913" s="22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</row>
    <row r="2914">
      <c r="A2914" s="20"/>
      <c r="B2914" s="20"/>
      <c r="C2914" s="30"/>
      <c r="D2914" s="30"/>
      <c r="E2914" s="30"/>
      <c r="F2914" s="22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</row>
    <row r="2915">
      <c r="A2915" s="20"/>
      <c r="B2915" s="20"/>
      <c r="C2915" s="30"/>
      <c r="D2915" s="30"/>
      <c r="E2915" s="30"/>
      <c r="F2915" s="22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</row>
    <row r="2916">
      <c r="A2916" s="20"/>
      <c r="B2916" s="20"/>
      <c r="C2916" s="30"/>
      <c r="D2916" s="30"/>
      <c r="E2916" s="30"/>
      <c r="F2916" s="22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</row>
    <row r="2917">
      <c r="A2917" s="20"/>
      <c r="B2917" s="20"/>
      <c r="C2917" s="30"/>
      <c r="D2917" s="30"/>
      <c r="E2917" s="30"/>
      <c r="F2917" s="22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</row>
    <row r="2918">
      <c r="A2918" s="20"/>
      <c r="B2918" s="20"/>
      <c r="C2918" s="30"/>
      <c r="D2918" s="30"/>
      <c r="E2918" s="30"/>
      <c r="F2918" s="22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</row>
    <row r="2919">
      <c r="A2919" s="20"/>
      <c r="B2919" s="20"/>
      <c r="C2919" s="30"/>
      <c r="D2919" s="30"/>
      <c r="E2919" s="30"/>
      <c r="F2919" s="22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</row>
    <row r="2920">
      <c r="A2920" s="20"/>
      <c r="B2920" s="20"/>
      <c r="C2920" s="30"/>
      <c r="D2920" s="30"/>
      <c r="E2920" s="30"/>
      <c r="F2920" s="22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</row>
    <row r="2921">
      <c r="A2921" s="20"/>
      <c r="B2921" s="20"/>
      <c r="C2921" s="30"/>
      <c r="D2921" s="30"/>
      <c r="E2921" s="30"/>
      <c r="F2921" s="22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</row>
    <row r="2922">
      <c r="A2922" s="20"/>
      <c r="B2922" s="20"/>
      <c r="C2922" s="30"/>
      <c r="D2922" s="30"/>
      <c r="E2922" s="30"/>
      <c r="F2922" s="22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</row>
    <row r="2923">
      <c r="A2923" s="20"/>
      <c r="B2923" s="20"/>
      <c r="C2923" s="30"/>
      <c r="D2923" s="30"/>
      <c r="E2923" s="30"/>
      <c r="F2923" s="22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</row>
    <row r="2924">
      <c r="A2924" s="20"/>
      <c r="B2924" s="20"/>
      <c r="C2924" s="30"/>
      <c r="D2924" s="30"/>
      <c r="E2924" s="30"/>
      <c r="F2924" s="22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</row>
    <row r="2925">
      <c r="A2925" s="20"/>
      <c r="B2925" s="20"/>
      <c r="C2925" s="30"/>
      <c r="D2925" s="30"/>
      <c r="E2925" s="30"/>
      <c r="F2925" s="22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</row>
    <row r="2926">
      <c r="A2926" s="20"/>
      <c r="B2926" s="20"/>
      <c r="C2926" s="30"/>
      <c r="D2926" s="30"/>
      <c r="E2926" s="30"/>
      <c r="F2926" s="22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</row>
    <row r="2927">
      <c r="A2927" s="20"/>
      <c r="B2927" s="20"/>
      <c r="C2927" s="30"/>
      <c r="D2927" s="30"/>
      <c r="E2927" s="30"/>
      <c r="F2927" s="22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</row>
    <row r="2928">
      <c r="A2928" s="20"/>
      <c r="B2928" s="20"/>
      <c r="C2928" s="30"/>
      <c r="D2928" s="30"/>
      <c r="E2928" s="30"/>
      <c r="F2928" s="22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</row>
    <row r="2929">
      <c r="A2929" s="20"/>
      <c r="B2929" s="20"/>
      <c r="C2929" s="30"/>
      <c r="D2929" s="30"/>
      <c r="E2929" s="30"/>
      <c r="F2929" s="22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</row>
    <row r="2930">
      <c r="A2930" s="20"/>
      <c r="B2930" s="20"/>
      <c r="C2930" s="30"/>
      <c r="D2930" s="30"/>
      <c r="E2930" s="30"/>
      <c r="F2930" s="22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</row>
    <row r="2931">
      <c r="A2931" s="20"/>
      <c r="B2931" s="20"/>
      <c r="C2931" s="30"/>
      <c r="D2931" s="30"/>
      <c r="E2931" s="30"/>
      <c r="F2931" s="22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</row>
    <row r="2932">
      <c r="A2932" s="20"/>
      <c r="B2932" s="20"/>
      <c r="C2932" s="30"/>
      <c r="D2932" s="30"/>
      <c r="E2932" s="30"/>
      <c r="F2932" s="22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</row>
    <row r="2933">
      <c r="A2933" s="20"/>
      <c r="B2933" s="20"/>
      <c r="C2933" s="30"/>
      <c r="D2933" s="30"/>
      <c r="E2933" s="30"/>
      <c r="F2933" s="22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</row>
    <row r="2934">
      <c r="A2934" s="20"/>
      <c r="B2934" s="20"/>
      <c r="C2934" s="30"/>
      <c r="D2934" s="30"/>
      <c r="E2934" s="30"/>
      <c r="F2934" s="22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</row>
    <row r="2935">
      <c r="A2935" s="20"/>
      <c r="B2935" s="20"/>
      <c r="C2935" s="30"/>
      <c r="D2935" s="30"/>
      <c r="E2935" s="30"/>
      <c r="F2935" s="22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</row>
    <row r="2936">
      <c r="A2936" s="20"/>
      <c r="B2936" s="20"/>
      <c r="C2936" s="30"/>
      <c r="D2936" s="30"/>
      <c r="E2936" s="30"/>
      <c r="F2936" s="22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</row>
    <row r="2937">
      <c r="A2937" s="20"/>
      <c r="B2937" s="20"/>
      <c r="C2937" s="30"/>
      <c r="D2937" s="30"/>
      <c r="E2937" s="30"/>
      <c r="F2937" s="22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</row>
    <row r="2938">
      <c r="A2938" s="20"/>
      <c r="B2938" s="20"/>
      <c r="C2938" s="30"/>
      <c r="D2938" s="30"/>
      <c r="E2938" s="30"/>
      <c r="F2938" s="22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</row>
    <row r="2939">
      <c r="A2939" s="20"/>
      <c r="B2939" s="20"/>
      <c r="C2939" s="30"/>
      <c r="D2939" s="30"/>
      <c r="E2939" s="30"/>
      <c r="F2939" s="22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</row>
    <row r="2940">
      <c r="A2940" s="20"/>
      <c r="B2940" s="20"/>
      <c r="C2940" s="30"/>
      <c r="D2940" s="30"/>
      <c r="E2940" s="30"/>
      <c r="F2940" s="22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</row>
    <row r="2941">
      <c r="A2941" s="20"/>
      <c r="B2941" s="20"/>
      <c r="C2941" s="30"/>
      <c r="D2941" s="30"/>
      <c r="E2941" s="30"/>
      <c r="F2941" s="22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</row>
    <row r="2942">
      <c r="A2942" s="20"/>
      <c r="B2942" s="20"/>
      <c r="C2942" s="30"/>
      <c r="D2942" s="30"/>
      <c r="E2942" s="30"/>
      <c r="F2942" s="22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</row>
    <row r="2943">
      <c r="A2943" s="20"/>
      <c r="B2943" s="20"/>
      <c r="C2943" s="30"/>
      <c r="D2943" s="30"/>
      <c r="E2943" s="30"/>
      <c r="F2943" s="22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</row>
    <row r="2944">
      <c r="A2944" s="20"/>
      <c r="B2944" s="20"/>
      <c r="C2944" s="30"/>
      <c r="D2944" s="30"/>
      <c r="E2944" s="30"/>
      <c r="F2944" s="22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</row>
    <row r="2945">
      <c r="A2945" s="20"/>
      <c r="B2945" s="20"/>
      <c r="C2945" s="30"/>
      <c r="D2945" s="30"/>
      <c r="E2945" s="30"/>
      <c r="F2945" s="22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</row>
    <row r="2946">
      <c r="A2946" s="20"/>
      <c r="B2946" s="20"/>
      <c r="C2946" s="30"/>
      <c r="D2946" s="30"/>
      <c r="E2946" s="30"/>
      <c r="F2946" s="22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</row>
    <row r="2947">
      <c r="A2947" s="20"/>
      <c r="B2947" s="20"/>
      <c r="C2947" s="30"/>
      <c r="D2947" s="30"/>
      <c r="E2947" s="30"/>
      <c r="F2947" s="22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</row>
    <row r="2948">
      <c r="A2948" s="20"/>
      <c r="B2948" s="20"/>
      <c r="C2948" s="30"/>
      <c r="D2948" s="30"/>
      <c r="E2948" s="30"/>
      <c r="F2948" s="22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</row>
    <row r="2949">
      <c r="A2949" s="20"/>
      <c r="B2949" s="20"/>
      <c r="C2949" s="30"/>
      <c r="D2949" s="30"/>
      <c r="E2949" s="30"/>
      <c r="F2949" s="22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</row>
    <row r="2950">
      <c r="A2950" s="20"/>
      <c r="B2950" s="20"/>
      <c r="C2950" s="30"/>
      <c r="D2950" s="30"/>
      <c r="E2950" s="30"/>
      <c r="F2950" s="22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</row>
    <row r="2951">
      <c r="A2951" s="20"/>
      <c r="B2951" s="20"/>
      <c r="C2951" s="30"/>
      <c r="D2951" s="30"/>
      <c r="E2951" s="30"/>
      <c r="F2951" s="22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</row>
    <row r="2952">
      <c r="A2952" s="20"/>
      <c r="B2952" s="20"/>
      <c r="C2952" s="30"/>
      <c r="D2952" s="30"/>
      <c r="E2952" s="30"/>
      <c r="F2952" s="22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</row>
    <row r="2953">
      <c r="A2953" s="20"/>
      <c r="B2953" s="20"/>
      <c r="C2953" s="30"/>
      <c r="D2953" s="30"/>
      <c r="E2953" s="30"/>
      <c r="F2953" s="22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</row>
    <row r="2954">
      <c r="A2954" s="20"/>
      <c r="B2954" s="20"/>
      <c r="C2954" s="30"/>
      <c r="D2954" s="30"/>
      <c r="E2954" s="30"/>
      <c r="F2954" s="22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</row>
    <row r="2955">
      <c r="A2955" s="20"/>
      <c r="B2955" s="20"/>
      <c r="C2955" s="30"/>
      <c r="D2955" s="30"/>
      <c r="E2955" s="30"/>
      <c r="F2955" s="22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</row>
    <row r="2956">
      <c r="A2956" s="20"/>
      <c r="B2956" s="20"/>
      <c r="C2956" s="30"/>
      <c r="D2956" s="30"/>
      <c r="E2956" s="30"/>
      <c r="F2956" s="22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</row>
    <row r="2957">
      <c r="A2957" s="20"/>
      <c r="B2957" s="20"/>
      <c r="C2957" s="30"/>
      <c r="D2957" s="30"/>
      <c r="E2957" s="30"/>
      <c r="F2957" s="22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</row>
    <row r="2958">
      <c r="A2958" s="20"/>
      <c r="B2958" s="20"/>
      <c r="C2958" s="30"/>
      <c r="D2958" s="30"/>
      <c r="E2958" s="30"/>
      <c r="F2958" s="22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</row>
    <row r="2959">
      <c r="A2959" s="20"/>
      <c r="B2959" s="20"/>
      <c r="C2959" s="30"/>
      <c r="D2959" s="30"/>
      <c r="E2959" s="30"/>
      <c r="F2959" s="22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</row>
    <row r="2960">
      <c r="A2960" s="20"/>
      <c r="B2960" s="20"/>
      <c r="C2960" s="30"/>
      <c r="D2960" s="30"/>
      <c r="E2960" s="30"/>
      <c r="F2960" s="22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</row>
    <row r="2961">
      <c r="A2961" s="20"/>
      <c r="B2961" s="20"/>
      <c r="C2961" s="30"/>
      <c r="D2961" s="30"/>
      <c r="E2961" s="30"/>
      <c r="F2961" s="22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</row>
    <row r="2962">
      <c r="A2962" s="20"/>
      <c r="B2962" s="20"/>
      <c r="C2962" s="30"/>
      <c r="D2962" s="30"/>
      <c r="E2962" s="30"/>
      <c r="F2962" s="22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</row>
    <row r="2963">
      <c r="A2963" s="20"/>
      <c r="B2963" s="20"/>
      <c r="C2963" s="30"/>
      <c r="D2963" s="30"/>
      <c r="E2963" s="30"/>
      <c r="F2963" s="22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</row>
    <row r="2964">
      <c r="A2964" s="20"/>
      <c r="B2964" s="20"/>
      <c r="C2964" s="30"/>
      <c r="D2964" s="30"/>
      <c r="E2964" s="30"/>
      <c r="F2964" s="22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</row>
    <row r="2965">
      <c r="A2965" s="20"/>
      <c r="B2965" s="20"/>
      <c r="C2965" s="30"/>
      <c r="D2965" s="30"/>
      <c r="E2965" s="30"/>
      <c r="F2965" s="22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</row>
    <row r="2966">
      <c r="A2966" s="20"/>
      <c r="B2966" s="20"/>
      <c r="C2966" s="30"/>
      <c r="D2966" s="30"/>
      <c r="E2966" s="30"/>
      <c r="F2966" s="22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</row>
    <row r="2967">
      <c r="A2967" s="20"/>
      <c r="B2967" s="20"/>
      <c r="C2967" s="30"/>
      <c r="D2967" s="30"/>
      <c r="E2967" s="30"/>
      <c r="F2967" s="22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</row>
    <row r="2968">
      <c r="A2968" s="20"/>
      <c r="B2968" s="20"/>
      <c r="C2968" s="30"/>
      <c r="D2968" s="30"/>
      <c r="E2968" s="30"/>
      <c r="F2968" s="22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</row>
    <row r="2969">
      <c r="A2969" s="20"/>
      <c r="B2969" s="20"/>
      <c r="C2969" s="30"/>
      <c r="D2969" s="30"/>
      <c r="E2969" s="30"/>
      <c r="F2969" s="22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</row>
    <row r="2970">
      <c r="A2970" s="20"/>
      <c r="B2970" s="20"/>
      <c r="C2970" s="30"/>
      <c r="D2970" s="30"/>
      <c r="E2970" s="30"/>
      <c r="F2970" s="22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</row>
    <row r="2971">
      <c r="A2971" s="20"/>
      <c r="B2971" s="20"/>
      <c r="C2971" s="30"/>
      <c r="D2971" s="30"/>
      <c r="E2971" s="30"/>
      <c r="F2971" s="22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</row>
    <row r="2972">
      <c r="A2972" s="20"/>
      <c r="B2972" s="20"/>
      <c r="C2972" s="30"/>
      <c r="D2972" s="30"/>
      <c r="E2972" s="30"/>
      <c r="F2972" s="22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</row>
    <row r="2973">
      <c r="A2973" s="20"/>
      <c r="B2973" s="20"/>
      <c r="C2973" s="30"/>
      <c r="D2973" s="30"/>
      <c r="E2973" s="30"/>
      <c r="F2973" s="22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</row>
    <row r="2974">
      <c r="A2974" s="20"/>
      <c r="B2974" s="20"/>
      <c r="C2974" s="30"/>
      <c r="D2974" s="30"/>
      <c r="E2974" s="30"/>
      <c r="F2974" s="22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</row>
    <row r="2975">
      <c r="A2975" s="20"/>
      <c r="B2975" s="20"/>
      <c r="C2975" s="30"/>
      <c r="D2975" s="30"/>
      <c r="E2975" s="30"/>
      <c r="F2975" s="22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</row>
    <row r="2976">
      <c r="A2976" s="20"/>
      <c r="B2976" s="20"/>
      <c r="C2976" s="30"/>
      <c r="D2976" s="30"/>
      <c r="E2976" s="30"/>
      <c r="F2976" s="22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</row>
    <row r="2977">
      <c r="A2977" s="20"/>
      <c r="B2977" s="20"/>
      <c r="C2977" s="30"/>
      <c r="D2977" s="30"/>
      <c r="E2977" s="30"/>
      <c r="F2977" s="22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</row>
    <row r="2978">
      <c r="A2978" s="20"/>
      <c r="B2978" s="20"/>
      <c r="C2978" s="30"/>
      <c r="D2978" s="30"/>
      <c r="E2978" s="30"/>
      <c r="F2978" s="22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</row>
    <row r="2979">
      <c r="A2979" s="20"/>
      <c r="B2979" s="20"/>
      <c r="C2979" s="30"/>
      <c r="D2979" s="30"/>
      <c r="E2979" s="30"/>
      <c r="F2979" s="22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</row>
    <row r="2980">
      <c r="A2980" s="20"/>
      <c r="B2980" s="20"/>
      <c r="C2980" s="30"/>
      <c r="D2980" s="30"/>
      <c r="E2980" s="30"/>
      <c r="F2980" s="22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</row>
    <row r="2981">
      <c r="A2981" s="20"/>
      <c r="B2981" s="20"/>
      <c r="C2981" s="30"/>
      <c r="D2981" s="30"/>
      <c r="E2981" s="30"/>
      <c r="F2981" s="22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</row>
    <row r="2982">
      <c r="A2982" s="20"/>
      <c r="B2982" s="20"/>
      <c r="C2982" s="30"/>
      <c r="D2982" s="30"/>
      <c r="E2982" s="30"/>
      <c r="F2982" s="22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</row>
    <row r="2983">
      <c r="A2983" s="20"/>
      <c r="B2983" s="20"/>
      <c r="C2983" s="30"/>
      <c r="D2983" s="30"/>
      <c r="E2983" s="30"/>
      <c r="F2983" s="22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</row>
    <row r="2984">
      <c r="A2984" s="20"/>
      <c r="B2984" s="20"/>
      <c r="C2984" s="30"/>
      <c r="D2984" s="30"/>
      <c r="E2984" s="30"/>
      <c r="F2984" s="22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</row>
    <row r="2985">
      <c r="A2985" s="20"/>
      <c r="B2985" s="20"/>
      <c r="C2985" s="30"/>
      <c r="D2985" s="30"/>
      <c r="E2985" s="30"/>
      <c r="F2985" s="22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</row>
    <row r="2986">
      <c r="A2986" s="20"/>
      <c r="B2986" s="20"/>
      <c r="C2986" s="30"/>
      <c r="D2986" s="30"/>
      <c r="E2986" s="30"/>
      <c r="F2986" s="22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</row>
    <row r="2987">
      <c r="A2987" s="20"/>
      <c r="B2987" s="20"/>
      <c r="C2987" s="30"/>
      <c r="D2987" s="30"/>
      <c r="E2987" s="30"/>
      <c r="F2987" s="22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</row>
    <row r="2988">
      <c r="A2988" s="20"/>
      <c r="B2988" s="20"/>
      <c r="C2988" s="30"/>
      <c r="D2988" s="30"/>
      <c r="E2988" s="30"/>
      <c r="F2988" s="22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</row>
    <row r="2989">
      <c r="A2989" s="20"/>
      <c r="B2989" s="20"/>
      <c r="C2989" s="30"/>
      <c r="D2989" s="30"/>
      <c r="E2989" s="30"/>
      <c r="F2989" s="22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</row>
    <row r="2990">
      <c r="A2990" s="20"/>
      <c r="B2990" s="20"/>
      <c r="C2990" s="30"/>
      <c r="D2990" s="30"/>
      <c r="E2990" s="30"/>
      <c r="F2990" s="22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</row>
    <row r="2991">
      <c r="A2991" s="20"/>
      <c r="B2991" s="20"/>
      <c r="C2991" s="30"/>
      <c r="D2991" s="30"/>
      <c r="E2991" s="30"/>
      <c r="F2991" s="22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</row>
    <row r="2992">
      <c r="A2992" s="20"/>
      <c r="B2992" s="20"/>
      <c r="C2992" s="30"/>
      <c r="D2992" s="30"/>
      <c r="E2992" s="30"/>
      <c r="F2992" s="22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</row>
    <row r="2993">
      <c r="A2993" s="20"/>
      <c r="B2993" s="20"/>
      <c r="C2993" s="30"/>
      <c r="D2993" s="30"/>
      <c r="E2993" s="30"/>
      <c r="F2993" s="22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</row>
    <row r="2994">
      <c r="A2994" s="20"/>
      <c r="B2994" s="20"/>
      <c r="C2994" s="30"/>
      <c r="D2994" s="30"/>
      <c r="E2994" s="30"/>
      <c r="F2994" s="22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</row>
    <row r="2995">
      <c r="A2995" s="20"/>
      <c r="B2995" s="20"/>
      <c r="C2995" s="30"/>
      <c r="D2995" s="30"/>
      <c r="E2995" s="30"/>
      <c r="F2995" s="22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</row>
    <row r="2996">
      <c r="A2996" s="20"/>
      <c r="B2996" s="20"/>
      <c r="C2996" s="30"/>
      <c r="D2996" s="30"/>
      <c r="E2996" s="30"/>
      <c r="F2996" s="22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</row>
    <row r="2997">
      <c r="A2997" s="20"/>
      <c r="B2997" s="20"/>
      <c r="C2997" s="30"/>
      <c r="D2997" s="30"/>
      <c r="E2997" s="30"/>
      <c r="F2997" s="22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</row>
    <row r="2998">
      <c r="A2998" s="20"/>
      <c r="B2998" s="20"/>
      <c r="C2998" s="30"/>
      <c r="D2998" s="30"/>
      <c r="E2998" s="30"/>
      <c r="F2998" s="22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</row>
    <row r="2999">
      <c r="A2999" s="20"/>
      <c r="B2999" s="20"/>
      <c r="C2999" s="30"/>
      <c r="D2999" s="30"/>
      <c r="E2999" s="30"/>
      <c r="F2999" s="22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</row>
    <row r="3000">
      <c r="A3000" s="20"/>
      <c r="B3000" s="20"/>
      <c r="C3000" s="30"/>
      <c r="D3000" s="30"/>
      <c r="E3000" s="30"/>
      <c r="F3000" s="22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</row>
    <row r="3001">
      <c r="A3001" s="20"/>
      <c r="B3001" s="20"/>
      <c r="C3001" s="30"/>
      <c r="D3001" s="30"/>
      <c r="E3001" s="30"/>
      <c r="F3001" s="22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</row>
    <row r="3002">
      <c r="A3002" s="20"/>
      <c r="B3002" s="20"/>
      <c r="C3002" s="30"/>
      <c r="D3002" s="30"/>
      <c r="E3002" s="30"/>
      <c r="F3002" s="22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</row>
    <row r="3003">
      <c r="A3003" s="20"/>
      <c r="B3003" s="20"/>
      <c r="C3003" s="30"/>
      <c r="D3003" s="30"/>
      <c r="E3003" s="30"/>
      <c r="F3003" s="22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</row>
    <row r="3004">
      <c r="A3004" s="20"/>
      <c r="B3004" s="20"/>
      <c r="C3004" s="30"/>
      <c r="D3004" s="30"/>
      <c r="E3004" s="30"/>
      <c r="F3004" s="22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</row>
    <row r="3005">
      <c r="A3005" s="20"/>
      <c r="B3005" s="20"/>
      <c r="C3005" s="30"/>
      <c r="D3005" s="30"/>
      <c r="E3005" s="30"/>
      <c r="F3005" s="22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</row>
    <row r="3006">
      <c r="A3006" s="20"/>
      <c r="B3006" s="20"/>
      <c r="C3006" s="30"/>
      <c r="D3006" s="30"/>
      <c r="E3006" s="30"/>
      <c r="F3006" s="22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</row>
    <row r="3007">
      <c r="A3007" s="20"/>
      <c r="B3007" s="20"/>
      <c r="C3007" s="30"/>
      <c r="D3007" s="30"/>
      <c r="E3007" s="30"/>
      <c r="F3007" s="22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</row>
    <row r="3008">
      <c r="A3008" s="20"/>
      <c r="B3008" s="20"/>
      <c r="C3008" s="30"/>
      <c r="D3008" s="30"/>
      <c r="E3008" s="30"/>
      <c r="F3008" s="22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</row>
    <row r="3009">
      <c r="A3009" s="20"/>
      <c r="B3009" s="20"/>
      <c r="C3009" s="30"/>
      <c r="D3009" s="30"/>
      <c r="E3009" s="30"/>
      <c r="F3009" s="22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</row>
    <row r="3010">
      <c r="A3010" s="20"/>
      <c r="B3010" s="20"/>
      <c r="C3010" s="30"/>
      <c r="D3010" s="30"/>
      <c r="E3010" s="30"/>
      <c r="F3010" s="22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</row>
    <row r="3011">
      <c r="A3011" s="20"/>
      <c r="B3011" s="20"/>
      <c r="C3011" s="30"/>
      <c r="D3011" s="30"/>
      <c r="E3011" s="30"/>
      <c r="F3011" s="22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</row>
    <row r="3012">
      <c r="A3012" s="20"/>
      <c r="B3012" s="20"/>
      <c r="C3012" s="30"/>
      <c r="D3012" s="30"/>
      <c r="E3012" s="30"/>
      <c r="F3012" s="22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</row>
    <row r="3013">
      <c r="A3013" s="20"/>
      <c r="B3013" s="20"/>
      <c r="C3013" s="30"/>
      <c r="D3013" s="30"/>
      <c r="E3013" s="30"/>
      <c r="F3013" s="22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</row>
    <row r="3014">
      <c r="A3014" s="20"/>
      <c r="B3014" s="20"/>
      <c r="C3014" s="30"/>
      <c r="D3014" s="30"/>
      <c r="E3014" s="30"/>
      <c r="F3014" s="22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</row>
    <row r="3015">
      <c r="A3015" s="20"/>
      <c r="B3015" s="20"/>
      <c r="C3015" s="30"/>
      <c r="D3015" s="30"/>
      <c r="E3015" s="30"/>
      <c r="F3015" s="22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</row>
    <row r="3016">
      <c r="A3016" s="20"/>
      <c r="B3016" s="20"/>
      <c r="C3016" s="30"/>
      <c r="D3016" s="30"/>
      <c r="E3016" s="30"/>
      <c r="F3016" s="22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</row>
    <row r="3017">
      <c r="A3017" s="20"/>
      <c r="B3017" s="20"/>
      <c r="C3017" s="30"/>
      <c r="D3017" s="30"/>
      <c r="E3017" s="30"/>
      <c r="F3017" s="22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</row>
    <row r="3018">
      <c r="A3018" s="20"/>
      <c r="B3018" s="20"/>
      <c r="C3018" s="30"/>
      <c r="D3018" s="30"/>
      <c r="E3018" s="30"/>
      <c r="F3018" s="22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</row>
    <row r="3019">
      <c r="A3019" s="20"/>
      <c r="B3019" s="20"/>
      <c r="C3019" s="30"/>
      <c r="D3019" s="30"/>
      <c r="E3019" s="30"/>
      <c r="F3019" s="22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</row>
    <row r="3020">
      <c r="A3020" s="20"/>
      <c r="B3020" s="20"/>
      <c r="C3020" s="30"/>
      <c r="D3020" s="30"/>
      <c r="E3020" s="30"/>
      <c r="F3020" s="22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</row>
    <row r="3021">
      <c r="A3021" s="20"/>
      <c r="B3021" s="20"/>
      <c r="C3021" s="30"/>
      <c r="D3021" s="30"/>
      <c r="E3021" s="30"/>
      <c r="F3021" s="22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</row>
    <row r="3022">
      <c r="A3022" s="20"/>
      <c r="B3022" s="20"/>
      <c r="C3022" s="30"/>
      <c r="D3022" s="30"/>
      <c r="E3022" s="30"/>
      <c r="F3022" s="22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</row>
    <row r="3023">
      <c r="A3023" s="20"/>
      <c r="B3023" s="20"/>
      <c r="C3023" s="30"/>
      <c r="D3023" s="30"/>
      <c r="E3023" s="30"/>
      <c r="F3023" s="22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</row>
    <row r="3024">
      <c r="A3024" s="20"/>
      <c r="B3024" s="20"/>
      <c r="C3024" s="30"/>
      <c r="D3024" s="30"/>
      <c r="E3024" s="30"/>
      <c r="F3024" s="22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</row>
    <row r="3025">
      <c r="A3025" s="20"/>
      <c r="B3025" s="20"/>
      <c r="C3025" s="30"/>
      <c r="D3025" s="30"/>
      <c r="E3025" s="30"/>
      <c r="F3025" s="22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</row>
    <row r="3026">
      <c r="A3026" s="20"/>
      <c r="B3026" s="20"/>
      <c r="C3026" s="30"/>
      <c r="D3026" s="30"/>
      <c r="E3026" s="30"/>
      <c r="F3026" s="22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</row>
    <row r="3027">
      <c r="A3027" s="20"/>
      <c r="B3027" s="20"/>
      <c r="C3027" s="30"/>
      <c r="D3027" s="30"/>
      <c r="E3027" s="30"/>
      <c r="F3027" s="22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</row>
    <row r="3028">
      <c r="A3028" s="20"/>
      <c r="B3028" s="20"/>
      <c r="C3028" s="30"/>
      <c r="D3028" s="30"/>
      <c r="E3028" s="30"/>
      <c r="F3028" s="22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</row>
    <row r="3029">
      <c r="A3029" s="20"/>
      <c r="B3029" s="20"/>
      <c r="C3029" s="30"/>
      <c r="D3029" s="30"/>
      <c r="E3029" s="30"/>
      <c r="F3029" s="22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</row>
    <row r="3030">
      <c r="A3030" s="20"/>
      <c r="B3030" s="20"/>
      <c r="C3030" s="30"/>
      <c r="D3030" s="30"/>
      <c r="E3030" s="30"/>
      <c r="F3030" s="22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</row>
    <row r="3031">
      <c r="A3031" s="20"/>
      <c r="B3031" s="20"/>
      <c r="C3031" s="30"/>
      <c r="D3031" s="30"/>
      <c r="E3031" s="30"/>
      <c r="F3031" s="22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</row>
    <row r="3032">
      <c r="A3032" s="20"/>
      <c r="B3032" s="20"/>
      <c r="C3032" s="30"/>
      <c r="D3032" s="30"/>
      <c r="E3032" s="30"/>
      <c r="F3032" s="22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</row>
    <row r="3033">
      <c r="A3033" s="20"/>
      <c r="B3033" s="20"/>
      <c r="C3033" s="30"/>
      <c r="D3033" s="30"/>
      <c r="E3033" s="30"/>
      <c r="F3033" s="22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</row>
    <row r="3034">
      <c r="A3034" s="20"/>
      <c r="B3034" s="20"/>
      <c r="C3034" s="30"/>
      <c r="D3034" s="30"/>
      <c r="E3034" s="30"/>
      <c r="F3034" s="22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</row>
    <row r="3035">
      <c r="A3035" s="20"/>
      <c r="B3035" s="20"/>
      <c r="C3035" s="30"/>
      <c r="D3035" s="30"/>
      <c r="E3035" s="30"/>
      <c r="F3035" s="22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</row>
    <row r="3036">
      <c r="A3036" s="20"/>
      <c r="B3036" s="20"/>
      <c r="C3036" s="30"/>
      <c r="D3036" s="30"/>
      <c r="E3036" s="30"/>
      <c r="F3036" s="22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</row>
    <row r="3037">
      <c r="A3037" s="20"/>
      <c r="B3037" s="20"/>
      <c r="C3037" s="30"/>
      <c r="D3037" s="30"/>
      <c r="E3037" s="30"/>
      <c r="F3037" s="22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</row>
    <row r="3038">
      <c r="A3038" s="20"/>
      <c r="B3038" s="20"/>
      <c r="C3038" s="30"/>
      <c r="D3038" s="30"/>
      <c r="E3038" s="30"/>
      <c r="F3038" s="22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</row>
    <row r="3039">
      <c r="A3039" s="20"/>
      <c r="B3039" s="20"/>
      <c r="C3039" s="30"/>
      <c r="D3039" s="30"/>
      <c r="E3039" s="30"/>
      <c r="F3039" s="22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</row>
    <row r="3040">
      <c r="A3040" s="20"/>
      <c r="B3040" s="20"/>
      <c r="C3040" s="30"/>
      <c r="D3040" s="30"/>
      <c r="E3040" s="30"/>
      <c r="F3040" s="22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</row>
    <row r="3041">
      <c r="A3041" s="20"/>
      <c r="B3041" s="20"/>
      <c r="C3041" s="30"/>
      <c r="D3041" s="30"/>
      <c r="E3041" s="30"/>
      <c r="F3041" s="22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</row>
    <row r="3042">
      <c r="A3042" s="20"/>
      <c r="B3042" s="20"/>
      <c r="C3042" s="30"/>
      <c r="D3042" s="30"/>
      <c r="E3042" s="30"/>
      <c r="F3042" s="22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</row>
    <row r="3043">
      <c r="A3043" s="20"/>
      <c r="B3043" s="20"/>
      <c r="C3043" s="30"/>
      <c r="D3043" s="30"/>
      <c r="E3043" s="30"/>
      <c r="F3043" s="22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</row>
    <row r="3044">
      <c r="A3044" s="20"/>
      <c r="B3044" s="20"/>
      <c r="C3044" s="30"/>
      <c r="D3044" s="30"/>
      <c r="E3044" s="30"/>
      <c r="F3044" s="22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</row>
    <row r="3045">
      <c r="A3045" s="20"/>
      <c r="B3045" s="20"/>
      <c r="C3045" s="30"/>
      <c r="D3045" s="30"/>
      <c r="E3045" s="30"/>
      <c r="F3045" s="22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</row>
    <row r="3046">
      <c r="A3046" s="20"/>
      <c r="B3046" s="20"/>
      <c r="C3046" s="30"/>
      <c r="D3046" s="30"/>
      <c r="E3046" s="30"/>
      <c r="F3046" s="22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</row>
    <row r="3047">
      <c r="A3047" s="20"/>
      <c r="B3047" s="20"/>
      <c r="C3047" s="30"/>
      <c r="D3047" s="30"/>
      <c r="E3047" s="30"/>
      <c r="F3047" s="22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</row>
    <row r="3048">
      <c r="A3048" s="20"/>
      <c r="B3048" s="20"/>
      <c r="C3048" s="30"/>
      <c r="D3048" s="30"/>
      <c r="E3048" s="30"/>
      <c r="F3048" s="22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</row>
    <row r="3049">
      <c r="A3049" s="20"/>
      <c r="B3049" s="20"/>
      <c r="C3049" s="30"/>
      <c r="D3049" s="30"/>
      <c r="E3049" s="30"/>
      <c r="F3049" s="22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</row>
    <row r="3050">
      <c r="A3050" s="20"/>
      <c r="B3050" s="20"/>
      <c r="C3050" s="30"/>
      <c r="D3050" s="30"/>
      <c r="E3050" s="30"/>
      <c r="F3050" s="22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</row>
    <row r="3051">
      <c r="A3051" s="20"/>
      <c r="B3051" s="20"/>
      <c r="C3051" s="30"/>
      <c r="D3051" s="30"/>
      <c r="E3051" s="30"/>
      <c r="F3051" s="22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</row>
    <row r="3052">
      <c r="A3052" s="20"/>
      <c r="B3052" s="20"/>
      <c r="C3052" s="30"/>
      <c r="D3052" s="30"/>
      <c r="E3052" s="30"/>
      <c r="F3052" s="22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</row>
    <row r="3053">
      <c r="A3053" s="20"/>
      <c r="B3053" s="20"/>
      <c r="C3053" s="30"/>
      <c r="D3053" s="30"/>
      <c r="E3053" s="30"/>
      <c r="F3053" s="22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</row>
    <row r="3054">
      <c r="A3054" s="20"/>
      <c r="B3054" s="20"/>
      <c r="C3054" s="30"/>
      <c r="D3054" s="30"/>
      <c r="E3054" s="30"/>
      <c r="F3054" s="22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</row>
    <row r="3055">
      <c r="A3055" s="20"/>
      <c r="B3055" s="20"/>
      <c r="C3055" s="30"/>
      <c r="D3055" s="30"/>
      <c r="E3055" s="30"/>
      <c r="F3055" s="22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</row>
    <row r="3056">
      <c r="A3056" s="20"/>
      <c r="B3056" s="20"/>
      <c r="C3056" s="30"/>
      <c r="D3056" s="30"/>
      <c r="E3056" s="30"/>
      <c r="F3056" s="22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</row>
    <row r="3057">
      <c r="A3057" s="20"/>
      <c r="B3057" s="20"/>
      <c r="C3057" s="30"/>
      <c r="D3057" s="30"/>
      <c r="E3057" s="30"/>
      <c r="F3057" s="22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</row>
    <row r="3058">
      <c r="A3058" s="20"/>
      <c r="B3058" s="20"/>
      <c r="C3058" s="30"/>
      <c r="D3058" s="30"/>
      <c r="E3058" s="30"/>
      <c r="F3058" s="22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</row>
    <row r="3059">
      <c r="A3059" s="20"/>
      <c r="B3059" s="20"/>
      <c r="C3059" s="30"/>
      <c r="D3059" s="30"/>
      <c r="E3059" s="30"/>
      <c r="F3059" s="22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</row>
    <row r="3060">
      <c r="A3060" s="20"/>
      <c r="B3060" s="20"/>
      <c r="C3060" s="30"/>
      <c r="D3060" s="30"/>
      <c r="E3060" s="30"/>
      <c r="F3060" s="22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</row>
    <row r="3061">
      <c r="A3061" s="20"/>
      <c r="B3061" s="20"/>
      <c r="C3061" s="30"/>
      <c r="D3061" s="30"/>
      <c r="E3061" s="30"/>
      <c r="F3061" s="22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</row>
    <row r="3062">
      <c r="A3062" s="20"/>
      <c r="B3062" s="20"/>
      <c r="C3062" s="30"/>
      <c r="D3062" s="30"/>
      <c r="E3062" s="30"/>
      <c r="F3062" s="22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</row>
    <row r="3063">
      <c r="A3063" s="20"/>
      <c r="B3063" s="20"/>
      <c r="C3063" s="30"/>
      <c r="D3063" s="30"/>
      <c r="E3063" s="30"/>
      <c r="F3063" s="22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</row>
    <row r="3064">
      <c r="A3064" s="20"/>
      <c r="B3064" s="20"/>
      <c r="C3064" s="30"/>
      <c r="D3064" s="30"/>
      <c r="E3064" s="30"/>
      <c r="F3064" s="22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</row>
    <row r="3065">
      <c r="A3065" s="20"/>
      <c r="B3065" s="20"/>
      <c r="C3065" s="30"/>
      <c r="D3065" s="30"/>
      <c r="E3065" s="30"/>
      <c r="F3065" s="22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</row>
    <row r="3066">
      <c r="A3066" s="20"/>
      <c r="B3066" s="20"/>
      <c r="C3066" s="30"/>
      <c r="D3066" s="30"/>
      <c r="E3066" s="30"/>
      <c r="F3066" s="22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</row>
    <row r="3067">
      <c r="A3067" s="20"/>
      <c r="B3067" s="20"/>
      <c r="C3067" s="30"/>
      <c r="D3067" s="30"/>
      <c r="E3067" s="30"/>
      <c r="F3067" s="22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</row>
    <row r="3068">
      <c r="A3068" s="20"/>
      <c r="B3068" s="20"/>
      <c r="C3068" s="30"/>
      <c r="D3068" s="30"/>
      <c r="E3068" s="30"/>
      <c r="F3068" s="22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</row>
    <row r="3069">
      <c r="A3069" s="20"/>
      <c r="B3069" s="20"/>
      <c r="C3069" s="30"/>
      <c r="D3069" s="30"/>
      <c r="E3069" s="30"/>
      <c r="F3069" s="22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</row>
    <row r="3070">
      <c r="A3070" s="20"/>
      <c r="B3070" s="20"/>
      <c r="C3070" s="30"/>
      <c r="D3070" s="30"/>
      <c r="E3070" s="30"/>
      <c r="F3070" s="22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</row>
    <row r="3071">
      <c r="A3071" s="20"/>
      <c r="B3071" s="20"/>
      <c r="C3071" s="30"/>
      <c r="D3071" s="30"/>
      <c r="E3071" s="30"/>
      <c r="F3071" s="22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</row>
    <row r="3072">
      <c r="A3072" s="20"/>
      <c r="B3072" s="20"/>
      <c r="C3072" s="30"/>
      <c r="D3072" s="30"/>
      <c r="E3072" s="30"/>
      <c r="F3072" s="22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</row>
    <row r="3073">
      <c r="A3073" s="20"/>
      <c r="B3073" s="20"/>
      <c r="C3073" s="30"/>
      <c r="D3073" s="30"/>
      <c r="E3073" s="30"/>
      <c r="F3073" s="22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</row>
    <row r="3074">
      <c r="A3074" s="20"/>
      <c r="B3074" s="20"/>
      <c r="C3074" s="30"/>
      <c r="D3074" s="30"/>
      <c r="E3074" s="30"/>
      <c r="F3074" s="22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</row>
    <row r="3075">
      <c r="A3075" s="20"/>
      <c r="B3075" s="20"/>
      <c r="C3075" s="30"/>
      <c r="D3075" s="30"/>
      <c r="E3075" s="30"/>
      <c r="F3075" s="22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</row>
    <row r="3076">
      <c r="A3076" s="20"/>
      <c r="B3076" s="20"/>
      <c r="C3076" s="30"/>
      <c r="D3076" s="30"/>
      <c r="E3076" s="30"/>
      <c r="F3076" s="22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</row>
    <row r="3077">
      <c r="A3077" s="20"/>
      <c r="B3077" s="20"/>
      <c r="C3077" s="30"/>
      <c r="D3077" s="30"/>
      <c r="E3077" s="30"/>
      <c r="F3077" s="22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</row>
    <row r="3078">
      <c r="A3078" s="20"/>
      <c r="B3078" s="20"/>
      <c r="C3078" s="30"/>
      <c r="D3078" s="30"/>
      <c r="E3078" s="30"/>
      <c r="F3078" s="22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</row>
    <row r="3079">
      <c r="A3079" s="20"/>
      <c r="B3079" s="20"/>
      <c r="C3079" s="30"/>
      <c r="D3079" s="30"/>
      <c r="E3079" s="30"/>
      <c r="F3079" s="22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</row>
    <row r="3080">
      <c r="A3080" s="20"/>
      <c r="B3080" s="20"/>
      <c r="C3080" s="30"/>
      <c r="D3080" s="30"/>
      <c r="E3080" s="30"/>
      <c r="F3080" s="22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</row>
    <row r="3081">
      <c r="A3081" s="20"/>
      <c r="B3081" s="20"/>
      <c r="C3081" s="30"/>
      <c r="D3081" s="30"/>
      <c r="E3081" s="30"/>
      <c r="F3081" s="22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</row>
    <row r="3082">
      <c r="A3082" s="20"/>
      <c r="B3082" s="20"/>
      <c r="C3082" s="30"/>
      <c r="D3082" s="30"/>
      <c r="E3082" s="30"/>
      <c r="F3082" s="22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</row>
    <row r="3083">
      <c r="A3083" s="20"/>
      <c r="B3083" s="20"/>
      <c r="C3083" s="30"/>
      <c r="D3083" s="30"/>
      <c r="E3083" s="30"/>
      <c r="F3083" s="22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</row>
    <row r="3084">
      <c r="A3084" s="20"/>
      <c r="B3084" s="20"/>
      <c r="C3084" s="30"/>
      <c r="D3084" s="30"/>
      <c r="E3084" s="30"/>
      <c r="F3084" s="22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</row>
    <row r="3085">
      <c r="A3085" s="20"/>
      <c r="B3085" s="20"/>
      <c r="C3085" s="30"/>
      <c r="D3085" s="30"/>
      <c r="E3085" s="30"/>
      <c r="F3085" s="22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</row>
    <row r="3086">
      <c r="A3086" s="20"/>
      <c r="B3086" s="20"/>
      <c r="C3086" s="30"/>
      <c r="D3086" s="30"/>
      <c r="E3086" s="30"/>
      <c r="F3086" s="22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</row>
    <row r="3087">
      <c r="A3087" s="20"/>
      <c r="B3087" s="20"/>
      <c r="C3087" s="30"/>
      <c r="D3087" s="30"/>
      <c r="E3087" s="30"/>
      <c r="F3087" s="22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</row>
    <row r="3088">
      <c r="A3088" s="20"/>
      <c r="B3088" s="20"/>
      <c r="C3088" s="30"/>
      <c r="D3088" s="30"/>
      <c r="E3088" s="30"/>
      <c r="F3088" s="22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</row>
    <row r="3089">
      <c r="A3089" s="20"/>
      <c r="B3089" s="20"/>
      <c r="C3089" s="30"/>
      <c r="D3089" s="30"/>
      <c r="E3089" s="30"/>
      <c r="F3089" s="22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</row>
    <row r="3090">
      <c r="A3090" s="20"/>
      <c r="B3090" s="20"/>
      <c r="C3090" s="30"/>
      <c r="D3090" s="30"/>
      <c r="E3090" s="30"/>
      <c r="F3090" s="22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</row>
    <row r="3091">
      <c r="A3091" s="20"/>
      <c r="B3091" s="20"/>
      <c r="C3091" s="30"/>
      <c r="D3091" s="30"/>
      <c r="E3091" s="30"/>
      <c r="F3091" s="22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</row>
    <row r="3092">
      <c r="A3092" s="20"/>
      <c r="B3092" s="20"/>
      <c r="C3092" s="30"/>
      <c r="D3092" s="30"/>
      <c r="E3092" s="30"/>
      <c r="F3092" s="22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</row>
    <row r="3093">
      <c r="A3093" s="20"/>
      <c r="B3093" s="20"/>
      <c r="C3093" s="30"/>
      <c r="D3093" s="30"/>
      <c r="E3093" s="30"/>
      <c r="F3093" s="22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</row>
    <row r="3094">
      <c r="A3094" s="20"/>
      <c r="B3094" s="20"/>
      <c r="C3094" s="30"/>
      <c r="D3094" s="30"/>
      <c r="E3094" s="30"/>
      <c r="F3094" s="22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</row>
    <row r="3095">
      <c r="A3095" s="20"/>
      <c r="B3095" s="20"/>
      <c r="C3095" s="30"/>
      <c r="D3095" s="30"/>
      <c r="E3095" s="30"/>
      <c r="F3095" s="22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</row>
    <row r="3096">
      <c r="A3096" s="20"/>
      <c r="B3096" s="20"/>
      <c r="C3096" s="30"/>
      <c r="D3096" s="30"/>
      <c r="E3096" s="30"/>
      <c r="F3096" s="22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</row>
    <row r="3097">
      <c r="A3097" s="20"/>
      <c r="B3097" s="20"/>
      <c r="C3097" s="30"/>
      <c r="D3097" s="30"/>
      <c r="E3097" s="30"/>
      <c r="F3097" s="22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</row>
    <row r="3098">
      <c r="A3098" s="20"/>
      <c r="B3098" s="20"/>
      <c r="C3098" s="30"/>
      <c r="D3098" s="30"/>
      <c r="E3098" s="30"/>
      <c r="F3098" s="22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</row>
    <row r="3099">
      <c r="A3099" s="20"/>
      <c r="B3099" s="20"/>
      <c r="C3099" s="30"/>
      <c r="D3099" s="30"/>
      <c r="E3099" s="30"/>
      <c r="F3099" s="22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</row>
    <row r="3100">
      <c r="A3100" s="20"/>
      <c r="B3100" s="20"/>
      <c r="C3100" s="30"/>
      <c r="D3100" s="30"/>
      <c r="E3100" s="30"/>
      <c r="F3100" s="22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</row>
    <row r="3101">
      <c r="A3101" s="20"/>
      <c r="B3101" s="20"/>
      <c r="C3101" s="30"/>
      <c r="D3101" s="30"/>
      <c r="E3101" s="30"/>
      <c r="F3101" s="22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</row>
    <row r="3102">
      <c r="A3102" s="20"/>
      <c r="B3102" s="20"/>
      <c r="C3102" s="30"/>
      <c r="D3102" s="30"/>
      <c r="E3102" s="30"/>
      <c r="F3102" s="22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</row>
    <row r="3103">
      <c r="A3103" s="20"/>
      <c r="B3103" s="20"/>
      <c r="C3103" s="30"/>
      <c r="D3103" s="30"/>
      <c r="E3103" s="30"/>
      <c r="F3103" s="22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</row>
    <row r="3104">
      <c r="A3104" s="20"/>
      <c r="B3104" s="20"/>
      <c r="C3104" s="30"/>
      <c r="D3104" s="30"/>
      <c r="E3104" s="30"/>
      <c r="F3104" s="22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</row>
    <row r="3105">
      <c r="A3105" s="20"/>
      <c r="B3105" s="20"/>
      <c r="C3105" s="30"/>
      <c r="D3105" s="30"/>
      <c r="E3105" s="30"/>
      <c r="F3105" s="22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</row>
    <row r="3106">
      <c r="A3106" s="20"/>
      <c r="B3106" s="20"/>
      <c r="C3106" s="30"/>
      <c r="D3106" s="30"/>
      <c r="E3106" s="30"/>
      <c r="F3106" s="22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</row>
    <row r="3107">
      <c r="A3107" s="20"/>
      <c r="B3107" s="20"/>
      <c r="C3107" s="30"/>
      <c r="D3107" s="30"/>
      <c r="E3107" s="30"/>
      <c r="F3107" s="22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</row>
    <row r="3108">
      <c r="A3108" s="20"/>
      <c r="B3108" s="20"/>
      <c r="C3108" s="30"/>
      <c r="D3108" s="30"/>
      <c r="E3108" s="30"/>
      <c r="F3108" s="22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</row>
    <row r="3109">
      <c r="A3109" s="20"/>
      <c r="B3109" s="20"/>
      <c r="C3109" s="30"/>
      <c r="D3109" s="30"/>
      <c r="E3109" s="30"/>
      <c r="F3109" s="22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</row>
    <row r="3110">
      <c r="A3110" s="20"/>
      <c r="B3110" s="20"/>
      <c r="C3110" s="30"/>
      <c r="D3110" s="30"/>
      <c r="E3110" s="30"/>
      <c r="F3110" s="22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</row>
    <row r="3111">
      <c r="A3111" s="20"/>
      <c r="B3111" s="20"/>
      <c r="C3111" s="30"/>
      <c r="D3111" s="30"/>
      <c r="E3111" s="30"/>
      <c r="F3111" s="22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</row>
    <row r="3112">
      <c r="A3112" s="20"/>
      <c r="B3112" s="20"/>
      <c r="C3112" s="30"/>
      <c r="D3112" s="30"/>
      <c r="E3112" s="30"/>
      <c r="F3112" s="22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</row>
    <row r="3113">
      <c r="A3113" s="20"/>
      <c r="B3113" s="20"/>
      <c r="C3113" s="30"/>
      <c r="D3113" s="30"/>
      <c r="E3113" s="30"/>
      <c r="F3113" s="22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</row>
    <row r="3114">
      <c r="A3114" s="20"/>
      <c r="B3114" s="20"/>
      <c r="C3114" s="30"/>
      <c r="D3114" s="30"/>
      <c r="E3114" s="30"/>
      <c r="F3114" s="22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</row>
    <row r="3115">
      <c r="A3115" s="20"/>
      <c r="B3115" s="20"/>
      <c r="C3115" s="30"/>
      <c r="D3115" s="30"/>
      <c r="E3115" s="30"/>
      <c r="F3115" s="22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</row>
    <row r="3116">
      <c r="A3116" s="20"/>
      <c r="B3116" s="20"/>
      <c r="C3116" s="30"/>
      <c r="D3116" s="30"/>
      <c r="E3116" s="30"/>
      <c r="F3116" s="22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</row>
    <row r="3117">
      <c r="A3117" s="20"/>
      <c r="B3117" s="20"/>
      <c r="C3117" s="30"/>
      <c r="D3117" s="30"/>
      <c r="E3117" s="30"/>
      <c r="F3117" s="22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</row>
    <row r="3118">
      <c r="A3118" s="20"/>
      <c r="B3118" s="20"/>
      <c r="C3118" s="30"/>
      <c r="D3118" s="30"/>
      <c r="E3118" s="30"/>
      <c r="F3118" s="22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</row>
    <row r="3119">
      <c r="A3119" s="20"/>
      <c r="B3119" s="20"/>
      <c r="C3119" s="30"/>
      <c r="D3119" s="30"/>
      <c r="E3119" s="30"/>
      <c r="F3119" s="22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</row>
    <row r="3120">
      <c r="A3120" s="20"/>
      <c r="B3120" s="20"/>
      <c r="C3120" s="30"/>
      <c r="D3120" s="30"/>
      <c r="E3120" s="30"/>
      <c r="F3120" s="22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</row>
    <row r="3121">
      <c r="A3121" s="20"/>
      <c r="B3121" s="20"/>
      <c r="C3121" s="30"/>
      <c r="D3121" s="30"/>
      <c r="E3121" s="30"/>
      <c r="F3121" s="22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</row>
    <row r="3122">
      <c r="A3122" s="20"/>
      <c r="B3122" s="20"/>
      <c r="C3122" s="30"/>
      <c r="D3122" s="30"/>
      <c r="E3122" s="30"/>
      <c r="F3122" s="22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</row>
    <row r="3123">
      <c r="A3123" s="20"/>
      <c r="B3123" s="20"/>
      <c r="C3123" s="30"/>
      <c r="D3123" s="30"/>
      <c r="E3123" s="30"/>
      <c r="F3123" s="22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</row>
    <row r="3124">
      <c r="A3124" s="20"/>
      <c r="B3124" s="20"/>
      <c r="C3124" s="30"/>
      <c r="D3124" s="30"/>
      <c r="E3124" s="30"/>
      <c r="F3124" s="22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</row>
    <row r="3125">
      <c r="A3125" s="20"/>
      <c r="B3125" s="20"/>
      <c r="C3125" s="30"/>
      <c r="D3125" s="30"/>
      <c r="E3125" s="30"/>
      <c r="F3125" s="22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</row>
    <row r="3126">
      <c r="A3126" s="20"/>
      <c r="B3126" s="20"/>
      <c r="C3126" s="30"/>
      <c r="D3126" s="30"/>
      <c r="E3126" s="30"/>
      <c r="F3126" s="22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</row>
    <row r="3127">
      <c r="A3127" s="20"/>
      <c r="B3127" s="20"/>
      <c r="C3127" s="30"/>
      <c r="D3127" s="30"/>
      <c r="E3127" s="30"/>
      <c r="F3127" s="22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</row>
    <row r="3128">
      <c r="A3128" s="20"/>
      <c r="B3128" s="20"/>
      <c r="C3128" s="30"/>
      <c r="D3128" s="30"/>
      <c r="E3128" s="30"/>
      <c r="F3128" s="22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</row>
    <row r="3129">
      <c r="A3129" s="20"/>
      <c r="B3129" s="20"/>
      <c r="C3129" s="30"/>
      <c r="D3129" s="30"/>
      <c r="E3129" s="30"/>
      <c r="F3129" s="22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</row>
    <row r="3130">
      <c r="A3130" s="20"/>
      <c r="B3130" s="20"/>
      <c r="C3130" s="30"/>
      <c r="D3130" s="30"/>
      <c r="E3130" s="30"/>
      <c r="F3130" s="22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</row>
    <row r="3131">
      <c r="A3131" s="20"/>
      <c r="B3131" s="20"/>
      <c r="C3131" s="30"/>
      <c r="D3131" s="30"/>
      <c r="E3131" s="30"/>
      <c r="F3131" s="22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</row>
    <row r="3132">
      <c r="A3132" s="20"/>
      <c r="B3132" s="20"/>
      <c r="C3132" s="30"/>
      <c r="D3132" s="30"/>
      <c r="E3132" s="30"/>
      <c r="F3132" s="22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</row>
    <row r="3133">
      <c r="A3133" s="20"/>
      <c r="B3133" s="20"/>
      <c r="C3133" s="30"/>
      <c r="D3133" s="30"/>
      <c r="E3133" s="30"/>
      <c r="F3133" s="22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</row>
    <row r="3134">
      <c r="A3134" s="20"/>
      <c r="B3134" s="20"/>
      <c r="C3134" s="30"/>
      <c r="D3134" s="30"/>
      <c r="E3134" s="30"/>
      <c r="F3134" s="22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</row>
    <row r="3135">
      <c r="A3135" s="20"/>
      <c r="B3135" s="20"/>
      <c r="C3135" s="30"/>
      <c r="D3135" s="30"/>
      <c r="E3135" s="30"/>
      <c r="F3135" s="22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</row>
    <row r="3136">
      <c r="A3136" s="20"/>
      <c r="B3136" s="20"/>
      <c r="C3136" s="30"/>
      <c r="D3136" s="30"/>
      <c r="E3136" s="30"/>
      <c r="F3136" s="22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</row>
    <row r="3137">
      <c r="A3137" s="20"/>
      <c r="B3137" s="20"/>
      <c r="C3137" s="30"/>
      <c r="D3137" s="30"/>
      <c r="E3137" s="30"/>
      <c r="F3137" s="22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</row>
    <row r="3138">
      <c r="A3138" s="20"/>
      <c r="B3138" s="20"/>
      <c r="C3138" s="30"/>
      <c r="D3138" s="30"/>
      <c r="E3138" s="30"/>
      <c r="F3138" s="22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</row>
    <row r="3139">
      <c r="A3139" s="20"/>
      <c r="B3139" s="20"/>
      <c r="C3139" s="30"/>
      <c r="D3139" s="30"/>
      <c r="E3139" s="30"/>
      <c r="F3139" s="22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</row>
    <row r="3140">
      <c r="A3140" s="20"/>
      <c r="B3140" s="20"/>
      <c r="C3140" s="30"/>
      <c r="D3140" s="30"/>
      <c r="E3140" s="30"/>
      <c r="F3140" s="22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</row>
    <row r="3141">
      <c r="A3141" s="20"/>
      <c r="B3141" s="20"/>
      <c r="C3141" s="30"/>
      <c r="D3141" s="30"/>
      <c r="E3141" s="30"/>
      <c r="F3141" s="22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</row>
    <row r="3142">
      <c r="A3142" s="20"/>
      <c r="B3142" s="20"/>
      <c r="C3142" s="30"/>
      <c r="D3142" s="30"/>
      <c r="E3142" s="30"/>
      <c r="F3142" s="22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</row>
    <row r="3143">
      <c r="A3143" s="20"/>
      <c r="B3143" s="20"/>
      <c r="C3143" s="30"/>
      <c r="D3143" s="30"/>
      <c r="E3143" s="30"/>
      <c r="F3143" s="22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</row>
    <row r="3144">
      <c r="A3144" s="20"/>
      <c r="B3144" s="20"/>
      <c r="C3144" s="30"/>
      <c r="D3144" s="30"/>
      <c r="E3144" s="30"/>
      <c r="F3144" s="22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</row>
    <row r="3145">
      <c r="A3145" s="20"/>
      <c r="B3145" s="20"/>
      <c r="C3145" s="30"/>
      <c r="D3145" s="30"/>
      <c r="E3145" s="30"/>
      <c r="F3145" s="22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</row>
    <row r="3146">
      <c r="A3146" s="20"/>
      <c r="B3146" s="20"/>
      <c r="C3146" s="30"/>
      <c r="D3146" s="30"/>
      <c r="E3146" s="30"/>
      <c r="F3146" s="22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</row>
    <row r="3147">
      <c r="A3147" s="20"/>
      <c r="B3147" s="20"/>
      <c r="C3147" s="30"/>
      <c r="D3147" s="30"/>
      <c r="E3147" s="30"/>
      <c r="F3147" s="22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</row>
    <row r="3148">
      <c r="A3148" s="20"/>
      <c r="B3148" s="20"/>
      <c r="C3148" s="30"/>
      <c r="D3148" s="30"/>
      <c r="E3148" s="30"/>
      <c r="F3148" s="22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</row>
    <row r="3149">
      <c r="A3149" s="20"/>
      <c r="B3149" s="20"/>
      <c r="C3149" s="30"/>
      <c r="D3149" s="30"/>
      <c r="E3149" s="30"/>
      <c r="F3149" s="22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</row>
    <row r="3150">
      <c r="A3150" s="20"/>
      <c r="B3150" s="20"/>
      <c r="C3150" s="30"/>
      <c r="D3150" s="30"/>
      <c r="E3150" s="30"/>
      <c r="F3150" s="22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</row>
    <row r="3151">
      <c r="A3151" s="20"/>
      <c r="B3151" s="20"/>
      <c r="C3151" s="30"/>
      <c r="D3151" s="30"/>
      <c r="E3151" s="30"/>
      <c r="F3151" s="22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</row>
    <row r="3152">
      <c r="A3152" s="20"/>
      <c r="B3152" s="20"/>
      <c r="C3152" s="30"/>
      <c r="D3152" s="30"/>
      <c r="E3152" s="30"/>
      <c r="F3152" s="22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</row>
    <row r="3153">
      <c r="A3153" s="20"/>
      <c r="B3153" s="20"/>
      <c r="C3153" s="30"/>
      <c r="D3153" s="30"/>
      <c r="E3153" s="30"/>
      <c r="F3153" s="22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</row>
    <row r="3154">
      <c r="A3154" s="20"/>
      <c r="B3154" s="20"/>
      <c r="C3154" s="30"/>
      <c r="D3154" s="30"/>
      <c r="E3154" s="30"/>
      <c r="F3154" s="22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</row>
    <row r="3155">
      <c r="A3155" s="20"/>
      <c r="B3155" s="20"/>
      <c r="C3155" s="30"/>
      <c r="D3155" s="30"/>
      <c r="E3155" s="30"/>
      <c r="F3155" s="22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  <c r="T3155" s="23"/>
      <c r="U3155" s="23"/>
    </row>
    <row r="3156">
      <c r="A3156" s="20"/>
      <c r="B3156" s="20"/>
      <c r="C3156" s="30"/>
      <c r="D3156" s="30"/>
      <c r="E3156" s="30"/>
      <c r="F3156" s="22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  <c r="T3156" s="23"/>
      <c r="U3156" s="23"/>
    </row>
    <row r="3157">
      <c r="A3157" s="20"/>
      <c r="B3157" s="20"/>
      <c r="C3157" s="30"/>
      <c r="D3157" s="30"/>
      <c r="E3157" s="30"/>
      <c r="F3157" s="22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  <c r="T3157" s="23"/>
      <c r="U3157" s="23"/>
    </row>
    <row r="3158">
      <c r="A3158" s="20"/>
      <c r="B3158" s="20"/>
      <c r="C3158" s="30"/>
      <c r="D3158" s="30"/>
      <c r="E3158" s="30"/>
      <c r="F3158" s="22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  <c r="T3158" s="23"/>
      <c r="U3158" s="23"/>
    </row>
    <row r="3159">
      <c r="A3159" s="20"/>
      <c r="B3159" s="20"/>
      <c r="C3159" s="30"/>
      <c r="D3159" s="30"/>
      <c r="E3159" s="30"/>
      <c r="F3159" s="22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  <c r="T3159" s="23"/>
      <c r="U3159" s="23"/>
    </row>
    <row r="3160">
      <c r="A3160" s="20"/>
      <c r="B3160" s="20"/>
      <c r="C3160" s="30"/>
      <c r="D3160" s="30"/>
      <c r="E3160" s="30"/>
      <c r="F3160" s="22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  <c r="T3160" s="23"/>
      <c r="U3160" s="23"/>
    </row>
    <row r="3161">
      <c r="A3161" s="20"/>
      <c r="B3161" s="20"/>
      <c r="C3161" s="30"/>
      <c r="D3161" s="30"/>
      <c r="E3161" s="30"/>
      <c r="F3161" s="22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  <c r="T3161" s="23"/>
      <c r="U3161" s="23"/>
    </row>
    <row r="3162">
      <c r="A3162" s="20"/>
      <c r="B3162" s="20"/>
      <c r="C3162" s="30"/>
      <c r="D3162" s="30"/>
      <c r="E3162" s="30"/>
      <c r="F3162" s="22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  <c r="T3162" s="23"/>
      <c r="U3162" s="23"/>
    </row>
    <row r="3163">
      <c r="A3163" s="20"/>
      <c r="B3163" s="20"/>
      <c r="C3163" s="30"/>
      <c r="D3163" s="30"/>
      <c r="E3163" s="30"/>
      <c r="F3163" s="22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  <c r="T3163" s="23"/>
      <c r="U3163" s="23"/>
    </row>
    <row r="3164">
      <c r="A3164" s="20"/>
      <c r="B3164" s="20"/>
      <c r="C3164" s="30"/>
      <c r="D3164" s="30"/>
      <c r="E3164" s="30"/>
      <c r="F3164" s="22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  <c r="T3164" s="23"/>
      <c r="U3164" s="23"/>
    </row>
    <row r="3165">
      <c r="A3165" s="20"/>
      <c r="B3165" s="20"/>
      <c r="C3165" s="30"/>
      <c r="D3165" s="30"/>
      <c r="E3165" s="30"/>
      <c r="F3165" s="22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  <c r="T3165" s="23"/>
      <c r="U3165" s="23"/>
    </row>
    <row r="3166">
      <c r="A3166" s="20"/>
      <c r="B3166" s="20"/>
      <c r="C3166" s="30"/>
      <c r="D3166" s="30"/>
      <c r="E3166" s="30"/>
      <c r="F3166" s="22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  <c r="T3166" s="23"/>
      <c r="U3166" s="23"/>
    </row>
    <row r="3167">
      <c r="A3167" s="20"/>
      <c r="B3167" s="20"/>
      <c r="C3167" s="30"/>
      <c r="D3167" s="30"/>
      <c r="E3167" s="30"/>
      <c r="F3167" s="22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  <c r="T3167" s="23"/>
      <c r="U3167" s="23"/>
    </row>
    <row r="3168">
      <c r="A3168" s="20"/>
      <c r="B3168" s="20"/>
      <c r="C3168" s="30"/>
      <c r="D3168" s="30"/>
      <c r="E3168" s="30"/>
      <c r="F3168" s="22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  <c r="T3168" s="23"/>
      <c r="U3168" s="23"/>
    </row>
    <row r="3169">
      <c r="A3169" s="20"/>
      <c r="B3169" s="20"/>
      <c r="C3169" s="30"/>
      <c r="D3169" s="30"/>
      <c r="E3169" s="30"/>
      <c r="F3169" s="22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  <c r="T3169" s="23"/>
      <c r="U3169" s="23"/>
    </row>
    <row r="3170">
      <c r="A3170" s="20"/>
      <c r="B3170" s="20"/>
      <c r="C3170" s="30"/>
      <c r="D3170" s="30"/>
      <c r="E3170" s="30"/>
      <c r="F3170" s="22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  <c r="T3170" s="23"/>
      <c r="U3170" s="23"/>
    </row>
    <row r="3171">
      <c r="A3171" s="20"/>
      <c r="B3171" s="20"/>
      <c r="C3171" s="30"/>
      <c r="D3171" s="30"/>
      <c r="E3171" s="30"/>
      <c r="F3171" s="22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</row>
    <row r="3172">
      <c r="A3172" s="20"/>
      <c r="B3172" s="20"/>
      <c r="C3172" s="30"/>
      <c r="D3172" s="30"/>
      <c r="E3172" s="30"/>
      <c r="F3172" s="22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  <c r="T3172" s="23"/>
      <c r="U3172" s="23"/>
    </row>
    <row r="3173">
      <c r="A3173" s="20"/>
      <c r="B3173" s="20"/>
      <c r="C3173" s="30"/>
      <c r="D3173" s="30"/>
      <c r="E3173" s="30"/>
      <c r="F3173" s="22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</row>
    <row r="3174">
      <c r="A3174" s="20"/>
      <c r="B3174" s="20"/>
      <c r="C3174" s="30"/>
      <c r="D3174" s="30"/>
      <c r="E3174" s="30"/>
      <c r="F3174" s="22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</row>
    <row r="3175">
      <c r="A3175" s="20"/>
      <c r="B3175" s="20"/>
      <c r="C3175" s="30"/>
      <c r="D3175" s="30"/>
      <c r="E3175" s="30"/>
      <c r="F3175" s="22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</row>
    <row r="3176">
      <c r="A3176" s="20"/>
      <c r="B3176" s="20"/>
      <c r="C3176" s="30"/>
      <c r="D3176" s="30"/>
      <c r="E3176" s="30"/>
      <c r="F3176" s="22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</row>
    <row r="3177">
      <c r="A3177" s="20"/>
      <c r="B3177" s="20"/>
      <c r="C3177" s="30"/>
      <c r="D3177" s="30"/>
      <c r="E3177" s="30"/>
      <c r="F3177" s="22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</row>
    <row r="3178">
      <c r="A3178" s="20"/>
      <c r="B3178" s="20"/>
      <c r="C3178" s="30"/>
      <c r="D3178" s="30"/>
      <c r="E3178" s="30"/>
      <c r="F3178" s="22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</row>
    <row r="3179">
      <c r="A3179" s="20"/>
      <c r="B3179" s="20"/>
      <c r="C3179" s="30"/>
      <c r="D3179" s="30"/>
      <c r="E3179" s="30"/>
      <c r="F3179" s="22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</row>
    <row r="3180">
      <c r="A3180" s="20"/>
      <c r="B3180" s="20"/>
      <c r="C3180" s="30"/>
      <c r="D3180" s="30"/>
      <c r="E3180" s="30"/>
      <c r="F3180" s="22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</row>
    <row r="3181">
      <c r="A3181" s="20"/>
      <c r="B3181" s="20"/>
      <c r="C3181" s="30"/>
      <c r="D3181" s="30"/>
      <c r="E3181" s="30"/>
      <c r="F3181" s="22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</row>
    <row r="3182">
      <c r="A3182" s="20"/>
      <c r="B3182" s="20"/>
      <c r="C3182" s="30"/>
      <c r="D3182" s="30"/>
      <c r="E3182" s="30"/>
      <c r="F3182" s="22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</row>
    <row r="3183">
      <c r="A3183" s="20"/>
      <c r="B3183" s="20"/>
      <c r="C3183" s="30"/>
      <c r="D3183" s="30"/>
      <c r="E3183" s="30"/>
      <c r="F3183" s="22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</row>
    <row r="3184">
      <c r="A3184" s="20"/>
      <c r="B3184" s="20"/>
      <c r="C3184" s="30"/>
      <c r="D3184" s="30"/>
      <c r="E3184" s="30"/>
      <c r="F3184" s="22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</row>
    <row r="3185">
      <c r="A3185" s="20"/>
      <c r="B3185" s="20"/>
      <c r="C3185" s="30"/>
      <c r="D3185" s="30"/>
      <c r="E3185" s="30"/>
      <c r="F3185" s="22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</row>
    <row r="3186">
      <c r="A3186" s="20"/>
      <c r="B3186" s="20"/>
      <c r="C3186" s="30"/>
      <c r="D3186" s="30"/>
      <c r="E3186" s="30"/>
      <c r="F3186" s="22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</row>
    <row r="3187">
      <c r="A3187" s="20"/>
      <c r="B3187" s="20"/>
      <c r="C3187" s="30"/>
      <c r="D3187" s="30"/>
      <c r="E3187" s="30"/>
      <c r="F3187" s="22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</row>
    <row r="3188">
      <c r="A3188" s="20"/>
      <c r="B3188" s="20"/>
      <c r="C3188" s="30"/>
      <c r="D3188" s="30"/>
      <c r="E3188" s="30"/>
      <c r="F3188" s="22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</row>
    <row r="3189">
      <c r="A3189" s="20"/>
      <c r="B3189" s="20"/>
      <c r="C3189" s="30"/>
      <c r="D3189" s="30"/>
      <c r="E3189" s="30"/>
      <c r="F3189" s="22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</row>
    <row r="3190">
      <c r="A3190" s="20"/>
      <c r="B3190" s="20"/>
      <c r="C3190" s="30"/>
      <c r="D3190" s="30"/>
      <c r="E3190" s="30"/>
      <c r="F3190" s="22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</row>
    <row r="3191">
      <c r="A3191" s="20"/>
      <c r="B3191" s="20"/>
      <c r="C3191" s="30"/>
      <c r="D3191" s="30"/>
      <c r="E3191" s="30"/>
      <c r="F3191" s="22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</row>
    <row r="3192">
      <c r="A3192" s="20"/>
      <c r="B3192" s="20"/>
      <c r="C3192" s="30"/>
      <c r="D3192" s="30"/>
      <c r="E3192" s="30"/>
      <c r="F3192" s="22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</row>
    <row r="3193">
      <c r="A3193" s="20"/>
      <c r="B3193" s="20"/>
      <c r="C3193" s="30"/>
      <c r="D3193" s="30"/>
      <c r="E3193" s="30"/>
      <c r="F3193" s="22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</row>
    <row r="3194">
      <c r="A3194" s="20"/>
      <c r="B3194" s="20"/>
      <c r="C3194" s="30"/>
      <c r="D3194" s="30"/>
      <c r="E3194" s="30"/>
      <c r="F3194" s="22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</row>
    <row r="3195">
      <c r="A3195" s="20"/>
      <c r="B3195" s="20"/>
      <c r="C3195" s="30"/>
      <c r="D3195" s="30"/>
      <c r="E3195" s="30"/>
      <c r="F3195" s="22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</row>
    <row r="3196">
      <c r="A3196" s="20"/>
      <c r="B3196" s="20"/>
      <c r="C3196" s="30"/>
      <c r="D3196" s="30"/>
      <c r="E3196" s="30"/>
      <c r="F3196" s="22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</row>
    <row r="3197">
      <c r="A3197" s="20"/>
      <c r="B3197" s="20"/>
      <c r="C3197" s="30"/>
      <c r="D3197" s="30"/>
      <c r="E3197" s="30"/>
      <c r="F3197" s="22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</row>
    <row r="3198">
      <c r="A3198" s="20"/>
      <c r="B3198" s="20"/>
      <c r="C3198" s="30"/>
      <c r="D3198" s="30"/>
      <c r="E3198" s="30"/>
      <c r="F3198" s="22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</row>
    <row r="3199">
      <c r="A3199" s="20"/>
      <c r="B3199" s="20"/>
      <c r="C3199" s="30"/>
      <c r="D3199" s="30"/>
      <c r="E3199" s="30"/>
      <c r="F3199" s="22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</row>
    <row r="3200">
      <c r="A3200" s="20"/>
      <c r="B3200" s="20"/>
      <c r="C3200" s="30"/>
      <c r="D3200" s="30"/>
      <c r="E3200" s="30"/>
      <c r="F3200" s="22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</row>
    <row r="3201">
      <c r="A3201" s="20"/>
      <c r="B3201" s="20"/>
      <c r="C3201" s="30"/>
      <c r="D3201" s="30"/>
      <c r="E3201" s="30"/>
      <c r="F3201" s="22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</row>
    <row r="3202">
      <c r="A3202" s="20"/>
      <c r="B3202" s="20"/>
      <c r="C3202" s="30"/>
      <c r="D3202" s="30"/>
      <c r="E3202" s="30"/>
      <c r="F3202" s="22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</row>
    <row r="3203">
      <c r="A3203" s="20"/>
      <c r="B3203" s="20"/>
      <c r="C3203" s="30"/>
      <c r="D3203" s="30"/>
      <c r="E3203" s="30"/>
      <c r="F3203" s="22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</row>
    <row r="3204">
      <c r="A3204" s="20"/>
      <c r="B3204" s="20"/>
      <c r="C3204" s="30"/>
      <c r="D3204" s="30"/>
      <c r="E3204" s="30"/>
      <c r="F3204" s="22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</row>
    <row r="3205">
      <c r="A3205" s="20"/>
      <c r="B3205" s="20"/>
      <c r="C3205" s="30"/>
      <c r="D3205" s="30"/>
      <c r="E3205" s="30"/>
      <c r="F3205" s="22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</row>
    <row r="3206">
      <c r="A3206" s="20"/>
      <c r="B3206" s="20"/>
      <c r="C3206" s="30"/>
      <c r="D3206" s="30"/>
      <c r="E3206" s="30"/>
      <c r="F3206" s="22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</row>
    <row r="3207">
      <c r="A3207" s="20"/>
      <c r="B3207" s="20"/>
      <c r="C3207" s="30"/>
      <c r="D3207" s="30"/>
      <c r="E3207" s="30"/>
      <c r="F3207" s="22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</row>
    <row r="3208">
      <c r="A3208" s="20"/>
      <c r="B3208" s="20"/>
      <c r="C3208" s="30"/>
      <c r="D3208" s="30"/>
      <c r="E3208" s="30"/>
      <c r="F3208" s="22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</row>
    <row r="3209">
      <c r="A3209" s="20"/>
      <c r="B3209" s="20"/>
      <c r="C3209" s="30"/>
      <c r="D3209" s="30"/>
      <c r="E3209" s="30"/>
      <c r="F3209" s="22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</row>
    <row r="3210">
      <c r="A3210" s="20"/>
      <c r="B3210" s="20"/>
      <c r="C3210" s="30"/>
      <c r="D3210" s="30"/>
      <c r="E3210" s="30"/>
      <c r="F3210" s="22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</row>
    <row r="3211">
      <c r="A3211" s="20"/>
      <c r="B3211" s="20"/>
      <c r="C3211" s="30"/>
      <c r="D3211" s="30"/>
      <c r="E3211" s="30"/>
      <c r="F3211" s="22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</row>
    <row r="3212">
      <c r="A3212" s="20"/>
      <c r="B3212" s="20"/>
      <c r="C3212" s="30"/>
      <c r="D3212" s="30"/>
      <c r="E3212" s="30"/>
      <c r="F3212" s="22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</row>
    <row r="3213">
      <c r="A3213" s="20"/>
      <c r="B3213" s="20"/>
      <c r="C3213" s="30"/>
      <c r="D3213" s="30"/>
      <c r="E3213" s="30"/>
      <c r="F3213" s="22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</row>
    <row r="3214">
      <c r="A3214" s="20"/>
      <c r="B3214" s="20"/>
      <c r="C3214" s="30"/>
      <c r="D3214" s="30"/>
      <c r="E3214" s="30"/>
      <c r="F3214" s="22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</row>
    <row r="3215">
      <c r="A3215" s="20"/>
      <c r="B3215" s="20"/>
      <c r="C3215" s="30"/>
      <c r="D3215" s="30"/>
      <c r="E3215" s="30"/>
      <c r="F3215" s="22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</row>
    <row r="3216">
      <c r="A3216" s="20"/>
      <c r="B3216" s="20"/>
      <c r="C3216" s="30"/>
      <c r="D3216" s="30"/>
      <c r="E3216" s="30"/>
      <c r="F3216" s="22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</row>
    <row r="3217">
      <c r="A3217" s="20"/>
      <c r="B3217" s="20"/>
      <c r="C3217" s="30"/>
      <c r="D3217" s="30"/>
      <c r="E3217" s="30"/>
      <c r="F3217" s="22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</row>
    <row r="3218">
      <c r="A3218" s="20"/>
      <c r="B3218" s="20"/>
      <c r="C3218" s="30"/>
      <c r="D3218" s="30"/>
      <c r="E3218" s="30"/>
      <c r="F3218" s="22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</row>
    <row r="3219">
      <c r="A3219" s="20"/>
      <c r="B3219" s="20"/>
      <c r="C3219" s="30"/>
      <c r="D3219" s="30"/>
      <c r="E3219" s="30"/>
      <c r="F3219" s="22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</row>
    <row r="3220">
      <c r="A3220" s="20"/>
      <c r="B3220" s="20"/>
      <c r="C3220" s="30"/>
      <c r="D3220" s="30"/>
      <c r="E3220" s="30"/>
      <c r="F3220" s="22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</row>
    <row r="3221">
      <c r="A3221" s="20"/>
      <c r="B3221" s="20"/>
      <c r="C3221" s="30"/>
      <c r="D3221" s="30"/>
      <c r="E3221" s="30"/>
      <c r="F3221" s="22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</row>
    <row r="3222">
      <c r="A3222" s="20"/>
      <c r="B3222" s="20"/>
      <c r="C3222" s="30"/>
      <c r="D3222" s="30"/>
      <c r="E3222" s="30"/>
      <c r="F3222" s="22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</row>
    <row r="3223">
      <c r="A3223" s="20"/>
      <c r="B3223" s="20"/>
      <c r="C3223" s="30"/>
      <c r="D3223" s="30"/>
      <c r="E3223" s="30"/>
      <c r="F3223" s="22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</row>
    <row r="3224">
      <c r="A3224" s="20"/>
      <c r="B3224" s="20"/>
      <c r="C3224" s="30"/>
      <c r="D3224" s="30"/>
      <c r="E3224" s="30"/>
      <c r="F3224" s="22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</row>
    <row r="3225">
      <c r="A3225" s="20"/>
      <c r="B3225" s="20"/>
      <c r="C3225" s="30"/>
      <c r="D3225" s="30"/>
      <c r="E3225" s="30"/>
      <c r="F3225" s="22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</row>
    <row r="3226">
      <c r="A3226" s="20"/>
      <c r="B3226" s="20"/>
      <c r="C3226" s="30"/>
      <c r="D3226" s="30"/>
      <c r="E3226" s="30"/>
      <c r="F3226" s="22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</row>
    <row r="3227">
      <c r="A3227" s="20"/>
      <c r="B3227" s="20"/>
      <c r="C3227" s="30"/>
      <c r="D3227" s="30"/>
      <c r="E3227" s="30"/>
      <c r="F3227" s="22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</row>
    <row r="3228">
      <c r="A3228" s="20"/>
      <c r="B3228" s="20"/>
      <c r="C3228" s="30"/>
      <c r="D3228" s="30"/>
      <c r="E3228" s="30"/>
      <c r="F3228" s="22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</row>
    <row r="3229">
      <c r="A3229" s="20"/>
      <c r="B3229" s="20"/>
      <c r="C3229" s="30"/>
      <c r="D3229" s="30"/>
      <c r="E3229" s="30"/>
      <c r="F3229" s="22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</row>
    <row r="3230">
      <c r="A3230" s="20"/>
      <c r="B3230" s="20"/>
      <c r="C3230" s="30"/>
      <c r="D3230" s="30"/>
      <c r="E3230" s="30"/>
      <c r="F3230" s="22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</row>
    <row r="3231">
      <c r="A3231" s="20"/>
      <c r="B3231" s="20"/>
      <c r="C3231" s="30"/>
      <c r="D3231" s="30"/>
      <c r="E3231" s="30"/>
      <c r="F3231" s="22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</row>
    <row r="3232">
      <c r="A3232" s="20"/>
      <c r="B3232" s="20"/>
      <c r="C3232" s="30"/>
      <c r="D3232" s="30"/>
      <c r="E3232" s="30"/>
      <c r="F3232" s="22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</row>
    <row r="3233">
      <c r="A3233" s="20"/>
      <c r="B3233" s="20"/>
      <c r="C3233" s="30"/>
      <c r="D3233" s="30"/>
      <c r="E3233" s="30"/>
      <c r="F3233" s="22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</row>
    <row r="3234">
      <c r="A3234" s="20"/>
      <c r="B3234" s="20"/>
      <c r="C3234" s="30"/>
      <c r="D3234" s="30"/>
      <c r="E3234" s="30"/>
      <c r="F3234" s="22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</row>
    <row r="3235">
      <c r="A3235" s="20"/>
      <c r="B3235" s="20"/>
      <c r="C3235" s="30"/>
      <c r="D3235" s="30"/>
      <c r="E3235" s="30"/>
      <c r="F3235" s="22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</row>
    <row r="3236">
      <c r="A3236" s="20"/>
      <c r="B3236" s="20"/>
      <c r="C3236" s="30"/>
      <c r="D3236" s="30"/>
      <c r="E3236" s="30"/>
      <c r="F3236" s="22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</row>
    <row r="3237">
      <c r="A3237" s="20"/>
      <c r="B3237" s="20"/>
      <c r="C3237" s="30"/>
      <c r="D3237" s="30"/>
      <c r="E3237" s="30"/>
      <c r="F3237" s="22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</row>
    <row r="3238">
      <c r="A3238" s="20"/>
      <c r="B3238" s="20"/>
      <c r="C3238" s="30"/>
      <c r="D3238" s="30"/>
      <c r="E3238" s="30"/>
      <c r="F3238" s="22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</row>
    <row r="3239">
      <c r="A3239" s="20"/>
      <c r="B3239" s="20"/>
      <c r="C3239" s="30"/>
      <c r="D3239" s="30"/>
      <c r="E3239" s="30"/>
      <c r="F3239" s="22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</row>
    <row r="3240">
      <c r="A3240" s="20"/>
      <c r="B3240" s="20"/>
      <c r="C3240" s="30"/>
      <c r="D3240" s="30"/>
      <c r="E3240" s="30"/>
      <c r="F3240" s="22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</row>
    <row r="3241">
      <c r="A3241" s="20"/>
      <c r="B3241" s="20"/>
      <c r="C3241" s="30"/>
      <c r="D3241" s="30"/>
      <c r="E3241" s="30"/>
      <c r="F3241" s="22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</row>
    <row r="3242">
      <c r="A3242" s="20"/>
      <c r="B3242" s="20"/>
      <c r="C3242" s="30"/>
      <c r="D3242" s="30"/>
      <c r="E3242" s="30"/>
      <c r="F3242" s="22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</row>
    <row r="3243">
      <c r="A3243" s="20"/>
      <c r="B3243" s="20"/>
      <c r="C3243" s="30"/>
      <c r="D3243" s="30"/>
      <c r="E3243" s="30"/>
      <c r="F3243" s="22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</row>
    <row r="3244">
      <c r="A3244" s="20"/>
      <c r="B3244" s="20"/>
      <c r="C3244" s="30"/>
      <c r="D3244" s="30"/>
      <c r="E3244" s="30"/>
      <c r="F3244" s="22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</row>
    <row r="3245">
      <c r="A3245" s="20"/>
      <c r="B3245" s="20"/>
      <c r="C3245" s="30"/>
      <c r="D3245" s="30"/>
      <c r="E3245" s="30"/>
      <c r="F3245" s="22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</row>
    <row r="3246">
      <c r="A3246" s="20"/>
      <c r="B3246" s="20"/>
      <c r="C3246" s="30"/>
      <c r="D3246" s="30"/>
      <c r="E3246" s="30"/>
      <c r="F3246" s="22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</row>
    <row r="3247">
      <c r="A3247" s="20"/>
      <c r="B3247" s="20"/>
      <c r="C3247" s="30"/>
      <c r="D3247" s="30"/>
      <c r="E3247" s="30"/>
      <c r="F3247" s="22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</row>
    <row r="3248">
      <c r="A3248" s="20"/>
      <c r="B3248" s="20"/>
      <c r="C3248" s="30"/>
      <c r="D3248" s="30"/>
      <c r="E3248" s="30"/>
      <c r="F3248" s="22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</row>
    <row r="3249">
      <c r="A3249" s="20"/>
      <c r="B3249" s="20"/>
      <c r="C3249" s="30"/>
      <c r="D3249" s="30"/>
      <c r="E3249" s="30"/>
      <c r="F3249" s="22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</row>
    <row r="3250">
      <c r="A3250" s="20"/>
      <c r="B3250" s="20"/>
      <c r="C3250" s="30"/>
      <c r="D3250" s="30"/>
      <c r="E3250" s="30"/>
      <c r="F3250" s="22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</row>
    <row r="3251">
      <c r="A3251" s="20"/>
      <c r="B3251" s="20"/>
      <c r="C3251" s="30"/>
      <c r="D3251" s="30"/>
      <c r="E3251" s="30"/>
      <c r="F3251" s="22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</row>
    <row r="3252">
      <c r="A3252" s="20"/>
      <c r="B3252" s="20"/>
      <c r="C3252" s="30"/>
      <c r="D3252" s="30"/>
      <c r="E3252" s="30"/>
      <c r="F3252" s="22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</row>
    <row r="3253">
      <c r="A3253" s="20"/>
      <c r="B3253" s="20"/>
      <c r="C3253" s="30"/>
      <c r="D3253" s="30"/>
      <c r="E3253" s="30"/>
      <c r="F3253" s="22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</row>
    <row r="3254">
      <c r="A3254" s="20"/>
      <c r="B3254" s="20"/>
      <c r="C3254" s="30"/>
      <c r="D3254" s="30"/>
      <c r="E3254" s="30"/>
      <c r="F3254" s="22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</row>
    <row r="3255">
      <c r="A3255" s="20"/>
      <c r="B3255" s="20"/>
      <c r="C3255" s="30"/>
      <c r="D3255" s="30"/>
      <c r="E3255" s="30"/>
      <c r="F3255" s="22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</row>
    <row r="3256">
      <c r="A3256" s="20"/>
      <c r="B3256" s="20"/>
      <c r="C3256" s="30"/>
      <c r="D3256" s="30"/>
      <c r="E3256" s="30"/>
      <c r="F3256" s="22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</row>
    <row r="3257">
      <c r="A3257" s="20"/>
      <c r="B3257" s="20"/>
      <c r="C3257" s="30"/>
      <c r="D3257" s="30"/>
      <c r="E3257" s="30"/>
      <c r="F3257" s="22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</row>
    <row r="3258">
      <c r="A3258" s="20"/>
      <c r="B3258" s="20"/>
      <c r="C3258" s="30"/>
      <c r="D3258" s="30"/>
      <c r="E3258" s="30"/>
      <c r="F3258" s="22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</row>
    <row r="3259">
      <c r="A3259" s="20"/>
      <c r="B3259" s="20"/>
      <c r="C3259" s="30"/>
      <c r="D3259" s="30"/>
      <c r="E3259" s="30"/>
      <c r="F3259" s="22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</row>
    <row r="3260">
      <c r="A3260" s="20"/>
      <c r="B3260" s="20"/>
      <c r="C3260" s="30"/>
      <c r="D3260" s="30"/>
      <c r="E3260" s="30"/>
      <c r="F3260" s="22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</row>
    <row r="3261">
      <c r="A3261" s="20"/>
      <c r="B3261" s="20"/>
      <c r="C3261" s="30"/>
      <c r="D3261" s="30"/>
      <c r="E3261" s="30"/>
      <c r="F3261" s="22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</row>
    <row r="3262">
      <c r="A3262" s="20"/>
      <c r="B3262" s="20"/>
      <c r="C3262" s="30"/>
      <c r="D3262" s="30"/>
      <c r="E3262" s="30"/>
      <c r="F3262" s="22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</row>
    <row r="3263">
      <c r="A3263" s="20"/>
      <c r="B3263" s="20"/>
      <c r="C3263" s="30"/>
      <c r="D3263" s="30"/>
      <c r="E3263" s="30"/>
      <c r="F3263" s="22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</row>
    <row r="3264">
      <c r="A3264" s="20"/>
      <c r="B3264" s="20"/>
      <c r="C3264" s="30"/>
      <c r="D3264" s="30"/>
      <c r="E3264" s="30"/>
      <c r="F3264" s="22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</row>
    <row r="3265">
      <c r="A3265" s="20"/>
      <c r="B3265" s="20"/>
      <c r="C3265" s="30"/>
      <c r="D3265" s="30"/>
      <c r="E3265" s="30"/>
      <c r="F3265" s="22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</row>
    <row r="3266">
      <c r="A3266" s="20"/>
      <c r="B3266" s="20"/>
      <c r="C3266" s="30"/>
      <c r="D3266" s="30"/>
      <c r="E3266" s="30"/>
      <c r="F3266" s="22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</row>
    <row r="3267">
      <c r="A3267" s="20"/>
      <c r="B3267" s="20"/>
      <c r="C3267" s="30"/>
      <c r="D3267" s="30"/>
      <c r="E3267" s="30"/>
      <c r="F3267" s="22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</row>
    <row r="3268">
      <c r="A3268" s="20"/>
      <c r="B3268" s="20"/>
      <c r="C3268" s="30"/>
      <c r="D3268" s="30"/>
      <c r="E3268" s="30"/>
      <c r="F3268" s="22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</row>
    <row r="3269">
      <c r="A3269" s="20"/>
      <c r="B3269" s="20"/>
      <c r="C3269" s="30"/>
      <c r="D3269" s="30"/>
      <c r="E3269" s="30"/>
      <c r="F3269" s="22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</row>
    <row r="3270">
      <c r="A3270" s="20"/>
      <c r="B3270" s="20"/>
      <c r="C3270" s="30"/>
      <c r="D3270" s="30"/>
      <c r="E3270" s="30"/>
      <c r="F3270" s="22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</row>
    <row r="3271">
      <c r="A3271" s="20"/>
      <c r="B3271" s="20"/>
      <c r="C3271" s="30"/>
      <c r="D3271" s="30"/>
      <c r="E3271" s="30"/>
      <c r="F3271" s="22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</row>
    <row r="3272">
      <c r="A3272" s="20"/>
      <c r="B3272" s="20"/>
      <c r="C3272" s="30"/>
      <c r="D3272" s="30"/>
      <c r="E3272" s="30"/>
      <c r="F3272" s="22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</row>
    <row r="3273">
      <c r="A3273" s="20"/>
      <c r="B3273" s="20"/>
      <c r="C3273" s="30"/>
      <c r="D3273" s="30"/>
      <c r="E3273" s="30"/>
      <c r="F3273" s="22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</row>
    <row r="3274">
      <c r="A3274" s="20"/>
      <c r="B3274" s="20"/>
      <c r="C3274" s="30"/>
      <c r="D3274" s="30"/>
      <c r="E3274" s="30"/>
      <c r="F3274" s="22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</row>
    <row r="3275">
      <c r="A3275" s="20"/>
      <c r="B3275" s="20"/>
      <c r="C3275" s="30"/>
      <c r="D3275" s="30"/>
      <c r="E3275" s="30"/>
      <c r="F3275" s="22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</row>
    <row r="3276">
      <c r="A3276" s="20"/>
      <c r="B3276" s="20"/>
      <c r="C3276" s="30"/>
      <c r="D3276" s="30"/>
      <c r="E3276" s="30"/>
      <c r="F3276" s="22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</row>
    <row r="3277">
      <c r="A3277" s="20"/>
      <c r="B3277" s="20"/>
      <c r="C3277" s="30"/>
      <c r="D3277" s="30"/>
      <c r="E3277" s="30"/>
      <c r="F3277" s="22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</row>
    <row r="3278">
      <c r="A3278" s="20"/>
      <c r="B3278" s="20"/>
      <c r="C3278" s="30"/>
      <c r="D3278" s="30"/>
      <c r="E3278" s="30"/>
      <c r="F3278" s="22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</row>
    <row r="3279">
      <c r="A3279" s="20"/>
      <c r="B3279" s="20"/>
      <c r="C3279" s="30"/>
      <c r="D3279" s="30"/>
      <c r="E3279" s="30"/>
      <c r="F3279" s="22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</row>
    <row r="3280">
      <c r="A3280" s="20"/>
      <c r="B3280" s="20"/>
      <c r="C3280" s="30"/>
      <c r="D3280" s="30"/>
      <c r="E3280" s="30"/>
      <c r="F3280" s="22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</row>
    <row r="3281">
      <c r="A3281" s="20"/>
      <c r="B3281" s="20"/>
      <c r="C3281" s="30"/>
      <c r="D3281" s="30"/>
      <c r="E3281" s="30"/>
      <c r="F3281" s="22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</row>
    <row r="3282">
      <c r="A3282" s="20"/>
      <c r="B3282" s="20"/>
      <c r="C3282" s="30"/>
      <c r="D3282" s="30"/>
      <c r="E3282" s="30"/>
      <c r="F3282" s="22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</row>
    <row r="3283">
      <c r="A3283" s="20"/>
      <c r="B3283" s="20"/>
      <c r="C3283" s="30"/>
      <c r="D3283" s="30"/>
      <c r="E3283" s="30"/>
      <c r="F3283" s="22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</row>
    <row r="3284">
      <c r="A3284" s="20"/>
      <c r="B3284" s="20"/>
      <c r="C3284" s="30"/>
      <c r="D3284" s="30"/>
      <c r="E3284" s="30"/>
      <c r="F3284" s="22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</row>
    <row r="3285">
      <c r="A3285" s="20"/>
      <c r="B3285" s="20"/>
      <c r="C3285" s="30"/>
      <c r="D3285" s="30"/>
      <c r="E3285" s="30"/>
      <c r="F3285" s="22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</row>
    <row r="3286">
      <c r="A3286" s="20"/>
      <c r="B3286" s="20"/>
      <c r="C3286" s="30"/>
      <c r="D3286" s="30"/>
      <c r="E3286" s="30"/>
      <c r="F3286" s="22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</row>
    <row r="3287">
      <c r="A3287" s="20"/>
      <c r="B3287" s="20"/>
      <c r="C3287" s="30"/>
      <c r="D3287" s="30"/>
      <c r="E3287" s="30"/>
      <c r="F3287" s="22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</row>
    <row r="3288">
      <c r="A3288" s="20"/>
      <c r="B3288" s="20"/>
      <c r="C3288" s="30"/>
      <c r="D3288" s="30"/>
      <c r="E3288" s="30"/>
      <c r="F3288" s="22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</row>
    <row r="3289">
      <c r="A3289" s="20"/>
      <c r="B3289" s="20"/>
      <c r="C3289" s="30"/>
      <c r="D3289" s="30"/>
      <c r="E3289" s="30"/>
      <c r="F3289" s="22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</row>
    <row r="3290">
      <c r="A3290" s="20"/>
      <c r="B3290" s="20"/>
      <c r="C3290" s="30"/>
      <c r="D3290" s="30"/>
      <c r="E3290" s="30"/>
      <c r="F3290" s="22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</row>
    <row r="3291">
      <c r="A3291" s="20"/>
      <c r="B3291" s="20"/>
      <c r="C3291" s="30"/>
      <c r="D3291" s="30"/>
      <c r="E3291" s="30"/>
      <c r="F3291" s="22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</row>
    <row r="3292">
      <c r="A3292" s="20"/>
      <c r="B3292" s="20"/>
      <c r="C3292" s="30"/>
      <c r="D3292" s="30"/>
      <c r="E3292" s="30"/>
      <c r="F3292" s="22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</row>
    <row r="3293">
      <c r="A3293" s="20"/>
      <c r="B3293" s="20"/>
      <c r="C3293" s="30"/>
      <c r="D3293" s="30"/>
      <c r="E3293" s="30"/>
      <c r="F3293" s="22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</row>
    <row r="3294">
      <c r="A3294" s="20"/>
      <c r="B3294" s="20"/>
      <c r="C3294" s="30"/>
      <c r="D3294" s="30"/>
      <c r="E3294" s="30"/>
      <c r="F3294" s="22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</row>
    <row r="3295">
      <c r="A3295" s="20"/>
      <c r="B3295" s="20"/>
      <c r="C3295" s="30"/>
      <c r="D3295" s="30"/>
      <c r="E3295" s="30"/>
      <c r="F3295" s="22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</row>
    <row r="3296">
      <c r="A3296" s="20"/>
      <c r="B3296" s="20"/>
      <c r="C3296" s="30"/>
      <c r="D3296" s="30"/>
      <c r="E3296" s="30"/>
      <c r="F3296" s="22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</row>
    <row r="3297">
      <c r="A3297" s="20"/>
      <c r="B3297" s="20"/>
      <c r="C3297" s="30"/>
      <c r="D3297" s="30"/>
      <c r="E3297" s="30"/>
      <c r="F3297" s="22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</row>
    <row r="3298">
      <c r="A3298" s="20"/>
      <c r="B3298" s="20"/>
      <c r="C3298" s="30"/>
      <c r="D3298" s="30"/>
      <c r="E3298" s="30"/>
      <c r="F3298" s="22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</row>
    <row r="3299">
      <c r="A3299" s="20"/>
      <c r="B3299" s="20"/>
      <c r="C3299" s="30"/>
      <c r="D3299" s="30"/>
      <c r="E3299" s="30"/>
      <c r="F3299" s="22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</row>
    <row r="3300">
      <c r="A3300" s="20"/>
      <c r="B3300" s="20"/>
      <c r="C3300" s="30"/>
      <c r="D3300" s="30"/>
      <c r="E3300" s="30"/>
      <c r="F3300" s="22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</row>
    <row r="3301">
      <c r="A3301" s="20"/>
      <c r="B3301" s="20"/>
      <c r="C3301" s="30"/>
      <c r="D3301" s="30"/>
      <c r="E3301" s="30"/>
      <c r="F3301" s="22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</row>
    <row r="3302">
      <c r="A3302" s="20"/>
      <c r="B3302" s="20"/>
      <c r="C3302" s="30"/>
      <c r="D3302" s="30"/>
      <c r="E3302" s="30"/>
      <c r="F3302" s="22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</row>
    <row r="3303">
      <c r="A3303" s="20"/>
      <c r="B3303" s="20"/>
      <c r="C3303" s="30"/>
      <c r="D3303" s="30"/>
      <c r="E3303" s="30"/>
      <c r="F3303" s="22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</row>
    <row r="3304">
      <c r="A3304" s="20"/>
      <c r="B3304" s="20"/>
      <c r="C3304" s="30"/>
      <c r="D3304" s="30"/>
      <c r="E3304" s="30"/>
      <c r="F3304" s="22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</row>
    <row r="3305">
      <c r="A3305" s="20"/>
      <c r="B3305" s="20"/>
      <c r="C3305" s="30"/>
      <c r="D3305" s="30"/>
      <c r="E3305" s="30"/>
      <c r="F3305" s="22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</row>
    <row r="3306">
      <c r="A3306" s="20"/>
      <c r="B3306" s="20"/>
      <c r="C3306" s="30"/>
      <c r="D3306" s="30"/>
      <c r="E3306" s="30"/>
      <c r="F3306" s="22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</row>
    <row r="3307">
      <c r="A3307" s="20"/>
      <c r="B3307" s="20"/>
      <c r="C3307" s="30"/>
      <c r="D3307" s="30"/>
      <c r="E3307" s="30"/>
      <c r="F3307" s="22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</row>
    <row r="3308">
      <c r="A3308" s="20"/>
      <c r="B3308" s="20"/>
      <c r="C3308" s="30"/>
      <c r="D3308" s="30"/>
      <c r="E3308" s="30"/>
      <c r="F3308" s="22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</row>
    <row r="3309">
      <c r="A3309" s="20"/>
      <c r="B3309" s="20"/>
      <c r="C3309" s="30"/>
      <c r="D3309" s="30"/>
      <c r="E3309" s="30"/>
      <c r="F3309" s="22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</row>
    <row r="3310">
      <c r="A3310" s="20"/>
      <c r="B3310" s="20"/>
      <c r="C3310" s="30"/>
      <c r="D3310" s="30"/>
      <c r="E3310" s="30"/>
      <c r="F3310" s="22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</row>
    <row r="3311">
      <c r="A3311" s="20"/>
      <c r="B3311" s="20"/>
      <c r="C3311" s="30"/>
      <c r="D3311" s="30"/>
      <c r="E3311" s="30"/>
      <c r="F3311" s="22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</row>
    <row r="3312">
      <c r="A3312" s="20"/>
      <c r="B3312" s="20"/>
      <c r="C3312" s="30"/>
      <c r="D3312" s="30"/>
      <c r="E3312" s="30"/>
      <c r="F3312" s="22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</row>
    <row r="3313">
      <c r="A3313" s="20"/>
      <c r="B3313" s="20"/>
      <c r="C3313" s="30"/>
      <c r="D3313" s="30"/>
      <c r="E3313" s="30"/>
      <c r="F3313" s="22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</row>
    <row r="3314">
      <c r="A3314" s="20"/>
      <c r="B3314" s="20"/>
      <c r="C3314" s="30"/>
      <c r="D3314" s="30"/>
      <c r="E3314" s="30"/>
      <c r="F3314" s="22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</row>
    <row r="3315">
      <c r="A3315" s="20"/>
      <c r="B3315" s="20"/>
      <c r="C3315" s="30"/>
      <c r="D3315" s="30"/>
      <c r="E3315" s="30"/>
      <c r="F3315" s="22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</row>
    <row r="3316">
      <c r="A3316" s="20"/>
      <c r="B3316" s="20"/>
      <c r="C3316" s="30"/>
      <c r="D3316" s="30"/>
      <c r="E3316" s="30"/>
      <c r="F3316" s="22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</row>
    <row r="3317">
      <c r="A3317" s="20"/>
      <c r="B3317" s="20"/>
      <c r="C3317" s="30"/>
      <c r="D3317" s="30"/>
      <c r="E3317" s="30"/>
      <c r="F3317" s="22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</row>
    <row r="3318">
      <c r="A3318" s="20"/>
      <c r="B3318" s="20"/>
      <c r="C3318" s="30"/>
      <c r="D3318" s="30"/>
      <c r="E3318" s="30"/>
      <c r="F3318" s="22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</row>
    <row r="3319">
      <c r="A3319" s="20"/>
      <c r="B3319" s="20"/>
      <c r="C3319" s="30"/>
      <c r="D3319" s="30"/>
      <c r="E3319" s="30"/>
      <c r="F3319" s="22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</row>
    <row r="3320">
      <c r="A3320" s="20"/>
      <c r="B3320" s="20"/>
      <c r="C3320" s="30"/>
      <c r="D3320" s="30"/>
      <c r="E3320" s="30"/>
      <c r="F3320" s="22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</row>
    <row r="3321">
      <c r="A3321" s="20"/>
      <c r="B3321" s="20"/>
      <c r="C3321" s="30"/>
      <c r="D3321" s="30"/>
      <c r="E3321" s="30"/>
      <c r="F3321" s="22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</row>
    <row r="3322">
      <c r="A3322" s="20"/>
      <c r="B3322" s="20"/>
      <c r="C3322" s="30"/>
      <c r="D3322" s="30"/>
      <c r="E3322" s="30"/>
      <c r="F3322" s="22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</row>
    <row r="3323">
      <c r="A3323" s="20"/>
      <c r="B3323" s="20"/>
      <c r="C3323" s="30"/>
      <c r="D3323" s="30"/>
      <c r="E3323" s="30"/>
      <c r="F3323" s="22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</row>
    <row r="3324">
      <c r="A3324" s="20"/>
      <c r="B3324" s="20"/>
      <c r="C3324" s="30"/>
      <c r="D3324" s="30"/>
      <c r="E3324" s="30"/>
      <c r="F3324" s="22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</row>
    <row r="3325">
      <c r="A3325" s="20"/>
      <c r="B3325" s="20"/>
      <c r="C3325" s="30"/>
      <c r="D3325" s="30"/>
      <c r="E3325" s="30"/>
      <c r="F3325" s="22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</row>
    <row r="3326">
      <c r="A3326" s="20"/>
      <c r="B3326" s="20"/>
      <c r="C3326" s="30"/>
      <c r="D3326" s="30"/>
      <c r="E3326" s="30"/>
      <c r="F3326" s="22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</row>
    <row r="3327">
      <c r="A3327" s="20"/>
      <c r="B3327" s="20"/>
      <c r="C3327" s="30"/>
      <c r="D3327" s="30"/>
      <c r="E3327" s="30"/>
      <c r="F3327" s="22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</row>
    <row r="3328">
      <c r="A3328" s="20"/>
      <c r="B3328" s="20"/>
      <c r="C3328" s="30"/>
      <c r="D3328" s="30"/>
      <c r="E3328" s="30"/>
      <c r="F3328" s="22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</row>
    <row r="3329">
      <c r="A3329" s="20"/>
      <c r="B3329" s="20"/>
      <c r="C3329" s="30"/>
      <c r="D3329" s="30"/>
      <c r="E3329" s="30"/>
      <c r="F3329" s="22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</row>
    <row r="3330">
      <c r="A3330" s="20"/>
      <c r="B3330" s="20"/>
      <c r="C3330" s="30"/>
      <c r="D3330" s="30"/>
      <c r="E3330" s="30"/>
      <c r="F3330" s="22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</row>
    <row r="3331">
      <c r="A3331" s="20"/>
      <c r="B3331" s="20"/>
      <c r="C3331" s="30"/>
      <c r="D3331" s="30"/>
      <c r="E3331" s="30"/>
      <c r="F3331" s="22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</row>
    <row r="3332">
      <c r="A3332" s="20"/>
      <c r="B3332" s="20"/>
      <c r="C3332" s="30"/>
      <c r="D3332" s="30"/>
      <c r="E3332" s="30"/>
      <c r="F3332" s="22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</row>
    <row r="3333">
      <c r="A3333" s="20"/>
      <c r="B3333" s="20"/>
      <c r="C3333" s="30"/>
      <c r="D3333" s="30"/>
      <c r="E3333" s="30"/>
      <c r="F3333" s="22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</row>
    <row r="3334">
      <c r="A3334" s="20"/>
      <c r="B3334" s="20"/>
      <c r="C3334" s="30"/>
      <c r="D3334" s="30"/>
      <c r="E3334" s="30"/>
      <c r="F3334" s="22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</row>
    <row r="3335">
      <c r="A3335" s="20"/>
      <c r="B3335" s="20"/>
      <c r="C3335" s="30"/>
      <c r="D3335" s="30"/>
      <c r="E3335" s="30"/>
      <c r="F3335" s="22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</row>
    <row r="3336">
      <c r="A3336" s="20"/>
      <c r="B3336" s="20"/>
      <c r="C3336" s="30"/>
      <c r="D3336" s="30"/>
      <c r="E3336" s="30"/>
      <c r="F3336" s="22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</row>
    <row r="3337">
      <c r="A3337" s="20"/>
      <c r="B3337" s="20"/>
      <c r="C3337" s="30"/>
      <c r="D3337" s="30"/>
      <c r="E3337" s="30"/>
      <c r="F3337" s="22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</row>
    <row r="3338">
      <c r="A3338" s="20"/>
      <c r="B3338" s="20"/>
      <c r="C3338" s="30"/>
      <c r="D3338" s="30"/>
      <c r="E3338" s="30"/>
      <c r="F3338" s="22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</row>
    <row r="3339">
      <c r="A3339" s="20"/>
      <c r="B3339" s="20"/>
      <c r="C3339" s="30"/>
      <c r="D3339" s="30"/>
      <c r="E3339" s="30"/>
      <c r="F3339" s="22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</row>
    <row r="3340">
      <c r="A3340" s="20"/>
      <c r="B3340" s="20"/>
      <c r="C3340" s="30"/>
      <c r="D3340" s="30"/>
      <c r="E3340" s="30"/>
      <c r="F3340" s="22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</row>
    <row r="3341">
      <c r="A3341" s="20"/>
      <c r="B3341" s="20"/>
      <c r="C3341" s="30"/>
      <c r="D3341" s="30"/>
      <c r="E3341" s="30"/>
      <c r="F3341" s="22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</row>
    <row r="3342">
      <c r="A3342" s="20"/>
      <c r="B3342" s="20"/>
      <c r="C3342" s="30"/>
      <c r="D3342" s="30"/>
      <c r="E3342" s="30"/>
      <c r="F3342" s="22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</row>
    <row r="3343">
      <c r="A3343" s="20"/>
      <c r="B3343" s="20"/>
      <c r="C3343" s="30"/>
      <c r="D3343" s="30"/>
      <c r="E3343" s="30"/>
      <c r="F3343" s="22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</row>
    <row r="3344">
      <c r="A3344" s="20"/>
      <c r="B3344" s="20"/>
      <c r="C3344" s="30"/>
      <c r="D3344" s="30"/>
      <c r="E3344" s="30"/>
      <c r="F3344" s="22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</row>
    <row r="3345">
      <c r="A3345" s="20"/>
      <c r="B3345" s="20"/>
      <c r="C3345" s="30"/>
      <c r="D3345" s="30"/>
      <c r="E3345" s="30"/>
      <c r="F3345" s="22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</row>
    <row r="3346">
      <c r="A3346" s="20"/>
      <c r="B3346" s="20"/>
      <c r="C3346" s="30"/>
      <c r="D3346" s="30"/>
      <c r="E3346" s="30"/>
      <c r="F3346" s="22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</row>
    <row r="3347">
      <c r="A3347" s="20"/>
      <c r="B3347" s="20"/>
      <c r="C3347" s="30"/>
      <c r="D3347" s="30"/>
      <c r="E3347" s="30"/>
      <c r="F3347" s="22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</row>
    <row r="3348">
      <c r="A3348" s="20"/>
      <c r="B3348" s="20"/>
      <c r="C3348" s="30"/>
      <c r="D3348" s="30"/>
      <c r="E3348" s="30"/>
      <c r="F3348" s="22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</row>
    <row r="3349">
      <c r="A3349" s="20"/>
      <c r="B3349" s="20"/>
      <c r="C3349" s="30"/>
      <c r="D3349" s="30"/>
      <c r="E3349" s="30"/>
      <c r="F3349" s="22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</row>
    <row r="3350">
      <c r="A3350" s="20"/>
      <c r="B3350" s="20"/>
      <c r="C3350" s="30"/>
      <c r="D3350" s="30"/>
      <c r="E3350" s="30"/>
      <c r="F3350" s="22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</row>
    <row r="3351">
      <c r="A3351" s="20"/>
      <c r="B3351" s="20"/>
      <c r="C3351" s="30"/>
      <c r="D3351" s="30"/>
      <c r="E3351" s="30"/>
      <c r="F3351" s="22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</row>
    <row r="3352">
      <c r="A3352" s="20"/>
      <c r="B3352" s="20"/>
      <c r="C3352" s="30"/>
      <c r="D3352" s="30"/>
      <c r="E3352" s="30"/>
      <c r="F3352" s="22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</row>
    <row r="3353">
      <c r="A3353" s="20"/>
      <c r="B3353" s="20"/>
      <c r="C3353" s="30"/>
      <c r="D3353" s="30"/>
      <c r="E3353" s="30"/>
      <c r="F3353" s="22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</row>
    <row r="3354">
      <c r="A3354" s="20"/>
      <c r="B3354" s="20"/>
      <c r="C3354" s="30"/>
      <c r="D3354" s="30"/>
      <c r="E3354" s="30"/>
      <c r="F3354" s="22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</row>
    <row r="3355">
      <c r="A3355" s="20"/>
      <c r="B3355" s="20"/>
      <c r="C3355" s="30"/>
      <c r="D3355" s="30"/>
      <c r="E3355" s="30"/>
      <c r="F3355" s="22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</row>
    <row r="3356">
      <c r="A3356" s="20"/>
      <c r="B3356" s="20"/>
      <c r="C3356" s="30"/>
      <c r="D3356" s="30"/>
      <c r="E3356" s="30"/>
      <c r="F3356" s="22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</row>
    <row r="3357">
      <c r="A3357" s="20"/>
      <c r="B3357" s="20"/>
      <c r="C3357" s="30"/>
      <c r="D3357" s="30"/>
      <c r="E3357" s="30"/>
      <c r="F3357" s="22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</row>
    <row r="3358">
      <c r="A3358" s="20"/>
      <c r="B3358" s="20"/>
      <c r="C3358" s="30"/>
      <c r="D3358" s="30"/>
      <c r="E3358" s="30"/>
      <c r="F3358" s="22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</row>
    <row r="3359">
      <c r="A3359" s="20"/>
      <c r="B3359" s="20"/>
      <c r="C3359" s="30"/>
      <c r="D3359" s="30"/>
      <c r="E3359" s="30"/>
      <c r="F3359" s="22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</row>
    <row r="3360">
      <c r="A3360" s="20"/>
      <c r="B3360" s="20"/>
      <c r="C3360" s="30"/>
      <c r="D3360" s="30"/>
      <c r="E3360" s="30"/>
      <c r="F3360" s="22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</row>
    <row r="3361">
      <c r="A3361" s="20"/>
      <c r="B3361" s="20"/>
      <c r="C3361" s="30"/>
      <c r="D3361" s="30"/>
      <c r="E3361" s="30"/>
      <c r="F3361" s="22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</row>
    <row r="3362">
      <c r="A3362" s="20"/>
      <c r="B3362" s="20"/>
      <c r="C3362" s="30"/>
      <c r="D3362" s="30"/>
      <c r="E3362" s="30"/>
      <c r="F3362" s="22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</row>
    <row r="3363">
      <c r="A3363" s="20"/>
      <c r="B3363" s="20"/>
      <c r="C3363" s="30"/>
      <c r="D3363" s="30"/>
      <c r="E3363" s="30"/>
      <c r="F3363" s="22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</row>
    <row r="3364">
      <c r="A3364" s="20"/>
      <c r="B3364" s="20"/>
      <c r="C3364" s="30"/>
      <c r="D3364" s="30"/>
      <c r="E3364" s="30"/>
      <c r="F3364" s="22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</row>
    <row r="3365">
      <c r="A3365" s="20"/>
      <c r="B3365" s="20"/>
      <c r="C3365" s="30"/>
      <c r="D3365" s="30"/>
      <c r="E3365" s="30"/>
      <c r="F3365" s="22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</row>
    <row r="3366">
      <c r="A3366" s="20"/>
      <c r="B3366" s="20"/>
      <c r="C3366" s="30"/>
      <c r="D3366" s="30"/>
      <c r="E3366" s="30"/>
      <c r="F3366" s="22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</row>
    <row r="3367">
      <c r="A3367" s="20"/>
      <c r="B3367" s="20"/>
      <c r="C3367" s="30"/>
      <c r="D3367" s="30"/>
      <c r="E3367" s="30"/>
      <c r="F3367" s="22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</row>
    <row r="3368">
      <c r="A3368" s="20"/>
      <c r="B3368" s="20"/>
      <c r="C3368" s="30"/>
      <c r="D3368" s="30"/>
      <c r="E3368" s="30"/>
      <c r="F3368" s="22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</row>
    <row r="3369">
      <c r="A3369" s="20"/>
      <c r="B3369" s="20"/>
      <c r="C3369" s="30"/>
      <c r="D3369" s="30"/>
      <c r="E3369" s="30"/>
      <c r="F3369" s="22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</row>
    <row r="3370">
      <c r="A3370" s="20"/>
      <c r="B3370" s="20"/>
      <c r="C3370" s="30"/>
      <c r="D3370" s="30"/>
      <c r="E3370" s="30"/>
      <c r="F3370" s="22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</row>
    <row r="3371">
      <c r="A3371" s="20"/>
      <c r="B3371" s="20"/>
      <c r="C3371" s="30"/>
      <c r="D3371" s="30"/>
      <c r="E3371" s="30"/>
      <c r="F3371" s="22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</row>
    <row r="3372">
      <c r="A3372" s="20"/>
      <c r="B3372" s="20"/>
      <c r="C3372" s="30"/>
      <c r="D3372" s="30"/>
      <c r="E3372" s="30"/>
      <c r="F3372" s="22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</row>
    <row r="3373">
      <c r="A3373" s="20"/>
      <c r="B3373" s="20"/>
      <c r="C3373" s="30"/>
      <c r="D3373" s="30"/>
      <c r="E3373" s="30"/>
      <c r="F3373" s="22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</row>
    <row r="3374">
      <c r="A3374" s="20"/>
      <c r="B3374" s="20"/>
      <c r="C3374" s="30"/>
      <c r="D3374" s="30"/>
      <c r="E3374" s="30"/>
      <c r="F3374" s="22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</row>
    <row r="3375">
      <c r="A3375" s="20"/>
      <c r="B3375" s="20"/>
      <c r="C3375" s="30"/>
      <c r="D3375" s="30"/>
      <c r="E3375" s="30"/>
      <c r="F3375" s="22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</row>
    <row r="3376">
      <c r="A3376" s="20"/>
      <c r="B3376" s="20"/>
      <c r="C3376" s="30"/>
      <c r="D3376" s="30"/>
      <c r="E3376" s="30"/>
      <c r="F3376" s="22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</row>
    <row r="3377">
      <c r="A3377" s="20"/>
      <c r="B3377" s="20"/>
      <c r="C3377" s="30"/>
      <c r="D3377" s="30"/>
      <c r="E3377" s="30"/>
      <c r="F3377" s="22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</row>
    <row r="3378">
      <c r="A3378" s="20"/>
      <c r="B3378" s="20"/>
      <c r="C3378" s="30"/>
      <c r="D3378" s="30"/>
      <c r="E3378" s="30"/>
      <c r="F3378" s="22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</row>
    <row r="3379">
      <c r="A3379" s="20"/>
      <c r="B3379" s="20"/>
      <c r="C3379" s="30"/>
      <c r="D3379" s="30"/>
      <c r="E3379" s="30"/>
      <c r="F3379" s="22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</row>
    <row r="3380">
      <c r="A3380" s="20"/>
      <c r="B3380" s="20"/>
      <c r="C3380" s="30"/>
      <c r="D3380" s="30"/>
      <c r="E3380" s="30"/>
      <c r="F3380" s="22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</row>
    <row r="3381">
      <c r="A3381" s="20"/>
      <c r="B3381" s="20"/>
      <c r="C3381" s="30"/>
      <c r="D3381" s="30"/>
      <c r="E3381" s="30"/>
      <c r="F3381" s="22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</row>
    <row r="3382">
      <c r="A3382" s="20"/>
      <c r="B3382" s="20"/>
      <c r="C3382" s="30"/>
      <c r="D3382" s="30"/>
      <c r="E3382" s="30"/>
      <c r="F3382" s="22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</row>
    <row r="3383">
      <c r="A3383" s="20"/>
      <c r="B3383" s="20"/>
      <c r="C3383" s="30"/>
      <c r="D3383" s="30"/>
      <c r="E3383" s="30"/>
      <c r="F3383" s="22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</row>
    <row r="3384">
      <c r="A3384" s="20"/>
      <c r="B3384" s="20"/>
      <c r="C3384" s="30"/>
      <c r="D3384" s="30"/>
      <c r="E3384" s="30"/>
      <c r="F3384" s="22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</row>
    <row r="3385">
      <c r="A3385" s="20"/>
      <c r="B3385" s="20"/>
      <c r="C3385" s="30"/>
      <c r="D3385" s="30"/>
      <c r="E3385" s="30"/>
      <c r="F3385" s="22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</row>
    <row r="3386">
      <c r="A3386" s="20"/>
      <c r="B3386" s="20"/>
      <c r="C3386" s="30"/>
      <c r="D3386" s="30"/>
      <c r="E3386" s="30"/>
      <c r="F3386" s="22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</row>
    <row r="3387">
      <c r="A3387" s="20"/>
      <c r="B3387" s="20"/>
      <c r="C3387" s="30"/>
      <c r="D3387" s="30"/>
      <c r="E3387" s="30"/>
      <c r="F3387" s="22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</row>
    <row r="3388">
      <c r="A3388" s="20"/>
      <c r="B3388" s="20"/>
      <c r="C3388" s="30"/>
      <c r="D3388" s="30"/>
      <c r="E3388" s="30"/>
      <c r="F3388" s="22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</row>
    <row r="3389">
      <c r="A3389" s="20"/>
      <c r="B3389" s="20"/>
      <c r="C3389" s="30"/>
      <c r="D3389" s="30"/>
      <c r="E3389" s="30"/>
      <c r="F3389" s="22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</row>
    <row r="3390">
      <c r="A3390" s="20"/>
      <c r="B3390" s="20"/>
      <c r="C3390" s="30"/>
      <c r="D3390" s="30"/>
      <c r="E3390" s="30"/>
      <c r="F3390" s="22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</row>
    <row r="3391">
      <c r="A3391" s="20"/>
      <c r="B3391" s="20"/>
      <c r="C3391" s="30"/>
      <c r="D3391" s="30"/>
      <c r="E3391" s="30"/>
      <c r="F3391" s="22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</row>
    <row r="3392">
      <c r="A3392" s="20"/>
      <c r="B3392" s="20"/>
      <c r="C3392" s="30"/>
      <c r="D3392" s="30"/>
      <c r="E3392" s="30"/>
      <c r="F3392" s="22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</row>
    <row r="3393">
      <c r="A3393" s="20"/>
      <c r="B3393" s="20"/>
      <c r="C3393" s="30"/>
      <c r="D3393" s="30"/>
      <c r="E3393" s="30"/>
      <c r="F3393" s="22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</row>
    <row r="3394">
      <c r="A3394" s="20"/>
      <c r="B3394" s="20"/>
      <c r="C3394" s="30"/>
      <c r="D3394" s="30"/>
      <c r="E3394" s="30"/>
      <c r="F3394" s="22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</row>
    <row r="3395">
      <c r="A3395" s="20"/>
      <c r="B3395" s="20"/>
      <c r="C3395" s="30"/>
      <c r="D3395" s="30"/>
      <c r="E3395" s="30"/>
      <c r="F3395" s="22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</row>
    <row r="3396">
      <c r="A3396" s="20"/>
      <c r="B3396" s="20"/>
      <c r="C3396" s="30"/>
      <c r="D3396" s="30"/>
      <c r="E3396" s="30"/>
      <c r="F3396" s="22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</row>
    <row r="3397">
      <c r="A3397" s="20"/>
      <c r="B3397" s="20"/>
      <c r="C3397" s="30"/>
      <c r="D3397" s="30"/>
      <c r="E3397" s="30"/>
      <c r="F3397" s="22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</row>
    <row r="3398">
      <c r="A3398" s="20"/>
      <c r="B3398" s="20"/>
      <c r="C3398" s="30"/>
      <c r="D3398" s="30"/>
      <c r="E3398" s="30"/>
      <c r="F3398" s="22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</row>
    <row r="3399">
      <c r="A3399" s="20"/>
      <c r="B3399" s="20"/>
      <c r="C3399" s="30"/>
      <c r="D3399" s="30"/>
      <c r="E3399" s="30"/>
      <c r="F3399" s="22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</row>
    <row r="3400">
      <c r="A3400" s="20"/>
      <c r="B3400" s="20"/>
      <c r="C3400" s="30"/>
      <c r="D3400" s="30"/>
      <c r="E3400" s="30"/>
      <c r="F3400" s="22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</row>
    <row r="3401">
      <c r="A3401" s="20"/>
      <c r="B3401" s="20"/>
      <c r="C3401" s="30"/>
      <c r="D3401" s="30"/>
      <c r="E3401" s="30"/>
      <c r="F3401" s="22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</row>
    <row r="3402">
      <c r="A3402" s="20"/>
      <c r="B3402" s="20"/>
      <c r="C3402" s="30"/>
      <c r="D3402" s="30"/>
      <c r="E3402" s="30"/>
      <c r="F3402" s="22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</row>
    <row r="3403">
      <c r="A3403" s="20"/>
      <c r="B3403" s="20"/>
      <c r="C3403" s="30"/>
      <c r="D3403" s="30"/>
      <c r="E3403" s="30"/>
      <c r="F3403" s="22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</row>
    <row r="3404">
      <c r="A3404" s="20"/>
      <c r="B3404" s="20"/>
      <c r="C3404" s="30"/>
      <c r="D3404" s="30"/>
      <c r="E3404" s="30"/>
      <c r="F3404" s="22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</row>
    <row r="3405">
      <c r="A3405" s="20"/>
      <c r="B3405" s="20"/>
      <c r="C3405" s="30"/>
      <c r="D3405" s="30"/>
      <c r="E3405" s="30"/>
      <c r="F3405" s="22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</row>
    <row r="3406">
      <c r="A3406" s="20"/>
      <c r="B3406" s="20"/>
      <c r="C3406" s="30"/>
      <c r="D3406" s="30"/>
      <c r="E3406" s="30"/>
      <c r="F3406" s="22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</row>
    <row r="3407">
      <c r="A3407" s="20"/>
      <c r="B3407" s="20"/>
      <c r="C3407" s="30"/>
      <c r="D3407" s="30"/>
      <c r="E3407" s="30"/>
      <c r="F3407" s="22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</row>
    <row r="3408">
      <c r="A3408" s="20"/>
      <c r="B3408" s="20"/>
      <c r="C3408" s="30"/>
      <c r="D3408" s="30"/>
      <c r="E3408" s="30"/>
      <c r="F3408" s="22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</row>
    <row r="3409">
      <c r="A3409" s="20"/>
      <c r="B3409" s="20"/>
      <c r="C3409" s="30"/>
      <c r="D3409" s="30"/>
      <c r="E3409" s="30"/>
      <c r="F3409" s="22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</row>
    <row r="3410">
      <c r="A3410" s="20"/>
      <c r="B3410" s="20"/>
      <c r="C3410" s="30"/>
      <c r="D3410" s="30"/>
      <c r="E3410" s="30"/>
      <c r="F3410" s="22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</row>
    <row r="3411">
      <c r="A3411" s="20"/>
      <c r="B3411" s="20"/>
      <c r="C3411" s="30"/>
      <c r="D3411" s="30"/>
      <c r="E3411" s="30"/>
      <c r="F3411" s="22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</row>
    <row r="3412">
      <c r="A3412" s="20"/>
      <c r="B3412" s="20"/>
      <c r="C3412" s="30"/>
      <c r="D3412" s="30"/>
      <c r="E3412" s="30"/>
      <c r="F3412" s="22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</row>
    <row r="3413">
      <c r="A3413" s="20"/>
      <c r="B3413" s="20"/>
      <c r="C3413" s="30"/>
      <c r="D3413" s="30"/>
      <c r="E3413" s="30"/>
      <c r="F3413" s="22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</row>
    <row r="3414">
      <c r="A3414" s="20"/>
      <c r="B3414" s="20"/>
      <c r="C3414" s="30"/>
      <c r="D3414" s="30"/>
      <c r="E3414" s="30"/>
      <c r="F3414" s="22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</row>
    <row r="3415">
      <c r="A3415" s="20"/>
      <c r="B3415" s="20"/>
      <c r="C3415" s="30"/>
      <c r="D3415" s="30"/>
      <c r="E3415" s="30"/>
      <c r="F3415" s="22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</row>
    <row r="3416">
      <c r="A3416" s="20"/>
      <c r="B3416" s="20"/>
      <c r="C3416" s="30"/>
      <c r="D3416" s="30"/>
      <c r="E3416" s="30"/>
      <c r="F3416" s="22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</row>
    <row r="3417">
      <c r="A3417" s="20"/>
      <c r="B3417" s="20"/>
      <c r="C3417" s="30"/>
      <c r="D3417" s="30"/>
      <c r="E3417" s="30"/>
      <c r="F3417" s="22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</row>
    <row r="3418">
      <c r="A3418" s="20"/>
      <c r="B3418" s="20"/>
      <c r="C3418" s="30"/>
      <c r="D3418" s="30"/>
      <c r="E3418" s="30"/>
      <c r="F3418" s="22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</row>
    <row r="3419">
      <c r="A3419" s="20"/>
      <c r="B3419" s="20"/>
      <c r="C3419" s="30"/>
      <c r="D3419" s="30"/>
      <c r="E3419" s="30"/>
      <c r="F3419" s="22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</row>
    <row r="3420">
      <c r="A3420" s="20"/>
      <c r="B3420" s="20"/>
      <c r="C3420" s="30"/>
      <c r="D3420" s="30"/>
      <c r="E3420" s="30"/>
      <c r="F3420" s="22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</row>
    <row r="3421">
      <c r="A3421" s="20"/>
      <c r="B3421" s="20"/>
      <c r="C3421" s="30"/>
      <c r="D3421" s="30"/>
      <c r="E3421" s="30"/>
      <c r="F3421" s="22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</row>
    <row r="3422">
      <c r="A3422" s="20"/>
      <c r="B3422" s="20"/>
      <c r="C3422" s="30"/>
      <c r="D3422" s="30"/>
      <c r="E3422" s="30"/>
      <c r="F3422" s="22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</row>
    <row r="3423">
      <c r="A3423" s="20"/>
      <c r="B3423" s="20"/>
      <c r="C3423" s="30"/>
      <c r="D3423" s="30"/>
      <c r="E3423" s="30"/>
      <c r="F3423" s="22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</row>
    <row r="3424">
      <c r="A3424" s="20"/>
      <c r="B3424" s="20"/>
      <c r="C3424" s="30"/>
      <c r="D3424" s="30"/>
      <c r="E3424" s="30"/>
      <c r="F3424" s="22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</row>
    <row r="3425">
      <c r="A3425" s="20"/>
      <c r="B3425" s="20"/>
      <c r="C3425" s="30"/>
      <c r="D3425" s="30"/>
      <c r="E3425" s="30"/>
      <c r="F3425" s="22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</row>
    <row r="3426">
      <c r="A3426" s="20"/>
      <c r="B3426" s="20"/>
      <c r="C3426" s="30"/>
      <c r="D3426" s="30"/>
      <c r="E3426" s="30"/>
      <c r="F3426" s="22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</row>
    <row r="3427">
      <c r="A3427" s="20"/>
      <c r="B3427" s="20"/>
      <c r="C3427" s="30"/>
      <c r="D3427" s="30"/>
      <c r="E3427" s="30"/>
      <c r="F3427" s="22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</row>
    <row r="3428">
      <c r="A3428" s="20"/>
      <c r="B3428" s="20"/>
      <c r="C3428" s="30"/>
      <c r="D3428" s="30"/>
      <c r="E3428" s="30"/>
      <c r="F3428" s="22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</row>
    <row r="3429">
      <c r="A3429" s="20"/>
      <c r="B3429" s="20"/>
      <c r="C3429" s="30"/>
      <c r="D3429" s="30"/>
      <c r="E3429" s="30"/>
      <c r="F3429" s="22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</row>
    <row r="3430">
      <c r="A3430" s="20"/>
      <c r="B3430" s="20"/>
      <c r="C3430" s="30"/>
      <c r="D3430" s="30"/>
      <c r="E3430" s="30"/>
      <c r="F3430" s="22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</row>
    <row r="3431">
      <c r="A3431" s="20"/>
      <c r="B3431" s="20"/>
      <c r="C3431" s="30"/>
      <c r="D3431" s="30"/>
      <c r="E3431" s="30"/>
      <c r="F3431" s="22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</row>
    <row r="3432">
      <c r="A3432" s="20"/>
      <c r="B3432" s="20"/>
      <c r="C3432" s="30"/>
      <c r="D3432" s="30"/>
      <c r="E3432" s="30"/>
      <c r="F3432" s="22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</row>
    <row r="3433">
      <c r="A3433" s="20"/>
      <c r="B3433" s="20"/>
      <c r="C3433" s="30"/>
      <c r="D3433" s="30"/>
      <c r="E3433" s="30"/>
      <c r="F3433" s="22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</row>
    <row r="3434">
      <c r="A3434" s="20"/>
      <c r="B3434" s="20"/>
      <c r="C3434" s="30"/>
      <c r="D3434" s="30"/>
      <c r="E3434" s="30"/>
      <c r="F3434" s="22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</row>
    <row r="3435">
      <c r="A3435" s="20"/>
      <c r="B3435" s="20"/>
      <c r="C3435" s="30"/>
      <c r="D3435" s="30"/>
      <c r="E3435" s="30"/>
      <c r="F3435" s="22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</row>
    <row r="3436">
      <c r="A3436" s="20"/>
      <c r="B3436" s="20"/>
      <c r="C3436" s="30"/>
      <c r="D3436" s="30"/>
      <c r="E3436" s="30"/>
      <c r="F3436" s="22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</row>
    <row r="3437">
      <c r="A3437" s="20"/>
      <c r="B3437" s="20"/>
      <c r="C3437" s="30"/>
      <c r="D3437" s="30"/>
      <c r="E3437" s="30"/>
      <c r="F3437" s="22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</row>
    <row r="3438">
      <c r="A3438" s="20"/>
      <c r="B3438" s="20"/>
      <c r="C3438" s="30"/>
      <c r="D3438" s="30"/>
      <c r="E3438" s="30"/>
      <c r="F3438" s="22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</row>
    <row r="3439">
      <c r="A3439" s="20"/>
      <c r="B3439" s="20"/>
      <c r="C3439" s="30"/>
      <c r="D3439" s="30"/>
      <c r="E3439" s="30"/>
      <c r="F3439" s="22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</row>
    <row r="3440">
      <c r="A3440" s="20"/>
      <c r="B3440" s="20"/>
      <c r="C3440" s="30"/>
      <c r="D3440" s="30"/>
      <c r="E3440" s="30"/>
      <c r="F3440" s="22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</row>
    <row r="3441">
      <c r="A3441" s="20"/>
      <c r="B3441" s="20"/>
      <c r="C3441" s="30"/>
      <c r="D3441" s="30"/>
      <c r="E3441" s="30"/>
      <c r="F3441" s="22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</row>
    <row r="3442">
      <c r="A3442" s="20"/>
      <c r="B3442" s="20"/>
      <c r="C3442" s="30"/>
      <c r="D3442" s="30"/>
      <c r="E3442" s="30"/>
      <c r="F3442" s="22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</row>
    <row r="3443">
      <c r="A3443" s="20"/>
      <c r="B3443" s="20"/>
      <c r="C3443" s="30"/>
      <c r="D3443" s="30"/>
      <c r="E3443" s="30"/>
      <c r="F3443" s="22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</row>
    <row r="3444">
      <c r="A3444" s="20"/>
      <c r="B3444" s="20"/>
      <c r="C3444" s="30"/>
      <c r="D3444" s="30"/>
      <c r="E3444" s="30"/>
      <c r="F3444" s="22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</row>
    <row r="3445">
      <c r="A3445" s="20"/>
      <c r="B3445" s="20"/>
      <c r="C3445" s="30"/>
      <c r="D3445" s="30"/>
      <c r="E3445" s="30"/>
      <c r="F3445" s="22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</row>
    <row r="3446">
      <c r="A3446" s="20"/>
      <c r="B3446" s="20"/>
      <c r="C3446" s="30"/>
      <c r="D3446" s="30"/>
      <c r="E3446" s="30"/>
      <c r="F3446" s="22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</row>
    <row r="3447">
      <c r="A3447" s="20"/>
      <c r="B3447" s="20"/>
      <c r="C3447" s="30"/>
      <c r="D3447" s="30"/>
      <c r="E3447" s="30"/>
      <c r="F3447" s="22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</row>
    <row r="3448">
      <c r="A3448" s="20"/>
      <c r="B3448" s="20"/>
      <c r="C3448" s="30"/>
      <c r="D3448" s="30"/>
      <c r="E3448" s="30"/>
      <c r="F3448" s="22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</row>
    <row r="3449">
      <c r="A3449" s="20"/>
      <c r="B3449" s="20"/>
      <c r="C3449" s="30"/>
      <c r="D3449" s="30"/>
      <c r="E3449" s="30"/>
      <c r="F3449" s="22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</row>
    <row r="3450">
      <c r="A3450" s="20"/>
      <c r="B3450" s="20"/>
      <c r="C3450" s="30"/>
      <c r="D3450" s="30"/>
      <c r="E3450" s="30"/>
      <c r="F3450" s="22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</row>
    <row r="3451">
      <c r="A3451" s="20"/>
      <c r="B3451" s="20"/>
      <c r="C3451" s="30"/>
      <c r="D3451" s="30"/>
      <c r="E3451" s="30"/>
      <c r="F3451" s="22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</row>
    <row r="3452">
      <c r="A3452" s="20"/>
      <c r="B3452" s="20"/>
      <c r="C3452" s="30"/>
      <c r="D3452" s="30"/>
      <c r="E3452" s="30"/>
      <c r="F3452" s="22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</row>
    <row r="3453">
      <c r="A3453" s="20"/>
      <c r="B3453" s="20"/>
      <c r="C3453" s="30"/>
      <c r="D3453" s="30"/>
      <c r="E3453" s="30"/>
      <c r="F3453" s="22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</row>
    <row r="3454">
      <c r="A3454" s="20"/>
      <c r="B3454" s="20"/>
      <c r="C3454" s="30"/>
      <c r="D3454" s="30"/>
      <c r="E3454" s="30"/>
      <c r="F3454" s="22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</row>
    <row r="3455">
      <c r="A3455" s="20"/>
      <c r="B3455" s="20"/>
      <c r="C3455" s="30"/>
      <c r="D3455" s="30"/>
      <c r="E3455" s="30"/>
      <c r="F3455" s="22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</row>
    <row r="3456">
      <c r="A3456" s="20"/>
      <c r="B3456" s="20"/>
      <c r="C3456" s="30"/>
      <c r="D3456" s="30"/>
      <c r="E3456" s="30"/>
      <c r="F3456" s="22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</row>
    <row r="3457">
      <c r="A3457" s="20"/>
      <c r="B3457" s="20"/>
      <c r="C3457" s="30"/>
      <c r="D3457" s="30"/>
      <c r="E3457" s="30"/>
      <c r="F3457" s="22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</row>
    <row r="3458">
      <c r="A3458" s="20"/>
      <c r="B3458" s="20"/>
      <c r="C3458" s="30"/>
      <c r="D3458" s="30"/>
      <c r="E3458" s="30"/>
      <c r="F3458" s="22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</row>
    <row r="3459">
      <c r="A3459" s="20"/>
      <c r="B3459" s="20"/>
      <c r="C3459" s="30"/>
      <c r="D3459" s="30"/>
      <c r="E3459" s="30"/>
      <c r="F3459" s="22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</row>
    <row r="3460">
      <c r="A3460" s="20"/>
      <c r="B3460" s="20"/>
      <c r="C3460" s="30"/>
      <c r="D3460" s="30"/>
      <c r="E3460" s="30"/>
      <c r="F3460" s="22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</row>
    <row r="3461">
      <c r="A3461" s="20"/>
      <c r="B3461" s="20"/>
      <c r="C3461" s="30"/>
      <c r="D3461" s="30"/>
      <c r="E3461" s="30"/>
      <c r="F3461" s="22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</row>
    <row r="3462">
      <c r="A3462" s="20"/>
      <c r="B3462" s="20"/>
      <c r="C3462" s="30"/>
      <c r="D3462" s="30"/>
      <c r="E3462" s="30"/>
      <c r="F3462" s="22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</row>
    <row r="3463">
      <c r="A3463" s="20"/>
      <c r="B3463" s="20"/>
      <c r="C3463" s="30"/>
      <c r="D3463" s="30"/>
      <c r="E3463" s="30"/>
      <c r="F3463" s="22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</row>
    <row r="3464">
      <c r="A3464" s="20"/>
      <c r="B3464" s="20"/>
      <c r="C3464" s="30"/>
      <c r="D3464" s="30"/>
      <c r="E3464" s="30"/>
      <c r="F3464" s="22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</row>
    <row r="3465">
      <c r="A3465" s="20"/>
      <c r="B3465" s="20"/>
      <c r="C3465" s="30"/>
      <c r="D3465" s="30"/>
      <c r="E3465" s="30"/>
      <c r="F3465" s="22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</row>
    <row r="3466">
      <c r="A3466" s="20"/>
      <c r="B3466" s="20"/>
      <c r="C3466" s="30"/>
      <c r="D3466" s="30"/>
      <c r="E3466" s="30"/>
      <c r="F3466" s="22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</row>
    <row r="3467">
      <c r="A3467" s="20"/>
      <c r="B3467" s="20"/>
      <c r="C3467" s="30"/>
      <c r="D3467" s="30"/>
      <c r="E3467" s="30"/>
      <c r="F3467" s="22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</row>
    <row r="3468">
      <c r="A3468" s="20"/>
      <c r="B3468" s="20"/>
      <c r="C3468" s="30"/>
      <c r="D3468" s="30"/>
      <c r="E3468" s="30"/>
      <c r="F3468" s="22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</row>
    <row r="3469">
      <c r="A3469" s="20"/>
      <c r="B3469" s="20"/>
      <c r="C3469" s="30"/>
      <c r="D3469" s="30"/>
      <c r="E3469" s="30"/>
      <c r="F3469" s="22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</row>
    <row r="3470">
      <c r="A3470" s="20"/>
      <c r="B3470" s="20"/>
      <c r="C3470" s="30"/>
      <c r="D3470" s="30"/>
      <c r="E3470" s="30"/>
      <c r="F3470" s="22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</row>
    <row r="3471">
      <c r="A3471" s="20"/>
      <c r="B3471" s="20"/>
      <c r="C3471" s="30"/>
      <c r="D3471" s="30"/>
      <c r="E3471" s="30"/>
      <c r="F3471" s="22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</row>
    <row r="3472">
      <c r="A3472" s="20"/>
      <c r="B3472" s="20"/>
      <c r="C3472" s="30"/>
      <c r="D3472" s="30"/>
      <c r="E3472" s="30"/>
      <c r="F3472" s="22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</row>
    <row r="3473">
      <c r="A3473" s="20"/>
      <c r="B3473" s="20"/>
      <c r="C3473" s="30"/>
      <c r="D3473" s="30"/>
      <c r="E3473" s="30"/>
      <c r="F3473" s="22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</row>
    <row r="3474">
      <c r="A3474" s="20"/>
      <c r="B3474" s="20"/>
      <c r="C3474" s="30"/>
      <c r="D3474" s="30"/>
      <c r="E3474" s="30"/>
      <c r="F3474" s="22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</row>
    <row r="3475">
      <c r="A3475" s="20"/>
      <c r="B3475" s="20"/>
      <c r="C3475" s="30"/>
      <c r="D3475" s="30"/>
      <c r="E3475" s="30"/>
      <c r="F3475" s="22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</row>
    <row r="3476">
      <c r="A3476" s="20"/>
      <c r="B3476" s="20"/>
      <c r="C3476" s="30"/>
      <c r="D3476" s="30"/>
      <c r="E3476" s="30"/>
      <c r="F3476" s="22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</row>
    <row r="3477">
      <c r="A3477" s="20"/>
      <c r="B3477" s="20"/>
      <c r="C3477" s="30"/>
      <c r="D3477" s="30"/>
      <c r="E3477" s="30"/>
      <c r="F3477" s="22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</row>
    <row r="3478">
      <c r="A3478" s="20"/>
      <c r="B3478" s="20"/>
      <c r="C3478" s="30"/>
      <c r="D3478" s="30"/>
      <c r="E3478" s="30"/>
      <c r="F3478" s="22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</row>
    <row r="3479">
      <c r="A3479" s="20"/>
      <c r="B3479" s="20"/>
      <c r="C3479" s="30"/>
      <c r="D3479" s="30"/>
      <c r="E3479" s="30"/>
      <c r="F3479" s="22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  <c r="T3479" s="23"/>
      <c r="U3479" s="23"/>
    </row>
    <row r="3480">
      <c r="A3480" s="20"/>
      <c r="B3480" s="20"/>
      <c r="C3480" s="30"/>
      <c r="D3480" s="30"/>
      <c r="E3480" s="30"/>
      <c r="F3480" s="22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  <c r="T3480" s="23"/>
      <c r="U3480" s="23"/>
    </row>
    <row r="3481">
      <c r="A3481" s="20"/>
      <c r="B3481" s="20"/>
      <c r="C3481" s="30"/>
      <c r="D3481" s="30"/>
      <c r="E3481" s="30"/>
      <c r="F3481" s="22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  <c r="T3481" s="23"/>
      <c r="U3481" s="23"/>
    </row>
    <row r="3482">
      <c r="A3482" s="20"/>
      <c r="B3482" s="20"/>
      <c r="C3482" s="30"/>
      <c r="D3482" s="30"/>
      <c r="E3482" s="30"/>
      <c r="F3482" s="22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  <c r="T3482" s="23"/>
      <c r="U3482" s="23"/>
    </row>
    <row r="3483">
      <c r="A3483" s="20"/>
      <c r="B3483" s="20"/>
      <c r="C3483" s="30"/>
      <c r="D3483" s="30"/>
      <c r="E3483" s="30"/>
      <c r="F3483" s="22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  <c r="T3483" s="23"/>
      <c r="U3483" s="23"/>
    </row>
    <row r="3484">
      <c r="A3484" s="20"/>
      <c r="B3484" s="20"/>
      <c r="C3484" s="30"/>
      <c r="D3484" s="30"/>
      <c r="E3484" s="30"/>
      <c r="F3484" s="22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  <c r="T3484" s="23"/>
      <c r="U3484" s="23"/>
    </row>
    <row r="3485">
      <c r="A3485" s="20"/>
      <c r="B3485" s="20"/>
      <c r="C3485" s="30"/>
      <c r="D3485" s="30"/>
      <c r="E3485" s="30"/>
      <c r="F3485" s="22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  <c r="T3485" s="23"/>
      <c r="U3485" s="23"/>
    </row>
    <row r="3486">
      <c r="A3486" s="20"/>
      <c r="B3486" s="20"/>
      <c r="C3486" s="30"/>
      <c r="D3486" s="30"/>
      <c r="E3486" s="30"/>
      <c r="F3486" s="22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  <c r="T3486" s="23"/>
      <c r="U3486" s="23"/>
    </row>
    <row r="3487">
      <c r="A3487" s="20"/>
      <c r="B3487" s="20"/>
      <c r="C3487" s="30"/>
      <c r="D3487" s="30"/>
      <c r="E3487" s="30"/>
      <c r="F3487" s="22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  <c r="T3487" s="23"/>
      <c r="U3487" s="23"/>
    </row>
    <row r="3488">
      <c r="A3488" s="20"/>
      <c r="B3488" s="20"/>
      <c r="C3488" s="30"/>
      <c r="D3488" s="30"/>
      <c r="E3488" s="30"/>
      <c r="F3488" s="22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</row>
    <row r="3489">
      <c r="A3489" s="20"/>
      <c r="B3489" s="20"/>
      <c r="C3489" s="30"/>
      <c r="D3489" s="30"/>
      <c r="E3489" s="30"/>
      <c r="F3489" s="22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  <c r="T3489" s="23"/>
      <c r="U3489" s="23"/>
    </row>
    <row r="3490">
      <c r="A3490" s="20"/>
      <c r="B3490" s="20"/>
      <c r="C3490" s="30"/>
      <c r="D3490" s="30"/>
      <c r="E3490" s="30"/>
      <c r="F3490" s="22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</row>
    <row r="3491">
      <c r="A3491" s="20"/>
      <c r="B3491" s="20"/>
      <c r="C3491" s="30"/>
      <c r="D3491" s="30"/>
      <c r="E3491" s="30"/>
      <c r="F3491" s="22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</row>
    <row r="3492">
      <c r="A3492" s="20"/>
      <c r="B3492" s="20"/>
      <c r="C3492" s="30"/>
      <c r="D3492" s="30"/>
      <c r="E3492" s="30"/>
      <c r="F3492" s="22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</row>
    <row r="3493">
      <c r="A3493" s="20"/>
      <c r="B3493" s="20"/>
      <c r="C3493" s="30"/>
      <c r="D3493" s="30"/>
      <c r="E3493" s="30"/>
      <c r="F3493" s="22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  <c r="T3493" s="23"/>
      <c r="U3493" s="23"/>
    </row>
    <row r="3494">
      <c r="A3494" s="20"/>
      <c r="B3494" s="20"/>
      <c r="C3494" s="30"/>
      <c r="D3494" s="30"/>
      <c r="E3494" s="30"/>
      <c r="F3494" s="22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  <c r="T3494" s="23"/>
      <c r="U3494" s="23"/>
    </row>
    <row r="3495">
      <c r="A3495" s="20"/>
      <c r="B3495" s="20"/>
      <c r="C3495" s="30"/>
      <c r="D3495" s="30"/>
      <c r="E3495" s="30"/>
      <c r="F3495" s="22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  <c r="T3495" s="23"/>
      <c r="U3495" s="23"/>
    </row>
    <row r="3496">
      <c r="A3496" s="20"/>
      <c r="B3496" s="20"/>
      <c r="C3496" s="30"/>
      <c r="D3496" s="30"/>
      <c r="E3496" s="30"/>
      <c r="F3496" s="22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</row>
    <row r="3497">
      <c r="A3497" s="20"/>
      <c r="B3497" s="20"/>
      <c r="C3497" s="30"/>
      <c r="D3497" s="30"/>
      <c r="E3497" s="30"/>
      <c r="F3497" s="22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</row>
    <row r="3498">
      <c r="A3498" s="20"/>
      <c r="B3498" s="20"/>
      <c r="C3498" s="30"/>
      <c r="D3498" s="30"/>
      <c r="E3498" s="30"/>
      <c r="F3498" s="22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  <c r="T3498" s="23"/>
      <c r="U3498" s="23"/>
    </row>
    <row r="3499">
      <c r="A3499" s="20"/>
      <c r="B3499" s="20"/>
      <c r="C3499" s="30"/>
      <c r="D3499" s="30"/>
      <c r="E3499" s="30"/>
      <c r="F3499" s="22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  <c r="T3499" s="23"/>
      <c r="U3499" s="23"/>
    </row>
    <row r="3500">
      <c r="A3500" s="20"/>
      <c r="B3500" s="20"/>
      <c r="C3500" s="30"/>
      <c r="D3500" s="30"/>
      <c r="E3500" s="30"/>
      <c r="F3500" s="22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  <c r="T3500" s="23"/>
      <c r="U3500" s="23"/>
    </row>
    <row r="3501">
      <c r="A3501" s="20"/>
      <c r="B3501" s="20"/>
      <c r="C3501" s="30"/>
      <c r="D3501" s="30"/>
      <c r="E3501" s="30"/>
      <c r="F3501" s="22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  <c r="T3501" s="23"/>
      <c r="U3501" s="23"/>
    </row>
    <row r="3502">
      <c r="A3502" s="20"/>
      <c r="B3502" s="20"/>
      <c r="C3502" s="30"/>
      <c r="D3502" s="30"/>
      <c r="E3502" s="30"/>
      <c r="F3502" s="22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  <c r="T3502" s="23"/>
      <c r="U3502" s="23"/>
    </row>
    <row r="3503">
      <c r="A3503" s="20"/>
      <c r="B3503" s="20"/>
      <c r="C3503" s="30"/>
      <c r="D3503" s="30"/>
      <c r="E3503" s="30"/>
      <c r="F3503" s="22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</row>
    <row r="3504">
      <c r="A3504" s="20"/>
      <c r="B3504" s="20"/>
      <c r="C3504" s="30"/>
      <c r="D3504" s="30"/>
      <c r="E3504" s="30"/>
      <c r="F3504" s="22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  <c r="T3504" s="23"/>
      <c r="U3504" s="23"/>
    </row>
    <row r="3505">
      <c r="A3505" s="20"/>
      <c r="B3505" s="20"/>
      <c r="C3505" s="30"/>
      <c r="D3505" s="30"/>
      <c r="E3505" s="30"/>
      <c r="F3505" s="22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</row>
    <row r="3506">
      <c r="A3506" s="20"/>
      <c r="B3506" s="20"/>
      <c r="C3506" s="30"/>
      <c r="D3506" s="30"/>
      <c r="E3506" s="30"/>
      <c r="F3506" s="22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</row>
    <row r="3507">
      <c r="A3507" s="20"/>
      <c r="B3507" s="20"/>
      <c r="C3507" s="30"/>
      <c r="D3507" s="30"/>
      <c r="E3507" s="30"/>
      <c r="F3507" s="22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</row>
    <row r="3508">
      <c r="A3508" s="20"/>
      <c r="B3508" s="20"/>
      <c r="C3508" s="30"/>
      <c r="D3508" s="30"/>
      <c r="E3508" s="30"/>
      <c r="F3508" s="22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  <c r="T3508" s="23"/>
      <c r="U3508" s="23"/>
    </row>
    <row r="3509">
      <c r="A3509" s="20"/>
      <c r="B3509" s="20"/>
      <c r="C3509" s="30"/>
      <c r="D3509" s="30"/>
      <c r="E3509" s="30"/>
      <c r="F3509" s="22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  <c r="T3509" s="23"/>
      <c r="U3509" s="23"/>
    </row>
    <row r="3510">
      <c r="A3510" s="20"/>
      <c r="B3510" s="20"/>
      <c r="C3510" s="30"/>
      <c r="D3510" s="30"/>
      <c r="E3510" s="30"/>
      <c r="F3510" s="22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  <c r="T3510" s="23"/>
      <c r="U3510" s="23"/>
    </row>
    <row r="3511">
      <c r="A3511" s="20"/>
      <c r="B3511" s="20"/>
      <c r="C3511" s="30"/>
      <c r="D3511" s="30"/>
      <c r="E3511" s="30"/>
      <c r="F3511" s="22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</row>
    <row r="3512">
      <c r="A3512" s="20"/>
      <c r="B3512" s="20"/>
      <c r="C3512" s="30"/>
      <c r="D3512" s="30"/>
      <c r="E3512" s="30"/>
      <c r="F3512" s="22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</row>
    <row r="3513">
      <c r="A3513" s="20"/>
      <c r="B3513" s="20"/>
      <c r="C3513" s="30"/>
      <c r="D3513" s="30"/>
      <c r="E3513" s="30"/>
      <c r="F3513" s="22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</row>
    <row r="3514">
      <c r="A3514" s="20"/>
      <c r="B3514" s="20"/>
      <c r="C3514" s="30"/>
      <c r="D3514" s="30"/>
      <c r="E3514" s="30"/>
      <c r="F3514" s="22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  <c r="T3514" s="23"/>
      <c r="U3514" s="23"/>
    </row>
    <row r="3515">
      <c r="A3515" s="20"/>
      <c r="B3515" s="20"/>
      <c r="C3515" s="30"/>
      <c r="D3515" s="30"/>
      <c r="E3515" s="30"/>
      <c r="F3515" s="22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  <c r="T3515" s="23"/>
      <c r="U3515" s="23"/>
    </row>
    <row r="3516">
      <c r="A3516" s="20"/>
      <c r="B3516" s="20"/>
      <c r="C3516" s="30"/>
      <c r="D3516" s="30"/>
      <c r="E3516" s="30"/>
      <c r="F3516" s="22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  <c r="T3516" s="23"/>
      <c r="U3516" s="23"/>
    </row>
    <row r="3517">
      <c r="A3517" s="20"/>
      <c r="B3517" s="20"/>
      <c r="C3517" s="30"/>
      <c r="D3517" s="30"/>
      <c r="E3517" s="30"/>
      <c r="F3517" s="22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  <c r="T3517" s="23"/>
      <c r="U3517" s="23"/>
    </row>
    <row r="3518">
      <c r="A3518" s="20"/>
      <c r="B3518" s="20"/>
      <c r="C3518" s="30"/>
      <c r="D3518" s="30"/>
      <c r="E3518" s="30"/>
      <c r="F3518" s="22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  <c r="T3518" s="23"/>
      <c r="U3518" s="23"/>
    </row>
    <row r="3519">
      <c r="A3519" s="20"/>
      <c r="B3519" s="20"/>
      <c r="C3519" s="30"/>
      <c r="D3519" s="30"/>
      <c r="E3519" s="30"/>
      <c r="F3519" s="22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  <c r="T3519" s="23"/>
      <c r="U3519" s="23"/>
    </row>
    <row r="3520">
      <c r="A3520" s="20"/>
      <c r="B3520" s="20"/>
      <c r="C3520" s="30"/>
      <c r="D3520" s="30"/>
      <c r="E3520" s="30"/>
      <c r="F3520" s="22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  <c r="T3520" s="23"/>
      <c r="U3520" s="23"/>
    </row>
    <row r="3521">
      <c r="A3521" s="20"/>
      <c r="B3521" s="20"/>
      <c r="C3521" s="30"/>
      <c r="D3521" s="30"/>
      <c r="E3521" s="30"/>
      <c r="F3521" s="22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  <c r="T3521" s="23"/>
      <c r="U3521" s="23"/>
    </row>
    <row r="3522">
      <c r="A3522" s="20"/>
      <c r="B3522" s="20"/>
      <c r="C3522" s="30"/>
      <c r="D3522" s="30"/>
      <c r="E3522" s="30"/>
      <c r="F3522" s="22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  <c r="T3522" s="23"/>
      <c r="U3522" s="23"/>
    </row>
    <row r="3523">
      <c r="A3523" s="20"/>
      <c r="B3523" s="20"/>
      <c r="C3523" s="30"/>
      <c r="D3523" s="30"/>
      <c r="E3523" s="30"/>
      <c r="F3523" s="22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</row>
    <row r="3524">
      <c r="A3524" s="20"/>
      <c r="B3524" s="20"/>
      <c r="C3524" s="30"/>
      <c r="D3524" s="30"/>
      <c r="E3524" s="30"/>
      <c r="F3524" s="22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  <c r="T3524" s="23"/>
      <c r="U3524" s="23"/>
    </row>
    <row r="3525">
      <c r="A3525" s="20"/>
      <c r="B3525" s="20"/>
      <c r="C3525" s="30"/>
      <c r="D3525" s="30"/>
      <c r="E3525" s="30"/>
      <c r="F3525" s="22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  <c r="T3525" s="23"/>
      <c r="U3525" s="23"/>
    </row>
    <row r="3526">
      <c r="A3526" s="20"/>
      <c r="B3526" s="20"/>
      <c r="C3526" s="30"/>
      <c r="D3526" s="30"/>
      <c r="E3526" s="30"/>
      <c r="F3526" s="22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</row>
    <row r="3527">
      <c r="A3527" s="20"/>
      <c r="B3527" s="20"/>
      <c r="C3527" s="30"/>
      <c r="D3527" s="30"/>
      <c r="E3527" s="30"/>
      <c r="F3527" s="22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  <c r="T3527" s="23"/>
      <c r="U3527" s="23"/>
    </row>
    <row r="3528">
      <c r="A3528" s="20"/>
      <c r="B3528" s="20"/>
      <c r="C3528" s="30"/>
      <c r="D3528" s="30"/>
      <c r="E3528" s="30"/>
      <c r="F3528" s="22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  <c r="T3528" s="23"/>
      <c r="U3528" s="23"/>
    </row>
    <row r="3529">
      <c r="A3529" s="20"/>
      <c r="B3529" s="20"/>
      <c r="C3529" s="30"/>
      <c r="D3529" s="30"/>
      <c r="E3529" s="30"/>
      <c r="F3529" s="22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  <c r="T3529" s="23"/>
      <c r="U3529" s="23"/>
    </row>
    <row r="3530">
      <c r="A3530" s="20"/>
      <c r="B3530" s="20"/>
      <c r="C3530" s="30"/>
      <c r="D3530" s="30"/>
      <c r="E3530" s="30"/>
      <c r="F3530" s="22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  <c r="T3530" s="23"/>
      <c r="U3530" s="23"/>
    </row>
    <row r="3531">
      <c r="A3531" s="20"/>
      <c r="B3531" s="20"/>
      <c r="C3531" s="30"/>
      <c r="D3531" s="30"/>
      <c r="E3531" s="30"/>
      <c r="F3531" s="22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  <c r="T3531" s="23"/>
      <c r="U3531" s="23"/>
    </row>
    <row r="3532">
      <c r="A3532" s="20"/>
      <c r="B3532" s="20"/>
      <c r="C3532" s="30"/>
      <c r="D3532" s="30"/>
      <c r="E3532" s="30"/>
      <c r="F3532" s="22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  <c r="T3532" s="23"/>
      <c r="U3532" s="23"/>
    </row>
    <row r="3533">
      <c r="A3533" s="20"/>
      <c r="B3533" s="20"/>
      <c r="C3533" s="30"/>
      <c r="D3533" s="30"/>
      <c r="E3533" s="30"/>
      <c r="F3533" s="22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  <c r="T3533" s="23"/>
      <c r="U3533" s="23"/>
    </row>
    <row r="3534">
      <c r="A3534" s="20"/>
      <c r="B3534" s="20"/>
      <c r="C3534" s="30"/>
      <c r="D3534" s="30"/>
      <c r="E3534" s="30"/>
      <c r="F3534" s="22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  <c r="T3534" s="23"/>
      <c r="U3534" s="23"/>
    </row>
    <row r="3535">
      <c r="A3535" s="20"/>
      <c r="B3535" s="20"/>
      <c r="C3535" s="30"/>
      <c r="D3535" s="30"/>
      <c r="E3535" s="30"/>
      <c r="F3535" s="22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  <c r="T3535" s="23"/>
      <c r="U3535" s="23"/>
    </row>
    <row r="3536">
      <c r="A3536" s="20"/>
      <c r="B3536" s="20"/>
      <c r="C3536" s="30"/>
      <c r="D3536" s="30"/>
      <c r="E3536" s="30"/>
      <c r="F3536" s="22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</row>
    <row r="3537">
      <c r="A3537" s="20"/>
      <c r="B3537" s="20"/>
      <c r="C3537" s="30"/>
      <c r="D3537" s="30"/>
      <c r="E3537" s="30"/>
      <c r="F3537" s="22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  <c r="T3537" s="23"/>
      <c r="U3537" s="23"/>
    </row>
    <row r="3538">
      <c r="A3538" s="20"/>
      <c r="B3538" s="20"/>
      <c r="C3538" s="30"/>
      <c r="D3538" s="30"/>
      <c r="E3538" s="30"/>
      <c r="F3538" s="22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  <c r="T3538" s="23"/>
      <c r="U3538" s="23"/>
    </row>
    <row r="3539">
      <c r="A3539" s="20"/>
      <c r="B3539" s="20"/>
      <c r="C3539" s="30"/>
      <c r="D3539" s="30"/>
      <c r="E3539" s="30"/>
      <c r="F3539" s="22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  <c r="T3539" s="23"/>
      <c r="U3539" s="23"/>
    </row>
    <row r="3540">
      <c r="A3540" s="20"/>
      <c r="B3540" s="20"/>
      <c r="C3540" s="30"/>
      <c r="D3540" s="30"/>
      <c r="E3540" s="30"/>
      <c r="F3540" s="22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  <c r="T3540" s="23"/>
      <c r="U3540" s="23"/>
    </row>
    <row r="3541">
      <c r="A3541" s="20"/>
      <c r="B3541" s="20"/>
      <c r="C3541" s="30"/>
      <c r="D3541" s="30"/>
      <c r="E3541" s="30"/>
      <c r="F3541" s="22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</row>
    <row r="3542">
      <c r="A3542" s="20"/>
      <c r="B3542" s="20"/>
      <c r="C3542" s="30"/>
      <c r="D3542" s="30"/>
      <c r="E3542" s="30"/>
      <c r="F3542" s="22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  <c r="T3542" s="23"/>
      <c r="U3542" s="23"/>
    </row>
    <row r="3543">
      <c r="A3543" s="20"/>
      <c r="B3543" s="20"/>
      <c r="C3543" s="30"/>
      <c r="D3543" s="30"/>
      <c r="E3543" s="30"/>
      <c r="F3543" s="22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  <c r="T3543" s="23"/>
      <c r="U3543" s="23"/>
    </row>
    <row r="3544">
      <c r="A3544" s="20"/>
      <c r="B3544" s="20"/>
      <c r="C3544" s="30"/>
      <c r="D3544" s="30"/>
      <c r="E3544" s="30"/>
      <c r="F3544" s="22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  <c r="T3544" s="23"/>
      <c r="U3544" s="23"/>
    </row>
    <row r="3545">
      <c r="A3545" s="20"/>
      <c r="B3545" s="20"/>
      <c r="C3545" s="30"/>
      <c r="D3545" s="30"/>
      <c r="E3545" s="30"/>
      <c r="F3545" s="22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</row>
    <row r="3546">
      <c r="A3546" s="20"/>
      <c r="B3546" s="20"/>
      <c r="C3546" s="30"/>
      <c r="D3546" s="30"/>
      <c r="E3546" s="30"/>
      <c r="F3546" s="22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  <c r="T3546" s="23"/>
      <c r="U3546" s="23"/>
    </row>
    <row r="3547">
      <c r="A3547" s="20"/>
      <c r="B3547" s="20"/>
      <c r="C3547" s="30"/>
      <c r="D3547" s="30"/>
      <c r="E3547" s="30"/>
      <c r="F3547" s="22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  <c r="T3547" s="23"/>
      <c r="U3547" s="23"/>
    </row>
    <row r="3548">
      <c r="A3548" s="20"/>
      <c r="B3548" s="20"/>
      <c r="C3548" s="30"/>
      <c r="D3548" s="30"/>
      <c r="E3548" s="30"/>
      <c r="F3548" s="22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  <c r="T3548" s="23"/>
      <c r="U3548" s="23"/>
    </row>
    <row r="3549">
      <c r="A3549" s="20"/>
      <c r="B3549" s="20"/>
      <c r="C3549" s="30"/>
      <c r="D3549" s="30"/>
      <c r="E3549" s="30"/>
      <c r="F3549" s="22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  <c r="T3549" s="23"/>
      <c r="U3549" s="23"/>
    </row>
    <row r="3550">
      <c r="A3550" s="20"/>
      <c r="B3550" s="20"/>
      <c r="C3550" s="30"/>
      <c r="D3550" s="30"/>
      <c r="E3550" s="30"/>
      <c r="F3550" s="22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  <c r="T3550" s="23"/>
      <c r="U3550" s="23"/>
    </row>
    <row r="3551">
      <c r="A3551" s="20"/>
      <c r="B3551" s="20"/>
      <c r="C3551" s="30"/>
      <c r="D3551" s="30"/>
      <c r="E3551" s="30"/>
      <c r="F3551" s="22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  <c r="T3551" s="23"/>
      <c r="U3551" s="23"/>
    </row>
    <row r="3552">
      <c r="A3552" s="20"/>
      <c r="B3552" s="20"/>
      <c r="C3552" s="30"/>
      <c r="D3552" s="30"/>
      <c r="E3552" s="30"/>
      <c r="F3552" s="22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  <c r="T3552" s="23"/>
      <c r="U3552" s="23"/>
    </row>
    <row r="3553">
      <c r="A3553" s="20"/>
      <c r="B3553" s="20"/>
      <c r="C3553" s="30"/>
      <c r="D3553" s="30"/>
      <c r="E3553" s="30"/>
      <c r="F3553" s="22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  <c r="T3553" s="23"/>
      <c r="U3553" s="23"/>
    </row>
    <row r="3554">
      <c r="A3554" s="20"/>
      <c r="B3554" s="20"/>
      <c r="C3554" s="30"/>
      <c r="D3554" s="30"/>
      <c r="E3554" s="30"/>
      <c r="F3554" s="22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  <c r="T3554" s="23"/>
      <c r="U3554" s="23"/>
    </row>
    <row r="3555">
      <c r="A3555" s="20"/>
      <c r="B3555" s="20"/>
      <c r="C3555" s="30"/>
      <c r="D3555" s="30"/>
      <c r="E3555" s="30"/>
      <c r="F3555" s="22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  <c r="T3555" s="23"/>
      <c r="U3555" s="23"/>
    </row>
    <row r="3556">
      <c r="A3556" s="20"/>
      <c r="B3556" s="20"/>
      <c r="C3556" s="30"/>
      <c r="D3556" s="30"/>
      <c r="E3556" s="30"/>
      <c r="F3556" s="22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</row>
    <row r="3557">
      <c r="A3557" s="20"/>
      <c r="B3557" s="20"/>
      <c r="C3557" s="30"/>
      <c r="D3557" s="30"/>
      <c r="E3557" s="30"/>
      <c r="F3557" s="22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  <c r="T3557" s="23"/>
      <c r="U3557" s="23"/>
    </row>
    <row r="3558">
      <c r="A3558" s="20"/>
      <c r="B3558" s="20"/>
      <c r="C3558" s="30"/>
      <c r="D3558" s="30"/>
      <c r="E3558" s="30"/>
      <c r="F3558" s="22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</row>
    <row r="3559">
      <c r="A3559" s="20"/>
      <c r="B3559" s="20"/>
      <c r="C3559" s="30"/>
      <c r="D3559" s="30"/>
      <c r="E3559" s="30"/>
      <c r="F3559" s="22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  <c r="T3559" s="23"/>
      <c r="U3559" s="23"/>
    </row>
    <row r="3560">
      <c r="A3560" s="20"/>
      <c r="B3560" s="20"/>
      <c r="C3560" s="30"/>
      <c r="D3560" s="30"/>
      <c r="E3560" s="30"/>
      <c r="F3560" s="22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</row>
    <row r="3561">
      <c r="A3561" s="20"/>
      <c r="B3561" s="20"/>
      <c r="C3561" s="30"/>
      <c r="D3561" s="30"/>
      <c r="E3561" s="30"/>
      <c r="F3561" s="22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</row>
    <row r="3562">
      <c r="A3562" s="20"/>
      <c r="B3562" s="20"/>
      <c r="C3562" s="30"/>
      <c r="D3562" s="30"/>
      <c r="E3562" s="30"/>
      <c r="F3562" s="22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  <c r="T3562" s="23"/>
      <c r="U3562" s="23"/>
    </row>
    <row r="3563">
      <c r="A3563" s="20"/>
      <c r="B3563" s="20"/>
      <c r="C3563" s="30"/>
      <c r="D3563" s="30"/>
      <c r="E3563" s="30"/>
      <c r="F3563" s="22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  <c r="T3563" s="23"/>
      <c r="U3563" s="23"/>
    </row>
    <row r="3564">
      <c r="A3564" s="20"/>
      <c r="B3564" s="20"/>
      <c r="C3564" s="30"/>
      <c r="D3564" s="30"/>
      <c r="E3564" s="30"/>
      <c r="F3564" s="22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</row>
    <row r="3565">
      <c r="A3565" s="20"/>
      <c r="B3565" s="20"/>
      <c r="C3565" s="30"/>
      <c r="D3565" s="30"/>
      <c r="E3565" s="30"/>
      <c r="F3565" s="22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</row>
    <row r="3566">
      <c r="A3566" s="20"/>
      <c r="B3566" s="20"/>
      <c r="C3566" s="30"/>
      <c r="D3566" s="30"/>
      <c r="E3566" s="30"/>
      <c r="F3566" s="22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</row>
    <row r="3567">
      <c r="A3567" s="20"/>
      <c r="B3567" s="20"/>
      <c r="C3567" s="30"/>
      <c r="D3567" s="30"/>
      <c r="E3567" s="30"/>
      <c r="F3567" s="22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</row>
    <row r="3568">
      <c r="A3568" s="20"/>
      <c r="B3568" s="20"/>
      <c r="C3568" s="30"/>
      <c r="D3568" s="30"/>
      <c r="E3568" s="30"/>
      <c r="F3568" s="22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  <c r="T3568" s="23"/>
      <c r="U3568" s="23"/>
    </row>
    <row r="3569">
      <c r="A3569" s="20"/>
      <c r="B3569" s="20"/>
      <c r="C3569" s="30"/>
      <c r="D3569" s="30"/>
      <c r="E3569" s="30"/>
      <c r="F3569" s="22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</row>
    <row r="3570">
      <c r="A3570" s="20"/>
      <c r="B3570" s="20"/>
      <c r="C3570" s="30"/>
      <c r="D3570" s="30"/>
      <c r="E3570" s="30"/>
      <c r="F3570" s="22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  <c r="T3570" s="23"/>
      <c r="U3570" s="23"/>
    </row>
    <row r="3571">
      <c r="A3571" s="20"/>
      <c r="B3571" s="20"/>
      <c r="C3571" s="30"/>
      <c r="D3571" s="30"/>
      <c r="E3571" s="30"/>
      <c r="F3571" s="22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  <c r="T3571" s="23"/>
      <c r="U3571" s="23"/>
    </row>
    <row r="3572">
      <c r="A3572" s="20"/>
      <c r="B3572" s="20"/>
      <c r="C3572" s="30"/>
      <c r="D3572" s="30"/>
      <c r="E3572" s="30"/>
      <c r="F3572" s="22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  <c r="T3572" s="23"/>
      <c r="U3572" s="23"/>
    </row>
    <row r="3573">
      <c r="A3573" s="20"/>
      <c r="B3573" s="20"/>
      <c r="C3573" s="30"/>
      <c r="D3573" s="30"/>
      <c r="E3573" s="30"/>
      <c r="F3573" s="22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  <c r="T3573" s="23"/>
      <c r="U3573" s="23"/>
    </row>
    <row r="3574">
      <c r="A3574" s="20"/>
      <c r="B3574" s="20"/>
      <c r="C3574" s="30"/>
      <c r="D3574" s="30"/>
      <c r="E3574" s="30"/>
      <c r="F3574" s="22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  <c r="T3574" s="23"/>
      <c r="U3574" s="23"/>
    </row>
    <row r="3575">
      <c r="A3575" s="20"/>
      <c r="B3575" s="20"/>
      <c r="C3575" s="30"/>
      <c r="D3575" s="30"/>
      <c r="E3575" s="30"/>
      <c r="F3575" s="22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  <c r="T3575" s="23"/>
      <c r="U3575" s="23"/>
    </row>
    <row r="3576">
      <c r="A3576" s="20"/>
      <c r="B3576" s="20"/>
      <c r="C3576" s="30"/>
      <c r="D3576" s="30"/>
      <c r="E3576" s="30"/>
      <c r="F3576" s="22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23"/>
    </row>
    <row r="3577">
      <c r="A3577" s="20"/>
      <c r="B3577" s="20"/>
      <c r="C3577" s="30"/>
      <c r="D3577" s="30"/>
      <c r="E3577" s="30"/>
      <c r="F3577" s="22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  <c r="T3577" s="23"/>
      <c r="U3577" s="23"/>
    </row>
    <row r="3578">
      <c r="A3578" s="20"/>
      <c r="B3578" s="20"/>
      <c r="C3578" s="30"/>
      <c r="D3578" s="30"/>
      <c r="E3578" s="30"/>
      <c r="F3578" s="22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  <c r="T3578" s="23"/>
      <c r="U3578" s="23"/>
    </row>
    <row r="3579">
      <c r="A3579" s="20"/>
      <c r="B3579" s="20"/>
      <c r="C3579" s="30"/>
      <c r="D3579" s="30"/>
      <c r="E3579" s="30"/>
      <c r="F3579" s="22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  <c r="T3579" s="23"/>
      <c r="U3579" s="23"/>
    </row>
    <row r="3580">
      <c r="A3580" s="20"/>
      <c r="B3580" s="20"/>
      <c r="C3580" s="30"/>
      <c r="D3580" s="30"/>
      <c r="E3580" s="30"/>
      <c r="F3580" s="22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  <c r="T3580" s="23"/>
      <c r="U3580" s="23"/>
    </row>
    <row r="3581">
      <c r="A3581" s="20"/>
      <c r="B3581" s="20"/>
      <c r="C3581" s="30"/>
      <c r="D3581" s="30"/>
      <c r="E3581" s="30"/>
      <c r="F3581" s="22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</row>
    <row r="3582">
      <c r="A3582" s="20"/>
      <c r="B3582" s="20"/>
      <c r="C3582" s="30"/>
      <c r="D3582" s="30"/>
      <c r="E3582" s="30"/>
      <c r="F3582" s="22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  <c r="T3582" s="23"/>
      <c r="U3582" s="23"/>
    </row>
    <row r="3583">
      <c r="A3583" s="20"/>
      <c r="B3583" s="20"/>
      <c r="C3583" s="30"/>
      <c r="D3583" s="30"/>
      <c r="E3583" s="30"/>
      <c r="F3583" s="22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</row>
    <row r="3584">
      <c r="A3584" s="20"/>
      <c r="B3584" s="20"/>
      <c r="C3584" s="30"/>
      <c r="D3584" s="30"/>
      <c r="E3584" s="30"/>
      <c r="F3584" s="22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  <c r="T3584" s="23"/>
      <c r="U3584" s="23"/>
    </row>
    <row r="3585">
      <c r="A3585" s="20"/>
      <c r="B3585" s="20"/>
      <c r="C3585" s="30"/>
      <c r="D3585" s="30"/>
      <c r="E3585" s="30"/>
      <c r="F3585" s="22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</row>
    <row r="3586">
      <c r="A3586" s="20"/>
      <c r="B3586" s="20"/>
      <c r="C3586" s="30"/>
      <c r="D3586" s="30"/>
      <c r="E3586" s="30"/>
      <c r="F3586" s="22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</row>
    <row r="3587">
      <c r="A3587" s="20"/>
      <c r="B3587" s="20"/>
      <c r="C3587" s="30"/>
      <c r="D3587" s="30"/>
      <c r="E3587" s="30"/>
      <c r="F3587" s="22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</row>
    <row r="3588">
      <c r="A3588" s="20"/>
      <c r="B3588" s="20"/>
      <c r="C3588" s="30"/>
      <c r="D3588" s="30"/>
      <c r="E3588" s="30"/>
      <c r="F3588" s="22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  <c r="T3588" s="23"/>
      <c r="U3588" s="23"/>
    </row>
    <row r="3589">
      <c r="A3589" s="20"/>
      <c r="B3589" s="20"/>
      <c r="C3589" s="30"/>
      <c r="D3589" s="30"/>
      <c r="E3589" s="30"/>
      <c r="F3589" s="22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  <c r="T3589" s="23"/>
      <c r="U3589" s="23"/>
    </row>
    <row r="3590">
      <c r="A3590" s="20"/>
      <c r="B3590" s="20"/>
      <c r="C3590" s="30"/>
      <c r="D3590" s="30"/>
      <c r="E3590" s="30"/>
      <c r="F3590" s="22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  <c r="T3590" s="23"/>
      <c r="U3590" s="23"/>
    </row>
    <row r="3591">
      <c r="A3591" s="20"/>
      <c r="B3591" s="20"/>
      <c r="C3591" s="30"/>
      <c r="D3591" s="30"/>
      <c r="E3591" s="30"/>
      <c r="F3591" s="22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</row>
    <row r="3592">
      <c r="A3592" s="20"/>
      <c r="B3592" s="20"/>
      <c r="C3592" s="30"/>
      <c r="D3592" s="30"/>
      <c r="E3592" s="30"/>
      <c r="F3592" s="22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  <c r="T3592" s="23"/>
      <c r="U3592" s="23"/>
    </row>
    <row r="3593">
      <c r="A3593" s="20"/>
      <c r="B3593" s="20"/>
      <c r="C3593" s="30"/>
      <c r="D3593" s="30"/>
      <c r="E3593" s="30"/>
      <c r="F3593" s="22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</row>
    <row r="3594">
      <c r="A3594" s="20"/>
      <c r="B3594" s="20"/>
      <c r="C3594" s="30"/>
      <c r="D3594" s="30"/>
      <c r="E3594" s="30"/>
      <c r="F3594" s="22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</row>
    <row r="3595">
      <c r="A3595" s="20"/>
      <c r="B3595" s="20"/>
      <c r="C3595" s="30"/>
      <c r="D3595" s="30"/>
      <c r="E3595" s="30"/>
      <c r="F3595" s="22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  <c r="T3595" s="23"/>
      <c r="U3595" s="23"/>
    </row>
    <row r="3596">
      <c r="A3596" s="20"/>
      <c r="B3596" s="20"/>
      <c r="C3596" s="30"/>
      <c r="D3596" s="30"/>
      <c r="E3596" s="30"/>
      <c r="F3596" s="22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  <c r="T3596" s="23"/>
      <c r="U3596" s="23"/>
    </row>
    <row r="3597">
      <c r="A3597" s="20"/>
      <c r="B3597" s="20"/>
      <c r="C3597" s="30"/>
      <c r="D3597" s="30"/>
      <c r="E3597" s="30"/>
      <c r="F3597" s="22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</row>
    <row r="3598">
      <c r="A3598" s="20"/>
      <c r="B3598" s="20"/>
      <c r="C3598" s="30"/>
      <c r="D3598" s="30"/>
      <c r="E3598" s="30"/>
      <c r="F3598" s="22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  <c r="T3598" s="23"/>
      <c r="U3598" s="23"/>
    </row>
    <row r="3599">
      <c r="A3599" s="20"/>
      <c r="B3599" s="20"/>
      <c r="C3599" s="30"/>
      <c r="D3599" s="30"/>
      <c r="E3599" s="30"/>
      <c r="F3599" s="22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  <c r="T3599" s="23"/>
      <c r="U3599" s="23"/>
    </row>
    <row r="3600">
      <c r="A3600" s="20"/>
      <c r="B3600" s="20"/>
      <c r="C3600" s="30"/>
      <c r="D3600" s="30"/>
      <c r="E3600" s="30"/>
      <c r="F3600" s="22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  <c r="T3600" s="23"/>
      <c r="U3600" s="23"/>
    </row>
    <row r="3601">
      <c r="A3601" s="20"/>
      <c r="B3601" s="20"/>
      <c r="C3601" s="30"/>
      <c r="D3601" s="30"/>
      <c r="E3601" s="30"/>
      <c r="F3601" s="22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  <c r="T3601" s="23"/>
      <c r="U3601" s="23"/>
    </row>
    <row r="3602">
      <c r="A3602" s="20"/>
      <c r="B3602" s="20"/>
      <c r="C3602" s="30"/>
      <c r="D3602" s="30"/>
      <c r="E3602" s="30"/>
      <c r="F3602" s="22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</row>
    <row r="3603">
      <c r="A3603" s="20"/>
      <c r="B3603" s="20"/>
      <c r="C3603" s="30"/>
      <c r="D3603" s="30"/>
      <c r="E3603" s="30"/>
      <c r="F3603" s="22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</row>
    <row r="3604">
      <c r="A3604" s="20"/>
      <c r="B3604" s="20"/>
      <c r="C3604" s="30"/>
      <c r="D3604" s="30"/>
      <c r="E3604" s="30"/>
      <c r="F3604" s="22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</row>
    <row r="3605">
      <c r="A3605" s="20"/>
      <c r="B3605" s="20"/>
      <c r="C3605" s="30"/>
      <c r="D3605" s="30"/>
      <c r="E3605" s="30"/>
      <c r="F3605" s="22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</row>
    <row r="3606">
      <c r="A3606" s="20"/>
      <c r="B3606" s="20"/>
      <c r="C3606" s="30"/>
      <c r="D3606" s="30"/>
      <c r="E3606" s="30"/>
      <c r="F3606" s="22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</row>
    <row r="3607">
      <c r="A3607" s="20"/>
      <c r="B3607" s="20"/>
      <c r="C3607" s="30"/>
      <c r="D3607" s="30"/>
      <c r="E3607" s="30"/>
      <c r="F3607" s="22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  <c r="T3607" s="23"/>
      <c r="U3607" s="23"/>
    </row>
    <row r="3608">
      <c r="A3608" s="20"/>
      <c r="B3608" s="20"/>
      <c r="C3608" s="30"/>
      <c r="D3608" s="30"/>
      <c r="E3608" s="30"/>
      <c r="F3608" s="22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  <c r="T3608" s="23"/>
      <c r="U3608" s="23"/>
    </row>
    <row r="3609">
      <c r="A3609" s="20"/>
      <c r="B3609" s="20"/>
      <c r="C3609" s="30"/>
      <c r="D3609" s="30"/>
      <c r="E3609" s="30"/>
      <c r="F3609" s="22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  <c r="T3609" s="23"/>
      <c r="U3609" s="23"/>
    </row>
    <row r="3610">
      <c r="A3610" s="20"/>
      <c r="B3610" s="20"/>
      <c r="C3610" s="30"/>
      <c r="D3610" s="30"/>
      <c r="E3610" s="30"/>
      <c r="F3610" s="22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  <c r="T3610" s="23"/>
      <c r="U3610" s="23"/>
    </row>
    <row r="3611">
      <c r="A3611" s="20"/>
      <c r="B3611" s="20"/>
      <c r="C3611" s="30"/>
      <c r="D3611" s="30"/>
      <c r="E3611" s="30"/>
      <c r="F3611" s="22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  <c r="T3611" s="23"/>
      <c r="U3611" s="23"/>
    </row>
    <row r="3612">
      <c r="A3612" s="20"/>
      <c r="B3612" s="20"/>
      <c r="C3612" s="30"/>
      <c r="D3612" s="30"/>
      <c r="E3612" s="30"/>
      <c r="F3612" s="22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</row>
    <row r="3613">
      <c r="A3613" s="20"/>
      <c r="B3613" s="20"/>
      <c r="C3613" s="30"/>
      <c r="D3613" s="30"/>
      <c r="E3613" s="30"/>
      <c r="F3613" s="22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</row>
    <row r="3614">
      <c r="A3614" s="20"/>
      <c r="B3614" s="20"/>
      <c r="C3614" s="30"/>
      <c r="D3614" s="30"/>
      <c r="E3614" s="30"/>
      <c r="F3614" s="22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  <c r="T3614" s="23"/>
      <c r="U3614" s="23"/>
    </row>
    <row r="3615">
      <c r="A3615" s="20"/>
      <c r="B3615" s="20"/>
      <c r="C3615" s="30"/>
      <c r="D3615" s="30"/>
      <c r="E3615" s="30"/>
      <c r="F3615" s="22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  <c r="T3615" s="23"/>
      <c r="U3615" s="23"/>
    </row>
    <row r="3616">
      <c r="A3616" s="20"/>
      <c r="B3616" s="20"/>
      <c r="C3616" s="30"/>
      <c r="D3616" s="30"/>
      <c r="E3616" s="30"/>
      <c r="F3616" s="22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  <c r="T3616" s="23"/>
      <c r="U3616" s="23"/>
    </row>
    <row r="3617">
      <c r="A3617" s="20"/>
      <c r="B3617" s="20"/>
      <c r="C3617" s="30"/>
      <c r="D3617" s="30"/>
      <c r="E3617" s="30"/>
      <c r="F3617" s="22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  <c r="T3617" s="23"/>
      <c r="U3617" s="23"/>
    </row>
    <row r="3618">
      <c r="A3618" s="20"/>
      <c r="B3618" s="20"/>
      <c r="C3618" s="30"/>
      <c r="D3618" s="30"/>
      <c r="E3618" s="30"/>
      <c r="F3618" s="22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</row>
    <row r="3619">
      <c r="A3619" s="20"/>
      <c r="B3619" s="20"/>
      <c r="C3619" s="30"/>
      <c r="D3619" s="30"/>
      <c r="E3619" s="30"/>
      <c r="F3619" s="22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</row>
    <row r="3620">
      <c r="A3620" s="20"/>
      <c r="B3620" s="20"/>
      <c r="C3620" s="30"/>
      <c r="D3620" s="30"/>
      <c r="E3620" s="30"/>
      <c r="F3620" s="22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</row>
    <row r="3621">
      <c r="A3621" s="20"/>
      <c r="B3621" s="20"/>
      <c r="C3621" s="30"/>
      <c r="D3621" s="30"/>
      <c r="E3621" s="30"/>
      <c r="F3621" s="22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</row>
    <row r="3622">
      <c r="A3622" s="20"/>
      <c r="B3622" s="20"/>
      <c r="C3622" s="30"/>
      <c r="D3622" s="30"/>
      <c r="E3622" s="30"/>
      <c r="F3622" s="22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</row>
    <row r="3623">
      <c r="A3623" s="20"/>
      <c r="B3623" s="20"/>
      <c r="C3623" s="30"/>
      <c r="D3623" s="30"/>
      <c r="E3623" s="30"/>
      <c r="F3623" s="22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  <c r="T3623" s="23"/>
      <c r="U3623" s="23"/>
    </row>
    <row r="3624">
      <c r="A3624" s="20"/>
      <c r="B3624" s="20"/>
      <c r="C3624" s="30"/>
      <c r="D3624" s="30"/>
      <c r="E3624" s="30"/>
      <c r="F3624" s="22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</row>
    <row r="3625">
      <c r="A3625" s="20"/>
      <c r="B3625" s="20"/>
      <c r="C3625" s="30"/>
      <c r="D3625" s="30"/>
      <c r="E3625" s="30"/>
      <c r="F3625" s="22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</row>
    <row r="3626">
      <c r="A3626" s="20"/>
      <c r="B3626" s="20"/>
      <c r="C3626" s="30"/>
      <c r="D3626" s="30"/>
      <c r="E3626" s="30"/>
      <c r="F3626" s="22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</row>
    <row r="3627">
      <c r="A3627" s="20"/>
      <c r="B3627" s="20"/>
      <c r="C3627" s="30"/>
      <c r="D3627" s="30"/>
      <c r="E3627" s="30"/>
      <c r="F3627" s="22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  <c r="T3627" s="23"/>
      <c r="U3627" s="23"/>
    </row>
    <row r="3628">
      <c r="A3628" s="20"/>
      <c r="B3628" s="20"/>
      <c r="C3628" s="30"/>
      <c r="D3628" s="30"/>
      <c r="E3628" s="30"/>
      <c r="F3628" s="22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</row>
    <row r="3629">
      <c r="A3629" s="20"/>
      <c r="B3629" s="20"/>
      <c r="C3629" s="30"/>
      <c r="D3629" s="30"/>
      <c r="E3629" s="30"/>
      <c r="F3629" s="22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  <c r="T3629" s="23"/>
      <c r="U3629" s="23"/>
    </row>
    <row r="3630">
      <c r="A3630" s="20"/>
      <c r="B3630" s="20"/>
      <c r="C3630" s="30"/>
      <c r="D3630" s="30"/>
      <c r="E3630" s="30"/>
      <c r="F3630" s="22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  <c r="T3630" s="23"/>
      <c r="U3630" s="23"/>
    </row>
    <row r="3631">
      <c r="A3631" s="20"/>
      <c r="B3631" s="20"/>
      <c r="C3631" s="30"/>
      <c r="D3631" s="30"/>
      <c r="E3631" s="30"/>
      <c r="F3631" s="22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  <c r="T3631" s="23"/>
      <c r="U3631" s="23"/>
    </row>
    <row r="3632">
      <c r="A3632" s="20"/>
      <c r="B3632" s="20"/>
      <c r="C3632" s="30"/>
      <c r="D3632" s="30"/>
      <c r="E3632" s="30"/>
      <c r="F3632" s="22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  <c r="T3632" s="23"/>
      <c r="U3632" s="23"/>
    </row>
    <row r="3633">
      <c r="A3633" s="20"/>
      <c r="B3633" s="20"/>
      <c r="C3633" s="30"/>
      <c r="D3633" s="30"/>
      <c r="E3633" s="30"/>
      <c r="F3633" s="22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</row>
    <row r="3634">
      <c r="A3634" s="20"/>
      <c r="B3634" s="20"/>
      <c r="C3634" s="30"/>
      <c r="D3634" s="30"/>
      <c r="E3634" s="30"/>
      <c r="F3634" s="22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</row>
    <row r="3635">
      <c r="A3635" s="20"/>
      <c r="B3635" s="20"/>
      <c r="C3635" s="30"/>
      <c r="D3635" s="30"/>
      <c r="E3635" s="30"/>
      <c r="F3635" s="22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  <c r="T3635" s="23"/>
      <c r="U3635" s="23"/>
    </row>
    <row r="3636">
      <c r="A3636" s="20"/>
      <c r="B3636" s="20"/>
      <c r="C3636" s="30"/>
      <c r="D3636" s="30"/>
      <c r="E3636" s="30"/>
      <c r="F3636" s="22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</row>
    <row r="3637">
      <c r="A3637" s="20"/>
      <c r="B3637" s="20"/>
      <c r="C3637" s="30"/>
      <c r="D3637" s="30"/>
      <c r="E3637" s="30"/>
      <c r="F3637" s="22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</row>
    <row r="3638">
      <c r="A3638" s="20"/>
      <c r="B3638" s="20"/>
      <c r="C3638" s="30"/>
      <c r="D3638" s="30"/>
      <c r="E3638" s="30"/>
      <c r="F3638" s="22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  <c r="T3638" s="23"/>
      <c r="U3638" s="23"/>
    </row>
    <row r="3639">
      <c r="A3639" s="20"/>
      <c r="B3639" s="20"/>
      <c r="C3639" s="30"/>
      <c r="D3639" s="30"/>
      <c r="E3639" s="30"/>
      <c r="F3639" s="22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</row>
    <row r="3640">
      <c r="A3640" s="20"/>
      <c r="B3640" s="20"/>
      <c r="C3640" s="30"/>
      <c r="D3640" s="30"/>
      <c r="E3640" s="30"/>
      <c r="F3640" s="22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</row>
    <row r="3641">
      <c r="A3641" s="20"/>
      <c r="B3641" s="20"/>
      <c r="C3641" s="30"/>
      <c r="D3641" s="30"/>
      <c r="E3641" s="30"/>
      <c r="F3641" s="22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  <c r="T3641" s="23"/>
      <c r="U3641" s="23"/>
    </row>
    <row r="3642">
      <c r="A3642" s="20"/>
      <c r="B3642" s="20"/>
      <c r="C3642" s="30"/>
      <c r="D3642" s="30"/>
      <c r="E3642" s="30"/>
      <c r="F3642" s="22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</row>
    <row r="3643">
      <c r="A3643" s="20"/>
      <c r="B3643" s="20"/>
      <c r="C3643" s="30"/>
      <c r="D3643" s="30"/>
      <c r="E3643" s="30"/>
      <c r="F3643" s="22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  <c r="T3643" s="23"/>
      <c r="U3643" s="23"/>
    </row>
    <row r="3644">
      <c r="A3644" s="20"/>
      <c r="B3644" s="20"/>
      <c r="C3644" s="30"/>
      <c r="D3644" s="30"/>
      <c r="E3644" s="30"/>
      <c r="F3644" s="22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  <c r="T3644" s="23"/>
      <c r="U3644" s="23"/>
    </row>
    <row r="3645">
      <c r="A3645" s="20"/>
      <c r="B3645" s="20"/>
      <c r="C3645" s="30"/>
      <c r="D3645" s="30"/>
      <c r="E3645" s="30"/>
      <c r="F3645" s="22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</row>
    <row r="3646">
      <c r="A3646" s="20"/>
      <c r="B3646" s="20"/>
      <c r="C3646" s="30"/>
      <c r="D3646" s="30"/>
      <c r="E3646" s="30"/>
      <c r="F3646" s="22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  <c r="T3646" s="23"/>
      <c r="U3646" s="23"/>
    </row>
    <row r="3647">
      <c r="A3647" s="20"/>
      <c r="B3647" s="20"/>
      <c r="C3647" s="30"/>
      <c r="D3647" s="30"/>
      <c r="E3647" s="30"/>
      <c r="F3647" s="22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  <c r="T3647" s="23"/>
      <c r="U3647" s="23"/>
    </row>
    <row r="3648">
      <c r="A3648" s="20"/>
      <c r="B3648" s="20"/>
      <c r="C3648" s="30"/>
      <c r="D3648" s="30"/>
      <c r="E3648" s="30"/>
      <c r="F3648" s="22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  <c r="T3648" s="23"/>
      <c r="U3648" s="23"/>
    </row>
    <row r="3649">
      <c r="A3649" s="20"/>
      <c r="B3649" s="20"/>
      <c r="C3649" s="30"/>
      <c r="D3649" s="30"/>
      <c r="E3649" s="30"/>
      <c r="F3649" s="22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</row>
    <row r="3650">
      <c r="A3650" s="20"/>
      <c r="B3650" s="20"/>
      <c r="C3650" s="30"/>
      <c r="D3650" s="30"/>
      <c r="E3650" s="30"/>
      <c r="F3650" s="22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  <c r="T3650" s="23"/>
      <c r="U3650" s="23"/>
    </row>
    <row r="3651">
      <c r="A3651" s="20"/>
      <c r="B3651" s="20"/>
      <c r="C3651" s="30"/>
      <c r="D3651" s="30"/>
      <c r="E3651" s="30"/>
      <c r="F3651" s="22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  <c r="T3651" s="23"/>
      <c r="U3651" s="23"/>
    </row>
    <row r="3652">
      <c r="A3652" s="20"/>
      <c r="B3652" s="20"/>
      <c r="C3652" s="30"/>
      <c r="D3652" s="30"/>
      <c r="E3652" s="30"/>
      <c r="F3652" s="22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</row>
    <row r="3653">
      <c r="A3653" s="20"/>
      <c r="B3653" s="20"/>
      <c r="C3653" s="30"/>
      <c r="D3653" s="30"/>
      <c r="E3653" s="30"/>
      <c r="F3653" s="22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</row>
    <row r="3654">
      <c r="A3654" s="20"/>
      <c r="B3654" s="20"/>
      <c r="C3654" s="30"/>
      <c r="D3654" s="30"/>
      <c r="E3654" s="30"/>
      <c r="F3654" s="22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</row>
    <row r="3655">
      <c r="A3655" s="20"/>
      <c r="B3655" s="20"/>
      <c r="C3655" s="30"/>
      <c r="D3655" s="30"/>
      <c r="E3655" s="30"/>
      <c r="F3655" s="22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  <c r="T3655" s="23"/>
      <c r="U3655" s="23"/>
    </row>
    <row r="3656">
      <c r="A3656" s="20"/>
      <c r="B3656" s="20"/>
      <c r="C3656" s="30"/>
      <c r="D3656" s="30"/>
      <c r="E3656" s="30"/>
      <c r="F3656" s="22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  <c r="T3656" s="23"/>
      <c r="U3656" s="23"/>
    </row>
    <row r="3657">
      <c r="A3657" s="20"/>
      <c r="B3657" s="20"/>
      <c r="C3657" s="30"/>
      <c r="D3657" s="30"/>
      <c r="E3657" s="30"/>
      <c r="F3657" s="22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  <c r="T3657" s="23"/>
      <c r="U3657" s="23"/>
    </row>
    <row r="3658">
      <c r="A3658" s="20"/>
      <c r="B3658" s="20"/>
      <c r="C3658" s="30"/>
      <c r="D3658" s="30"/>
      <c r="E3658" s="30"/>
      <c r="F3658" s="22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  <c r="T3658" s="23"/>
      <c r="U3658" s="23"/>
    </row>
    <row r="3659">
      <c r="A3659" s="20"/>
      <c r="B3659" s="20"/>
      <c r="C3659" s="30"/>
      <c r="D3659" s="30"/>
      <c r="E3659" s="30"/>
      <c r="F3659" s="22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</row>
    <row r="3660">
      <c r="A3660" s="20"/>
      <c r="B3660" s="20"/>
      <c r="C3660" s="30"/>
      <c r="D3660" s="30"/>
      <c r="E3660" s="30"/>
      <c r="F3660" s="22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</row>
    <row r="3661">
      <c r="A3661" s="20"/>
      <c r="B3661" s="20"/>
      <c r="C3661" s="30"/>
      <c r="D3661" s="30"/>
      <c r="E3661" s="30"/>
      <c r="F3661" s="22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  <c r="T3661" s="23"/>
      <c r="U3661" s="23"/>
    </row>
    <row r="3662">
      <c r="A3662" s="20"/>
      <c r="B3662" s="20"/>
      <c r="C3662" s="30"/>
      <c r="D3662" s="30"/>
      <c r="E3662" s="30"/>
      <c r="F3662" s="22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  <c r="T3662" s="23"/>
      <c r="U3662" s="23"/>
    </row>
    <row r="3663">
      <c r="A3663" s="20"/>
      <c r="B3663" s="20"/>
      <c r="C3663" s="30"/>
      <c r="D3663" s="30"/>
      <c r="E3663" s="30"/>
      <c r="F3663" s="22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  <c r="T3663" s="23"/>
      <c r="U3663" s="23"/>
    </row>
    <row r="3664">
      <c r="A3664" s="20"/>
      <c r="B3664" s="20"/>
      <c r="C3664" s="30"/>
      <c r="D3664" s="30"/>
      <c r="E3664" s="30"/>
      <c r="F3664" s="22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  <c r="T3664" s="23"/>
      <c r="U3664" s="23"/>
    </row>
    <row r="3665">
      <c r="A3665" s="20"/>
      <c r="B3665" s="20"/>
      <c r="C3665" s="30"/>
      <c r="D3665" s="30"/>
      <c r="E3665" s="30"/>
      <c r="F3665" s="22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  <c r="T3665" s="23"/>
      <c r="U3665" s="23"/>
    </row>
    <row r="3666">
      <c r="A3666" s="20"/>
      <c r="B3666" s="20"/>
      <c r="C3666" s="30"/>
      <c r="D3666" s="30"/>
      <c r="E3666" s="30"/>
      <c r="F3666" s="22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  <c r="T3666" s="23"/>
      <c r="U3666" s="23"/>
    </row>
    <row r="3667">
      <c r="A3667" s="20"/>
      <c r="B3667" s="20"/>
      <c r="C3667" s="30"/>
      <c r="D3667" s="30"/>
      <c r="E3667" s="30"/>
      <c r="F3667" s="22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  <c r="T3667" s="23"/>
      <c r="U3667" s="23"/>
    </row>
    <row r="3668">
      <c r="A3668" s="20"/>
      <c r="B3668" s="20"/>
      <c r="C3668" s="30"/>
      <c r="D3668" s="30"/>
      <c r="E3668" s="30"/>
      <c r="F3668" s="22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  <c r="T3668" s="23"/>
      <c r="U3668" s="23"/>
    </row>
    <row r="3669">
      <c r="A3669" s="20"/>
      <c r="B3669" s="20"/>
      <c r="C3669" s="30"/>
      <c r="D3669" s="30"/>
      <c r="E3669" s="30"/>
      <c r="F3669" s="22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  <c r="T3669" s="23"/>
      <c r="U3669" s="23"/>
    </row>
    <row r="3670">
      <c r="A3670" s="20"/>
      <c r="B3670" s="20"/>
      <c r="C3670" s="30"/>
      <c r="D3670" s="30"/>
      <c r="E3670" s="30"/>
      <c r="F3670" s="22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  <c r="T3670" s="23"/>
      <c r="U3670" s="23"/>
    </row>
    <row r="3671">
      <c r="A3671" s="20"/>
      <c r="B3671" s="20"/>
      <c r="C3671" s="30"/>
      <c r="D3671" s="30"/>
      <c r="E3671" s="30"/>
      <c r="F3671" s="22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</row>
    <row r="3672">
      <c r="A3672" s="20"/>
      <c r="B3672" s="20"/>
      <c r="C3672" s="30"/>
      <c r="D3672" s="30"/>
      <c r="E3672" s="30"/>
      <c r="F3672" s="22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  <c r="T3672" s="23"/>
      <c r="U3672" s="23"/>
    </row>
    <row r="3673">
      <c r="A3673" s="20"/>
      <c r="B3673" s="20"/>
      <c r="C3673" s="30"/>
      <c r="D3673" s="30"/>
      <c r="E3673" s="30"/>
      <c r="F3673" s="22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</row>
    <row r="3674">
      <c r="A3674" s="20"/>
      <c r="B3674" s="20"/>
      <c r="C3674" s="30"/>
      <c r="D3674" s="30"/>
      <c r="E3674" s="30"/>
      <c r="F3674" s="22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  <c r="T3674" s="23"/>
      <c r="U3674" s="23"/>
    </row>
    <row r="3675">
      <c r="A3675" s="20"/>
      <c r="B3675" s="20"/>
      <c r="C3675" s="30"/>
      <c r="D3675" s="30"/>
      <c r="E3675" s="30"/>
      <c r="F3675" s="22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  <c r="T3675" s="23"/>
      <c r="U3675" s="23"/>
    </row>
    <row r="3676">
      <c r="A3676" s="20"/>
      <c r="B3676" s="20"/>
      <c r="C3676" s="30"/>
      <c r="D3676" s="30"/>
      <c r="E3676" s="30"/>
      <c r="F3676" s="22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  <c r="T3676" s="23"/>
      <c r="U3676" s="23"/>
    </row>
    <row r="3677">
      <c r="A3677" s="20"/>
      <c r="B3677" s="20"/>
      <c r="C3677" s="30"/>
      <c r="D3677" s="30"/>
      <c r="E3677" s="30"/>
      <c r="F3677" s="22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</row>
    <row r="3678">
      <c r="A3678" s="20"/>
      <c r="B3678" s="20"/>
      <c r="C3678" s="30"/>
      <c r="D3678" s="30"/>
      <c r="E3678" s="30"/>
      <c r="F3678" s="22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</row>
    <row r="3679">
      <c r="A3679" s="20"/>
      <c r="B3679" s="20"/>
      <c r="C3679" s="30"/>
      <c r="D3679" s="30"/>
      <c r="E3679" s="30"/>
      <c r="F3679" s="22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</row>
    <row r="3680">
      <c r="A3680" s="20"/>
      <c r="B3680" s="20"/>
      <c r="C3680" s="30"/>
      <c r="D3680" s="30"/>
      <c r="E3680" s="30"/>
      <c r="F3680" s="22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</row>
    <row r="3681">
      <c r="A3681" s="20"/>
      <c r="B3681" s="20"/>
      <c r="C3681" s="30"/>
      <c r="D3681" s="30"/>
      <c r="E3681" s="30"/>
      <c r="F3681" s="22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  <c r="T3681" s="23"/>
      <c r="U3681" s="23"/>
    </row>
    <row r="3682">
      <c r="A3682" s="20"/>
      <c r="B3682" s="20"/>
      <c r="C3682" s="30"/>
      <c r="D3682" s="30"/>
      <c r="E3682" s="30"/>
      <c r="F3682" s="22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</row>
    <row r="3683">
      <c r="A3683" s="20"/>
      <c r="B3683" s="20"/>
      <c r="C3683" s="30"/>
      <c r="D3683" s="30"/>
      <c r="E3683" s="30"/>
      <c r="F3683" s="22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</row>
    <row r="3684">
      <c r="A3684" s="20"/>
      <c r="B3684" s="20"/>
      <c r="C3684" s="30"/>
      <c r="D3684" s="30"/>
      <c r="E3684" s="30"/>
      <c r="F3684" s="22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  <c r="T3684" s="23"/>
      <c r="U3684" s="23"/>
    </row>
    <row r="3685">
      <c r="A3685" s="20"/>
      <c r="B3685" s="20"/>
      <c r="C3685" s="30"/>
      <c r="D3685" s="30"/>
      <c r="E3685" s="30"/>
      <c r="F3685" s="22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  <c r="T3685" s="23"/>
      <c r="U3685" s="23"/>
    </row>
    <row r="3686">
      <c r="A3686" s="20"/>
      <c r="B3686" s="20"/>
      <c r="C3686" s="30"/>
      <c r="D3686" s="30"/>
      <c r="E3686" s="30"/>
      <c r="F3686" s="22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  <c r="T3686" s="23"/>
      <c r="U3686" s="23"/>
    </row>
    <row r="3687">
      <c r="A3687" s="20"/>
      <c r="B3687" s="20"/>
      <c r="C3687" s="30"/>
      <c r="D3687" s="30"/>
      <c r="E3687" s="30"/>
      <c r="F3687" s="22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  <c r="T3687" s="23"/>
      <c r="U3687" s="23"/>
    </row>
    <row r="3688">
      <c r="A3688" s="20"/>
      <c r="B3688" s="20"/>
      <c r="C3688" s="30"/>
      <c r="D3688" s="30"/>
      <c r="E3688" s="30"/>
      <c r="F3688" s="22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</row>
    <row r="3689">
      <c r="A3689" s="20"/>
      <c r="B3689" s="20"/>
      <c r="C3689" s="30"/>
      <c r="D3689" s="30"/>
      <c r="E3689" s="30"/>
      <c r="F3689" s="22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  <c r="T3689" s="23"/>
      <c r="U3689" s="23"/>
    </row>
    <row r="3690">
      <c r="A3690" s="20"/>
      <c r="B3690" s="20"/>
      <c r="C3690" s="30"/>
      <c r="D3690" s="30"/>
      <c r="E3690" s="30"/>
      <c r="F3690" s="22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  <c r="T3690" s="23"/>
      <c r="U3690" s="23"/>
    </row>
    <row r="3691">
      <c r="A3691" s="20"/>
      <c r="B3691" s="20"/>
      <c r="C3691" s="30"/>
      <c r="D3691" s="30"/>
      <c r="E3691" s="30"/>
      <c r="F3691" s="22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  <c r="T3691" s="23"/>
      <c r="U3691" s="23"/>
    </row>
    <row r="3692">
      <c r="A3692" s="20"/>
      <c r="B3692" s="20"/>
      <c r="C3692" s="30"/>
      <c r="D3692" s="30"/>
      <c r="E3692" s="30"/>
      <c r="F3692" s="22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  <c r="T3692" s="23"/>
      <c r="U3692" s="23"/>
    </row>
    <row r="3693">
      <c r="A3693" s="20"/>
      <c r="B3693" s="20"/>
      <c r="C3693" s="30"/>
      <c r="D3693" s="30"/>
      <c r="E3693" s="30"/>
      <c r="F3693" s="22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  <c r="T3693" s="23"/>
      <c r="U3693" s="23"/>
    </row>
    <row r="3694">
      <c r="A3694" s="20"/>
      <c r="B3694" s="20"/>
      <c r="C3694" s="30"/>
      <c r="D3694" s="30"/>
      <c r="E3694" s="30"/>
      <c r="F3694" s="22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  <c r="T3694" s="23"/>
      <c r="U3694" s="23"/>
    </row>
    <row r="3695">
      <c r="A3695" s="20"/>
      <c r="B3695" s="20"/>
      <c r="C3695" s="30"/>
      <c r="D3695" s="30"/>
      <c r="E3695" s="30"/>
      <c r="F3695" s="22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  <c r="T3695" s="23"/>
      <c r="U3695" s="23"/>
    </row>
    <row r="3696">
      <c r="A3696" s="20"/>
      <c r="B3696" s="20"/>
      <c r="C3696" s="30"/>
      <c r="D3696" s="30"/>
      <c r="E3696" s="30"/>
      <c r="F3696" s="22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</row>
    <row r="3697">
      <c r="A3697" s="20"/>
      <c r="B3697" s="20"/>
      <c r="C3697" s="30"/>
      <c r="D3697" s="30"/>
      <c r="E3697" s="30"/>
      <c r="F3697" s="22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</row>
    <row r="3698">
      <c r="A3698" s="20"/>
      <c r="B3698" s="20"/>
      <c r="C3698" s="30"/>
      <c r="D3698" s="30"/>
      <c r="E3698" s="30"/>
      <c r="F3698" s="22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  <c r="T3698" s="23"/>
      <c r="U3698" s="23"/>
    </row>
    <row r="3699">
      <c r="A3699" s="20"/>
      <c r="B3699" s="20"/>
      <c r="C3699" s="30"/>
      <c r="D3699" s="30"/>
      <c r="E3699" s="30"/>
      <c r="F3699" s="22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  <c r="T3699" s="23"/>
      <c r="U3699" s="23"/>
    </row>
    <row r="3700">
      <c r="A3700" s="20"/>
      <c r="B3700" s="20"/>
      <c r="C3700" s="30"/>
      <c r="D3700" s="30"/>
      <c r="E3700" s="30"/>
      <c r="F3700" s="22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  <c r="T3700" s="23"/>
      <c r="U3700" s="23"/>
    </row>
    <row r="3701">
      <c r="A3701" s="20"/>
      <c r="B3701" s="20"/>
      <c r="C3701" s="30"/>
      <c r="D3701" s="30"/>
      <c r="E3701" s="30"/>
      <c r="F3701" s="22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  <c r="T3701" s="23"/>
      <c r="U3701" s="23"/>
    </row>
    <row r="3702">
      <c r="A3702" s="20"/>
      <c r="B3702" s="20"/>
      <c r="C3702" s="30"/>
      <c r="D3702" s="30"/>
      <c r="E3702" s="30"/>
      <c r="F3702" s="22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  <c r="T3702" s="23"/>
      <c r="U3702" s="23"/>
    </row>
    <row r="3703">
      <c r="A3703" s="20"/>
      <c r="B3703" s="20"/>
      <c r="C3703" s="30"/>
      <c r="D3703" s="30"/>
      <c r="E3703" s="30"/>
      <c r="F3703" s="22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</row>
    <row r="3704">
      <c r="A3704" s="20"/>
      <c r="B3704" s="20"/>
      <c r="C3704" s="30"/>
      <c r="D3704" s="30"/>
      <c r="E3704" s="30"/>
      <c r="F3704" s="22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  <c r="T3704" s="23"/>
      <c r="U3704" s="23"/>
    </row>
    <row r="3705">
      <c r="A3705" s="20"/>
      <c r="B3705" s="20"/>
      <c r="C3705" s="30"/>
      <c r="D3705" s="30"/>
      <c r="E3705" s="30"/>
      <c r="F3705" s="22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</row>
    <row r="3706">
      <c r="A3706" s="20"/>
      <c r="B3706" s="20"/>
      <c r="C3706" s="30"/>
      <c r="D3706" s="30"/>
      <c r="E3706" s="30"/>
      <c r="F3706" s="22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</row>
    <row r="3707">
      <c r="A3707" s="20"/>
      <c r="B3707" s="20"/>
      <c r="C3707" s="30"/>
      <c r="D3707" s="30"/>
      <c r="E3707" s="30"/>
      <c r="F3707" s="22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</row>
    <row r="3708">
      <c r="A3708" s="20"/>
      <c r="B3708" s="20"/>
      <c r="C3708" s="30"/>
      <c r="D3708" s="30"/>
      <c r="E3708" s="30"/>
      <c r="F3708" s="22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  <c r="T3708" s="23"/>
      <c r="U3708" s="23"/>
    </row>
    <row r="3709">
      <c r="A3709" s="20"/>
      <c r="B3709" s="20"/>
      <c r="C3709" s="30"/>
      <c r="D3709" s="30"/>
      <c r="E3709" s="30"/>
      <c r="F3709" s="22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  <c r="T3709" s="23"/>
      <c r="U3709" s="23"/>
    </row>
    <row r="3710">
      <c r="A3710" s="20"/>
      <c r="B3710" s="20"/>
      <c r="C3710" s="30"/>
      <c r="D3710" s="30"/>
      <c r="E3710" s="30"/>
      <c r="F3710" s="22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  <c r="T3710" s="23"/>
      <c r="U3710" s="23"/>
    </row>
    <row r="3711">
      <c r="A3711" s="20"/>
      <c r="B3711" s="20"/>
      <c r="C3711" s="30"/>
      <c r="D3711" s="30"/>
      <c r="E3711" s="30"/>
      <c r="F3711" s="22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  <c r="T3711" s="23"/>
      <c r="U3711" s="23"/>
    </row>
    <row r="3712">
      <c r="A3712" s="20"/>
      <c r="B3712" s="20"/>
      <c r="C3712" s="30"/>
      <c r="D3712" s="30"/>
      <c r="E3712" s="30"/>
      <c r="F3712" s="22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  <c r="T3712" s="23"/>
      <c r="U3712" s="23"/>
    </row>
    <row r="3713">
      <c r="A3713" s="20"/>
      <c r="B3713" s="20"/>
      <c r="C3713" s="30"/>
      <c r="D3713" s="30"/>
      <c r="E3713" s="30"/>
      <c r="F3713" s="22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  <c r="T3713" s="23"/>
      <c r="U3713" s="23"/>
    </row>
    <row r="3714">
      <c r="A3714" s="20"/>
      <c r="B3714" s="20"/>
      <c r="C3714" s="30"/>
      <c r="D3714" s="30"/>
      <c r="E3714" s="30"/>
      <c r="F3714" s="22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  <c r="T3714" s="23"/>
      <c r="U3714" s="23"/>
    </row>
    <row r="3715">
      <c r="A3715" s="20"/>
      <c r="B3715" s="20"/>
      <c r="C3715" s="30"/>
      <c r="D3715" s="30"/>
      <c r="E3715" s="30"/>
      <c r="F3715" s="22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  <c r="T3715" s="23"/>
      <c r="U3715" s="23"/>
    </row>
    <row r="3716">
      <c r="A3716" s="20"/>
      <c r="B3716" s="20"/>
      <c r="C3716" s="30"/>
      <c r="D3716" s="30"/>
      <c r="E3716" s="30"/>
      <c r="F3716" s="22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</row>
    <row r="3717">
      <c r="A3717" s="20"/>
      <c r="B3717" s="20"/>
      <c r="C3717" s="30"/>
      <c r="D3717" s="30"/>
      <c r="E3717" s="30"/>
      <c r="F3717" s="22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  <c r="T3717" s="23"/>
      <c r="U3717" s="23"/>
    </row>
    <row r="3718">
      <c r="A3718" s="20"/>
      <c r="B3718" s="20"/>
      <c r="C3718" s="30"/>
      <c r="D3718" s="30"/>
      <c r="E3718" s="30"/>
      <c r="F3718" s="22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  <c r="T3718" s="23"/>
      <c r="U3718" s="23"/>
    </row>
    <row r="3719">
      <c r="A3719" s="20"/>
      <c r="B3719" s="20"/>
      <c r="C3719" s="30"/>
      <c r="D3719" s="30"/>
      <c r="E3719" s="30"/>
      <c r="F3719" s="22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  <c r="T3719" s="23"/>
      <c r="U3719" s="23"/>
    </row>
    <row r="3720">
      <c r="A3720" s="20"/>
      <c r="B3720" s="20"/>
      <c r="C3720" s="30"/>
      <c r="D3720" s="30"/>
      <c r="E3720" s="30"/>
      <c r="F3720" s="22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</row>
    <row r="3721">
      <c r="A3721" s="20"/>
      <c r="B3721" s="20"/>
      <c r="C3721" s="30"/>
      <c r="D3721" s="30"/>
      <c r="E3721" s="30"/>
      <c r="F3721" s="22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</row>
    <row r="3722">
      <c r="A3722" s="20"/>
      <c r="B3722" s="20"/>
      <c r="C3722" s="30"/>
      <c r="D3722" s="30"/>
      <c r="E3722" s="30"/>
      <c r="F3722" s="22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  <c r="T3722" s="23"/>
      <c r="U3722" s="23"/>
    </row>
    <row r="3723">
      <c r="A3723" s="20"/>
      <c r="B3723" s="20"/>
      <c r="C3723" s="30"/>
      <c r="D3723" s="30"/>
      <c r="E3723" s="30"/>
      <c r="F3723" s="22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</row>
    <row r="3724">
      <c r="A3724" s="20"/>
      <c r="B3724" s="20"/>
      <c r="C3724" s="30"/>
      <c r="D3724" s="30"/>
      <c r="E3724" s="30"/>
      <c r="F3724" s="22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</row>
    <row r="3725">
      <c r="A3725" s="20"/>
      <c r="B3725" s="20"/>
      <c r="C3725" s="30"/>
      <c r="D3725" s="30"/>
      <c r="E3725" s="30"/>
      <c r="F3725" s="22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</row>
    <row r="3726">
      <c r="A3726" s="20"/>
      <c r="B3726" s="20"/>
      <c r="C3726" s="30"/>
      <c r="D3726" s="30"/>
      <c r="E3726" s="30"/>
      <c r="F3726" s="22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  <c r="T3726" s="23"/>
      <c r="U3726" s="23"/>
    </row>
    <row r="3727">
      <c r="A3727" s="20"/>
      <c r="B3727" s="20"/>
      <c r="C3727" s="30"/>
      <c r="D3727" s="30"/>
      <c r="E3727" s="30"/>
      <c r="F3727" s="22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  <c r="T3727" s="23"/>
      <c r="U3727" s="23"/>
    </row>
    <row r="3728">
      <c r="A3728" s="20"/>
      <c r="B3728" s="20"/>
      <c r="C3728" s="30"/>
      <c r="D3728" s="30"/>
      <c r="E3728" s="30"/>
      <c r="F3728" s="22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  <c r="T3728" s="23"/>
      <c r="U3728" s="23"/>
    </row>
    <row r="3729">
      <c r="A3729" s="20"/>
      <c r="B3729" s="20"/>
      <c r="C3729" s="30"/>
      <c r="D3729" s="30"/>
      <c r="E3729" s="30"/>
      <c r="F3729" s="22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</row>
    <row r="3730">
      <c r="A3730" s="20"/>
      <c r="B3730" s="20"/>
      <c r="C3730" s="30"/>
      <c r="D3730" s="30"/>
      <c r="E3730" s="30"/>
      <c r="F3730" s="22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</row>
    <row r="3731">
      <c r="A3731" s="20"/>
      <c r="B3731" s="20"/>
      <c r="C3731" s="30"/>
      <c r="D3731" s="30"/>
      <c r="E3731" s="30"/>
      <c r="F3731" s="22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</row>
    <row r="3732">
      <c r="A3732" s="20"/>
      <c r="B3732" s="20"/>
      <c r="C3732" s="30"/>
      <c r="D3732" s="30"/>
      <c r="E3732" s="30"/>
      <c r="F3732" s="22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</row>
    <row r="3733">
      <c r="A3733" s="20"/>
      <c r="B3733" s="20"/>
      <c r="C3733" s="30"/>
      <c r="D3733" s="30"/>
      <c r="E3733" s="30"/>
      <c r="F3733" s="22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  <c r="T3733" s="23"/>
      <c r="U3733" s="23"/>
    </row>
    <row r="3734">
      <c r="A3734" s="20"/>
      <c r="B3734" s="20"/>
      <c r="C3734" s="30"/>
      <c r="D3734" s="30"/>
      <c r="E3734" s="30"/>
      <c r="F3734" s="22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</row>
    <row r="3735">
      <c r="A3735" s="20"/>
      <c r="B3735" s="20"/>
      <c r="C3735" s="30"/>
      <c r="D3735" s="30"/>
      <c r="E3735" s="30"/>
      <c r="F3735" s="22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</row>
    <row r="3736">
      <c r="A3736" s="20"/>
      <c r="B3736" s="20"/>
      <c r="C3736" s="30"/>
      <c r="D3736" s="30"/>
      <c r="E3736" s="30"/>
      <c r="F3736" s="22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  <c r="T3736" s="23"/>
      <c r="U3736" s="23"/>
    </row>
    <row r="3737">
      <c r="A3737" s="20"/>
      <c r="B3737" s="20"/>
      <c r="C3737" s="30"/>
      <c r="D3737" s="30"/>
      <c r="E3737" s="30"/>
      <c r="F3737" s="22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  <c r="T3737" s="23"/>
      <c r="U3737" s="23"/>
    </row>
    <row r="3738">
      <c r="A3738" s="20"/>
      <c r="B3738" s="20"/>
      <c r="C3738" s="30"/>
      <c r="D3738" s="30"/>
      <c r="E3738" s="30"/>
      <c r="F3738" s="22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</row>
    <row r="3739">
      <c r="A3739" s="20"/>
      <c r="B3739" s="20"/>
      <c r="C3739" s="30"/>
      <c r="D3739" s="30"/>
      <c r="E3739" s="30"/>
      <c r="F3739" s="22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  <c r="T3739" s="23"/>
      <c r="U3739" s="23"/>
    </row>
    <row r="3740">
      <c r="A3740" s="20"/>
      <c r="B3740" s="20"/>
      <c r="C3740" s="30"/>
      <c r="D3740" s="30"/>
      <c r="E3740" s="30"/>
      <c r="F3740" s="22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  <c r="T3740" s="23"/>
      <c r="U3740" s="23"/>
    </row>
    <row r="3741">
      <c r="A3741" s="20"/>
      <c r="B3741" s="20"/>
      <c r="C3741" s="30"/>
      <c r="D3741" s="30"/>
      <c r="E3741" s="30"/>
      <c r="F3741" s="22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</row>
    <row r="3742">
      <c r="A3742" s="20"/>
      <c r="B3742" s="20"/>
      <c r="C3742" s="30"/>
      <c r="D3742" s="30"/>
      <c r="E3742" s="30"/>
      <c r="F3742" s="22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  <c r="T3742" s="23"/>
      <c r="U3742" s="23"/>
    </row>
    <row r="3743">
      <c r="A3743" s="20"/>
      <c r="B3743" s="20"/>
      <c r="C3743" s="30"/>
      <c r="D3743" s="30"/>
      <c r="E3743" s="30"/>
      <c r="F3743" s="22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  <c r="T3743" s="23"/>
      <c r="U3743" s="23"/>
    </row>
    <row r="3744">
      <c r="A3744" s="20"/>
      <c r="B3744" s="20"/>
      <c r="C3744" s="30"/>
      <c r="D3744" s="30"/>
      <c r="E3744" s="30"/>
      <c r="F3744" s="22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  <c r="T3744" s="23"/>
      <c r="U3744" s="23"/>
    </row>
    <row r="3745">
      <c r="A3745" s="20"/>
      <c r="B3745" s="20"/>
      <c r="C3745" s="30"/>
      <c r="D3745" s="30"/>
      <c r="E3745" s="30"/>
      <c r="F3745" s="22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</row>
    <row r="3746">
      <c r="A3746" s="20"/>
      <c r="B3746" s="20"/>
      <c r="C3746" s="30"/>
      <c r="D3746" s="30"/>
      <c r="E3746" s="30"/>
      <c r="F3746" s="22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  <c r="T3746" s="23"/>
      <c r="U3746" s="23"/>
    </row>
    <row r="3747">
      <c r="A3747" s="20"/>
      <c r="B3747" s="20"/>
      <c r="C3747" s="30"/>
      <c r="D3747" s="30"/>
      <c r="E3747" s="30"/>
      <c r="F3747" s="22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  <c r="T3747" s="23"/>
      <c r="U3747" s="23"/>
    </row>
    <row r="3748">
      <c r="A3748" s="20"/>
      <c r="B3748" s="20"/>
      <c r="C3748" s="30"/>
      <c r="D3748" s="30"/>
      <c r="E3748" s="30"/>
      <c r="F3748" s="22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</row>
    <row r="3749">
      <c r="A3749" s="20"/>
      <c r="B3749" s="20"/>
      <c r="C3749" s="30"/>
      <c r="D3749" s="30"/>
      <c r="E3749" s="30"/>
      <c r="F3749" s="22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</row>
    <row r="3750">
      <c r="A3750" s="20"/>
      <c r="B3750" s="20"/>
      <c r="C3750" s="30"/>
      <c r="D3750" s="30"/>
      <c r="E3750" s="30"/>
      <c r="F3750" s="22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</row>
    <row r="3751">
      <c r="A3751" s="20"/>
      <c r="B3751" s="20"/>
      <c r="C3751" s="30"/>
      <c r="D3751" s="30"/>
      <c r="E3751" s="30"/>
      <c r="F3751" s="22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  <c r="T3751" s="23"/>
      <c r="U3751" s="23"/>
    </row>
    <row r="3752">
      <c r="A3752" s="20"/>
      <c r="B3752" s="20"/>
      <c r="C3752" s="30"/>
      <c r="D3752" s="30"/>
      <c r="E3752" s="30"/>
      <c r="F3752" s="22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  <c r="T3752" s="23"/>
      <c r="U3752" s="23"/>
    </row>
    <row r="3753">
      <c r="A3753" s="20"/>
      <c r="B3753" s="20"/>
      <c r="C3753" s="30"/>
      <c r="D3753" s="30"/>
      <c r="E3753" s="30"/>
      <c r="F3753" s="22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  <c r="T3753" s="23"/>
      <c r="U3753" s="23"/>
    </row>
    <row r="3754">
      <c r="A3754" s="20"/>
      <c r="B3754" s="20"/>
      <c r="C3754" s="30"/>
      <c r="D3754" s="30"/>
      <c r="E3754" s="30"/>
      <c r="F3754" s="22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</row>
    <row r="3755">
      <c r="A3755" s="20"/>
      <c r="B3755" s="20"/>
      <c r="C3755" s="30"/>
      <c r="D3755" s="30"/>
      <c r="E3755" s="30"/>
      <c r="F3755" s="22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  <c r="T3755" s="23"/>
      <c r="U3755" s="23"/>
    </row>
    <row r="3756">
      <c r="A3756" s="20"/>
      <c r="B3756" s="20"/>
      <c r="C3756" s="30"/>
      <c r="D3756" s="30"/>
      <c r="E3756" s="30"/>
      <c r="F3756" s="22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  <c r="T3756" s="23"/>
      <c r="U3756" s="23"/>
    </row>
    <row r="3757">
      <c r="A3757" s="20"/>
      <c r="B3757" s="20"/>
      <c r="C3757" s="30"/>
      <c r="D3757" s="30"/>
      <c r="E3757" s="30"/>
      <c r="F3757" s="22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  <c r="T3757" s="23"/>
      <c r="U3757" s="23"/>
    </row>
    <row r="3758">
      <c r="A3758" s="20"/>
      <c r="B3758" s="20"/>
      <c r="C3758" s="30"/>
      <c r="D3758" s="30"/>
      <c r="E3758" s="30"/>
      <c r="F3758" s="22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  <c r="T3758" s="23"/>
      <c r="U3758" s="23"/>
    </row>
    <row r="3759">
      <c r="A3759" s="20"/>
      <c r="B3759" s="20"/>
      <c r="C3759" s="30"/>
      <c r="D3759" s="30"/>
      <c r="E3759" s="30"/>
      <c r="F3759" s="22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  <c r="T3759" s="23"/>
      <c r="U3759" s="23"/>
    </row>
    <row r="3760">
      <c r="A3760" s="20"/>
      <c r="B3760" s="20"/>
      <c r="C3760" s="30"/>
      <c r="D3760" s="30"/>
      <c r="E3760" s="30"/>
      <c r="F3760" s="22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  <c r="T3760" s="23"/>
      <c r="U3760" s="23"/>
    </row>
    <row r="3761">
      <c r="A3761" s="20"/>
      <c r="B3761" s="20"/>
      <c r="C3761" s="30"/>
      <c r="D3761" s="30"/>
      <c r="E3761" s="30"/>
      <c r="F3761" s="22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  <c r="T3761" s="23"/>
      <c r="U3761" s="23"/>
    </row>
    <row r="3762">
      <c r="A3762" s="20"/>
      <c r="B3762" s="20"/>
      <c r="C3762" s="30"/>
      <c r="D3762" s="30"/>
      <c r="E3762" s="30"/>
      <c r="F3762" s="22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</row>
    <row r="3763">
      <c r="A3763" s="20"/>
      <c r="B3763" s="20"/>
      <c r="C3763" s="30"/>
      <c r="D3763" s="30"/>
      <c r="E3763" s="30"/>
      <c r="F3763" s="22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  <c r="T3763" s="23"/>
      <c r="U3763" s="23"/>
    </row>
    <row r="3764">
      <c r="A3764" s="20"/>
      <c r="B3764" s="20"/>
      <c r="C3764" s="30"/>
      <c r="D3764" s="30"/>
      <c r="E3764" s="30"/>
      <c r="F3764" s="22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  <c r="T3764" s="23"/>
      <c r="U3764" s="23"/>
    </row>
    <row r="3765">
      <c r="A3765" s="20"/>
      <c r="B3765" s="20"/>
      <c r="C3765" s="30"/>
      <c r="D3765" s="30"/>
      <c r="E3765" s="30"/>
      <c r="F3765" s="22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  <c r="T3765" s="23"/>
      <c r="U3765" s="23"/>
    </row>
    <row r="3766">
      <c r="A3766" s="20"/>
      <c r="B3766" s="20"/>
      <c r="C3766" s="30"/>
      <c r="D3766" s="30"/>
      <c r="E3766" s="30"/>
      <c r="F3766" s="22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  <c r="T3766" s="23"/>
      <c r="U3766" s="23"/>
    </row>
    <row r="3767">
      <c r="A3767" s="20"/>
      <c r="B3767" s="20"/>
      <c r="C3767" s="30"/>
      <c r="D3767" s="30"/>
      <c r="E3767" s="30"/>
      <c r="F3767" s="22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</row>
    <row r="3768">
      <c r="A3768" s="20"/>
      <c r="B3768" s="20"/>
      <c r="C3768" s="30"/>
      <c r="D3768" s="30"/>
      <c r="E3768" s="30"/>
      <c r="F3768" s="22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</row>
    <row r="3769">
      <c r="A3769" s="20"/>
      <c r="B3769" s="20"/>
      <c r="C3769" s="30"/>
      <c r="D3769" s="30"/>
      <c r="E3769" s="30"/>
      <c r="F3769" s="22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</row>
    <row r="3770">
      <c r="A3770" s="20"/>
      <c r="B3770" s="20"/>
      <c r="C3770" s="30"/>
      <c r="D3770" s="30"/>
      <c r="E3770" s="30"/>
      <c r="F3770" s="22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  <c r="T3770" s="23"/>
      <c r="U3770" s="23"/>
    </row>
    <row r="3771">
      <c r="A3771" s="20"/>
      <c r="B3771" s="20"/>
      <c r="C3771" s="30"/>
      <c r="D3771" s="30"/>
      <c r="E3771" s="30"/>
      <c r="F3771" s="22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</row>
    <row r="3772">
      <c r="A3772" s="20"/>
      <c r="B3772" s="20"/>
      <c r="C3772" s="30"/>
      <c r="D3772" s="30"/>
      <c r="E3772" s="30"/>
      <c r="F3772" s="22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  <c r="T3772" s="23"/>
      <c r="U3772" s="23"/>
    </row>
    <row r="3773">
      <c r="A3773" s="20"/>
      <c r="B3773" s="20"/>
      <c r="C3773" s="30"/>
      <c r="D3773" s="30"/>
      <c r="E3773" s="30"/>
      <c r="F3773" s="22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</row>
    <row r="3774">
      <c r="A3774" s="20"/>
      <c r="B3774" s="20"/>
      <c r="C3774" s="30"/>
      <c r="D3774" s="30"/>
      <c r="E3774" s="30"/>
      <c r="F3774" s="22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</row>
    <row r="3775">
      <c r="A3775" s="20"/>
      <c r="B3775" s="20"/>
      <c r="C3775" s="30"/>
      <c r="D3775" s="30"/>
      <c r="E3775" s="30"/>
      <c r="F3775" s="22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  <c r="T3775" s="23"/>
      <c r="U3775" s="23"/>
    </row>
    <row r="3776">
      <c r="A3776" s="20"/>
      <c r="B3776" s="20"/>
      <c r="C3776" s="30"/>
      <c r="D3776" s="30"/>
      <c r="E3776" s="30"/>
      <c r="F3776" s="22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  <c r="T3776" s="23"/>
      <c r="U3776" s="23"/>
    </row>
    <row r="3777">
      <c r="A3777" s="20"/>
      <c r="B3777" s="20"/>
      <c r="C3777" s="30"/>
      <c r="D3777" s="30"/>
      <c r="E3777" s="30"/>
      <c r="F3777" s="22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</row>
    <row r="3778">
      <c r="A3778" s="20"/>
      <c r="B3778" s="20"/>
      <c r="C3778" s="30"/>
      <c r="D3778" s="30"/>
      <c r="E3778" s="30"/>
      <c r="F3778" s="22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  <c r="T3778" s="23"/>
      <c r="U3778" s="23"/>
    </row>
    <row r="3779">
      <c r="A3779" s="20"/>
      <c r="B3779" s="20"/>
      <c r="C3779" s="30"/>
      <c r="D3779" s="30"/>
      <c r="E3779" s="30"/>
      <c r="F3779" s="22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  <c r="T3779" s="23"/>
      <c r="U3779" s="23"/>
    </row>
    <row r="3780">
      <c r="A3780" s="20"/>
      <c r="B3780" s="20"/>
      <c r="C3780" s="30"/>
      <c r="D3780" s="30"/>
      <c r="E3780" s="30"/>
      <c r="F3780" s="22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  <c r="T3780" s="23"/>
      <c r="U3780" s="23"/>
    </row>
    <row r="3781">
      <c r="A3781" s="20"/>
      <c r="B3781" s="20"/>
      <c r="C3781" s="30"/>
      <c r="D3781" s="30"/>
      <c r="E3781" s="30"/>
      <c r="F3781" s="22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  <c r="T3781" s="23"/>
      <c r="U3781" s="23"/>
    </row>
    <row r="3782">
      <c r="A3782" s="20"/>
      <c r="B3782" s="20"/>
      <c r="C3782" s="30"/>
      <c r="D3782" s="30"/>
      <c r="E3782" s="30"/>
      <c r="F3782" s="22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  <c r="T3782" s="23"/>
      <c r="U3782" s="23"/>
    </row>
    <row r="3783">
      <c r="A3783" s="20"/>
      <c r="B3783" s="20"/>
      <c r="C3783" s="30"/>
      <c r="D3783" s="30"/>
      <c r="E3783" s="30"/>
      <c r="F3783" s="22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  <c r="T3783" s="23"/>
      <c r="U3783" s="23"/>
    </row>
    <row r="3784">
      <c r="A3784" s="20"/>
      <c r="B3784" s="20"/>
      <c r="C3784" s="30"/>
      <c r="D3784" s="30"/>
      <c r="E3784" s="30"/>
      <c r="F3784" s="22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  <c r="T3784" s="23"/>
      <c r="U3784" s="23"/>
    </row>
    <row r="3785">
      <c r="A3785" s="20"/>
      <c r="B3785" s="20"/>
      <c r="C3785" s="30"/>
      <c r="D3785" s="30"/>
      <c r="E3785" s="30"/>
      <c r="F3785" s="22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  <c r="T3785" s="23"/>
      <c r="U3785" s="23"/>
    </row>
    <row r="3786">
      <c r="A3786" s="20"/>
      <c r="B3786" s="20"/>
      <c r="C3786" s="30"/>
      <c r="D3786" s="30"/>
      <c r="E3786" s="30"/>
      <c r="F3786" s="22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  <c r="T3786" s="23"/>
      <c r="U3786" s="23"/>
    </row>
    <row r="3787">
      <c r="A3787" s="20"/>
      <c r="B3787" s="20"/>
      <c r="C3787" s="30"/>
      <c r="D3787" s="30"/>
      <c r="E3787" s="30"/>
      <c r="F3787" s="22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</row>
    <row r="3788">
      <c r="A3788" s="20"/>
      <c r="B3788" s="20"/>
      <c r="C3788" s="30"/>
      <c r="D3788" s="30"/>
      <c r="E3788" s="30"/>
      <c r="F3788" s="22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  <c r="T3788" s="23"/>
      <c r="U3788" s="23"/>
    </row>
    <row r="3789">
      <c r="A3789" s="20"/>
      <c r="B3789" s="20"/>
      <c r="C3789" s="30"/>
      <c r="D3789" s="30"/>
      <c r="E3789" s="30"/>
      <c r="F3789" s="22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</row>
    <row r="3790">
      <c r="A3790" s="20"/>
      <c r="B3790" s="20"/>
      <c r="C3790" s="30"/>
      <c r="D3790" s="30"/>
      <c r="E3790" s="30"/>
      <c r="F3790" s="22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</row>
    <row r="3791">
      <c r="A3791" s="20"/>
      <c r="B3791" s="20"/>
      <c r="C3791" s="30"/>
      <c r="D3791" s="30"/>
      <c r="E3791" s="30"/>
      <c r="F3791" s="22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  <c r="T3791" s="23"/>
      <c r="U3791" s="23"/>
    </row>
    <row r="3792">
      <c r="A3792" s="20"/>
      <c r="B3792" s="20"/>
      <c r="C3792" s="30"/>
      <c r="D3792" s="30"/>
      <c r="E3792" s="30"/>
      <c r="F3792" s="22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</row>
    <row r="3793">
      <c r="A3793" s="20"/>
      <c r="B3793" s="20"/>
      <c r="C3793" s="30"/>
      <c r="D3793" s="30"/>
      <c r="E3793" s="30"/>
      <c r="F3793" s="22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</row>
    <row r="3794">
      <c r="A3794" s="20"/>
      <c r="B3794" s="20"/>
      <c r="C3794" s="30"/>
      <c r="D3794" s="30"/>
      <c r="E3794" s="30"/>
      <c r="F3794" s="22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</row>
    <row r="3795">
      <c r="A3795" s="20"/>
      <c r="B3795" s="20"/>
      <c r="C3795" s="30"/>
      <c r="D3795" s="30"/>
      <c r="E3795" s="30"/>
      <c r="F3795" s="22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</row>
    <row r="3796">
      <c r="A3796" s="20"/>
      <c r="B3796" s="20"/>
      <c r="C3796" s="30"/>
      <c r="D3796" s="30"/>
      <c r="E3796" s="30"/>
      <c r="F3796" s="22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</row>
    <row r="3797">
      <c r="A3797" s="20"/>
      <c r="B3797" s="20"/>
      <c r="C3797" s="30"/>
      <c r="D3797" s="30"/>
      <c r="E3797" s="30"/>
      <c r="F3797" s="22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  <c r="T3797" s="23"/>
      <c r="U3797" s="23"/>
    </row>
    <row r="3798">
      <c r="A3798" s="20"/>
      <c r="B3798" s="20"/>
      <c r="C3798" s="30"/>
      <c r="D3798" s="30"/>
      <c r="E3798" s="30"/>
      <c r="F3798" s="22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  <c r="T3798" s="23"/>
      <c r="U3798" s="23"/>
    </row>
    <row r="3799">
      <c r="A3799" s="20"/>
      <c r="B3799" s="20"/>
      <c r="C3799" s="30"/>
      <c r="D3799" s="30"/>
      <c r="E3799" s="30"/>
      <c r="F3799" s="22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  <c r="T3799" s="23"/>
      <c r="U3799" s="23"/>
    </row>
    <row r="3800">
      <c r="A3800" s="20"/>
      <c r="B3800" s="20"/>
      <c r="C3800" s="30"/>
      <c r="D3800" s="30"/>
      <c r="E3800" s="30"/>
      <c r="F3800" s="22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  <c r="T3800" s="23"/>
      <c r="U3800" s="23"/>
    </row>
    <row r="3801">
      <c r="A3801" s="20"/>
      <c r="B3801" s="20"/>
      <c r="C3801" s="30"/>
      <c r="D3801" s="30"/>
      <c r="E3801" s="30"/>
      <c r="F3801" s="22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</row>
    <row r="3802">
      <c r="A3802" s="20"/>
      <c r="B3802" s="20"/>
      <c r="C3802" s="30"/>
      <c r="D3802" s="30"/>
      <c r="E3802" s="30"/>
      <c r="F3802" s="22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  <c r="T3802" s="23"/>
      <c r="U3802" s="23"/>
    </row>
    <row r="3803">
      <c r="A3803" s="20"/>
      <c r="B3803" s="20"/>
      <c r="C3803" s="30"/>
      <c r="D3803" s="30"/>
      <c r="E3803" s="30"/>
      <c r="F3803" s="22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</row>
    <row r="3804">
      <c r="A3804" s="20"/>
      <c r="B3804" s="20"/>
      <c r="C3804" s="30"/>
      <c r="D3804" s="30"/>
      <c r="E3804" s="30"/>
      <c r="F3804" s="22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</row>
    <row r="3805">
      <c r="A3805" s="20"/>
      <c r="B3805" s="20"/>
      <c r="C3805" s="30"/>
      <c r="D3805" s="30"/>
      <c r="E3805" s="30"/>
      <c r="F3805" s="22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  <c r="T3805" s="23"/>
      <c r="U3805" s="23"/>
    </row>
    <row r="3806">
      <c r="A3806" s="20"/>
      <c r="B3806" s="20"/>
      <c r="C3806" s="30"/>
      <c r="D3806" s="30"/>
      <c r="E3806" s="30"/>
      <c r="F3806" s="22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  <c r="T3806" s="23"/>
      <c r="U3806" s="23"/>
    </row>
    <row r="3807">
      <c r="A3807" s="20"/>
      <c r="B3807" s="20"/>
      <c r="C3807" s="30"/>
      <c r="D3807" s="30"/>
      <c r="E3807" s="30"/>
      <c r="F3807" s="22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</row>
    <row r="3808">
      <c r="A3808" s="20"/>
      <c r="B3808" s="20"/>
      <c r="C3808" s="30"/>
      <c r="D3808" s="30"/>
      <c r="E3808" s="30"/>
      <c r="F3808" s="22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  <c r="T3808" s="23"/>
      <c r="U3808" s="23"/>
    </row>
    <row r="3809">
      <c r="A3809" s="20"/>
      <c r="B3809" s="20"/>
      <c r="C3809" s="30"/>
      <c r="D3809" s="30"/>
      <c r="E3809" s="30"/>
      <c r="F3809" s="22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</row>
    <row r="3810">
      <c r="A3810" s="20"/>
      <c r="B3810" s="20"/>
      <c r="C3810" s="30"/>
      <c r="D3810" s="30"/>
      <c r="E3810" s="30"/>
      <c r="F3810" s="22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  <c r="T3810" s="23"/>
      <c r="U3810" s="23"/>
    </row>
    <row r="3811">
      <c r="A3811" s="20"/>
      <c r="B3811" s="20"/>
      <c r="C3811" s="30"/>
      <c r="D3811" s="30"/>
      <c r="E3811" s="30"/>
      <c r="F3811" s="22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</row>
    <row r="3812">
      <c r="A3812" s="20"/>
      <c r="B3812" s="20"/>
      <c r="C3812" s="30"/>
      <c r="D3812" s="30"/>
      <c r="E3812" s="30"/>
      <c r="F3812" s="22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</row>
    <row r="3813">
      <c r="A3813" s="20"/>
      <c r="B3813" s="20"/>
      <c r="C3813" s="30"/>
      <c r="D3813" s="30"/>
      <c r="E3813" s="30"/>
      <c r="F3813" s="22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</row>
    <row r="3814">
      <c r="A3814" s="20"/>
      <c r="B3814" s="20"/>
      <c r="C3814" s="30"/>
      <c r="D3814" s="30"/>
      <c r="E3814" s="30"/>
      <c r="F3814" s="22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  <c r="T3814" s="23"/>
      <c r="U3814" s="23"/>
    </row>
    <row r="3815">
      <c r="A3815" s="20"/>
      <c r="B3815" s="20"/>
      <c r="C3815" s="30"/>
      <c r="D3815" s="30"/>
      <c r="E3815" s="30"/>
      <c r="F3815" s="22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</row>
    <row r="3816">
      <c r="A3816" s="20"/>
      <c r="B3816" s="20"/>
      <c r="C3816" s="30"/>
      <c r="D3816" s="30"/>
      <c r="E3816" s="30"/>
      <c r="F3816" s="22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</row>
    <row r="3817">
      <c r="A3817" s="20"/>
      <c r="B3817" s="20"/>
      <c r="C3817" s="30"/>
      <c r="D3817" s="30"/>
      <c r="E3817" s="30"/>
      <c r="F3817" s="22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</row>
    <row r="3818">
      <c r="A3818" s="20"/>
      <c r="B3818" s="20"/>
      <c r="C3818" s="30"/>
      <c r="D3818" s="30"/>
      <c r="E3818" s="30"/>
      <c r="F3818" s="22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  <c r="T3818" s="23"/>
      <c r="U3818" s="23"/>
    </row>
    <row r="3819">
      <c r="A3819" s="20"/>
      <c r="B3819" s="20"/>
      <c r="C3819" s="30"/>
      <c r="D3819" s="30"/>
      <c r="E3819" s="30"/>
      <c r="F3819" s="22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  <c r="T3819" s="23"/>
      <c r="U3819" s="23"/>
    </row>
    <row r="3820">
      <c r="A3820" s="20"/>
      <c r="B3820" s="20"/>
      <c r="C3820" s="30"/>
      <c r="D3820" s="30"/>
      <c r="E3820" s="30"/>
      <c r="F3820" s="22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  <c r="T3820" s="23"/>
      <c r="U3820" s="23"/>
    </row>
    <row r="3821">
      <c r="A3821" s="20"/>
      <c r="B3821" s="20"/>
      <c r="C3821" s="30"/>
      <c r="D3821" s="30"/>
      <c r="E3821" s="30"/>
      <c r="F3821" s="22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  <c r="T3821" s="23"/>
      <c r="U3821" s="23"/>
    </row>
    <row r="3822">
      <c r="A3822" s="20"/>
      <c r="B3822" s="20"/>
      <c r="C3822" s="30"/>
      <c r="D3822" s="30"/>
      <c r="E3822" s="30"/>
      <c r="F3822" s="22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  <c r="T3822" s="23"/>
      <c r="U3822" s="23"/>
    </row>
    <row r="3823">
      <c r="A3823" s="20"/>
      <c r="B3823" s="20"/>
      <c r="C3823" s="30"/>
      <c r="D3823" s="30"/>
      <c r="E3823" s="30"/>
      <c r="F3823" s="22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  <c r="T3823" s="23"/>
      <c r="U3823" s="23"/>
    </row>
    <row r="3824">
      <c r="A3824" s="20"/>
      <c r="B3824" s="20"/>
      <c r="C3824" s="30"/>
      <c r="D3824" s="30"/>
      <c r="E3824" s="30"/>
      <c r="F3824" s="22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  <c r="T3824" s="23"/>
      <c r="U3824" s="23"/>
    </row>
    <row r="3825">
      <c r="A3825" s="20"/>
      <c r="B3825" s="20"/>
      <c r="C3825" s="30"/>
      <c r="D3825" s="30"/>
      <c r="E3825" s="30"/>
      <c r="F3825" s="22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</row>
    <row r="3826">
      <c r="A3826" s="20"/>
      <c r="B3826" s="20"/>
      <c r="C3826" s="30"/>
      <c r="D3826" s="30"/>
      <c r="E3826" s="30"/>
      <c r="F3826" s="22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</row>
    <row r="3827">
      <c r="A3827" s="20"/>
      <c r="B3827" s="20"/>
      <c r="C3827" s="30"/>
      <c r="D3827" s="30"/>
      <c r="E3827" s="30"/>
      <c r="F3827" s="22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</row>
    <row r="3828">
      <c r="A3828" s="20"/>
      <c r="B3828" s="20"/>
      <c r="C3828" s="30"/>
      <c r="D3828" s="30"/>
      <c r="E3828" s="30"/>
      <c r="F3828" s="22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</row>
    <row r="3829">
      <c r="A3829" s="20"/>
      <c r="B3829" s="20"/>
      <c r="C3829" s="30"/>
      <c r="D3829" s="30"/>
      <c r="E3829" s="30"/>
      <c r="F3829" s="22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</row>
    <row r="3830">
      <c r="A3830" s="20"/>
      <c r="B3830" s="20"/>
      <c r="C3830" s="30"/>
      <c r="D3830" s="30"/>
      <c r="E3830" s="30"/>
      <c r="F3830" s="22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</row>
    <row r="3831">
      <c r="A3831" s="20"/>
      <c r="B3831" s="20"/>
      <c r="C3831" s="30"/>
      <c r="D3831" s="30"/>
      <c r="E3831" s="30"/>
      <c r="F3831" s="22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</row>
    <row r="3832">
      <c r="A3832" s="20"/>
      <c r="B3832" s="20"/>
      <c r="C3832" s="30"/>
      <c r="D3832" s="30"/>
      <c r="E3832" s="30"/>
      <c r="F3832" s="22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</row>
    <row r="3833">
      <c r="A3833" s="20"/>
      <c r="B3833" s="20"/>
      <c r="C3833" s="30"/>
      <c r="D3833" s="30"/>
      <c r="E3833" s="30"/>
      <c r="F3833" s="22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  <c r="T3833" s="23"/>
      <c r="U3833" s="23"/>
    </row>
    <row r="3834">
      <c r="A3834" s="20"/>
      <c r="B3834" s="20"/>
      <c r="C3834" s="30"/>
      <c r="D3834" s="30"/>
      <c r="E3834" s="30"/>
      <c r="F3834" s="22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  <c r="T3834" s="23"/>
      <c r="U3834" s="23"/>
    </row>
    <row r="3835">
      <c r="A3835" s="20"/>
      <c r="B3835" s="20"/>
      <c r="C3835" s="30"/>
      <c r="D3835" s="30"/>
      <c r="E3835" s="30"/>
      <c r="F3835" s="22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  <c r="T3835" s="23"/>
      <c r="U3835" s="23"/>
    </row>
    <row r="3836">
      <c r="A3836" s="20"/>
      <c r="B3836" s="20"/>
      <c r="C3836" s="30"/>
      <c r="D3836" s="30"/>
      <c r="E3836" s="30"/>
      <c r="F3836" s="22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</row>
    <row r="3837">
      <c r="A3837" s="20"/>
      <c r="B3837" s="20"/>
      <c r="C3837" s="30"/>
      <c r="D3837" s="30"/>
      <c r="E3837" s="30"/>
      <c r="F3837" s="22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  <c r="T3837" s="23"/>
      <c r="U3837" s="23"/>
    </row>
    <row r="3838">
      <c r="A3838" s="20"/>
      <c r="B3838" s="20"/>
      <c r="C3838" s="30"/>
      <c r="D3838" s="30"/>
      <c r="E3838" s="30"/>
      <c r="F3838" s="22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  <c r="T3838" s="23"/>
      <c r="U3838" s="23"/>
    </row>
    <row r="3839">
      <c r="A3839" s="20"/>
      <c r="B3839" s="20"/>
      <c r="C3839" s="30"/>
      <c r="D3839" s="30"/>
      <c r="E3839" s="30"/>
      <c r="F3839" s="22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  <c r="T3839" s="23"/>
      <c r="U3839" s="23"/>
    </row>
    <row r="3840">
      <c r="A3840" s="20"/>
      <c r="B3840" s="20"/>
      <c r="C3840" s="30"/>
      <c r="D3840" s="30"/>
      <c r="E3840" s="30"/>
      <c r="F3840" s="22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  <c r="T3840" s="23"/>
      <c r="U3840" s="23"/>
    </row>
    <row r="3841">
      <c r="A3841" s="20"/>
      <c r="B3841" s="20"/>
      <c r="C3841" s="30"/>
      <c r="D3841" s="30"/>
      <c r="E3841" s="30"/>
      <c r="F3841" s="22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  <c r="T3841" s="23"/>
      <c r="U3841" s="23"/>
    </row>
    <row r="3842">
      <c r="A3842" s="20"/>
      <c r="B3842" s="20"/>
      <c r="C3842" s="30"/>
      <c r="D3842" s="30"/>
      <c r="E3842" s="30"/>
      <c r="F3842" s="22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</row>
    <row r="3843">
      <c r="A3843" s="20"/>
      <c r="B3843" s="20"/>
      <c r="C3843" s="30"/>
      <c r="D3843" s="30"/>
      <c r="E3843" s="30"/>
      <c r="F3843" s="22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</row>
    <row r="3844">
      <c r="A3844" s="20"/>
      <c r="B3844" s="20"/>
      <c r="C3844" s="30"/>
      <c r="D3844" s="30"/>
      <c r="E3844" s="30"/>
      <c r="F3844" s="22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</row>
    <row r="3845">
      <c r="A3845" s="20"/>
      <c r="B3845" s="20"/>
      <c r="C3845" s="30"/>
      <c r="D3845" s="30"/>
      <c r="E3845" s="30"/>
      <c r="F3845" s="22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</row>
    <row r="3846">
      <c r="A3846" s="20"/>
      <c r="B3846" s="20"/>
      <c r="C3846" s="30"/>
      <c r="D3846" s="30"/>
      <c r="E3846" s="30"/>
      <c r="F3846" s="22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  <c r="T3846" s="23"/>
      <c r="U3846" s="23"/>
    </row>
    <row r="3847">
      <c r="A3847" s="20"/>
      <c r="B3847" s="20"/>
      <c r="C3847" s="30"/>
      <c r="D3847" s="30"/>
      <c r="E3847" s="30"/>
      <c r="F3847" s="22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  <c r="T3847" s="23"/>
      <c r="U3847" s="23"/>
    </row>
    <row r="3848">
      <c r="A3848" s="20"/>
      <c r="B3848" s="20"/>
      <c r="C3848" s="30"/>
      <c r="D3848" s="30"/>
      <c r="E3848" s="30"/>
      <c r="F3848" s="22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  <c r="T3848" s="23"/>
      <c r="U3848" s="23"/>
    </row>
    <row r="3849">
      <c r="A3849" s="20"/>
      <c r="B3849" s="20"/>
      <c r="C3849" s="30"/>
      <c r="D3849" s="30"/>
      <c r="E3849" s="30"/>
      <c r="F3849" s="22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</row>
    <row r="3850">
      <c r="A3850" s="20"/>
      <c r="B3850" s="20"/>
      <c r="C3850" s="30"/>
      <c r="D3850" s="30"/>
      <c r="E3850" s="30"/>
      <c r="F3850" s="22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  <c r="T3850" s="23"/>
      <c r="U3850" s="23"/>
    </row>
    <row r="3851">
      <c r="A3851" s="20"/>
      <c r="B3851" s="20"/>
      <c r="C3851" s="30"/>
      <c r="D3851" s="30"/>
      <c r="E3851" s="30"/>
      <c r="F3851" s="22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  <c r="T3851" s="23"/>
      <c r="U3851" s="23"/>
    </row>
    <row r="3852">
      <c r="A3852" s="20"/>
      <c r="B3852" s="20"/>
      <c r="C3852" s="30"/>
      <c r="D3852" s="30"/>
      <c r="E3852" s="30"/>
      <c r="F3852" s="22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  <c r="T3852" s="23"/>
      <c r="U3852" s="23"/>
    </row>
    <row r="3853">
      <c r="A3853" s="20"/>
      <c r="B3853" s="20"/>
      <c r="C3853" s="30"/>
      <c r="D3853" s="30"/>
      <c r="E3853" s="30"/>
      <c r="F3853" s="22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</row>
    <row r="3854">
      <c r="A3854" s="20"/>
      <c r="B3854" s="20"/>
      <c r="C3854" s="30"/>
      <c r="D3854" s="30"/>
      <c r="E3854" s="30"/>
      <c r="F3854" s="22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  <c r="T3854" s="23"/>
      <c r="U3854" s="23"/>
    </row>
    <row r="3855">
      <c r="A3855" s="20"/>
      <c r="B3855" s="20"/>
      <c r="C3855" s="30"/>
      <c r="D3855" s="30"/>
      <c r="E3855" s="30"/>
      <c r="F3855" s="22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  <c r="T3855" s="23"/>
      <c r="U3855" s="23"/>
    </row>
    <row r="3856">
      <c r="A3856" s="20"/>
      <c r="B3856" s="20"/>
      <c r="C3856" s="30"/>
      <c r="D3856" s="30"/>
      <c r="E3856" s="30"/>
      <c r="F3856" s="22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  <c r="T3856" s="23"/>
      <c r="U3856" s="23"/>
    </row>
    <row r="3857">
      <c r="A3857" s="20"/>
      <c r="B3857" s="20"/>
      <c r="C3857" s="30"/>
      <c r="D3857" s="30"/>
      <c r="E3857" s="30"/>
      <c r="F3857" s="22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  <c r="T3857" s="23"/>
      <c r="U3857" s="23"/>
    </row>
    <row r="3858">
      <c r="A3858" s="20"/>
      <c r="B3858" s="20"/>
      <c r="C3858" s="30"/>
      <c r="D3858" s="30"/>
      <c r="E3858" s="30"/>
      <c r="F3858" s="22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</row>
    <row r="3859">
      <c r="A3859" s="20"/>
      <c r="B3859" s="20"/>
      <c r="C3859" s="30"/>
      <c r="D3859" s="30"/>
      <c r="E3859" s="30"/>
      <c r="F3859" s="22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  <c r="T3859" s="23"/>
      <c r="U3859" s="23"/>
    </row>
    <row r="3860">
      <c r="A3860" s="20"/>
      <c r="B3860" s="20"/>
      <c r="C3860" s="30"/>
      <c r="D3860" s="30"/>
      <c r="E3860" s="30"/>
      <c r="F3860" s="22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  <c r="T3860" s="23"/>
      <c r="U3860" s="23"/>
    </row>
    <row r="3861">
      <c r="A3861" s="20"/>
      <c r="B3861" s="20"/>
      <c r="C3861" s="30"/>
      <c r="D3861" s="30"/>
      <c r="E3861" s="30"/>
      <c r="F3861" s="22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  <c r="T3861" s="23"/>
      <c r="U3861" s="23"/>
    </row>
    <row r="3862">
      <c r="A3862" s="20"/>
      <c r="B3862" s="20"/>
      <c r="C3862" s="30"/>
      <c r="D3862" s="30"/>
      <c r="E3862" s="30"/>
      <c r="F3862" s="22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  <c r="T3862" s="23"/>
      <c r="U3862" s="23"/>
    </row>
    <row r="3863">
      <c r="A3863" s="20"/>
      <c r="B3863" s="20"/>
      <c r="C3863" s="30"/>
      <c r="D3863" s="30"/>
      <c r="E3863" s="30"/>
      <c r="F3863" s="22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</row>
    <row r="3864">
      <c r="A3864" s="20"/>
      <c r="B3864" s="20"/>
      <c r="C3864" s="30"/>
      <c r="D3864" s="30"/>
      <c r="E3864" s="30"/>
      <c r="F3864" s="22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</row>
    <row r="3865">
      <c r="A3865" s="20"/>
      <c r="B3865" s="20"/>
      <c r="C3865" s="30"/>
      <c r="D3865" s="30"/>
      <c r="E3865" s="30"/>
      <c r="F3865" s="22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  <c r="T3865" s="23"/>
      <c r="U3865" s="23"/>
    </row>
    <row r="3866">
      <c r="A3866" s="20"/>
      <c r="B3866" s="20"/>
      <c r="C3866" s="30"/>
      <c r="D3866" s="30"/>
      <c r="E3866" s="30"/>
      <c r="F3866" s="22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  <c r="T3866" s="23"/>
      <c r="U3866" s="23"/>
    </row>
    <row r="3867">
      <c r="A3867" s="20"/>
      <c r="B3867" s="20"/>
      <c r="C3867" s="30"/>
      <c r="D3867" s="30"/>
      <c r="E3867" s="30"/>
      <c r="F3867" s="22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</row>
    <row r="3868">
      <c r="A3868" s="20"/>
      <c r="B3868" s="20"/>
      <c r="C3868" s="30"/>
      <c r="D3868" s="30"/>
      <c r="E3868" s="30"/>
      <c r="F3868" s="22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</row>
    <row r="3869">
      <c r="A3869" s="20"/>
      <c r="B3869" s="20"/>
      <c r="C3869" s="30"/>
      <c r="D3869" s="30"/>
      <c r="E3869" s="30"/>
      <c r="F3869" s="22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  <c r="T3869" s="23"/>
      <c r="U3869" s="23"/>
    </row>
    <row r="3870">
      <c r="A3870" s="20"/>
      <c r="B3870" s="20"/>
      <c r="C3870" s="30"/>
      <c r="D3870" s="30"/>
      <c r="E3870" s="30"/>
      <c r="F3870" s="22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  <c r="T3870" s="23"/>
      <c r="U3870" s="23"/>
    </row>
    <row r="3871">
      <c r="A3871" s="20"/>
      <c r="B3871" s="20"/>
      <c r="C3871" s="30"/>
      <c r="D3871" s="30"/>
      <c r="E3871" s="30"/>
      <c r="F3871" s="22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</row>
    <row r="3872">
      <c r="A3872" s="20"/>
      <c r="B3872" s="20"/>
      <c r="C3872" s="30"/>
      <c r="D3872" s="30"/>
      <c r="E3872" s="30"/>
      <c r="F3872" s="22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  <c r="T3872" s="23"/>
      <c r="U3872" s="23"/>
    </row>
    <row r="3873">
      <c r="A3873" s="20"/>
      <c r="B3873" s="20"/>
      <c r="C3873" s="30"/>
      <c r="D3873" s="30"/>
      <c r="E3873" s="30"/>
      <c r="F3873" s="22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  <c r="T3873" s="23"/>
      <c r="U3873" s="23"/>
    </row>
    <row r="3874">
      <c r="A3874" s="20"/>
      <c r="B3874" s="20"/>
      <c r="C3874" s="30"/>
      <c r="D3874" s="30"/>
      <c r="E3874" s="30"/>
      <c r="F3874" s="22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  <c r="T3874" s="23"/>
      <c r="U3874" s="23"/>
    </row>
    <row r="3875">
      <c r="A3875" s="20"/>
      <c r="B3875" s="20"/>
      <c r="C3875" s="30"/>
      <c r="D3875" s="30"/>
      <c r="E3875" s="30"/>
      <c r="F3875" s="22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  <c r="T3875" s="23"/>
      <c r="U3875" s="23"/>
    </row>
    <row r="3876">
      <c r="A3876" s="20"/>
      <c r="B3876" s="20"/>
      <c r="C3876" s="30"/>
      <c r="D3876" s="30"/>
      <c r="E3876" s="30"/>
      <c r="F3876" s="22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  <c r="T3876" s="23"/>
      <c r="U3876" s="23"/>
    </row>
    <row r="3877">
      <c r="A3877" s="20"/>
      <c r="B3877" s="20"/>
      <c r="C3877" s="30"/>
      <c r="D3877" s="30"/>
      <c r="E3877" s="30"/>
      <c r="F3877" s="22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  <c r="T3877" s="23"/>
      <c r="U3877" s="23"/>
    </row>
    <row r="3878">
      <c r="A3878" s="20"/>
      <c r="B3878" s="20"/>
      <c r="C3878" s="30"/>
      <c r="D3878" s="30"/>
      <c r="E3878" s="30"/>
      <c r="F3878" s="22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  <c r="T3878" s="23"/>
      <c r="U3878" s="23"/>
    </row>
    <row r="3879">
      <c r="A3879" s="20"/>
      <c r="B3879" s="20"/>
      <c r="C3879" s="30"/>
      <c r="D3879" s="30"/>
      <c r="E3879" s="30"/>
      <c r="F3879" s="22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  <c r="T3879" s="23"/>
      <c r="U3879" s="23"/>
    </row>
    <row r="3880">
      <c r="A3880" s="20"/>
      <c r="B3880" s="20"/>
      <c r="C3880" s="30"/>
      <c r="D3880" s="30"/>
      <c r="E3880" s="30"/>
      <c r="F3880" s="22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</row>
    <row r="3881">
      <c r="A3881" s="20"/>
      <c r="B3881" s="20"/>
      <c r="C3881" s="30"/>
      <c r="D3881" s="30"/>
      <c r="E3881" s="30"/>
      <c r="F3881" s="22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  <c r="T3881" s="23"/>
      <c r="U3881" s="23"/>
    </row>
    <row r="3882">
      <c r="A3882" s="20"/>
      <c r="B3882" s="20"/>
      <c r="C3882" s="30"/>
      <c r="D3882" s="30"/>
      <c r="E3882" s="30"/>
      <c r="F3882" s="22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  <c r="T3882" s="23"/>
      <c r="U3882" s="23"/>
    </row>
    <row r="3883">
      <c r="A3883" s="20"/>
      <c r="B3883" s="20"/>
      <c r="C3883" s="30"/>
      <c r="D3883" s="30"/>
      <c r="E3883" s="30"/>
      <c r="F3883" s="22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</row>
    <row r="3884">
      <c r="A3884" s="20"/>
      <c r="B3884" s="20"/>
      <c r="C3884" s="30"/>
      <c r="D3884" s="30"/>
      <c r="E3884" s="30"/>
      <c r="F3884" s="22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  <c r="T3884" s="23"/>
      <c r="U3884" s="23"/>
    </row>
    <row r="3885">
      <c r="A3885" s="20"/>
      <c r="B3885" s="20"/>
      <c r="C3885" s="30"/>
      <c r="D3885" s="30"/>
      <c r="E3885" s="30"/>
      <c r="F3885" s="22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</row>
    <row r="3886">
      <c r="A3886" s="20"/>
      <c r="B3886" s="20"/>
      <c r="C3886" s="30"/>
      <c r="D3886" s="30"/>
      <c r="E3886" s="30"/>
      <c r="F3886" s="22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</row>
    <row r="3887">
      <c r="A3887" s="20"/>
      <c r="B3887" s="20"/>
      <c r="C3887" s="30"/>
      <c r="D3887" s="30"/>
      <c r="E3887" s="30"/>
      <c r="F3887" s="22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</row>
    <row r="3888">
      <c r="A3888" s="20"/>
      <c r="B3888" s="20"/>
      <c r="C3888" s="30"/>
      <c r="D3888" s="30"/>
      <c r="E3888" s="30"/>
      <c r="F3888" s="22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</row>
    <row r="3889">
      <c r="A3889" s="20"/>
      <c r="B3889" s="20"/>
      <c r="C3889" s="30"/>
      <c r="D3889" s="30"/>
      <c r="E3889" s="30"/>
      <c r="F3889" s="22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</row>
    <row r="3890">
      <c r="A3890" s="20"/>
      <c r="B3890" s="20"/>
      <c r="C3890" s="30"/>
      <c r="D3890" s="30"/>
      <c r="E3890" s="30"/>
      <c r="F3890" s="22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  <c r="T3890" s="23"/>
      <c r="U3890" s="23"/>
    </row>
    <row r="3891">
      <c r="A3891" s="20"/>
      <c r="B3891" s="20"/>
      <c r="C3891" s="30"/>
      <c r="D3891" s="30"/>
      <c r="E3891" s="30"/>
      <c r="F3891" s="22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</row>
    <row r="3892">
      <c r="A3892" s="20"/>
      <c r="B3892" s="20"/>
      <c r="C3892" s="30"/>
      <c r="D3892" s="30"/>
      <c r="E3892" s="30"/>
      <c r="F3892" s="22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</row>
    <row r="3893">
      <c r="A3893" s="20"/>
      <c r="B3893" s="20"/>
      <c r="C3893" s="30"/>
      <c r="D3893" s="30"/>
      <c r="E3893" s="30"/>
      <c r="F3893" s="22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  <c r="T3893" s="23"/>
      <c r="U3893" s="23"/>
    </row>
    <row r="3894">
      <c r="A3894" s="20"/>
      <c r="B3894" s="20"/>
      <c r="C3894" s="30"/>
      <c r="D3894" s="30"/>
      <c r="E3894" s="30"/>
      <c r="F3894" s="22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</row>
    <row r="3895">
      <c r="A3895" s="20"/>
      <c r="B3895" s="20"/>
      <c r="C3895" s="30"/>
      <c r="D3895" s="30"/>
      <c r="E3895" s="30"/>
      <c r="F3895" s="22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  <c r="T3895" s="23"/>
      <c r="U3895" s="23"/>
    </row>
    <row r="3896">
      <c r="A3896" s="20"/>
      <c r="B3896" s="20"/>
      <c r="C3896" s="30"/>
      <c r="D3896" s="30"/>
      <c r="E3896" s="30"/>
      <c r="F3896" s="22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</row>
    <row r="3897">
      <c r="A3897" s="20"/>
      <c r="B3897" s="20"/>
      <c r="C3897" s="30"/>
      <c r="D3897" s="30"/>
      <c r="E3897" s="30"/>
      <c r="F3897" s="22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  <c r="T3897" s="23"/>
      <c r="U3897" s="23"/>
    </row>
    <row r="3898">
      <c r="A3898" s="20"/>
      <c r="B3898" s="20"/>
      <c r="C3898" s="30"/>
      <c r="D3898" s="30"/>
      <c r="E3898" s="30"/>
      <c r="F3898" s="22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  <c r="T3898" s="23"/>
      <c r="U3898" s="23"/>
    </row>
    <row r="3899">
      <c r="A3899" s="20"/>
      <c r="B3899" s="20"/>
      <c r="C3899" s="30"/>
      <c r="D3899" s="30"/>
      <c r="E3899" s="30"/>
      <c r="F3899" s="22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</row>
    <row r="3900">
      <c r="A3900" s="20"/>
      <c r="B3900" s="20"/>
      <c r="C3900" s="30"/>
      <c r="D3900" s="30"/>
      <c r="E3900" s="30"/>
      <c r="F3900" s="22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  <c r="T3900" s="23"/>
      <c r="U3900" s="23"/>
    </row>
    <row r="3901">
      <c r="A3901" s="20"/>
      <c r="B3901" s="20"/>
      <c r="C3901" s="30"/>
      <c r="D3901" s="30"/>
      <c r="E3901" s="30"/>
      <c r="F3901" s="22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  <c r="T3901" s="23"/>
      <c r="U3901" s="23"/>
    </row>
    <row r="3902">
      <c r="A3902" s="20"/>
      <c r="B3902" s="20"/>
      <c r="C3902" s="30"/>
      <c r="D3902" s="30"/>
      <c r="E3902" s="30"/>
      <c r="F3902" s="22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  <c r="T3902" s="23"/>
      <c r="U3902" s="23"/>
    </row>
    <row r="3903">
      <c r="A3903" s="20"/>
      <c r="B3903" s="20"/>
      <c r="C3903" s="30"/>
      <c r="D3903" s="30"/>
      <c r="E3903" s="30"/>
      <c r="F3903" s="22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  <c r="T3903" s="23"/>
      <c r="U3903" s="23"/>
    </row>
    <row r="3904">
      <c r="A3904" s="20"/>
      <c r="B3904" s="20"/>
      <c r="C3904" s="30"/>
      <c r="D3904" s="30"/>
      <c r="E3904" s="30"/>
      <c r="F3904" s="22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</row>
    <row r="3905">
      <c r="A3905" s="20"/>
      <c r="B3905" s="20"/>
      <c r="C3905" s="30"/>
      <c r="D3905" s="30"/>
      <c r="E3905" s="30"/>
      <c r="F3905" s="22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</row>
    <row r="3906">
      <c r="A3906" s="20"/>
      <c r="B3906" s="20"/>
      <c r="C3906" s="30"/>
      <c r="D3906" s="30"/>
      <c r="E3906" s="30"/>
      <c r="F3906" s="22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</row>
    <row r="3907">
      <c r="A3907" s="20"/>
      <c r="B3907" s="20"/>
      <c r="C3907" s="30"/>
      <c r="D3907" s="30"/>
      <c r="E3907" s="30"/>
      <c r="F3907" s="22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</row>
    <row r="3908">
      <c r="A3908" s="20"/>
      <c r="B3908" s="20"/>
      <c r="C3908" s="30"/>
      <c r="D3908" s="30"/>
      <c r="E3908" s="30"/>
      <c r="F3908" s="22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</row>
    <row r="3909">
      <c r="A3909" s="20"/>
      <c r="B3909" s="20"/>
      <c r="C3909" s="30"/>
      <c r="D3909" s="30"/>
      <c r="E3909" s="30"/>
      <c r="F3909" s="22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  <c r="T3909" s="23"/>
      <c r="U3909" s="23"/>
    </row>
    <row r="3910">
      <c r="A3910" s="20"/>
      <c r="B3910" s="20"/>
      <c r="C3910" s="30"/>
      <c r="D3910" s="30"/>
      <c r="E3910" s="30"/>
      <c r="F3910" s="22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  <c r="T3910" s="23"/>
      <c r="U3910" s="23"/>
    </row>
    <row r="3911">
      <c r="A3911" s="20"/>
      <c r="B3911" s="20"/>
      <c r="C3911" s="30"/>
      <c r="D3911" s="30"/>
      <c r="E3911" s="30"/>
      <c r="F3911" s="22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  <c r="T3911" s="23"/>
      <c r="U3911" s="23"/>
    </row>
    <row r="3912">
      <c r="A3912" s="20"/>
      <c r="B3912" s="20"/>
      <c r="C3912" s="30"/>
      <c r="D3912" s="30"/>
      <c r="E3912" s="30"/>
      <c r="F3912" s="22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  <c r="T3912" s="23"/>
      <c r="U3912" s="23"/>
    </row>
    <row r="3913">
      <c r="A3913" s="20"/>
      <c r="B3913" s="20"/>
      <c r="C3913" s="30"/>
      <c r="D3913" s="30"/>
      <c r="E3913" s="30"/>
      <c r="F3913" s="22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  <c r="T3913" s="23"/>
      <c r="U3913" s="23"/>
    </row>
    <row r="3914">
      <c r="A3914" s="20"/>
      <c r="B3914" s="20"/>
      <c r="C3914" s="30"/>
      <c r="D3914" s="30"/>
      <c r="E3914" s="30"/>
      <c r="F3914" s="22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  <c r="T3914" s="23"/>
      <c r="U3914" s="23"/>
    </row>
    <row r="3915">
      <c r="A3915" s="20"/>
      <c r="B3915" s="20"/>
      <c r="C3915" s="30"/>
      <c r="D3915" s="30"/>
      <c r="E3915" s="30"/>
      <c r="F3915" s="22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  <c r="T3915" s="23"/>
      <c r="U3915" s="23"/>
    </row>
    <row r="3916">
      <c r="A3916" s="20"/>
      <c r="B3916" s="20"/>
      <c r="C3916" s="30"/>
      <c r="D3916" s="30"/>
      <c r="E3916" s="30"/>
      <c r="F3916" s="22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  <c r="T3916" s="23"/>
      <c r="U3916" s="23"/>
    </row>
    <row r="3917">
      <c r="A3917" s="20"/>
      <c r="B3917" s="20"/>
      <c r="C3917" s="30"/>
      <c r="D3917" s="30"/>
      <c r="E3917" s="30"/>
      <c r="F3917" s="22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  <c r="T3917" s="23"/>
      <c r="U3917" s="23"/>
    </row>
    <row r="3918">
      <c r="A3918" s="20"/>
      <c r="B3918" s="20"/>
      <c r="C3918" s="30"/>
      <c r="D3918" s="30"/>
      <c r="E3918" s="30"/>
      <c r="F3918" s="22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  <c r="T3918" s="23"/>
      <c r="U3918" s="23"/>
    </row>
    <row r="3919">
      <c r="A3919" s="20"/>
      <c r="B3919" s="20"/>
      <c r="C3919" s="30"/>
      <c r="D3919" s="30"/>
      <c r="E3919" s="30"/>
      <c r="F3919" s="22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  <c r="T3919" s="23"/>
      <c r="U3919" s="23"/>
    </row>
    <row r="3920">
      <c r="A3920" s="20"/>
      <c r="B3920" s="20"/>
      <c r="C3920" s="30"/>
      <c r="D3920" s="30"/>
      <c r="E3920" s="30"/>
      <c r="F3920" s="22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  <c r="T3920" s="23"/>
      <c r="U3920" s="23"/>
    </row>
    <row r="3921">
      <c r="A3921" s="20"/>
      <c r="B3921" s="20"/>
      <c r="C3921" s="30"/>
      <c r="D3921" s="30"/>
      <c r="E3921" s="30"/>
      <c r="F3921" s="22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  <c r="T3921" s="23"/>
      <c r="U3921" s="23"/>
    </row>
    <row r="3922">
      <c r="A3922" s="20"/>
      <c r="B3922" s="20"/>
      <c r="C3922" s="30"/>
      <c r="D3922" s="30"/>
      <c r="E3922" s="30"/>
      <c r="F3922" s="22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  <c r="T3922" s="23"/>
      <c r="U3922" s="23"/>
    </row>
    <row r="3923">
      <c r="A3923" s="20"/>
      <c r="B3923" s="20"/>
      <c r="C3923" s="30"/>
      <c r="D3923" s="30"/>
      <c r="E3923" s="30"/>
      <c r="F3923" s="22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  <c r="T3923" s="23"/>
      <c r="U3923" s="23"/>
    </row>
    <row r="3924">
      <c r="A3924" s="20"/>
      <c r="B3924" s="20"/>
      <c r="C3924" s="30"/>
      <c r="D3924" s="30"/>
      <c r="E3924" s="30"/>
      <c r="F3924" s="22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</row>
    <row r="3925">
      <c r="A3925" s="20"/>
      <c r="B3925" s="20"/>
      <c r="C3925" s="30"/>
      <c r="D3925" s="30"/>
      <c r="E3925" s="30"/>
      <c r="F3925" s="22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</row>
    <row r="3926">
      <c r="A3926" s="20"/>
      <c r="B3926" s="20"/>
      <c r="C3926" s="30"/>
      <c r="D3926" s="30"/>
      <c r="E3926" s="30"/>
      <c r="F3926" s="22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  <c r="T3926" s="23"/>
      <c r="U3926" s="23"/>
    </row>
    <row r="3927">
      <c r="A3927" s="20"/>
      <c r="B3927" s="20"/>
      <c r="C3927" s="30"/>
      <c r="D3927" s="30"/>
      <c r="E3927" s="30"/>
      <c r="F3927" s="22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</row>
    <row r="3928">
      <c r="A3928" s="20"/>
      <c r="B3928" s="20"/>
      <c r="C3928" s="30"/>
      <c r="D3928" s="30"/>
      <c r="E3928" s="30"/>
      <c r="F3928" s="22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  <c r="T3928" s="23"/>
      <c r="U3928" s="23"/>
    </row>
    <row r="3929">
      <c r="A3929" s="20"/>
      <c r="B3929" s="20"/>
      <c r="C3929" s="30"/>
      <c r="D3929" s="30"/>
      <c r="E3929" s="30"/>
      <c r="F3929" s="22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  <c r="T3929" s="23"/>
      <c r="U3929" s="23"/>
    </row>
    <row r="3930">
      <c r="A3930" s="20"/>
      <c r="B3930" s="20"/>
      <c r="C3930" s="30"/>
      <c r="D3930" s="30"/>
      <c r="E3930" s="30"/>
      <c r="F3930" s="22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</row>
    <row r="3931">
      <c r="A3931" s="20"/>
      <c r="B3931" s="20"/>
      <c r="C3931" s="30"/>
      <c r="D3931" s="30"/>
      <c r="E3931" s="30"/>
      <c r="F3931" s="22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</row>
    <row r="3932">
      <c r="A3932" s="20"/>
      <c r="B3932" s="20"/>
      <c r="C3932" s="30"/>
      <c r="D3932" s="30"/>
      <c r="E3932" s="30"/>
      <c r="F3932" s="22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</row>
    <row r="3933">
      <c r="A3933" s="20"/>
      <c r="B3933" s="20"/>
      <c r="C3933" s="30"/>
      <c r="D3933" s="30"/>
      <c r="E3933" s="30"/>
      <c r="F3933" s="22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  <c r="T3933" s="23"/>
      <c r="U3933" s="23"/>
    </row>
    <row r="3934">
      <c r="A3934" s="20"/>
      <c r="B3934" s="20"/>
      <c r="C3934" s="30"/>
      <c r="D3934" s="30"/>
      <c r="E3934" s="30"/>
      <c r="F3934" s="22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  <c r="T3934" s="23"/>
      <c r="U3934" s="23"/>
    </row>
    <row r="3935">
      <c r="A3935" s="20"/>
      <c r="B3935" s="20"/>
      <c r="C3935" s="30"/>
      <c r="D3935" s="30"/>
      <c r="E3935" s="30"/>
      <c r="F3935" s="22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  <c r="T3935" s="23"/>
      <c r="U3935" s="23"/>
    </row>
    <row r="3936">
      <c r="A3936" s="20"/>
      <c r="B3936" s="20"/>
      <c r="C3936" s="30"/>
      <c r="D3936" s="30"/>
      <c r="E3936" s="30"/>
      <c r="F3936" s="22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  <c r="T3936" s="23"/>
      <c r="U3936" s="23"/>
    </row>
    <row r="3937">
      <c r="A3937" s="20"/>
      <c r="B3937" s="20"/>
      <c r="C3937" s="30"/>
      <c r="D3937" s="30"/>
      <c r="E3937" s="30"/>
      <c r="F3937" s="22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</row>
    <row r="3938">
      <c r="A3938" s="20"/>
      <c r="B3938" s="20"/>
      <c r="C3938" s="30"/>
      <c r="D3938" s="30"/>
      <c r="E3938" s="30"/>
      <c r="F3938" s="22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  <c r="T3938" s="23"/>
      <c r="U3938" s="23"/>
    </row>
    <row r="3939">
      <c r="A3939" s="20"/>
      <c r="B3939" s="20"/>
      <c r="C3939" s="30"/>
      <c r="D3939" s="30"/>
      <c r="E3939" s="30"/>
      <c r="F3939" s="22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</row>
    <row r="3940">
      <c r="A3940" s="20"/>
      <c r="B3940" s="20"/>
      <c r="C3940" s="30"/>
      <c r="D3940" s="30"/>
      <c r="E3940" s="30"/>
      <c r="F3940" s="22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  <c r="T3940" s="23"/>
      <c r="U3940" s="23"/>
    </row>
    <row r="3941">
      <c r="A3941" s="20"/>
      <c r="B3941" s="20"/>
      <c r="C3941" s="30"/>
      <c r="D3941" s="30"/>
      <c r="E3941" s="30"/>
      <c r="F3941" s="22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  <c r="T3941" s="23"/>
      <c r="U3941" s="23"/>
    </row>
    <row r="3942">
      <c r="A3942" s="20"/>
      <c r="B3942" s="20"/>
      <c r="C3942" s="30"/>
      <c r="D3942" s="30"/>
      <c r="E3942" s="30"/>
      <c r="F3942" s="22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  <c r="T3942" s="23"/>
      <c r="U3942" s="23"/>
    </row>
    <row r="3943">
      <c r="A3943" s="20"/>
      <c r="B3943" s="20"/>
      <c r="C3943" s="30"/>
      <c r="D3943" s="30"/>
      <c r="E3943" s="30"/>
      <c r="F3943" s="22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</row>
    <row r="3944">
      <c r="A3944" s="20"/>
      <c r="B3944" s="20"/>
      <c r="C3944" s="30"/>
      <c r="D3944" s="30"/>
      <c r="E3944" s="30"/>
      <c r="F3944" s="22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</row>
    <row r="3945">
      <c r="A3945" s="20"/>
      <c r="B3945" s="20"/>
      <c r="C3945" s="30"/>
      <c r="D3945" s="30"/>
      <c r="E3945" s="30"/>
      <c r="F3945" s="22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  <c r="T3945" s="23"/>
      <c r="U3945" s="23"/>
    </row>
    <row r="3946">
      <c r="A3946" s="20"/>
      <c r="B3946" s="20"/>
      <c r="C3946" s="30"/>
      <c r="D3946" s="30"/>
      <c r="E3946" s="30"/>
      <c r="F3946" s="22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  <c r="T3946" s="23"/>
      <c r="U3946" s="23"/>
    </row>
    <row r="3947">
      <c r="A3947" s="20"/>
      <c r="B3947" s="20"/>
      <c r="C3947" s="30"/>
      <c r="D3947" s="30"/>
      <c r="E3947" s="30"/>
      <c r="F3947" s="22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</row>
    <row r="3948">
      <c r="A3948" s="20"/>
      <c r="B3948" s="20"/>
      <c r="C3948" s="30"/>
      <c r="D3948" s="30"/>
      <c r="E3948" s="30"/>
      <c r="F3948" s="22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  <c r="T3948" s="23"/>
      <c r="U3948" s="23"/>
    </row>
    <row r="3949">
      <c r="A3949" s="20"/>
      <c r="B3949" s="20"/>
      <c r="C3949" s="30"/>
      <c r="D3949" s="30"/>
      <c r="E3949" s="30"/>
      <c r="F3949" s="22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  <c r="T3949" s="23"/>
      <c r="U3949" s="23"/>
    </row>
    <row r="3950">
      <c r="A3950" s="20"/>
      <c r="B3950" s="20"/>
      <c r="C3950" s="30"/>
      <c r="D3950" s="30"/>
      <c r="E3950" s="30"/>
      <c r="F3950" s="22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</row>
    <row r="3951">
      <c r="A3951" s="20"/>
      <c r="B3951" s="20"/>
      <c r="C3951" s="30"/>
      <c r="D3951" s="30"/>
      <c r="E3951" s="30"/>
      <c r="F3951" s="22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</row>
    <row r="3952">
      <c r="A3952" s="20"/>
      <c r="B3952" s="20"/>
      <c r="C3952" s="30"/>
      <c r="D3952" s="30"/>
      <c r="E3952" s="30"/>
      <c r="F3952" s="22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</row>
    <row r="3953">
      <c r="A3953" s="20"/>
      <c r="B3953" s="20"/>
      <c r="C3953" s="30"/>
      <c r="D3953" s="30"/>
      <c r="E3953" s="30"/>
      <c r="F3953" s="22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  <c r="T3953" s="23"/>
      <c r="U3953" s="23"/>
    </row>
    <row r="3954">
      <c r="A3954" s="20"/>
      <c r="B3954" s="20"/>
      <c r="C3954" s="30"/>
      <c r="D3954" s="30"/>
      <c r="E3954" s="30"/>
      <c r="F3954" s="22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  <c r="T3954" s="23"/>
      <c r="U3954" s="23"/>
    </row>
    <row r="3955">
      <c r="A3955" s="20"/>
      <c r="B3955" s="20"/>
      <c r="C3955" s="30"/>
      <c r="D3955" s="30"/>
      <c r="E3955" s="30"/>
      <c r="F3955" s="22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  <c r="T3955" s="23"/>
      <c r="U3955" s="23"/>
    </row>
    <row r="3956">
      <c r="A3956" s="20"/>
      <c r="B3956" s="20"/>
      <c r="C3956" s="30"/>
      <c r="D3956" s="30"/>
      <c r="E3956" s="30"/>
      <c r="F3956" s="22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</row>
    <row r="3957">
      <c r="A3957" s="20"/>
      <c r="B3957" s="20"/>
      <c r="C3957" s="30"/>
      <c r="D3957" s="30"/>
      <c r="E3957" s="30"/>
      <c r="F3957" s="22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  <c r="T3957" s="23"/>
      <c r="U3957" s="23"/>
    </row>
    <row r="3958">
      <c r="A3958" s="20"/>
      <c r="B3958" s="20"/>
      <c r="C3958" s="30"/>
      <c r="D3958" s="30"/>
      <c r="E3958" s="30"/>
      <c r="F3958" s="22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</row>
    <row r="3959">
      <c r="A3959" s="20"/>
      <c r="B3959" s="20"/>
      <c r="C3959" s="30"/>
      <c r="D3959" s="30"/>
      <c r="E3959" s="30"/>
      <c r="F3959" s="22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  <c r="T3959" s="23"/>
      <c r="U3959" s="23"/>
    </row>
    <row r="3960">
      <c r="A3960" s="20"/>
      <c r="B3960" s="20"/>
      <c r="C3960" s="30"/>
      <c r="D3960" s="30"/>
      <c r="E3960" s="30"/>
      <c r="F3960" s="22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  <c r="T3960" s="23"/>
      <c r="U3960" s="23"/>
    </row>
    <row r="3961">
      <c r="A3961" s="20"/>
      <c r="B3961" s="20"/>
      <c r="C3961" s="30"/>
      <c r="D3961" s="30"/>
      <c r="E3961" s="30"/>
      <c r="F3961" s="22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  <c r="T3961" s="23"/>
      <c r="U3961" s="23"/>
    </row>
    <row r="3962">
      <c r="A3962" s="20"/>
      <c r="B3962" s="20"/>
      <c r="C3962" s="30"/>
      <c r="D3962" s="30"/>
      <c r="E3962" s="30"/>
      <c r="F3962" s="22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</row>
    <row r="3963">
      <c r="A3963" s="20"/>
      <c r="B3963" s="20"/>
      <c r="C3963" s="30"/>
      <c r="D3963" s="30"/>
      <c r="E3963" s="30"/>
      <c r="F3963" s="22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</row>
    <row r="3964">
      <c r="A3964" s="20"/>
      <c r="B3964" s="20"/>
      <c r="C3964" s="30"/>
      <c r="D3964" s="30"/>
      <c r="E3964" s="30"/>
      <c r="F3964" s="22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  <c r="T3964" s="23"/>
      <c r="U3964" s="23"/>
    </row>
    <row r="3965">
      <c r="A3965" s="20"/>
      <c r="B3965" s="20"/>
      <c r="C3965" s="30"/>
      <c r="D3965" s="30"/>
      <c r="E3965" s="30"/>
      <c r="F3965" s="22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</row>
    <row r="3966">
      <c r="A3966" s="20"/>
      <c r="B3966" s="20"/>
      <c r="C3966" s="30"/>
      <c r="D3966" s="30"/>
      <c r="E3966" s="30"/>
      <c r="F3966" s="22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  <c r="T3966" s="23"/>
      <c r="U3966" s="23"/>
    </row>
    <row r="3967">
      <c r="A3967" s="20"/>
      <c r="B3967" s="20"/>
      <c r="C3967" s="30"/>
      <c r="D3967" s="30"/>
      <c r="E3967" s="30"/>
      <c r="F3967" s="22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</row>
    <row r="3968">
      <c r="A3968" s="20"/>
      <c r="B3968" s="20"/>
      <c r="C3968" s="30"/>
      <c r="D3968" s="30"/>
      <c r="E3968" s="30"/>
      <c r="F3968" s="22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</row>
    <row r="3969">
      <c r="A3969" s="20"/>
      <c r="B3969" s="20"/>
      <c r="C3969" s="30"/>
      <c r="D3969" s="30"/>
      <c r="E3969" s="30"/>
      <c r="F3969" s="22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  <c r="T3969" s="23"/>
      <c r="U3969" s="23"/>
    </row>
    <row r="3970">
      <c r="A3970" s="20"/>
      <c r="B3970" s="20"/>
      <c r="C3970" s="30"/>
      <c r="D3970" s="30"/>
      <c r="E3970" s="30"/>
      <c r="F3970" s="22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  <c r="T3970" s="23"/>
      <c r="U3970" s="23"/>
    </row>
    <row r="3971">
      <c r="A3971" s="20"/>
      <c r="B3971" s="20"/>
      <c r="C3971" s="30"/>
      <c r="D3971" s="30"/>
      <c r="E3971" s="30"/>
      <c r="F3971" s="22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</row>
    <row r="3972">
      <c r="A3972" s="20"/>
      <c r="B3972" s="20"/>
      <c r="C3972" s="30"/>
      <c r="D3972" s="30"/>
      <c r="E3972" s="30"/>
      <c r="F3972" s="22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  <c r="T3972" s="23"/>
      <c r="U3972" s="23"/>
    </row>
    <row r="3973">
      <c r="A3973" s="20"/>
      <c r="B3973" s="20"/>
      <c r="C3973" s="30"/>
      <c r="D3973" s="30"/>
      <c r="E3973" s="30"/>
      <c r="F3973" s="22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</row>
    <row r="3974">
      <c r="A3974" s="20"/>
      <c r="B3974" s="20"/>
      <c r="C3974" s="30"/>
      <c r="D3974" s="30"/>
      <c r="E3974" s="30"/>
      <c r="F3974" s="22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  <c r="T3974" s="23"/>
      <c r="U3974" s="23"/>
    </row>
    <row r="3975">
      <c r="A3975" s="20"/>
      <c r="B3975" s="20"/>
      <c r="C3975" s="30"/>
      <c r="D3975" s="30"/>
      <c r="E3975" s="30"/>
      <c r="F3975" s="22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  <c r="T3975" s="23"/>
      <c r="U3975" s="23"/>
    </row>
    <row r="3976">
      <c r="A3976" s="20"/>
      <c r="B3976" s="20"/>
      <c r="C3976" s="30"/>
      <c r="D3976" s="30"/>
      <c r="E3976" s="30"/>
      <c r="F3976" s="22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  <c r="T3976" s="23"/>
      <c r="U3976" s="23"/>
    </row>
    <row r="3977">
      <c r="A3977" s="20"/>
      <c r="B3977" s="20"/>
      <c r="C3977" s="30"/>
      <c r="D3977" s="30"/>
      <c r="E3977" s="30"/>
      <c r="F3977" s="22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</row>
    <row r="3978">
      <c r="A3978" s="20"/>
      <c r="B3978" s="20"/>
      <c r="C3978" s="30"/>
      <c r="D3978" s="30"/>
      <c r="E3978" s="30"/>
      <c r="F3978" s="22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</row>
    <row r="3979">
      <c r="A3979" s="20"/>
      <c r="B3979" s="20"/>
      <c r="C3979" s="30"/>
      <c r="D3979" s="30"/>
      <c r="E3979" s="30"/>
      <c r="F3979" s="22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  <c r="T3979" s="23"/>
      <c r="U3979" s="23"/>
    </row>
    <row r="3980">
      <c r="A3980" s="20"/>
      <c r="B3980" s="20"/>
      <c r="C3980" s="30"/>
      <c r="D3980" s="30"/>
      <c r="E3980" s="30"/>
      <c r="F3980" s="22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  <c r="T3980" s="23"/>
      <c r="U3980" s="23"/>
    </row>
    <row r="3981">
      <c r="A3981" s="20"/>
      <c r="B3981" s="20"/>
      <c r="C3981" s="30"/>
      <c r="D3981" s="30"/>
      <c r="E3981" s="30"/>
      <c r="F3981" s="22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  <c r="T3981" s="23"/>
      <c r="U3981" s="23"/>
    </row>
    <row r="3982">
      <c r="A3982" s="20"/>
      <c r="B3982" s="20"/>
      <c r="C3982" s="30"/>
      <c r="D3982" s="30"/>
      <c r="E3982" s="30"/>
      <c r="F3982" s="22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</row>
    <row r="3983">
      <c r="A3983" s="20"/>
      <c r="B3983" s="20"/>
      <c r="C3983" s="30"/>
      <c r="D3983" s="30"/>
      <c r="E3983" s="30"/>
      <c r="F3983" s="22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  <c r="T3983" s="23"/>
      <c r="U3983" s="23"/>
    </row>
    <row r="3984">
      <c r="A3984" s="20"/>
      <c r="B3984" s="20"/>
      <c r="C3984" s="30"/>
      <c r="D3984" s="30"/>
      <c r="E3984" s="30"/>
      <c r="F3984" s="22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  <c r="T3984" s="23"/>
      <c r="U3984" s="23"/>
    </row>
    <row r="3985">
      <c r="A3985" s="20"/>
      <c r="B3985" s="20"/>
      <c r="C3985" s="30"/>
      <c r="D3985" s="30"/>
      <c r="E3985" s="30"/>
      <c r="F3985" s="22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  <c r="T3985" s="23"/>
      <c r="U3985" s="23"/>
    </row>
    <row r="3986">
      <c r="A3986" s="20"/>
      <c r="B3986" s="20"/>
      <c r="C3986" s="30"/>
      <c r="D3986" s="30"/>
      <c r="E3986" s="30"/>
      <c r="F3986" s="22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  <c r="T3986" s="23"/>
      <c r="U3986" s="23"/>
    </row>
    <row r="3987">
      <c r="A3987" s="20"/>
      <c r="B3987" s="20"/>
      <c r="C3987" s="30"/>
      <c r="D3987" s="30"/>
      <c r="E3987" s="30"/>
      <c r="F3987" s="22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  <c r="T3987" s="23"/>
      <c r="U3987" s="23"/>
    </row>
    <row r="3988">
      <c r="A3988" s="20"/>
      <c r="B3988" s="20"/>
      <c r="C3988" s="30"/>
      <c r="D3988" s="30"/>
      <c r="E3988" s="30"/>
      <c r="F3988" s="22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  <c r="T3988" s="23"/>
      <c r="U3988" s="23"/>
    </row>
    <row r="3989">
      <c r="A3989" s="20"/>
      <c r="B3989" s="20"/>
      <c r="C3989" s="30"/>
      <c r="D3989" s="30"/>
      <c r="E3989" s="30"/>
      <c r="F3989" s="22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  <c r="T3989" s="23"/>
      <c r="U3989" s="23"/>
    </row>
    <row r="3990">
      <c r="A3990" s="20"/>
      <c r="B3990" s="20"/>
      <c r="C3990" s="30"/>
      <c r="D3990" s="30"/>
      <c r="E3990" s="30"/>
      <c r="F3990" s="22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</row>
    <row r="3991">
      <c r="A3991" s="20"/>
      <c r="B3991" s="20"/>
      <c r="C3991" s="30"/>
      <c r="D3991" s="30"/>
      <c r="E3991" s="30"/>
      <c r="F3991" s="22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  <c r="T3991" s="23"/>
      <c r="U3991" s="23"/>
    </row>
    <row r="3992">
      <c r="A3992" s="20"/>
      <c r="B3992" s="20"/>
      <c r="C3992" s="30"/>
      <c r="D3992" s="30"/>
      <c r="E3992" s="30"/>
      <c r="F3992" s="22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  <c r="T3992" s="23"/>
      <c r="U3992" s="23"/>
    </row>
    <row r="3993">
      <c r="A3993" s="20"/>
      <c r="B3993" s="20"/>
      <c r="C3993" s="30"/>
      <c r="D3993" s="30"/>
      <c r="E3993" s="30"/>
      <c r="F3993" s="22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</row>
    <row r="3994">
      <c r="A3994" s="20"/>
      <c r="B3994" s="20"/>
      <c r="C3994" s="30"/>
      <c r="D3994" s="30"/>
      <c r="E3994" s="30"/>
      <c r="F3994" s="22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</row>
    <row r="3995">
      <c r="A3995" s="20"/>
      <c r="B3995" s="20"/>
      <c r="C3995" s="30"/>
      <c r="D3995" s="30"/>
      <c r="E3995" s="30"/>
      <c r="F3995" s="22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  <c r="T3995" s="23"/>
      <c r="U3995" s="23"/>
    </row>
    <row r="3996">
      <c r="A3996" s="20"/>
      <c r="B3996" s="20"/>
      <c r="C3996" s="30"/>
      <c r="D3996" s="30"/>
      <c r="E3996" s="30"/>
      <c r="F3996" s="22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  <c r="T3996" s="23"/>
      <c r="U3996" s="23"/>
    </row>
    <row r="3997">
      <c r="A3997" s="20"/>
      <c r="B3997" s="20"/>
      <c r="C3997" s="30"/>
      <c r="D3997" s="30"/>
      <c r="E3997" s="30"/>
      <c r="F3997" s="22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  <c r="T3997" s="23"/>
      <c r="U3997" s="23"/>
    </row>
    <row r="3998">
      <c r="A3998" s="20"/>
      <c r="B3998" s="20"/>
      <c r="C3998" s="30"/>
      <c r="D3998" s="30"/>
      <c r="E3998" s="30"/>
      <c r="F3998" s="22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  <c r="T3998" s="23"/>
      <c r="U3998" s="23"/>
    </row>
    <row r="3999">
      <c r="A3999" s="20"/>
      <c r="B3999" s="20"/>
      <c r="C3999" s="30"/>
      <c r="D3999" s="30"/>
      <c r="E3999" s="30"/>
      <c r="F3999" s="22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  <c r="T3999" s="23"/>
      <c r="U3999" s="23"/>
    </row>
    <row r="4000">
      <c r="A4000" s="20"/>
      <c r="B4000" s="20"/>
      <c r="C4000" s="30"/>
      <c r="D4000" s="30"/>
      <c r="E4000" s="30"/>
      <c r="F4000" s="22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  <c r="T4000" s="23"/>
      <c r="U4000" s="23"/>
    </row>
    <row r="4001">
      <c r="A4001" s="20"/>
      <c r="B4001" s="20"/>
      <c r="C4001" s="30"/>
      <c r="D4001" s="30"/>
      <c r="E4001" s="30"/>
      <c r="F4001" s="22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</row>
    <row r="4002">
      <c r="A4002" s="20"/>
      <c r="B4002" s="20"/>
      <c r="C4002" s="30"/>
      <c r="D4002" s="30"/>
      <c r="E4002" s="30"/>
      <c r="F4002" s="22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  <c r="T4002" s="23"/>
      <c r="U4002" s="23"/>
    </row>
    <row r="4003">
      <c r="A4003" s="20"/>
      <c r="B4003" s="20"/>
      <c r="C4003" s="30"/>
      <c r="D4003" s="30"/>
      <c r="E4003" s="30"/>
      <c r="F4003" s="22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  <c r="T4003" s="23"/>
      <c r="U4003" s="23"/>
    </row>
    <row r="4004">
      <c r="A4004" s="20"/>
      <c r="B4004" s="20"/>
      <c r="C4004" s="30"/>
      <c r="D4004" s="30"/>
      <c r="E4004" s="30"/>
      <c r="F4004" s="22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  <c r="T4004" s="23"/>
      <c r="U4004" s="23"/>
    </row>
    <row r="4005">
      <c r="A4005" s="20"/>
      <c r="B4005" s="20"/>
      <c r="C4005" s="30"/>
      <c r="D4005" s="30"/>
      <c r="E4005" s="30"/>
      <c r="F4005" s="22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  <c r="T4005" s="23"/>
      <c r="U4005" s="23"/>
    </row>
    <row r="4006">
      <c r="A4006" s="20"/>
      <c r="B4006" s="20"/>
      <c r="C4006" s="30"/>
      <c r="D4006" s="30"/>
      <c r="E4006" s="30"/>
      <c r="F4006" s="22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</row>
    <row r="4007">
      <c r="A4007" s="20"/>
      <c r="B4007" s="20"/>
      <c r="C4007" s="30"/>
      <c r="D4007" s="30"/>
      <c r="E4007" s="30"/>
      <c r="F4007" s="22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  <c r="T4007" s="23"/>
      <c r="U4007" s="23"/>
    </row>
    <row r="4008">
      <c r="A4008" s="20"/>
      <c r="B4008" s="20"/>
      <c r="C4008" s="30"/>
      <c r="D4008" s="30"/>
      <c r="E4008" s="30"/>
      <c r="F4008" s="22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</row>
    <row r="4009">
      <c r="A4009" s="20"/>
      <c r="B4009" s="20"/>
      <c r="C4009" s="30"/>
      <c r="D4009" s="30"/>
      <c r="E4009" s="30"/>
      <c r="F4009" s="22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</row>
    <row r="4010">
      <c r="A4010" s="20"/>
      <c r="B4010" s="20"/>
      <c r="C4010" s="30"/>
      <c r="D4010" s="30"/>
      <c r="E4010" s="30"/>
      <c r="F4010" s="22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</row>
    <row r="4011">
      <c r="A4011" s="20"/>
      <c r="B4011" s="20"/>
      <c r="C4011" s="30"/>
      <c r="D4011" s="30"/>
      <c r="E4011" s="30"/>
      <c r="F4011" s="22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</row>
    <row r="4012">
      <c r="A4012" s="20"/>
      <c r="B4012" s="20"/>
      <c r="C4012" s="30"/>
      <c r="D4012" s="30"/>
      <c r="E4012" s="30"/>
      <c r="F4012" s="22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</row>
    <row r="4013">
      <c r="A4013" s="20"/>
      <c r="B4013" s="20"/>
      <c r="C4013" s="30"/>
      <c r="D4013" s="30"/>
      <c r="E4013" s="30"/>
      <c r="F4013" s="22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</row>
    <row r="4014">
      <c r="A4014" s="20"/>
      <c r="B4014" s="20"/>
      <c r="C4014" s="30"/>
      <c r="D4014" s="30"/>
      <c r="E4014" s="30"/>
      <c r="F4014" s="22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</row>
    <row r="4015">
      <c r="A4015" s="20"/>
      <c r="B4015" s="20"/>
      <c r="C4015" s="30"/>
      <c r="D4015" s="30"/>
      <c r="E4015" s="30"/>
      <c r="F4015" s="22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</row>
    <row r="4016">
      <c r="A4016" s="20"/>
      <c r="B4016" s="20"/>
      <c r="C4016" s="30"/>
      <c r="D4016" s="30"/>
      <c r="E4016" s="30"/>
      <c r="F4016" s="22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</row>
    <row r="4017">
      <c r="A4017" s="20"/>
      <c r="B4017" s="20"/>
      <c r="C4017" s="30"/>
      <c r="D4017" s="30"/>
      <c r="E4017" s="30"/>
      <c r="F4017" s="22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  <c r="T4017" s="23"/>
      <c r="U4017" s="23"/>
    </row>
    <row r="4018">
      <c r="A4018" s="20"/>
      <c r="B4018" s="20"/>
      <c r="C4018" s="30"/>
      <c r="D4018" s="30"/>
      <c r="E4018" s="30"/>
      <c r="F4018" s="22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</row>
    <row r="4019">
      <c r="A4019" s="20"/>
      <c r="B4019" s="20"/>
      <c r="C4019" s="30"/>
      <c r="D4019" s="30"/>
      <c r="E4019" s="30"/>
      <c r="F4019" s="22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  <c r="T4019" s="23"/>
      <c r="U4019" s="23"/>
    </row>
    <row r="4020">
      <c r="A4020" s="20"/>
      <c r="B4020" s="20"/>
      <c r="C4020" s="30"/>
      <c r="D4020" s="30"/>
      <c r="E4020" s="30"/>
      <c r="F4020" s="22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</row>
    <row r="4021">
      <c r="A4021" s="20"/>
      <c r="B4021" s="20"/>
      <c r="C4021" s="30"/>
      <c r="D4021" s="30"/>
      <c r="E4021" s="30"/>
      <c r="F4021" s="22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  <c r="T4021" s="23"/>
      <c r="U4021" s="23"/>
    </row>
    <row r="4022">
      <c r="A4022" s="20"/>
      <c r="B4022" s="20"/>
      <c r="C4022" s="30"/>
      <c r="D4022" s="30"/>
      <c r="E4022" s="30"/>
      <c r="F4022" s="22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  <c r="T4022" s="23"/>
      <c r="U4022" s="23"/>
    </row>
    <row r="4023">
      <c r="A4023" s="20"/>
      <c r="B4023" s="20"/>
      <c r="C4023" s="30"/>
      <c r="D4023" s="30"/>
      <c r="E4023" s="30"/>
      <c r="F4023" s="22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  <c r="T4023" s="23"/>
      <c r="U4023" s="23"/>
    </row>
    <row r="4024">
      <c r="A4024" s="20"/>
      <c r="B4024" s="20"/>
      <c r="C4024" s="30"/>
      <c r="D4024" s="30"/>
      <c r="E4024" s="30"/>
      <c r="F4024" s="22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  <c r="T4024" s="23"/>
      <c r="U4024" s="23"/>
    </row>
    <row r="4025">
      <c r="A4025" s="20"/>
      <c r="B4025" s="20"/>
      <c r="C4025" s="30"/>
      <c r="D4025" s="30"/>
      <c r="E4025" s="30"/>
      <c r="F4025" s="22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  <c r="T4025" s="23"/>
      <c r="U4025" s="23"/>
    </row>
    <row r="4026">
      <c r="A4026" s="20"/>
      <c r="B4026" s="20"/>
      <c r="C4026" s="30"/>
      <c r="D4026" s="30"/>
      <c r="E4026" s="30"/>
      <c r="F4026" s="22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  <c r="T4026" s="23"/>
      <c r="U4026" s="23"/>
    </row>
    <row r="4027">
      <c r="A4027" s="20"/>
      <c r="B4027" s="20"/>
      <c r="C4027" s="30"/>
      <c r="D4027" s="30"/>
      <c r="E4027" s="30"/>
      <c r="F4027" s="22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  <c r="T4027" s="23"/>
      <c r="U4027" s="23"/>
    </row>
    <row r="4028">
      <c r="A4028" s="20"/>
      <c r="B4028" s="20"/>
      <c r="C4028" s="30"/>
      <c r="D4028" s="30"/>
      <c r="E4028" s="30"/>
      <c r="F4028" s="22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  <c r="T4028" s="23"/>
      <c r="U4028" s="23"/>
    </row>
    <row r="4029">
      <c r="A4029" s="20"/>
      <c r="B4029" s="20"/>
      <c r="C4029" s="30"/>
      <c r="D4029" s="30"/>
      <c r="E4029" s="30"/>
      <c r="F4029" s="22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</row>
    <row r="4030">
      <c r="A4030" s="20"/>
      <c r="B4030" s="20"/>
      <c r="C4030" s="30"/>
      <c r="D4030" s="30"/>
      <c r="E4030" s="30"/>
      <c r="F4030" s="22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</row>
    <row r="4031">
      <c r="A4031" s="20"/>
      <c r="B4031" s="20"/>
      <c r="C4031" s="30"/>
      <c r="D4031" s="30"/>
      <c r="E4031" s="30"/>
      <c r="F4031" s="22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</row>
    <row r="4032">
      <c r="A4032" s="20"/>
      <c r="B4032" s="20"/>
      <c r="C4032" s="30"/>
      <c r="D4032" s="30"/>
      <c r="E4032" s="30"/>
      <c r="F4032" s="22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  <c r="T4032" s="23"/>
      <c r="U4032" s="23"/>
    </row>
    <row r="4033">
      <c r="A4033" s="20"/>
      <c r="B4033" s="20"/>
      <c r="C4033" s="30"/>
      <c r="D4033" s="30"/>
      <c r="E4033" s="30"/>
      <c r="F4033" s="22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  <c r="T4033" s="23"/>
      <c r="U4033" s="23"/>
    </row>
    <row r="4034">
      <c r="A4034" s="20"/>
      <c r="B4034" s="20"/>
      <c r="C4034" s="30"/>
      <c r="D4034" s="30"/>
      <c r="E4034" s="30"/>
      <c r="F4034" s="22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  <c r="T4034" s="23"/>
      <c r="U4034" s="23"/>
    </row>
    <row r="4035">
      <c r="A4035" s="20"/>
      <c r="B4035" s="20"/>
      <c r="C4035" s="30"/>
      <c r="D4035" s="30"/>
      <c r="E4035" s="30"/>
      <c r="F4035" s="22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  <c r="T4035" s="23"/>
      <c r="U4035" s="23"/>
    </row>
    <row r="4036">
      <c r="A4036" s="20"/>
      <c r="B4036" s="20"/>
      <c r="C4036" s="30"/>
      <c r="D4036" s="30"/>
      <c r="E4036" s="30"/>
      <c r="F4036" s="22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</row>
    <row r="4037">
      <c r="A4037" s="20"/>
      <c r="B4037" s="20"/>
      <c r="C4037" s="30"/>
      <c r="D4037" s="30"/>
      <c r="E4037" s="30"/>
      <c r="F4037" s="22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  <c r="T4037" s="23"/>
      <c r="U4037" s="23"/>
    </row>
    <row r="4038">
      <c r="A4038" s="20"/>
      <c r="B4038" s="20"/>
      <c r="C4038" s="30"/>
      <c r="D4038" s="30"/>
      <c r="E4038" s="30"/>
      <c r="F4038" s="22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  <c r="T4038" s="23"/>
      <c r="U4038" s="23"/>
    </row>
    <row r="4039">
      <c r="A4039" s="20"/>
      <c r="B4039" s="20"/>
      <c r="C4039" s="30"/>
      <c r="D4039" s="30"/>
      <c r="E4039" s="30"/>
      <c r="F4039" s="22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</row>
    <row r="4040">
      <c r="A4040" s="20"/>
      <c r="B4040" s="20"/>
      <c r="C4040" s="30"/>
      <c r="D4040" s="30"/>
      <c r="E4040" s="30"/>
      <c r="F4040" s="22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</row>
    <row r="4041">
      <c r="A4041" s="20"/>
      <c r="B4041" s="20"/>
      <c r="C4041" s="30"/>
      <c r="D4041" s="30"/>
      <c r="E4041" s="30"/>
      <c r="F4041" s="22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  <c r="T4041" s="23"/>
      <c r="U4041" s="23"/>
    </row>
    <row r="4042">
      <c r="A4042" s="20"/>
      <c r="B4042" s="20"/>
      <c r="C4042" s="30"/>
      <c r="D4042" s="30"/>
      <c r="E4042" s="30"/>
      <c r="F4042" s="22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</row>
    <row r="4043">
      <c r="A4043" s="20"/>
      <c r="B4043" s="20"/>
      <c r="C4043" s="30"/>
      <c r="D4043" s="30"/>
      <c r="E4043" s="30"/>
      <c r="F4043" s="22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  <c r="T4043" s="23"/>
      <c r="U4043" s="23"/>
    </row>
    <row r="4044">
      <c r="A4044" s="20"/>
      <c r="B4044" s="20"/>
      <c r="C4044" s="30"/>
      <c r="D4044" s="30"/>
      <c r="E4044" s="30"/>
      <c r="F4044" s="22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</row>
    <row r="4045">
      <c r="A4045" s="20"/>
      <c r="B4045" s="20"/>
      <c r="C4045" s="30"/>
      <c r="D4045" s="30"/>
      <c r="E4045" s="30"/>
      <c r="F4045" s="22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  <c r="T4045" s="23"/>
      <c r="U4045" s="23"/>
    </row>
    <row r="4046">
      <c r="A4046" s="20"/>
      <c r="B4046" s="20"/>
      <c r="C4046" s="30"/>
      <c r="D4046" s="30"/>
      <c r="E4046" s="30"/>
      <c r="F4046" s="22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  <c r="T4046" s="23"/>
      <c r="U4046" s="23"/>
    </row>
    <row r="4047">
      <c r="A4047" s="20"/>
      <c r="B4047" s="20"/>
      <c r="C4047" s="30"/>
      <c r="D4047" s="30"/>
      <c r="E4047" s="30"/>
      <c r="F4047" s="22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</row>
    <row r="4048">
      <c r="A4048" s="20"/>
      <c r="B4048" s="20"/>
      <c r="C4048" s="30"/>
      <c r="D4048" s="30"/>
      <c r="E4048" s="30"/>
      <c r="F4048" s="22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</row>
    <row r="4049">
      <c r="A4049" s="20"/>
      <c r="B4049" s="20"/>
      <c r="C4049" s="30"/>
      <c r="D4049" s="30"/>
      <c r="E4049" s="30"/>
      <c r="F4049" s="22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</row>
    <row r="4050">
      <c r="A4050" s="20"/>
      <c r="B4050" s="20"/>
      <c r="C4050" s="30"/>
      <c r="D4050" s="30"/>
      <c r="E4050" s="30"/>
      <c r="F4050" s="22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  <c r="T4050" s="23"/>
      <c r="U4050" s="23"/>
    </row>
    <row r="4051">
      <c r="A4051" s="20"/>
      <c r="B4051" s="20"/>
      <c r="C4051" s="30"/>
      <c r="D4051" s="30"/>
      <c r="E4051" s="30"/>
      <c r="F4051" s="22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  <c r="T4051" s="23"/>
      <c r="U4051" s="23"/>
    </row>
    <row r="4052">
      <c r="A4052" s="20"/>
      <c r="B4052" s="20"/>
      <c r="C4052" s="30"/>
      <c r="D4052" s="30"/>
      <c r="E4052" s="30"/>
      <c r="F4052" s="22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  <c r="T4052" s="23"/>
      <c r="U4052" s="23"/>
    </row>
    <row r="4053">
      <c r="A4053" s="20"/>
      <c r="B4053" s="20"/>
      <c r="C4053" s="30"/>
      <c r="D4053" s="30"/>
      <c r="E4053" s="30"/>
      <c r="F4053" s="22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  <c r="T4053" s="23"/>
      <c r="U4053" s="23"/>
    </row>
    <row r="4054">
      <c r="A4054" s="20"/>
      <c r="B4054" s="20"/>
      <c r="C4054" s="30"/>
      <c r="D4054" s="30"/>
      <c r="E4054" s="30"/>
      <c r="F4054" s="22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  <c r="T4054" s="23"/>
      <c r="U4054" s="23"/>
    </row>
    <row r="4055">
      <c r="A4055" s="20"/>
      <c r="B4055" s="20"/>
      <c r="C4055" s="30"/>
      <c r="D4055" s="30"/>
      <c r="E4055" s="30"/>
      <c r="F4055" s="22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  <c r="T4055" s="23"/>
      <c r="U4055" s="23"/>
    </row>
    <row r="4056">
      <c r="A4056" s="20"/>
      <c r="B4056" s="20"/>
      <c r="C4056" s="30"/>
      <c r="D4056" s="30"/>
      <c r="E4056" s="30"/>
      <c r="F4056" s="22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  <c r="T4056" s="23"/>
      <c r="U4056" s="23"/>
    </row>
    <row r="4057">
      <c r="A4057" s="20"/>
      <c r="B4057" s="20"/>
      <c r="C4057" s="30"/>
      <c r="D4057" s="30"/>
      <c r="E4057" s="30"/>
      <c r="F4057" s="22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  <c r="T4057" s="23"/>
      <c r="U4057" s="23"/>
    </row>
    <row r="4058">
      <c r="A4058" s="20"/>
      <c r="B4058" s="20"/>
      <c r="C4058" s="30"/>
      <c r="D4058" s="30"/>
      <c r="E4058" s="30"/>
      <c r="F4058" s="22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</row>
    <row r="4059">
      <c r="A4059" s="20"/>
      <c r="B4059" s="20"/>
      <c r="C4059" s="30"/>
      <c r="D4059" s="30"/>
      <c r="E4059" s="30"/>
      <c r="F4059" s="22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  <c r="T4059" s="23"/>
      <c r="U4059" s="23"/>
    </row>
    <row r="4060">
      <c r="A4060" s="20"/>
      <c r="B4060" s="20"/>
      <c r="C4060" s="30"/>
      <c r="D4060" s="30"/>
      <c r="E4060" s="30"/>
      <c r="F4060" s="22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  <c r="T4060" s="23"/>
      <c r="U4060" s="23"/>
    </row>
    <row r="4061">
      <c r="A4061" s="20"/>
      <c r="B4061" s="20"/>
      <c r="C4061" s="30"/>
      <c r="D4061" s="30"/>
      <c r="E4061" s="30"/>
      <c r="F4061" s="22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  <c r="T4061" s="23"/>
      <c r="U4061" s="23"/>
    </row>
    <row r="4062">
      <c r="A4062" s="20"/>
      <c r="B4062" s="20"/>
      <c r="C4062" s="30"/>
      <c r="D4062" s="30"/>
      <c r="E4062" s="30"/>
      <c r="F4062" s="22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  <c r="T4062" s="23"/>
      <c r="U4062" s="23"/>
    </row>
    <row r="4063">
      <c r="A4063" s="20"/>
      <c r="B4063" s="20"/>
      <c r="C4063" s="30"/>
      <c r="D4063" s="30"/>
      <c r="E4063" s="30"/>
      <c r="F4063" s="22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  <c r="T4063" s="23"/>
      <c r="U4063" s="23"/>
    </row>
    <row r="4064">
      <c r="A4064" s="20"/>
      <c r="B4064" s="20"/>
      <c r="C4064" s="30"/>
      <c r="D4064" s="30"/>
      <c r="E4064" s="30"/>
      <c r="F4064" s="22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  <c r="T4064" s="23"/>
      <c r="U4064" s="23"/>
    </row>
    <row r="4065">
      <c r="A4065" s="20"/>
      <c r="B4065" s="20"/>
      <c r="C4065" s="30"/>
      <c r="D4065" s="30"/>
      <c r="E4065" s="30"/>
      <c r="F4065" s="22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  <c r="T4065" s="23"/>
      <c r="U4065" s="23"/>
    </row>
    <row r="4066">
      <c r="A4066" s="20"/>
      <c r="B4066" s="20"/>
      <c r="C4066" s="30"/>
      <c r="D4066" s="30"/>
      <c r="E4066" s="30"/>
      <c r="F4066" s="22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  <c r="T4066" s="23"/>
      <c r="U4066" s="23"/>
    </row>
    <row r="4067">
      <c r="A4067" s="20"/>
      <c r="B4067" s="20"/>
      <c r="C4067" s="30"/>
      <c r="D4067" s="30"/>
      <c r="E4067" s="30"/>
      <c r="F4067" s="22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  <c r="T4067" s="23"/>
      <c r="U4067" s="23"/>
    </row>
    <row r="4068">
      <c r="A4068" s="20"/>
      <c r="B4068" s="20"/>
      <c r="C4068" s="30"/>
      <c r="D4068" s="30"/>
      <c r="E4068" s="30"/>
      <c r="F4068" s="22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  <c r="T4068" s="23"/>
      <c r="U4068" s="23"/>
    </row>
    <row r="4069">
      <c r="A4069" s="20"/>
      <c r="B4069" s="20"/>
      <c r="C4069" s="30"/>
      <c r="D4069" s="30"/>
      <c r="E4069" s="30"/>
      <c r="F4069" s="22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  <c r="T4069" s="23"/>
      <c r="U4069" s="23"/>
    </row>
    <row r="4070">
      <c r="A4070" s="20"/>
      <c r="B4070" s="20"/>
      <c r="C4070" s="30"/>
      <c r="D4070" s="30"/>
      <c r="E4070" s="30"/>
      <c r="F4070" s="22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  <c r="T4070" s="23"/>
      <c r="U4070" s="23"/>
    </row>
    <row r="4071">
      <c r="A4071" s="20"/>
      <c r="B4071" s="20"/>
      <c r="C4071" s="30"/>
      <c r="D4071" s="30"/>
      <c r="E4071" s="30"/>
      <c r="F4071" s="22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  <c r="T4071" s="23"/>
      <c r="U4071" s="23"/>
    </row>
    <row r="4072">
      <c r="A4072" s="20"/>
      <c r="B4072" s="20"/>
      <c r="C4072" s="30"/>
      <c r="D4072" s="30"/>
      <c r="E4072" s="30"/>
      <c r="F4072" s="22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  <c r="T4072" s="23"/>
      <c r="U4072" s="23"/>
    </row>
    <row r="4073">
      <c r="A4073" s="20"/>
      <c r="B4073" s="20"/>
      <c r="C4073" s="30"/>
      <c r="D4073" s="30"/>
      <c r="E4073" s="30"/>
      <c r="F4073" s="22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</row>
    <row r="4074">
      <c r="A4074" s="20"/>
      <c r="B4074" s="20"/>
      <c r="C4074" s="30"/>
      <c r="D4074" s="30"/>
      <c r="E4074" s="30"/>
      <c r="F4074" s="22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</row>
    <row r="4075">
      <c r="A4075" s="20"/>
      <c r="B4075" s="20"/>
      <c r="C4075" s="30"/>
      <c r="D4075" s="30"/>
      <c r="E4075" s="30"/>
      <c r="F4075" s="22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</row>
    <row r="4076">
      <c r="A4076" s="20"/>
      <c r="B4076" s="20"/>
      <c r="C4076" s="30"/>
      <c r="D4076" s="30"/>
      <c r="E4076" s="30"/>
      <c r="F4076" s="22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</row>
    <row r="4077">
      <c r="A4077" s="20"/>
      <c r="B4077" s="20"/>
      <c r="C4077" s="30"/>
      <c r="D4077" s="30"/>
      <c r="E4077" s="30"/>
      <c r="F4077" s="22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</row>
    <row r="4078">
      <c r="A4078" s="20"/>
      <c r="B4078" s="20"/>
      <c r="C4078" s="30"/>
      <c r="D4078" s="30"/>
      <c r="E4078" s="30"/>
      <c r="F4078" s="22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  <c r="T4078" s="23"/>
      <c r="U4078" s="23"/>
    </row>
    <row r="4079">
      <c r="A4079" s="20"/>
      <c r="B4079" s="20"/>
      <c r="C4079" s="30"/>
      <c r="D4079" s="30"/>
      <c r="E4079" s="30"/>
      <c r="F4079" s="22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  <c r="T4079" s="23"/>
      <c r="U4079" s="23"/>
    </row>
    <row r="4080">
      <c r="A4080" s="20"/>
      <c r="B4080" s="20"/>
      <c r="C4080" s="30"/>
      <c r="D4080" s="30"/>
      <c r="E4080" s="30"/>
      <c r="F4080" s="22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</row>
    <row r="4081">
      <c r="A4081" s="20"/>
      <c r="B4081" s="20"/>
      <c r="C4081" s="30"/>
      <c r="D4081" s="30"/>
      <c r="E4081" s="30"/>
      <c r="F4081" s="22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</row>
    <row r="4082">
      <c r="A4082" s="20"/>
      <c r="B4082" s="20"/>
      <c r="C4082" s="30"/>
      <c r="D4082" s="30"/>
      <c r="E4082" s="30"/>
      <c r="F4082" s="22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  <c r="T4082" s="23"/>
      <c r="U4082" s="23"/>
    </row>
    <row r="4083">
      <c r="A4083" s="20"/>
      <c r="B4083" s="20"/>
      <c r="C4083" s="30"/>
      <c r="D4083" s="30"/>
      <c r="E4083" s="30"/>
      <c r="F4083" s="22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  <c r="T4083" s="23"/>
      <c r="U4083" s="23"/>
    </row>
    <row r="4084">
      <c r="A4084" s="20"/>
      <c r="B4084" s="20"/>
      <c r="C4084" s="30"/>
      <c r="D4084" s="30"/>
      <c r="E4084" s="30"/>
      <c r="F4084" s="22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</row>
    <row r="4085">
      <c r="A4085" s="20"/>
      <c r="B4085" s="20"/>
      <c r="C4085" s="30"/>
      <c r="D4085" s="30"/>
      <c r="E4085" s="30"/>
      <c r="F4085" s="22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  <c r="T4085" s="23"/>
      <c r="U4085" s="23"/>
    </row>
    <row r="4086">
      <c r="A4086" s="20"/>
      <c r="B4086" s="20"/>
      <c r="C4086" s="30"/>
      <c r="D4086" s="30"/>
      <c r="E4086" s="30"/>
      <c r="F4086" s="22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  <c r="T4086" s="23"/>
      <c r="U4086" s="23"/>
    </row>
    <row r="4087">
      <c r="A4087" s="20"/>
      <c r="B4087" s="20"/>
      <c r="C4087" s="30"/>
      <c r="D4087" s="30"/>
      <c r="E4087" s="30"/>
      <c r="F4087" s="22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  <c r="T4087" s="23"/>
      <c r="U4087" s="23"/>
    </row>
    <row r="4088">
      <c r="A4088" s="20"/>
      <c r="B4088" s="20"/>
      <c r="C4088" s="30"/>
      <c r="D4088" s="30"/>
      <c r="E4088" s="30"/>
      <c r="F4088" s="22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  <c r="T4088" s="23"/>
      <c r="U4088" s="23"/>
    </row>
    <row r="4089">
      <c r="A4089" s="20"/>
      <c r="B4089" s="20"/>
      <c r="C4089" s="30"/>
      <c r="D4089" s="30"/>
      <c r="E4089" s="30"/>
      <c r="F4089" s="22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  <c r="T4089" s="23"/>
      <c r="U4089" s="23"/>
    </row>
    <row r="4090">
      <c r="A4090" s="20"/>
      <c r="B4090" s="20"/>
      <c r="C4090" s="30"/>
      <c r="D4090" s="30"/>
      <c r="E4090" s="30"/>
      <c r="F4090" s="22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</row>
    <row r="4091">
      <c r="A4091" s="20"/>
      <c r="B4091" s="20"/>
      <c r="C4091" s="30"/>
      <c r="D4091" s="30"/>
      <c r="E4091" s="30"/>
      <c r="F4091" s="22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  <c r="T4091" s="23"/>
      <c r="U4091" s="23"/>
    </row>
    <row r="4092">
      <c r="A4092" s="20"/>
      <c r="B4092" s="20"/>
      <c r="C4092" s="30"/>
      <c r="D4092" s="30"/>
      <c r="E4092" s="30"/>
      <c r="F4092" s="22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  <c r="T4092" s="23"/>
      <c r="U4092" s="23"/>
    </row>
    <row r="4093">
      <c r="A4093" s="20"/>
      <c r="B4093" s="20"/>
      <c r="C4093" s="30"/>
      <c r="D4093" s="30"/>
      <c r="E4093" s="30"/>
      <c r="F4093" s="22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  <c r="T4093" s="23"/>
      <c r="U4093" s="23"/>
    </row>
    <row r="4094">
      <c r="A4094" s="20"/>
      <c r="B4094" s="20"/>
      <c r="C4094" s="30"/>
      <c r="D4094" s="30"/>
      <c r="E4094" s="30"/>
      <c r="F4094" s="22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  <c r="T4094" s="23"/>
      <c r="U4094" s="23"/>
    </row>
    <row r="4095">
      <c r="A4095" s="20"/>
      <c r="B4095" s="20"/>
      <c r="C4095" s="30"/>
      <c r="D4095" s="30"/>
      <c r="E4095" s="30"/>
      <c r="F4095" s="22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  <c r="T4095" s="23"/>
      <c r="U4095" s="23"/>
    </row>
    <row r="4096">
      <c r="A4096" s="20"/>
      <c r="B4096" s="20"/>
      <c r="C4096" s="30"/>
      <c r="D4096" s="30"/>
      <c r="E4096" s="30"/>
      <c r="F4096" s="22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</row>
    <row r="4097">
      <c r="A4097" s="20"/>
      <c r="B4097" s="20"/>
      <c r="C4097" s="30"/>
      <c r="D4097" s="30"/>
      <c r="E4097" s="30"/>
      <c r="F4097" s="22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  <c r="T4097" s="23"/>
      <c r="U4097" s="23"/>
    </row>
    <row r="4098">
      <c r="A4098" s="20"/>
      <c r="B4098" s="20"/>
      <c r="C4098" s="30"/>
      <c r="D4098" s="30"/>
      <c r="E4098" s="30"/>
      <c r="F4098" s="22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</row>
    <row r="4099">
      <c r="A4099" s="20"/>
      <c r="B4099" s="20"/>
      <c r="C4099" s="30"/>
      <c r="D4099" s="30"/>
      <c r="E4099" s="30"/>
      <c r="F4099" s="22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  <c r="T4099" s="23"/>
      <c r="U4099" s="23"/>
    </row>
    <row r="4100">
      <c r="A4100" s="20"/>
      <c r="B4100" s="20"/>
      <c r="C4100" s="30"/>
      <c r="D4100" s="30"/>
      <c r="E4100" s="30"/>
      <c r="F4100" s="22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</row>
    <row r="4101">
      <c r="A4101" s="20"/>
      <c r="B4101" s="20"/>
      <c r="C4101" s="30"/>
      <c r="D4101" s="30"/>
      <c r="E4101" s="30"/>
      <c r="F4101" s="22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</row>
    <row r="4102">
      <c r="A4102" s="20"/>
      <c r="B4102" s="20"/>
      <c r="C4102" s="30"/>
      <c r="D4102" s="30"/>
      <c r="E4102" s="30"/>
      <c r="F4102" s="22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</row>
    <row r="4103">
      <c r="A4103" s="20"/>
      <c r="B4103" s="20"/>
      <c r="C4103" s="30"/>
      <c r="D4103" s="30"/>
      <c r="E4103" s="30"/>
      <c r="F4103" s="22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</row>
    <row r="4104">
      <c r="A4104" s="20"/>
      <c r="B4104" s="20"/>
      <c r="C4104" s="30"/>
      <c r="D4104" s="30"/>
      <c r="E4104" s="30"/>
      <c r="F4104" s="22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  <c r="T4104" s="23"/>
      <c r="U4104" s="23"/>
    </row>
    <row r="4105">
      <c r="A4105" s="20"/>
      <c r="B4105" s="20"/>
      <c r="C4105" s="30"/>
      <c r="D4105" s="30"/>
      <c r="E4105" s="30"/>
      <c r="F4105" s="22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</row>
    <row r="4106">
      <c r="A4106" s="20"/>
      <c r="B4106" s="20"/>
      <c r="C4106" s="30"/>
      <c r="D4106" s="30"/>
      <c r="E4106" s="30"/>
      <c r="F4106" s="22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  <c r="T4106" s="23"/>
      <c r="U4106" s="23"/>
    </row>
    <row r="4107">
      <c r="A4107" s="20"/>
      <c r="B4107" s="20"/>
      <c r="C4107" s="30"/>
      <c r="D4107" s="30"/>
      <c r="E4107" s="30"/>
      <c r="F4107" s="22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  <c r="T4107" s="23"/>
      <c r="U4107" s="23"/>
    </row>
    <row r="4108">
      <c r="A4108" s="20"/>
      <c r="B4108" s="20"/>
      <c r="C4108" s="30"/>
      <c r="D4108" s="30"/>
      <c r="E4108" s="30"/>
      <c r="F4108" s="22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</row>
    <row r="4109">
      <c r="A4109" s="20"/>
      <c r="B4109" s="20"/>
      <c r="C4109" s="30"/>
      <c r="D4109" s="30"/>
      <c r="E4109" s="30"/>
      <c r="F4109" s="22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  <c r="T4109" s="23"/>
      <c r="U4109" s="23"/>
    </row>
    <row r="4110">
      <c r="A4110" s="20"/>
      <c r="B4110" s="20"/>
      <c r="C4110" s="30"/>
      <c r="D4110" s="30"/>
      <c r="E4110" s="30"/>
      <c r="F4110" s="22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  <c r="T4110" s="23"/>
      <c r="U4110" s="23"/>
    </row>
    <row r="4111">
      <c r="A4111" s="20"/>
      <c r="B4111" s="20"/>
      <c r="C4111" s="30"/>
      <c r="D4111" s="30"/>
      <c r="E4111" s="30"/>
      <c r="F4111" s="22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  <c r="T4111" s="23"/>
      <c r="U4111" s="23"/>
    </row>
    <row r="4112">
      <c r="A4112" s="20"/>
      <c r="B4112" s="20"/>
      <c r="C4112" s="30"/>
      <c r="D4112" s="30"/>
      <c r="E4112" s="30"/>
      <c r="F4112" s="22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  <c r="T4112" s="23"/>
      <c r="U4112" s="23"/>
    </row>
    <row r="4113">
      <c r="A4113" s="20"/>
      <c r="B4113" s="20"/>
      <c r="C4113" s="30"/>
      <c r="D4113" s="30"/>
      <c r="E4113" s="30"/>
      <c r="F4113" s="22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  <c r="T4113" s="23"/>
      <c r="U4113" s="23"/>
    </row>
    <row r="4114">
      <c r="A4114" s="20"/>
      <c r="B4114" s="20"/>
      <c r="C4114" s="30"/>
      <c r="D4114" s="30"/>
      <c r="E4114" s="30"/>
      <c r="F4114" s="22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</row>
    <row r="4115">
      <c r="A4115" s="20"/>
      <c r="B4115" s="20"/>
      <c r="C4115" s="30"/>
      <c r="D4115" s="30"/>
      <c r="E4115" s="30"/>
      <c r="F4115" s="22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</row>
    <row r="4116">
      <c r="A4116" s="20"/>
      <c r="B4116" s="20"/>
      <c r="C4116" s="30"/>
      <c r="D4116" s="30"/>
      <c r="E4116" s="30"/>
      <c r="F4116" s="22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  <c r="T4116" s="23"/>
      <c r="U4116" s="23"/>
    </row>
    <row r="4117">
      <c r="A4117" s="20"/>
      <c r="B4117" s="20"/>
      <c r="C4117" s="30"/>
      <c r="D4117" s="30"/>
      <c r="E4117" s="30"/>
      <c r="F4117" s="22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  <c r="T4117" s="23"/>
      <c r="U4117" s="23"/>
    </row>
    <row r="4118">
      <c r="A4118" s="20"/>
      <c r="B4118" s="20"/>
      <c r="C4118" s="30"/>
      <c r="D4118" s="30"/>
      <c r="E4118" s="30"/>
      <c r="F4118" s="22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  <c r="T4118" s="23"/>
      <c r="U4118" s="23"/>
    </row>
    <row r="4119">
      <c r="A4119" s="20"/>
      <c r="B4119" s="20"/>
      <c r="C4119" s="30"/>
      <c r="D4119" s="30"/>
      <c r="E4119" s="30"/>
      <c r="F4119" s="22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</row>
    <row r="4120">
      <c r="A4120" s="20"/>
      <c r="B4120" s="20"/>
      <c r="C4120" s="30"/>
      <c r="D4120" s="30"/>
      <c r="E4120" s="30"/>
      <c r="F4120" s="22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  <c r="T4120" s="23"/>
      <c r="U4120" s="23"/>
    </row>
    <row r="4121">
      <c r="A4121" s="20"/>
      <c r="B4121" s="20"/>
      <c r="C4121" s="30"/>
      <c r="D4121" s="30"/>
      <c r="E4121" s="30"/>
      <c r="F4121" s="22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</row>
    <row r="4122">
      <c r="A4122" s="20"/>
      <c r="B4122" s="20"/>
      <c r="C4122" s="30"/>
      <c r="D4122" s="30"/>
      <c r="E4122" s="30"/>
      <c r="F4122" s="22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  <c r="T4122" s="23"/>
      <c r="U4122" s="23"/>
    </row>
    <row r="4123">
      <c r="A4123" s="20"/>
      <c r="B4123" s="20"/>
      <c r="C4123" s="30"/>
      <c r="D4123" s="30"/>
      <c r="E4123" s="30"/>
      <c r="F4123" s="22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</row>
    <row r="4124">
      <c r="A4124" s="20"/>
      <c r="B4124" s="20"/>
      <c r="C4124" s="30"/>
      <c r="D4124" s="30"/>
      <c r="E4124" s="30"/>
      <c r="F4124" s="22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</row>
    <row r="4125">
      <c r="A4125" s="20"/>
      <c r="B4125" s="20"/>
      <c r="C4125" s="30"/>
      <c r="D4125" s="30"/>
      <c r="E4125" s="30"/>
      <c r="F4125" s="22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  <c r="T4125" s="23"/>
      <c r="U4125" s="23"/>
    </row>
    <row r="4126">
      <c r="A4126" s="20"/>
      <c r="B4126" s="20"/>
      <c r="C4126" s="30"/>
      <c r="D4126" s="30"/>
      <c r="E4126" s="30"/>
      <c r="F4126" s="22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</row>
    <row r="4127">
      <c r="A4127" s="20"/>
      <c r="B4127" s="20"/>
      <c r="C4127" s="30"/>
      <c r="D4127" s="30"/>
      <c r="E4127" s="30"/>
      <c r="F4127" s="22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</row>
    <row r="4128">
      <c r="A4128" s="20"/>
      <c r="B4128" s="20"/>
      <c r="C4128" s="30"/>
      <c r="D4128" s="30"/>
      <c r="E4128" s="30"/>
      <c r="F4128" s="22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</row>
    <row r="4129">
      <c r="A4129" s="20"/>
      <c r="B4129" s="20"/>
      <c r="C4129" s="30"/>
      <c r="D4129" s="30"/>
      <c r="E4129" s="30"/>
      <c r="F4129" s="22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</row>
    <row r="4130">
      <c r="A4130" s="20"/>
      <c r="B4130" s="20"/>
      <c r="C4130" s="30"/>
      <c r="D4130" s="30"/>
      <c r="E4130" s="30"/>
      <c r="F4130" s="22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</row>
    <row r="4131">
      <c r="A4131" s="20"/>
      <c r="B4131" s="20"/>
      <c r="C4131" s="30"/>
      <c r="D4131" s="30"/>
      <c r="E4131" s="30"/>
      <c r="F4131" s="22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  <c r="T4131" s="23"/>
      <c r="U4131" s="23"/>
    </row>
    <row r="4132">
      <c r="A4132" s="20"/>
      <c r="B4132" s="20"/>
      <c r="C4132" s="30"/>
      <c r="D4132" s="30"/>
      <c r="E4132" s="30"/>
      <c r="F4132" s="22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</row>
    <row r="4133">
      <c r="A4133" s="20"/>
      <c r="B4133" s="20"/>
      <c r="C4133" s="30"/>
      <c r="D4133" s="30"/>
      <c r="E4133" s="30"/>
      <c r="F4133" s="22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  <c r="T4133" s="23"/>
      <c r="U4133" s="23"/>
    </row>
    <row r="4134">
      <c r="A4134" s="20"/>
      <c r="B4134" s="20"/>
      <c r="C4134" s="30"/>
      <c r="D4134" s="30"/>
      <c r="E4134" s="30"/>
      <c r="F4134" s="22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</row>
    <row r="4135">
      <c r="A4135" s="20"/>
      <c r="B4135" s="20"/>
      <c r="C4135" s="30"/>
      <c r="D4135" s="30"/>
      <c r="E4135" s="30"/>
      <c r="F4135" s="22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</row>
    <row r="4136">
      <c r="A4136" s="20"/>
      <c r="B4136" s="20"/>
      <c r="C4136" s="30"/>
      <c r="D4136" s="30"/>
      <c r="E4136" s="30"/>
      <c r="F4136" s="22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  <c r="T4136" s="23"/>
      <c r="U4136" s="23"/>
    </row>
    <row r="4137">
      <c r="A4137" s="20"/>
      <c r="B4137" s="20"/>
      <c r="C4137" s="30"/>
      <c r="D4137" s="30"/>
      <c r="E4137" s="30"/>
      <c r="F4137" s="22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  <c r="T4137" s="23"/>
      <c r="U4137" s="23"/>
    </row>
    <row r="4138">
      <c r="A4138" s="20"/>
      <c r="B4138" s="20"/>
      <c r="C4138" s="30"/>
      <c r="D4138" s="30"/>
      <c r="E4138" s="30"/>
      <c r="F4138" s="22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  <c r="T4138" s="23"/>
      <c r="U4138" s="23"/>
    </row>
    <row r="4139">
      <c r="A4139" s="20"/>
      <c r="B4139" s="20"/>
      <c r="C4139" s="30"/>
      <c r="D4139" s="30"/>
      <c r="E4139" s="30"/>
      <c r="F4139" s="22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  <c r="T4139" s="23"/>
      <c r="U4139" s="23"/>
    </row>
    <row r="4140">
      <c r="A4140" s="20"/>
      <c r="B4140" s="20"/>
      <c r="C4140" s="30"/>
      <c r="D4140" s="30"/>
      <c r="E4140" s="30"/>
      <c r="F4140" s="22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  <c r="T4140" s="23"/>
      <c r="U4140" s="23"/>
    </row>
    <row r="4141">
      <c r="A4141" s="20"/>
      <c r="B4141" s="20"/>
      <c r="C4141" s="30"/>
      <c r="D4141" s="30"/>
      <c r="E4141" s="30"/>
      <c r="F4141" s="22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</row>
    <row r="4142">
      <c r="A4142" s="20"/>
      <c r="B4142" s="20"/>
      <c r="C4142" s="30"/>
      <c r="D4142" s="30"/>
      <c r="E4142" s="30"/>
      <c r="F4142" s="22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  <c r="T4142" s="23"/>
      <c r="U4142" s="23"/>
    </row>
    <row r="4143">
      <c r="A4143" s="20"/>
      <c r="B4143" s="20"/>
      <c r="C4143" s="30"/>
      <c r="D4143" s="30"/>
      <c r="E4143" s="30"/>
      <c r="F4143" s="22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  <c r="T4143" s="23"/>
      <c r="U4143" s="23"/>
    </row>
    <row r="4144">
      <c r="A4144" s="20"/>
      <c r="B4144" s="20"/>
      <c r="C4144" s="30"/>
      <c r="D4144" s="30"/>
      <c r="E4144" s="30"/>
      <c r="F4144" s="22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</row>
    <row r="4145">
      <c r="A4145" s="20"/>
      <c r="B4145" s="20"/>
      <c r="C4145" s="30"/>
      <c r="D4145" s="30"/>
      <c r="E4145" s="30"/>
      <c r="F4145" s="22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</row>
    <row r="4146">
      <c r="A4146" s="20"/>
      <c r="B4146" s="20"/>
      <c r="C4146" s="30"/>
      <c r="D4146" s="30"/>
      <c r="E4146" s="30"/>
      <c r="F4146" s="22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</row>
    <row r="4147">
      <c r="A4147" s="20"/>
      <c r="B4147" s="20"/>
      <c r="C4147" s="30"/>
      <c r="D4147" s="30"/>
      <c r="E4147" s="30"/>
      <c r="F4147" s="22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  <c r="T4147" s="23"/>
      <c r="U4147" s="23"/>
    </row>
    <row r="4148">
      <c r="A4148" s="20"/>
      <c r="B4148" s="20"/>
      <c r="C4148" s="30"/>
      <c r="D4148" s="30"/>
      <c r="E4148" s="30"/>
      <c r="F4148" s="22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  <c r="T4148" s="23"/>
      <c r="U4148" s="23"/>
    </row>
    <row r="4149">
      <c r="A4149" s="20"/>
      <c r="B4149" s="20"/>
      <c r="C4149" s="30"/>
      <c r="D4149" s="30"/>
      <c r="E4149" s="30"/>
      <c r="F4149" s="22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</row>
    <row r="4150">
      <c r="A4150" s="20"/>
      <c r="B4150" s="20"/>
      <c r="C4150" s="30"/>
      <c r="D4150" s="30"/>
      <c r="E4150" s="30"/>
      <c r="F4150" s="22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  <c r="T4150" s="23"/>
      <c r="U4150" s="23"/>
    </row>
    <row r="4151">
      <c r="A4151" s="20"/>
      <c r="B4151" s="20"/>
      <c r="C4151" s="30"/>
      <c r="D4151" s="30"/>
      <c r="E4151" s="30"/>
      <c r="F4151" s="22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  <c r="T4151" s="23"/>
      <c r="U4151" s="23"/>
    </row>
    <row r="4152">
      <c r="A4152" s="20"/>
      <c r="B4152" s="20"/>
      <c r="C4152" s="30"/>
      <c r="D4152" s="30"/>
      <c r="E4152" s="30"/>
      <c r="F4152" s="22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  <c r="T4152" s="23"/>
      <c r="U4152" s="23"/>
    </row>
    <row r="4153">
      <c r="A4153" s="20"/>
      <c r="B4153" s="20"/>
      <c r="C4153" s="30"/>
      <c r="D4153" s="30"/>
      <c r="E4153" s="30"/>
      <c r="F4153" s="22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  <c r="T4153" s="23"/>
      <c r="U4153" s="23"/>
    </row>
    <row r="4154">
      <c r="A4154" s="20"/>
      <c r="B4154" s="20"/>
      <c r="C4154" s="30"/>
      <c r="D4154" s="30"/>
      <c r="E4154" s="30"/>
      <c r="F4154" s="22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  <c r="T4154" s="23"/>
      <c r="U4154" s="23"/>
    </row>
    <row r="4155">
      <c r="A4155" s="20"/>
      <c r="B4155" s="20"/>
      <c r="C4155" s="30"/>
      <c r="D4155" s="30"/>
      <c r="E4155" s="30"/>
      <c r="F4155" s="22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</row>
    <row r="4156">
      <c r="A4156" s="20"/>
      <c r="B4156" s="20"/>
      <c r="C4156" s="30"/>
      <c r="D4156" s="30"/>
      <c r="E4156" s="30"/>
      <c r="F4156" s="22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  <c r="T4156" s="23"/>
      <c r="U4156" s="23"/>
    </row>
    <row r="4157">
      <c r="A4157" s="20"/>
      <c r="B4157" s="20"/>
      <c r="C4157" s="30"/>
      <c r="D4157" s="30"/>
      <c r="E4157" s="30"/>
      <c r="F4157" s="22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  <c r="T4157" s="23"/>
      <c r="U4157" s="23"/>
    </row>
    <row r="4158">
      <c r="A4158" s="20"/>
      <c r="B4158" s="20"/>
      <c r="C4158" s="30"/>
      <c r="D4158" s="30"/>
      <c r="E4158" s="30"/>
      <c r="F4158" s="22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  <c r="T4158" s="23"/>
      <c r="U4158" s="23"/>
    </row>
    <row r="4159">
      <c r="A4159" s="20"/>
      <c r="B4159" s="20"/>
      <c r="C4159" s="30"/>
      <c r="D4159" s="30"/>
      <c r="E4159" s="30"/>
      <c r="F4159" s="22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  <c r="T4159" s="23"/>
      <c r="U4159" s="23"/>
    </row>
    <row r="4160">
      <c r="A4160" s="20"/>
      <c r="B4160" s="20"/>
      <c r="C4160" s="30"/>
      <c r="D4160" s="30"/>
      <c r="E4160" s="30"/>
      <c r="F4160" s="22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  <c r="T4160" s="23"/>
      <c r="U4160" s="23"/>
    </row>
    <row r="4161">
      <c r="A4161" s="20"/>
      <c r="B4161" s="20"/>
      <c r="C4161" s="30"/>
      <c r="D4161" s="30"/>
      <c r="E4161" s="30"/>
      <c r="F4161" s="22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  <c r="T4161" s="23"/>
      <c r="U4161" s="23"/>
    </row>
    <row r="4162">
      <c r="A4162" s="20"/>
      <c r="B4162" s="20"/>
      <c r="C4162" s="30"/>
      <c r="D4162" s="30"/>
      <c r="E4162" s="30"/>
      <c r="F4162" s="22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</row>
    <row r="4163">
      <c r="A4163" s="20"/>
      <c r="B4163" s="20"/>
      <c r="C4163" s="30"/>
      <c r="D4163" s="30"/>
      <c r="E4163" s="30"/>
      <c r="F4163" s="22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  <c r="T4163" s="23"/>
      <c r="U4163" s="23"/>
    </row>
    <row r="4164">
      <c r="A4164" s="20"/>
      <c r="B4164" s="20"/>
      <c r="C4164" s="30"/>
      <c r="D4164" s="30"/>
      <c r="E4164" s="30"/>
      <c r="F4164" s="22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  <c r="T4164" s="23"/>
      <c r="U4164" s="23"/>
    </row>
    <row r="4165">
      <c r="A4165" s="20"/>
      <c r="B4165" s="20"/>
      <c r="C4165" s="30"/>
      <c r="D4165" s="30"/>
      <c r="E4165" s="30"/>
      <c r="F4165" s="22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</row>
    <row r="4166">
      <c r="A4166" s="20"/>
      <c r="B4166" s="20"/>
      <c r="C4166" s="30"/>
      <c r="D4166" s="30"/>
      <c r="E4166" s="30"/>
      <c r="F4166" s="22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</row>
    <row r="4167">
      <c r="A4167" s="20"/>
      <c r="B4167" s="20"/>
      <c r="C4167" s="30"/>
      <c r="D4167" s="30"/>
      <c r="E4167" s="30"/>
      <c r="F4167" s="22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</row>
    <row r="4168">
      <c r="A4168" s="20"/>
      <c r="B4168" s="20"/>
      <c r="C4168" s="30"/>
      <c r="D4168" s="30"/>
      <c r="E4168" s="30"/>
      <c r="F4168" s="22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  <c r="T4168" s="23"/>
      <c r="U4168" s="23"/>
    </row>
    <row r="4169">
      <c r="A4169" s="20"/>
      <c r="B4169" s="20"/>
      <c r="C4169" s="30"/>
      <c r="D4169" s="30"/>
      <c r="E4169" s="30"/>
      <c r="F4169" s="22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  <c r="T4169" s="23"/>
      <c r="U4169" s="23"/>
    </row>
    <row r="4170">
      <c r="A4170" s="20"/>
      <c r="B4170" s="20"/>
      <c r="C4170" s="30"/>
      <c r="D4170" s="30"/>
      <c r="E4170" s="30"/>
      <c r="F4170" s="22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</row>
    <row r="4171">
      <c r="A4171" s="20"/>
      <c r="B4171" s="20"/>
      <c r="C4171" s="30"/>
      <c r="D4171" s="30"/>
      <c r="E4171" s="30"/>
      <c r="F4171" s="22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  <c r="T4171" s="23"/>
      <c r="U4171" s="23"/>
    </row>
    <row r="4172">
      <c r="A4172" s="20"/>
      <c r="B4172" s="20"/>
      <c r="C4172" s="30"/>
      <c r="D4172" s="30"/>
      <c r="E4172" s="30"/>
      <c r="F4172" s="22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  <c r="T4172" s="23"/>
      <c r="U4172" s="23"/>
    </row>
    <row r="4173">
      <c r="A4173" s="20"/>
      <c r="B4173" s="20"/>
      <c r="C4173" s="30"/>
      <c r="D4173" s="30"/>
      <c r="E4173" s="30"/>
      <c r="F4173" s="22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  <c r="T4173" s="23"/>
      <c r="U4173" s="23"/>
    </row>
    <row r="4174">
      <c r="A4174" s="20"/>
      <c r="B4174" s="20"/>
      <c r="C4174" s="30"/>
      <c r="D4174" s="30"/>
      <c r="E4174" s="30"/>
      <c r="F4174" s="22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  <c r="T4174" s="23"/>
      <c r="U4174" s="23"/>
    </row>
    <row r="4175">
      <c r="A4175" s="20"/>
      <c r="B4175" s="20"/>
      <c r="C4175" s="30"/>
      <c r="D4175" s="30"/>
      <c r="E4175" s="30"/>
      <c r="F4175" s="22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  <c r="T4175" s="23"/>
      <c r="U4175" s="23"/>
    </row>
    <row r="4176">
      <c r="A4176" s="20"/>
      <c r="B4176" s="20"/>
      <c r="C4176" s="30"/>
      <c r="D4176" s="30"/>
      <c r="E4176" s="30"/>
      <c r="F4176" s="22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</row>
    <row r="4177">
      <c r="A4177" s="20"/>
      <c r="B4177" s="20"/>
      <c r="C4177" s="30"/>
      <c r="D4177" s="30"/>
      <c r="E4177" s="30"/>
      <c r="F4177" s="22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  <c r="T4177" s="23"/>
      <c r="U4177" s="23"/>
    </row>
    <row r="4178">
      <c r="A4178" s="20"/>
      <c r="B4178" s="20"/>
      <c r="C4178" s="30"/>
      <c r="D4178" s="30"/>
      <c r="E4178" s="30"/>
      <c r="F4178" s="22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  <c r="T4178" s="23"/>
      <c r="U4178" s="23"/>
    </row>
    <row r="4179">
      <c r="A4179" s="20"/>
      <c r="B4179" s="20"/>
      <c r="C4179" s="30"/>
      <c r="D4179" s="30"/>
      <c r="E4179" s="30"/>
      <c r="F4179" s="22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</row>
    <row r="4180">
      <c r="A4180" s="20"/>
      <c r="B4180" s="20"/>
      <c r="C4180" s="30"/>
      <c r="D4180" s="30"/>
      <c r="E4180" s="30"/>
      <c r="F4180" s="22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  <c r="T4180" s="23"/>
      <c r="U4180" s="23"/>
    </row>
    <row r="4181">
      <c r="A4181" s="20"/>
      <c r="B4181" s="20"/>
      <c r="C4181" s="30"/>
      <c r="D4181" s="30"/>
      <c r="E4181" s="30"/>
      <c r="F4181" s="22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  <c r="T4181" s="23"/>
      <c r="U4181" s="23"/>
    </row>
    <row r="4182">
      <c r="A4182" s="20"/>
      <c r="B4182" s="20"/>
      <c r="C4182" s="30"/>
      <c r="D4182" s="30"/>
      <c r="E4182" s="30"/>
      <c r="F4182" s="22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</row>
    <row r="4183">
      <c r="A4183" s="20"/>
      <c r="B4183" s="20"/>
      <c r="C4183" s="30"/>
      <c r="D4183" s="30"/>
      <c r="E4183" s="30"/>
      <c r="F4183" s="22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  <c r="T4183" s="23"/>
      <c r="U4183" s="23"/>
    </row>
    <row r="4184">
      <c r="A4184" s="20"/>
      <c r="B4184" s="20"/>
      <c r="C4184" s="30"/>
      <c r="D4184" s="30"/>
      <c r="E4184" s="30"/>
      <c r="F4184" s="22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  <c r="T4184" s="23"/>
      <c r="U4184" s="23"/>
    </row>
    <row r="4185">
      <c r="A4185" s="20"/>
      <c r="B4185" s="20"/>
      <c r="C4185" s="30"/>
      <c r="D4185" s="30"/>
      <c r="E4185" s="30"/>
      <c r="F4185" s="22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  <c r="T4185" s="23"/>
      <c r="U4185" s="23"/>
    </row>
    <row r="4186">
      <c r="A4186" s="20"/>
      <c r="B4186" s="20"/>
      <c r="C4186" s="30"/>
      <c r="D4186" s="30"/>
      <c r="E4186" s="30"/>
      <c r="F4186" s="22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</row>
    <row r="4187">
      <c r="A4187" s="20"/>
      <c r="B4187" s="20"/>
      <c r="C4187" s="30"/>
      <c r="D4187" s="30"/>
      <c r="E4187" s="30"/>
      <c r="F4187" s="22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  <c r="T4187" s="23"/>
      <c r="U4187" s="23"/>
    </row>
    <row r="4188">
      <c r="A4188" s="20"/>
      <c r="B4188" s="20"/>
      <c r="C4188" s="30"/>
      <c r="D4188" s="30"/>
      <c r="E4188" s="30"/>
      <c r="F4188" s="22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</row>
    <row r="4189">
      <c r="A4189" s="20"/>
      <c r="B4189" s="20"/>
      <c r="C4189" s="30"/>
      <c r="D4189" s="30"/>
      <c r="E4189" s="30"/>
      <c r="F4189" s="22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</row>
    <row r="4190">
      <c r="A4190" s="20"/>
      <c r="B4190" s="20"/>
      <c r="C4190" s="30"/>
      <c r="D4190" s="30"/>
      <c r="E4190" s="30"/>
      <c r="F4190" s="22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  <c r="T4190" s="23"/>
      <c r="U4190" s="23"/>
    </row>
    <row r="4191">
      <c r="A4191" s="20"/>
      <c r="B4191" s="20"/>
      <c r="C4191" s="30"/>
      <c r="D4191" s="30"/>
      <c r="E4191" s="30"/>
      <c r="F4191" s="22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</row>
    <row r="4192">
      <c r="A4192" s="20"/>
      <c r="B4192" s="20"/>
      <c r="C4192" s="30"/>
      <c r="D4192" s="30"/>
      <c r="E4192" s="30"/>
      <c r="F4192" s="22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</row>
    <row r="4193">
      <c r="A4193" s="20"/>
      <c r="B4193" s="20"/>
      <c r="C4193" s="30"/>
      <c r="D4193" s="30"/>
      <c r="E4193" s="30"/>
      <c r="F4193" s="22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</row>
    <row r="4194">
      <c r="A4194" s="20"/>
      <c r="B4194" s="20"/>
      <c r="C4194" s="30"/>
      <c r="D4194" s="30"/>
      <c r="E4194" s="30"/>
      <c r="F4194" s="22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  <c r="T4194" s="23"/>
      <c r="U4194" s="23"/>
    </row>
    <row r="4195">
      <c r="A4195" s="20"/>
      <c r="B4195" s="20"/>
      <c r="C4195" s="30"/>
      <c r="D4195" s="30"/>
      <c r="E4195" s="30"/>
      <c r="F4195" s="22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  <c r="T4195" s="23"/>
      <c r="U4195" s="23"/>
    </row>
    <row r="4196">
      <c r="A4196" s="20"/>
      <c r="B4196" s="20"/>
      <c r="C4196" s="30"/>
      <c r="D4196" s="30"/>
      <c r="E4196" s="30"/>
      <c r="F4196" s="22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</row>
    <row r="4197">
      <c r="A4197" s="20"/>
      <c r="B4197" s="20"/>
      <c r="C4197" s="30"/>
      <c r="D4197" s="30"/>
      <c r="E4197" s="30"/>
      <c r="F4197" s="22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</row>
    <row r="4198">
      <c r="A4198" s="20"/>
      <c r="B4198" s="20"/>
      <c r="C4198" s="30"/>
      <c r="D4198" s="30"/>
      <c r="E4198" s="30"/>
      <c r="F4198" s="22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</row>
    <row r="4199">
      <c r="A4199" s="20"/>
      <c r="B4199" s="20"/>
      <c r="C4199" s="30"/>
      <c r="D4199" s="30"/>
      <c r="E4199" s="30"/>
      <c r="F4199" s="22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</row>
    <row r="4200">
      <c r="A4200" s="20"/>
      <c r="B4200" s="20"/>
      <c r="C4200" s="30"/>
      <c r="D4200" s="30"/>
      <c r="E4200" s="30"/>
      <c r="F4200" s="22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</row>
    <row r="4201">
      <c r="A4201" s="20"/>
      <c r="B4201" s="20"/>
      <c r="C4201" s="30"/>
      <c r="D4201" s="30"/>
      <c r="E4201" s="30"/>
      <c r="F4201" s="22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</row>
    <row r="4202">
      <c r="A4202" s="20"/>
      <c r="B4202" s="20"/>
      <c r="C4202" s="30"/>
      <c r="D4202" s="30"/>
      <c r="E4202" s="30"/>
      <c r="F4202" s="22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  <c r="T4202" s="23"/>
      <c r="U4202" s="23"/>
    </row>
    <row r="4203">
      <c r="A4203" s="20"/>
      <c r="B4203" s="20"/>
      <c r="C4203" s="30"/>
      <c r="D4203" s="30"/>
      <c r="E4203" s="30"/>
      <c r="F4203" s="22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  <c r="T4203" s="23"/>
      <c r="U4203" s="23"/>
    </row>
    <row r="4204">
      <c r="A4204" s="20"/>
      <c r="B4204" s="20"/>
      <c r="C4204" s="30"/>
      <c r="D4204" s="30"/>
      <c r="E4204" s="30"/>
      <c r="F4204" s="22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  <c r="T4204" s="23"/>
      <c r="U4204" s="23"/>
    </row>
    <row r="4205">
      <c r="A4205" s="20"/>
      <c r="B4205" s="20"/>
      <c r="C4205" s="30"/>
      <c r="D4205" s="30"/>
      <c r="E4205" s="30"/>
      <c r="F4205" s="22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  <c r="T4205" s="23"/>
      <c r="U4205" s="23"/>
    </row>
    <row r="4206">
      <c r="A4206" s="20"/>
      <c r="B4206" s="20"/>
      <c r="C4206" s="30"/>
      <c r="D4206" s="30"/>
      <c r="E4206" s="30"/>
      <c r="F4206" s="22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  <c r="T4206" s="23"/>
      <c r="U4206" s="23"/>
    </row>
    <row r="4207">
      <c r="A4207" s="20"/>
      <c r="B4207" s="20"/>
      <c r="C4207" s="30"/>
      <c r="D4207" s="30"/>
      <c r="E4207" s="30"/>
      <c r="F4207" s="22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  <c r="T4207" s="23"/>
      <c r="U4207" s="23"/>
    </row>
    <row r="4208">
      <c r="A4208" s="20"/>
      <c r="B4208" s="20"/>
      <c r="C4208" s="30"/>
      <c r="D4208" s="30"/>
      <c r="E4208" s="30"/>
      <c r="F4208" s="22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</row>
    <row r="4209">
      <c r="A4209" s="20"/>
      <c r="B4209" s="20"/>
      <c r="C4209" s="30"/>
      <c r="D4209" s="30"/>
      <c r="E4209" s="30"/>
      <c r="F4209" s="22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  <c r="T4209" s="23"/>
      <c r="U4209" s="23"/>
    </row>
    <row r="4210">
      <c r="A4210" s="20"/>
      <c r="B4210" s="20"/>
      <c r="C4210" s="30"/>
      <c r="D4210" s="30"/>
      <c r="E4210" s="30"/>
      <c r="F4210" s="22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  <c r="T4210" s="23"/>
      <c r="U4210" s="23"/>
    </row>
    <row r="4211">
      <c r="A4211" s="20"/>
      <c r="B4211" s="20"/>
      <c r="C4211" s="30"/>
      <c r="D4211" s="30"/>
      <c r="E4211" s="30"/>
      <c r="F4211" s="22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</row>
    <row r="4212">
      <c r="A4212" s="20"/>
      <c r="B4212" s="20"/>
      <c r="C4212" s="30"/>
      <c r="D4212" s="30"/>
      <c r="E4212" s="30"/>
      <c r="F4212" s="22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  <c r="T4212" s="23"/>
      <c r="U4212" s="23"/>
    </row>
    <row r="4213">
      <c r="A4213" s="20"/>
      <c r="B4213" s="20"/>
      <c r="C4213" s="30"/>
      <c r="D4213" s="30"/>
      <c r="E4213" s="30"/>
      <c r="F4213" s="22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  <c r="T4213" s="23"/>
      <c r="U4213" s="23"/>
    </row>
    <row r="4214">
      <c r="A4214" s="20"/>
      <c r="B4214" s="20"/>
      <c r="C4214" s="30"/>
      <c r="D4214" s="30"/>
      <c r="E4214" s="30"/>
      <c r="F4214" s="22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</row>
    <row r="4215">
      <c r="A4215" s="20"/>
      <c r="B4215" s="20"/>
      <c r="C4215" s="30"/>
      <c r="D4215" s="30"/>
      <c r="E4215" s="30"/>
      <c r="F4215" s="22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</row>
    <row r="4216">
      <c r="A4216" s="20"/>
      <c r="B4216" s="20"/>
      <c r="C4216" s="30"/>
      <c r="D4216" s="30"/>
      <c r="E4216" s="30"/>
      <c r="F4216" s="22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  <c r="T4216" s="23"/>
      <c r="U4216" s="23"/>
    </row>
    <row r="4217">
      <c r="A4217" s="20"/>
      <c r="B4217" s="20"/>
      <c r="C4217" s="30"/>
      <c r="D4217" s="30"/>
      <c r="E4217" s="30"/>
      <c r="F4217" s="22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</row>
    <row r="4218">
      <c r="A4218" s="20"/>
      <c r="B4218" s="20"/>
      <c r="C4218" s="30"/>
      <c r="D4218" s="30"/>
      <c r="E4218" s="30"/>
      <c r="F4218" s="22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</row>
    <row r="4219">
      <c r="A4219" s="20"/>
      <c r="B4219" s="20"/>
      <c r="C4219" s="30"/>
      <c r="D4219" s="30"/>
      <c r="E4219" s="30"/>
      <c r="F4219" s="22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</row>
    <row r="4220">
      <c r="A4220" s="20"/>
      <c r="B4220" s="20"/>
      <c r="C4220" s="30"/>
      <c r="D4220" s="30"/>
      <c r="E4220" s="30"/>
      <c r="F4220" s="22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</row>
    <row r="4221">
      <c r="A4221" s="20"/>
      <c r="B4221" s="20"/>
      <c r="C4221" s="30"/>
      <c r="D4221" s="30"/>
      <c r="E4221" s="30"/>
      <c r="F4221" s="22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  <c r="T4221" s="23"/>
      <c r="U4221" s="23"/>
    </row>
    <row r="4222">
      <c r="A4222" s="20"/>
      <c r="B4222" s="20"/>
      <c r="C4222" s="30"/>
      <c r="D4222" s="30"/>
      <c r="E4222" s="30"/>
      <c r="F4222" s="22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  <c r="T4222" s="23"/>
      <c r="U4222" s="23"/>
    </row>
    <row r="4223">
      <c r="A4223" s="20"/>
      <c r="B4223" s="20"/>
      <c r="C4223" s="30"/>
      <c r="D4223" s="30"/>
      <c r="E4223" s="30"/>
      <c r="F4223" s="22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</row>
    <row r="4224">
      <c r="A4224" s="20"/>
      <c r="B4224" s="20"/>
      <c r="C4224" s="30"/>
      <c r="D4224" s="30"/>
      <c r="E4224" s="30"/>
      <c r="F4224" s="22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  <c r="T4224" s="23"/>
      <c r="U4224" s="23"/>
    </row>
    <row r="4225">
      <c r="A4225" s="20"/>
      <c r="B4225" s="20"/>
      <c r="C4225" s="30"/>
      <c r="D4225" s="30"/>
      <c r="E4225" s="30"/>
      <c r="F4225" s="22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  <c r="T4225" s="23"/>
      <c r="U4225" s="23"/>
    </row>
    <row r="4226">
      <c r="A4226" s="20"/>
      <c r="B4226" s="20"/>
      <c r="C4226" s="30"/>
      <c r="D4226" s="30"/>
      <c r="E4226" s="30"/>
      <c r="F4226" s="22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  <c r="T4226" s="23"/>
      <c r="U4226" s="23"/>
    </row>
    <row r="4227">
      <c r="A4227" s="20"/>
      <c r="B4227" s="20"/>
      <c r="C4227" s="30"/>
      <c r="D4227" s="30"/>
      <c r="E4227" s="30"/>
      <c r="F4227" s="22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  <c r="T4227" s="23"/>
      <c r="U4227" s="23"/>
    </row>
    <row r="4228">
      <c r="A4228" s="20"/>
      <c r="B4228" s="20"/>
      <c r="C4228" s="30"/>
      <c r="D4228" s="30"/>
      <c r="E4228" s="30"/>
      <c r="F4228" s="22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</row>
    <row r="4229">
      <c r="A4229" s="20"/>
      <c r="B4229" s="20"/>
      <c r="C4229" s="30"/>
      <c r="D4229" s="30"/>
      <c r="E4229" s="30"/>
      <c r="F4229" s="22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  <c r="T4229" s="23"/>
      <c r="U4229" s="23"/>
    </row>
    <row r="4230">
      <c r="A4230" s="20"/>
      <c r="B4230" s="20"/>
      <c r="C4230" s="30"/>
      <c r="D4230" s="30"/>
      <c r="E4230" s="30"/>
      <c r="F4230" s="22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  <c r="T4230" s="23"/>
      <c r="U4230" s="23"/>
    </row>
    <row r="4231">
      <c r="A4231" s="20"/>
      <c r="B4231" s="20"/>
      <c r="C4231" s="30"/>
      <c r="D4231" s="30"/>
      <c r="E4231" s="30"/>
      <c r="F4231" s="22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  <c r="T4231" s="23"/>
      <c r="U4231" s="23"/>
    </row>
    <row r="4232">
      <c r="A4232" s="20"/>
      <c r="B4232" s="20"/>
      <c r="C4232" s="30"/>
      <c r="D4232" s="30"/>
      <c r="E4232" s="30"/>
      <c r="F4232" s="22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  <c r="T4232" s="23"/>
      <c r="U4232" s="23"/>
    </row>
    <row r="4233">
      <c r="A4233" s="20"/>
      <c r="B4233" s="20"/>
      <c r="C4233" s="30"/>
      <c r="D4233" s="30"/>
      <c r="E4233" s="30"/>
      <c r="F4233" s="22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  <c r="T4233" s="23"/>
      <c r="U4233" s="23"/>
    </row>
    <row r="4234">
      <c r="A4234" s="20"/>
      <c r="B4234" s="20"/>
      <c r="C4234" s="30"/>
      <c r="D4234" s="30"/>
      <c r="E4234" s="30"/>
      <c r="F4234" s="22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  <c r="T4234" s="23"/>
      <c r="U4234" s="23"/>
    </row>
    <row r="4235">
      <c r="A4235" s="20"/>
      <c r="B4235" s="20"/>
      <c r="C4235" s="30"/>
      <c r="D4235" s="30"/>
      <c r="E4235" s="30"/>
      <c r="F4235" s="22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  <c r="T4235" s="23"/>
      <c r="U4235" s="23"/>
    </row>
    <row r="4236">
      <c r="A4236" s="20"/>
      <c r="B4236" s="20"/>
      <c r="C4236" s="30"/>
      <c r="D4236" s="30"/>
      <c r="E4236" s="30"/>
      <c r="F4236" s="22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</row>
    <row r="4237">
      <c r="A4237" s="20"/>
      <c r="B4237" s="20"/>
      <c r="C4237" s="30"/>
      <c r="D4237" s="30"/>
      <c r="E4237" s="30"/>
      <c r="F4237" s="22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</row>
    <row r="4238">
      <c r="A4238" s="20"/>
      <c r="B4238" s="20"/>
      <c r="C4238" s="30"/>
      <c r="D4238" s="30"/>
      <c r="E4238" s="30"/>
      <c r="F4238" s="22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</row>
    <row r="4239">
      <c r="A4239" s="20"/>
      <c r="B4239" s="20"/>
      <c r="C4239" s="30"/>
      <c r="D4239" s="30"/>
      <c r="E4239" s="30"/>
      <c r="F4239" s="22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  <c r="T4239" s="23"/>
      <c r="U4239" s="23"/>
    </row>
    <row r="4240">
      <c r="A4240" s="20"/>
      <c r="B4240" s="20"/>
      <c r="C4240" s="30"/>
      <c r="D4240" s="30"/>
      <c r="E4240" s="30"/>
      <c r="F4240" s="22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</row>
    <row r="4241">
      <c r="A4241" s="20"/>
      <c r="B4241" s="20"/>
      <c r="C4241" s="30"/>
      <c r="D4241" s="30"/>
      <c r="E4241" s="30"/>
      <c r="F4241" s="22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  <c r="T4241" s="23"/>
      <c r="U4241" s="23"/>
    </row>
    <row r="4242">
      <c r="A4242" s="20"/>
      <c r="B4242" s="20"/>
      <c r="C4242" s="30"/>
      <c r="D4242" s="30"/>
      <c r="E4242" s="30"/>
      <c r="F4242" s="22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  <c r="T4242" s="23"/>
      <c r="U4242" s="23"/>
    </row>
    <row r="4243">
      <c r="A4243" s="20"/>
      <c r="B4243" s="20"/>
      <c r="C4243" s="30"/>
      <c r="D4243" s="30"/>
      <c r="E4243" s="30"/>
      <c r="F4243" s="22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</row>
    <row r="4244">
      <c r="A4244" s="20"/>
      <c r="B4244" s="20"/>
      <c r="C4244" s="30"/>
      <c r="D4244" s="30"/>
      <c r="E4244" s="30"/>
      <c r="F4244" s="22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</row>
    <row r="4245">
      <c r="A4245" s="20"/>
      <c r="B4245" s="20"/>
      <c r="C4245" s="30"/>
      <c r="D4245" s="30"/>
      <c r="E4245" s="30"/>
      <c r="F4245" s="22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  <c r="T4245" s="23"/>
      <c r="U4245" s="23"/>
    </row>
    <row r="4246">
      <c r="A4246" s="20"/>
      <c r="B4246" s="20"/>
      <c r="C4246" s="30"/>
      <c r="D4246" s="30"/>
      <c r="E4246" s="30"/>
      <c r="F4246" s="22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</row>
    <row r="4247">
      <c r="A4247" s="20"/>
      <c r="B4247" s="20"/>
      <c r="C4247" s="30"/>
      <c r="D4247" s="30"/>
      <c r="E4247" s="30"/>
      <c r="F4247" s="22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</row>
    <row r="4248">
      <c r="A4248" s="20"/>
      <c r="B4248" s="20"/>
      <c r="C4248" s="30"/>
      <c r="D4248" s="30"/>
      <c r="E4248" s="30"/>
      <c r="F4248" s="22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  <c r="T4248" s="23"/>
      <c r="U4248" s="23"/>
    </row>
    <row r="4249">
      <c r="A4249" s="20"/>
      <c r="B4249" s="20"/>
      <c r="C4249" s="30"/>
      <c r="D4249" s="30"/>
      <c r="E4249" s="30"/>
      <c r="F4249" s="22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</row>
    <row r="4250">
      <c r="A4250" s="20"/>
      <c r="B4250" s="20"/>
      <c r="C4250" s="30"/>
      <c r="D4250" s="30"/>
      <c r="E4250" s="30"/>
      <c r="F4250" s="22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  <c r="T4250" s="23"/>
      <c r="U4250" s="23"/>
    </row>
    <row r="4251">
      <c r="A4251" s="20"/>
      <c r="B4251" s="20"/>
      <c r="C4251" s="30"/>
      <c r="D4251" s="30"/>
      <c r="E4251" s="30"/>
      <c r="F4251" s="22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  <c r="T4251" s="23"/>
      <c r="U4251" s="23"/>
    </row>
    <row r="4252">
      <c r="A4252" s="20"/>
      <c r="B4252" s="20"/>
      <c r="C4252" s="30"/>
      <c r="D4252" s="30"/>
      <c r="E4252" s="30"/>
      <c r="F4252" s="22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  <c r="T4252" s="23"/>
      <c r="U4252" s="23"/>
    </row>
    <row r="4253">
      <c r="A4253" s="20"/>
      <c r="B4253" s="20"/>
      <c r="C4253" s="30"/>
      <c r="D4253" s="30"/>
      <c r="E4253" s="30"/>
      <c r="F4253" s="22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  <c r="T4253" s="23"/>
      <c r="U4253" s="23"/>
    </row>
    <row r="4254">
      <c r="A4254" s="20"/>
      <c r="B4254" s="20"/>
      <c r="C4254" s="30"/>
      <c r="D4254" s="30"/>
      <c r="E4254" s="30"/>
      <c r="F4254" s="22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</row>
    <row r="4255">
      <c r="A4255" s="20"/>
      <c r="B4255" s="20"/>
      <c r="C4255" s="30"/>
      <c r="D4255" s="30"/>
      <c r="E4255" s="30"/>
      <c r="F4255" s="22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  <c r="T4255" s="23"/>
      <c r="U4255" s="23"/>
    </row>
    <row r="4256">
      <c r="A4256" s="20"/>
      <c r="B4256" s="20"/>
      <c r="C4256" s="30"/>
      <c r="D4256" s="30"/>
      <c r="E4256" s="30"/>
      <c r="F4256" s="22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  <c r="T4256" s="23"/>
      <c r="U4256" s="23"/>
    </row>
    <row r="4257">
      <c r="A4257" s="20"/>
      <c r="B4257" s="20"/>
      <c r="C4257" s="30"/>
      <c r="D4257" s="30"/>
      <c r="E4257" s="30"/>
      <c r="F4257" s="22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</row>
    <row r="4258">
      <c r="A4258" s="20"/>
      <c r="B4258" s="20"/>
      <c r="C4258" s="30"/>
      <c r="D4258" s="30"/>
      <c r="E4258" s="30"/>
      <c r="F4258" s="22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  <c r="T4258" s="23"/>
      <c r="U4258" s="23"/>
    </row>
    <row r="4259">
      <c r="A4259" s="20"/>
      <c r="B4259" s="20"/>
      <c r="C4259" s="30"/>
      <c r="D4259" s="30"/>
      <c r="E4259" s="30"/>
      <c r="F4259" s="22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  <c r="T4259" s="23"/>
      <c r="U4259" s="23"/>
    </row>
    <row r="4260">
      <c r="A4260" s="20"/>
      <c r="B4260" s="20"/>
      <c r="C4260" s="30"/>
      <c r="D4260" s="30"/>
      <c r="E4260" s="30"/>
      <c r="F4260" s="22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</row>
    <row r="4261">
      <c r="A4261" s="20"/>
      <c r="B4261" s="20"/>
      <c r="C4261" s="30"/>
      <c r="D4261" s="30"/>
      <c r="E4261" s="30"/>
      <c r="F4261" s="22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  <c r="T4261" s="23"/>
      <c r="U4261" s="23"/>
    </row>
    <row r="4262">
      <c r="A4262" s="20"/>
      <c r="B4262" s="20"/>
      <c r="C4262" s="30"/>
      <c r="D4262" s="30"/>
      <c r="E4262" s="30"/>
      <c r="F4262" s="22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  <c r="T4262" s="23"/>
      <c r="U4262" s="23"/>
    </row>
    <row r="4263">
      <c r="A4263" s="20"/>
      <c r="B4263" s="20"/>
      <c r="C4263" s="30"/>
      <c r="D4263" s="30"/>
      <c r="E4263" s="30"/>
      <c r="F4263" s="22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  <c r="T4263" s="23"/>
      <c r="U4263" s="23"/>
    </row>
    <row r="4264">
      <c r="A4264" s="20"/>
      <c r="B4264" s="20"/>
      <c r="C4264" s="30"/>
      <c r="D4264" s="30"/>
      <c r="E4264" s="30"/>
      <c r="F4264" s="22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</row>
    <row r="4265">
      <c r="A4265" s="20"/>
      <c r="B4265" s="20"/>
      <c r="C4265" s="30"/>
      <c r="D4265" s="30"/>
      <c r="E4265" s="30"/>
      <c r="F4265" s="22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  <c r="T4265" s="23"/>
      <c r="U4265" s="23"/>
    </row>
    <row r="4266">
      <c r="A4266" s="20"/>
      <c r="B4266" s="20"/>
      <c r="C4266" s="30"/>
      <c r="D4266" s="30"/>
      <c r="E4266" s="30"/>
      <c r="F4266" s="22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  <c r="T4266" s="23"/>
      <c r="U4266" s="23"/>
    </row>
    <row r="4267">
      <c r="A4267" s="20"/>
      <c r="B4267" s="20"/>
      <c r="C4267" s="30"/>
      <c r="D4267" s="30"/>
      <c r="E4267" s="30"/>
      <c r="F4267" s="22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</row>
    <row r="4268">
      <c r="A4268" s="20"/>
      <c r="B4268" s="20"/>
      <c r="C4268" s="30"/>
      <c r="D4268" s="30"/>
      <c r="E4268" s="30"/>
      <c r="F4268" s="22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  <c r="T4268" s="23"/>
      <c r="U4268" s="23"/>
    </row>
    <row r="4269">
      <c r="A4269" s="20"/>
      <c r="B4269" s="20"/>
      <c r="C4269" s="30"/>
      <c r="D4269" s="30"/>
      <c r="E4269" s="30"/>
      <c r="F4269" s="22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  <c r="T4269" s="23"/>
      <c r="U4269" s="23"/>
    </row>
    <row r="4270">
      <c r="A4270" s="20"/>
      <c r="B4270" s="20"/>
      <c r="C4270" s="30"/>
      <c r="D4270" s="30"/>
      <c r="E4270" s="30"/>
      <c r="F4270" s="22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</row>
    <row r="4271">
      <c r="A4271" s="20"/>
      <c r="B4271" s="20"/>
      <c r="C4271" s="30"/>
      <c r="D4271" s="30"/>
      <c r="E4271" s="30"/>
      <c r="F4271" s="22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  <c r="T4271" s="23"/>
      <c r="U4271" s="23"/>
    </row>
    <row r="4272">
      <c r="A4272" s="20"/>
      <c r="B4272" s="20"/>
      <c r="C4272" s="30"/>
      <c r="D4272" s="30"/>
      <c r="E4272" s="30"/>
      <c r="F4272" s="22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  <c r="T4272" s="23"/>
      <c r="U4272" s="23"/>
    </row>
    <row r="4273">
      <c r="A4273" s="20"/>
      <c r="B4273" s="20"/>
      <c r="C4273" s="30"/>
      <c r="D4273" s="30"/>
      <c r="E4273" s="30"/>
      <c r="F4273" s="22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</row>
    <row r="4274">
      <c r="A4274" s="20"/>
      <c r="B4274" s="20"/>
      <c r="C4274" s="30"/>
      <c r="D4274" s="30"/>
      <c r="E4274" s="30"/>
      <c r="F4274" s="22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  <c r="T4274" s="23"/>
      <c r="U4274" s="23"/>
    </row>
    <row r="4275">
      <c r="A4275" s="20"/>
      <c r="B4275" s="20"/>
      <c r="C4275" s="30"/>
      <c r="D4275" s="30"/>
      <c r="E4275" s="30"/>
      <c r="F4275" s="22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  <c r="T4275" s="23"/>
      <c r="U4275" s="23"/>
    </row>
    <row r="4276">
      <c r="A4276" s="20"/>
      <c r="B4276" s="20"/>
      <c r="C4276" s="30"/>
      <c r="D4276" s="30"/>
      <c r="E4276" s="30"/>
      <c r="F4276" s="22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  <c r="T4276" s="23"/>
      <c r="U4276" s="23"/>
    </row>
    <row r="4277">
      <c r="A4277" s="20"/>
      <c r="B4277" s="20"/>
      <c r="C4277" s="30"/>
      <c r="D4277" s="30"/>
      <c r="E4277" s="30"/>
      <c r="F4277" s="22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</row>
    <row r="4278">
      <c r="A4278" s="20"/>
      <c r="B4278" s="20"/>
      <c r="C4278" s="30"/>
      <c r="D4278" s="30"/>
      <c r="E4278" s="30"/>
      <c r="F4278" s="22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  <c r="T4278" s="23"/>
      <c r="U4278" s="23"/>
    </row>
    <row r="4279">
      <c r="A4279" s="20"/>
      <c r="B4279" s="20"/>
      <c r="C4279" s="30"/>
      <c r="D4279" s="30"/>
      <c r="E4279" s="30"/>
      <c r="F4279" s="22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  <c r="T4279" s="23"/>
      <c r="U4279" s="23"/>
    </row>
    <row r="4280">
      <c r="A4280" s="20"/>
      <c r="B4280" s="20"/>
      <c r="C4280" s="30"/>
      <c r="D4280" s="30"/>
      <c r="E4280" s="30"/>
      <c r="F4280" s="22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</row>
    <row r="4281">
      <c r="A4281" s="20"/>
      <c r="B4281" s="20"/>
      <c r="C4281" s="30"/>
      <c r="D4281" s="30"/>
      <c r="E4281" s="30"/>
      <c r="F4281" s="22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  <c r="T4281" s="23"/>
      <c r="U4281" s="23"/>
    </row>
    <row r="4282">
      <c r="A4282" s="20"/>
      <c r="B4282" s="20"/>
      <c r="C4282" s="30"/>
      <c r="D4282" s="30"/>
      <c r="E4282" s="30"/>
      <c r="F4282" s="22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  <c r="T4282" s="23"/>
      <c r="U4282" s="23"/>
    </row>
    <row r="4283">
      <c r="A4283" s="20"/>
      <c r="B4283" s="20"/>
      <c r="C4283" s="30"/>
      <c r="D4283" s="30"/>
      <c r="E4283" s="30"/>
      <c r="F4283" s="22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</row>
    <row r="4284">
      <c r="A4284" s="20"/>
      <c r="B4284" s="20"/>
      <c r="C4284" s="30"/>
      <c r="D4284" s="30"/>
      <c r="E4284" s="30"/>
      <c r="F4284" s="22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  <c r="T4284" s="23"/>
      <c r="U4284" s="23"/>
    </row>
    <row r="4285">
      <c r="A4285" s="20"/>
      <c r="B4285" s="20"/>
      <c r="C4285" s="30"/>
      <c r="D4285" s="30"/>
      <c r="E4285" s="30"/>
      <c r="F4285" s="22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  <c r="T4285" s="23"/>
      <c r="U4285" s="23"/>
    </row>
    <row r="4286">
      <c r="A4286" s="20"/>
      <c r="B4286" s="20"/>
      <c r="C4286" s="30"/>
      <c r="D4286" s="30"/>
      <c r="E4286" s="30"/>
      <c r="F4286" s="22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  <c r="T4286" s="23"/>
      <c r="U4286" s="23"/>
    </row>
    <row r="4287">
      <c r="A4287" s="20"/>
      <c r="B4287" s="20"/>
      <c r="C4287" s="30"/>
      <c r="D4287" s="30"/>
      <c r="E4287" s="30"/>
      <c r="F4287" s="22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</row>
    <row r="4288">
      <c r="A4288" s="20"/>
      <c r="B4288" s="20"/>
      <c r="C4288" s="30"/>
      <c r="D4288" s="30"/>
      <c r="E4288" s="30"/>
      <c r="F4288" s="22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  <c r="T4288" s="23"/>
      <c r="U4288" s="23"/>
    </row>
    <row r="4289">
      <c r="A4289" s="20"/>
      <c r="B4289" s="20"/>
      <c r="C4289" s="30"/>
      <c r="D4289" s="30"/>
      <c r="E4289" s="30"/>
      <c r="F4289" s="22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  <c r="T4289" s="23"/>
      <c r="U4289" s="23"/>
    </row>
    <row r="4290">
      <c r="A4290" s="20"/>
      <c r="B4290" s="20"/>
      <c r="C4290" s="30"/>
      <c r="D4290" s="30"/>
      <c r="E4290" s="30"/>
      <c r="F4290" s="22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</row>
    <row r="4291">
      <c r="A4291" s="20"/>
      <c r="B4291" s="20"/>
      <c r="C4291" s="30"/>
      <c r="D4291" s="30"/>
      <c r="E4291" s="30"/>
      <c r="F4291" s="22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  <c r="T4291" s="23"/>
      <c r="U4291" s="23"/>
    </row>
    <row r="4292">
      <c r="A4292" s="20"/>
      <c r="B4292" s="20"/>
      <c r="C4292" s="30"/>
      <c r="D4292" s="30"/>
      <c r="E4292" s="30"/>
      <c r="F4292" s="22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  <c r="T4292" s="23"/>
      <c r="U4292" s="23"/>
    </row>
    <row r="4293">
      <c r="A4293" s="20"/>
      <c r="B4293" s="20"/>
      <c r="C4293" s="30"/>
      <c r="D4293" s="30"/>
      <c r="E4293" s="30"/>
      <c r="F4293" s="22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  <c r="T4293" s="23"/>
      <c r="U4293" s="23"/>
    </row>
    <row r="4294">
      <c r="A4294" s="20"/>
      <c r="B4294" s="20"/>
      <c r="C4294" s="30"/>
      <c r="D4294" s="30"/>
      <c r="E4294" s="30"/>
      <c r="F4294" s="22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</row>
    <row r="4295">
      <c r="A4295" s="20"/>
      <c r="B4295" s="20"/>
      <c r="C4295" s="30"/>
      <c r="D4295" s="30"/>
      <c r="E4295" s="30"/>
      <c r="F4295" s="22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  <c r="T4295" s="23"/>
      <c r="U4295" s="23"/>
    </row>
    <row r="4296">
      <c r="A4296" s="20"/>
      <c r="B4296" s="20"/>
      <c r="C4296" s="30"/>
      <c r="D4296" s="30"/>
      <c r="E4296" s="30"/>
      <c r="F4296" s="22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  <c r="T4296" s="23"/>
      <c r="U4296" s="23"/>
    </row>
    <row r="4297">
      <c r="A4297" s="20"/>
      <c r="B4297" s="20"/>
      <c r="C4297" s="30"/>
      <c r="D4297" s="30"/>
      <c r="E4297" s="30"/>
      <c r="F4297" s="22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</row>
    <row r="4298">
      <c r="A4298" s="20"/>
      <c r="B4298" s="20"/>
      <c r="C4298" s="30"/>
      <c r="D4298" s="30"/>
      <c r="E4298" s="30"/>
      <c r="F4298" s="22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  <c r="T4298" s="23"/>
      <c r="U4298" s="23"/>
    </row>
    <row r="4299">
      <c r="A4299" s="20"/>
      <c r="B4299" s="20"/>
      <c r="C4299" s="30"/>
      <c r="D4299" s="30"/>
      <c r="E4299" s="30"/>
      <c r="F4299" s="22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  <c r="T4299" s="23"/>
      <c r="U4299" s="23"/>
    </row>
    <row r="4300">
      <c r="A4300" s="20"/>
      <c r="B4300" s="20"/>
      <c r="C4300" s="30"/>
      <c r="D4300" s="30"/>
      <c r="E4300" s="30"/>
      <c r="F4300" s="22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</row>
    <row r="4301">
      <c r="A4301" s="20"/>
      <c r="B4301" s="20"/>
      <c r="C4301" s="30"/>
      <c r="D4301" s="30"/>
      <c r="E4301" s="30"/>
      <c r="F4301" s="22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  <c r="T4301" s="23"/>
      <c r="U4301" s="23"/>
    </row>
    <row r="4302">
      <c r="A4302" s="20"/>
      <c r="B4302" s="20"/>
      <c r="C4302" s="30"/>
      <c r="D4302" s="30"/>
      <c r="E4302" s="30"/>
      <c r="F4302" s="22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  <c r="T4302" s="23"/>
      <c r="U4302" s="23"/>
    </row>
    <row r="4303">
      <c r="A4303" s="20"/>
      <c r="B4303" s="20"/>
      <c r="C4303" s="30"/>
      <c r="D4303" s="30"/>
      <c r="E4303" s="30"/>
      <c r="F4303" s="22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  <c r="T4303" s="23"/>
      <c r="U4303" s="23"/>
    </row>
    <row r="4304">
      <c r="A4304" s="20"/>
      <c r="B4304" s="20"/>
      <c r="C4304" s="30"/>
      <c r="D4304" s="30"/>
      <c r="E4304" s="30"/>
      <c r="F4304" s="22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</row>
    <row r="4305">
      <c r="A4305" s="20"/>
      <c r="B4305" s="20"/>
      <c r="C4305" s="30"/>
      <c r="D4305" s="30"/>
      <c r="E4305" s="30"/>
      <c r="F4305" s="22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  <c r="T4305" s="23"/>
      <c r="U4305" s="23"/>
    </row>
    <row r="4306">
      <c r="A4306" s="20"/>
      <c r="B4306" s="20"/>
      <c r="C4306" s="30"/>
      <c r="D4306" s="30"/>
      <c r="E4306" s="30"/>
      <c r="F4306" s="22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  <c r="T4306" s="23"/>
      <c r="U4306" s="23"/>
    </row>
    <row r="4307">
      <c r="A4307" s="20"/>
      <c r="B4307" s="20"/>
      <c r="C4307" s="30"/>
      <c r="D4307" s="30"/>
      <c r="E4307" s="30"/>
      <c r="F4307" s="22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</row>
    <row r="4308">
      <c r="A4308" s="20"/>
      <c r="B4308" s="20"/>
      <c r="C4308" s="30"/>
      <c r="D4308" s="30"/>
      <c r="E4308" s="30"/>
      <c r="F4308" s="22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  <c r="T4308" s="23"/>
      <c r="U4308" s="23"/>
    </row>
    <row r="4309">
      <c r="A4309" s="20"/>
      <c r="B4309" s="20"/>
      <c r="C4309" s="30"/>
      <c r="D4309" s="30"/>
      <c r="E4309" s="30"/>
      <c r="F4309" s="22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  <c r="T4309" s="23"/>
      <c r="U4309" s="23"/>
    </row>
    <row r="4310">
      <c r="A4310" s="20"/>
      <c r="B4310" s="20"/>
      <c r="C4310" s="30"/>
      <c r="D4310" s="30"/>
      <c r="E4310" s="30"/>
      <c r="F4310" s="22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  <c r="T4310" s="23"/>
      <c r="U4310" s="23"/>
    </row>
    <row r="4311">
      <c r="A4311" s="20"/>
      <c r="B4311" s="20"/>
      <c r="C4311" s="30"/>
      <c r="D4311" s="30"/>
      <c r="E4311" s="30"/>
      <c r="F4311" s="22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</row>
    <row r="4312">
      <c r="A4312" s="20"/>
      <c r="B4312" s="20"/>
      <c r="C4312" s="30"/>
      <c r="D4312" s="30"/>
      <c r="E4312" s="30"/>
      <c r="F4312" s="22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</row>
    <row r="4313">
      <c r="A4313" s="20"/>
      <c r="B4313" s="20"/>
      <c r="C4313" s="30"/>
      <c r="D4313" s="30"/>
      <c r="E4313" s="30"/>
      <c r="F4313" s="22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</row>
    <row r="4314">
      <c r="A4314" s="20"/>
      <c r="B4314" s="20"/>
      <c r="C4314" s="30"/>
      <c r="D4314" s="30"/>
      <c r="E4314" s="30"/>
      <c r="F4314" s="22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  <c r="T4314" s="23"/>
      <c r="U4314" s="23"/>
    </row>
    <row r="4315">
      <c r="A4315" s="20"/>
      <c r="B4315" s="20"/>
      <c r="C4315" s="30"/>
      <c r="D4315" s="30"/>
      <c r="E4315" s="30"/>
      <c r="F4315" s="22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  <c r="T4315" s="23"/>
      <c r="U4315" s="23"/>
    </row>
    <row r="4316">
      <c r="A4316" s="20"/>
      <c r="B4316" s="20"/>
      <c r="C4316" s="30"/>
      <c r="D4316" s="30"/>
      <c r="E4316" s="30"/>
      <c r="F4316" s="22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</row>
    <row r="4317">
      <c r="A4317" s="20"/>
      <c r="B4317" s="20"/>
      <c r="C4317" s="30"/>
      <c r="D4317" s="30"/>
      <c r="E4317" s="30"/>
      <c r="F4317" s="22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  <c r="T4317" s="23"/>
      <c r="U4317" s="23"/>
    </row>
    <row r="4318">
      <c r="A4318" s="20"/>
      <c r="B4318" s="20"/>
      <c r="C4318" s="30"/>
      <c r="D4318" s="30"/>
      <c r="E4318" s="30"/>
      <c r="F4318" s="22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</row>
    <row r="4319">
      <c r="A4319" s="20"/>
      <c r="B4319" s="20"/>
      <c r="C4319" s="30"/>
      <c r="D4319" s="30"/>
      <c r="E4319" s="30"/>
      <c r="F4319" s="22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  <c r="T4319" s="23"/>
      <c r="U4319" s="23"/>
    </row>
    <row r="4320">
      <c r="A4320" s="20"/>
      <c r="B4320" s="20"/>
      <c r="C4320" s="30"/>
      <c r="D4320" s="30"/>
      <c r="E4320" s="30"/>
      <c r="F4320" s="22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</row>
    <row r="4321">
      <c r="A4321" s="20"/>
      <c r="B4321" s="20"/>
      <c r="C4321" s="30"/>
      <c r="D4321" s="30"/>
      <c r="E4321" s="30"/>
      <c r="F4321" s="22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  <c r="T4321" s="23"/>
      <c r="U4321" s="23"/>
    </row>
    <row r="4322">
      <c r="A4322" s="20"/>
      <c r="B4322" s="20"/>
      <c r="C4322" s="30"/>
      <c r="D4322" s="30"/>
      <c r="E4322" s="30"/>
      <c r="F4322" s="22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  <c r="T4322" s="23"/>
      <c r="U4322" s="23"/>
    </row>
    <row r="4323">
      <c r="A4323" s="20"/>
      <c r="B4323" s="20"/>
      <c r="C4323" s="30"/>
      <c r="D4323" s="30"/>
      <c r="E4323" s="30"/>
      <c r="F4323" s="22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23"/>
    </row>
    <row r="4324">
      <c r="A4324" s="20"/>
      <c r="B4324" s="20"/>
      <c r="C4324" s="30"/>
      <c r="D4324" s="30"/>
      <c r="E4324" s="30"/>
      <c r="F4324" s="22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</row>
    <row r="4325">
      <c r="A4325" s="20"/>
      <c r="B4325" s="20"/>
      <c r="C4325" s="30"/>
      <c r="D4325" s="30"/>
      <c r="E4325" s="30"/>
      <c r="F4325" s="22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  <c r="T4325" s="23"/>
      <c r="U4325" s="23"/>
    </row>
    <row r="4326">
      <c r="A4326" s="20"/>
      <c r="B4326" s="20"/>
      <c r="C4326" s="30"/>
      <c r="D4326" s="30"/>
      <c r="E4326" s="30"/>
      <c r="F4326" s="22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  <c r="T4326" s="23"/>
      <c r="U4326" s="23"/>
    </row>
    <row r="4327">
      <c r="A4327" s="20"/>
      <c r="B4327" s="20"/>
      <c r="C4327" s="30"/>
      <c r="D4327" s="30"/>
      <c r="E4327" s="30"/>
      <c r="F4327" s="22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  <c r="T4327" s="23"/>
      <c r="U4327" s="23"/>
    </row>
    <row r="4328">
      <c r="A4328" s="20"/>
      <c r="B4328" s="20"/>
      <c r="C4328" s="30"/>
      <c r="D4328" s="30"/>
      <c r="E4328" s="30"/>
      <c r="F4328" s="22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</row>
    <row r="4329">
      <c r="A4329" s="20"/>
      <c r="B4329" s="20"/>
      <c r="C4329" s="30"/>
      <c r="D4329" s="30"/>
      <c r="E4329" s="30"/>
      <c r="F4329" s="22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</row>
    <row r="4330">
      <c r="A4330" s="20"/>
      <c r="B4330" s="20"/>
      <c r="C4330" s="30"/>
      <c r="D4330" s="30"/>
      <c r="E4330" s="30"/>
      <c r="F4330" s="22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</row>
    <row r="4331">
      <c r="A4331" s="20"/>
      <c r="B4331" s="20"/>
      <c r="C4331" s="30"/>
      <c r="D4331" s="30"/>
      <c r="E4331" s="30"/>
      <c r="F4331" s="22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</row>
    <row r="4332">
      <c r="A4332" s="20"/>
      <c r="B4332" s="20"/>
      <c r="C4332" s="30"/>
      <c r="D4332" s="30"/>
      <c r="E4332" s="30"/>
      <c r="F4332" s="22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</row>
    <row r="4333">
      <c r="A4333" s="20"/>
      <c r="B4333" s="20"/>
      <c r="C4333" s="30"/>
      <c r="D4333" s="30"/>
      <c r="E4333" s="30"/>
      <c r="F4333" s="22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  <c r="T4333" s="23"/>
      <c r="U4333" s="23"/>
    </row>
    <row r="4334">
      <c r="A4334" s="20"/>
      <c r="B4334" s="20"/>
      <c r="C4334" s="30"/>
      <c r="D4334" s="30"/>
      <c r="E4334" s="30"/>
      <c r="F4334" s="22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</row>
    <row r="4335">
      <c r="A4335" s="20"/>
      <c r="B4335" s="20"/>
      <c r="C4335" s="30"/>
      <c r="D4335" s="30"/>
      <c r="E4335" s="30"/>
      <c r="F4335" s="22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</row>
    <row r="4336">
      <c r="A4336" s="20"/>
      <c r="B4336" s="20"/>
      <c r="C4336" s="30"/>
      <c r="D4336" s="30"/>
      <c r="E4336" s="30"/>
      <c r="F4336" s="22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  <c r="T4336" s="23"/>
      <c r="U4336" s="23"/>
    </row>
    <row r="4337">
      <c r="A4337" s="20"/>
      <c r="B4337" s="20"/>
      <c r="C4337" s="30"/>
      <c r="D4337" s="30"/>
      <c r="E4337" s="30"/>
      <c r="F4337" s="22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  <c r="T4337" s="23"/>
      <c r="U4337" s="23"/>
    </row>
    <row r="4338">
      <c r="A4338" s="20"/>
      <c r="B4338" s="20"/>
      <c r="C4338" s="30"/>
      <c r="D4338" s="30"/>
      <c r="E4338" s="30"/>
      <c r="F4338" s="22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</row>
    <row r="4339">
      <c r="A4339" s="20"/>
      <c r="B4339" s="20"/>
      <c r="C4339" s="30"/>
      <c r="D4339" s="30"/>
      <c r="E4339" s="30"/>
      <c r="F4339" s="22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  <c r="T4339" s="23"/>
      <c r="U4339" s="23"/>
    </row>
    <row r="4340">
      <c r="A4340" s="20"/>
      <c r="B4340" s="20"/>
      <c r="C4340" s="30"/>
      <c r="D4340" s="30"/>
      <c r="E4340" s="30"/>
      <c r="F4340" s="22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  <c r="T4340" s="23"/>
      <c r="U4340" s="23"/>
    </row>
    <row r="4341">
      <c r="A4341" s="20"/>
      <c r="B4341" s="20"/>
      <c r="C4341" s="30"/>
      <c r="D4341" s="30"/>
      <c r="E4341" s="30"/>
      <c r="F4341" s="22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</row>
    <row r="4342">
      <c r="A4342" s="20"/>
      <c r="B4342" s="20"/>
      <c r="C4342" s="30"/>
      <c r="D4342" s="30"/>
      <c r="E4342" s="30"/>
      <c r="F4342" s="22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  <c r="T4342" s="23"/>
      <c r="U4342" s="23"/>
    </row>
    <row r="4343">
      <c r="A4343" s="20"/>
      <c r="B4343" s="20"/>
      <c r="C4343" s="30"/>
      <c r="D4343" s="30"/>
      <c r="E4343" s="30"/>
      <c r="F4343" s="22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  <c r="T4343" s="23"/>
      <c r="U4343" s="23"/>
    </row>
    <row r="4344">
      <c r="A4344" s="20"/>
      <c r="B4344" s="20"/>
      <c r="C4344" s="30"/>
      <c r="D4344" s="30"/>
      <c r="E4344" s="30"/>
      <c r="F4344" s="22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</row>
    <row r="4345">
      <c r="A4345" s="20"/>
      <c r="B4345" s="20"/>
      <c r="C4345" s="30"/>
      <c r="D4345" s="30"/>
      <c r="E4345" s="30"/>
      <c r="F4345" s="22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  <c r="T4345" s="23"/>
      <c r="U4345" s="23"/>
    </row>
    <row r="4346">
      <c r="A4346" s="20"/>
      <c r="B4346" s="20"/>
      <c r="C4346" s="30"/>
      <c r="D4346" s="30"/>
      <c r="E4346" s="30"/>
      <c r="F4346" s="22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  <c r="T4346" s="23"/>
      <c r="U4346" s="23"/>
    </row>
    <row r="4347">
      <c r="A4347" s="20"/>
      <c r="B4347" s="20"/>
      <c r="C4347" s="30"/>
      <c r="D4347" s="30"/>
      <c r="E4347" s="30"/>
      <c r="F4347" s="22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  <c r="T4347" s="23"/>
      <c r="U4347" s="23"/>
    </row>
    <row r="4348">
      <c r="A4348" s="20"/>
      <c r="B4348" s="20"/>
      <c r="C4348" s="30"/>
      <c r="D4348" s="30"/>
      <c r="E4348" s="30"/>
      <c r="F4348" s="22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  <c r="T4348" s="23"/>
      <c r="U4348" s="23"/>
    </row>
    <row r="4349">
      <c r="A4349" s="20"/>
      <c r="B4349" s="20"/>
      <c r="C4349" s="30"/>
      <c r="D4349" s="30"/>
      <c r="E4349" s="30"/>
      <c r="F4349" s="22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  <c r="T4349" s="23"/>
      <c r="U4349" s="23"/>
    </row>
    <row r="4350">
      <c r="A4350" s="20"/>
      <c r="B4350" s="20"/>
      <c r="C4350" s="30"/>
      <c r="D4350" s="30"/>
      <c r="E4350" s="30"/>
      <c r="F4350" s="22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  <c r="T4350" s="23"/>
      <c r="U4350" s="23"/>
    </row>
    <row r="4351">
      <c r="A4351" s="20"/>
      <c r="B4351" s="20"/>
      <c r="C4351" s="30"/>
      <c r="D4351" s="30"/>
      <c r="E4351" s="30"/>
      <c r="F4351" s="22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  <c r="T4351" s="23"/>
      <c r="U4351" s="23"/>
    </row>
    <row r="4352">
      <c r="A4352" s="20"/>
      <c r="B4352" s="20"/>
      <c r="C4352" s="30"/>
      <c r="D4352" s="30"/>
      <c r="E4352" s="30"/>
      <c r="F4352" s="22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</row>
    <row r="4353">
      <c r="A4353" s="20"/>
      <c r="B4353" s="20"/>
      <c r="C4353" s="30"/>
      <c r="D4353" s="30"/>
      <c r="E4353" s="30"/>
      <c r="F4353" s="22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</row>
    <row r="4354">
      <c r="A4354" s="20"/>
      <c r="B4354" s="20"/>
      <c r="C4354" s="30"/>
      <c r="D4354" s="30"/>
      <c r="E4354" s="30"/>
      <c r="F4354" s="22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  <c r="T4354" s="23"/>
      <c r="U4354" s="23"/>
    </row>
    <row r="4355">
      <c r="A4355" s="20"/>
      <c r="B4355" s="20"/>
      <c r="C4355" s="30"/>
      <c r="D4355" s="30"/>
      <c r="E4355" s="30"/>
      <c r="F4355" s="22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  <c r="T4355" s="23"/>
      <c r="U4355" s="23"/>
    </row>
    <row r="4356">
      <c r="A4356" s="20"/>
      <c r="B4356" s="20"/>
      <c r="C4356" s="30"/>
      <c r="D4356" s="30"/>
      <c r="E4356" s="30"/>
      <c r="F4356" s="22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  <c r="T4356" s="23"/>
      <c r="U4356" s="23"/>
    </row>
    <row r="4357">
      <c r="A4357" s="20"/>
      <c r="B4357" s="20"/>
      <c r="C4357" s="30"/>
      <c r="D4357" s="30"/>
      <c r="E4357" s="30"/>
      <c r="F4357" s="22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</row>
    <row r="4358">
      <c r="A4358" s="20"/>
      <c r="B4358" s="20"/>
      <c r="C4358" s="30"/>
      <c r="D4358" s="30"/>
      <c r="E4358" s="30"/>
      <c r="F4358" s="22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</row>
    <row r="4359">
      <c r="A4359" s="20"/>
      <c r="B4359" s="20"/>
      <c r="C4359" s="30"/>
      <c r="D4359" s="30"/>
      <c r="E4359" s="30"/>
      <c r="F4359" s="22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  <c r="T4359" s="23"/>
      <c r="U4359" s="23"/>
    </row>
    <row r="4360">
      <c r="A4360" s="20"/>
      <c r="B4360" s="20"/>
      <c r="C4360" s="30"/>
      <c r="D4360" s="30"/>
      <c r="E4360" s="30"/>
      <c r="F4360" s="22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  <c r="T4360" s="23"/>
      <c r="U4360" s="23"/>
    </row>
    <row r="4361">
      <c r="A4361" s="20"/>
      <c r="B4361" s="20"/>
      <c r="C4361" s="30"/>
      <c r="D4361" s="30"/>
      <c r="E4361" s="30"/>
      <c r="F4361" s="22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</row>
    <row r="4362">
      <c r="A4362" s="20"/>
      <c r="B4362" s="20"/>
      <c r="C4362" s="30"/>
      <c r="D4362" s="30"/>
      <c r="E4362" s="30"/>
      <c r="F4362" s="22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</row>
    <row r="4363">
      <c r="A4363" s="20"/>
      <c r="B4363" s="20"/>
      <c r="C4363" s="30"/>
      <c r="D4363" s="30"/>
      <c r="E4363" s="30"/>
      <c r="F4363" s="22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</row>
    <row r="4364">
      <c r="A4364" s="20"/>
      <c r="B4364" s="20"/>
      <c r="C4364" s="30"/>
      <c r="D4364" s="30"/>
      <c r="E4364" s="30"/>
      <c r="F4364" s="22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</row>
    <row r="4365">
      <c r="A4365" s="20"/>
      <c r="B4365" s="20"/>
      <c r="C4365" s="30"/>
      <c r="D4365" s="30"/>
      <c r="E4365" s="30"/>
      <c r="F4365" s="22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</row>
    <row r="4366">
      <c r="A4366" s="20"/>
      <c r="B4366" s="20"/>
      <c r="C4366" s="30"/>
      <c r="D4366" s="30"/>
      <c r="E4366" s="30"/>
      <c r="F4366" s="22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</row>
    <row r="4367">
      <c r="A4367" s="20"/>
      <c r="B4367" s="20"/>
      <c r="C4367" s="30"/>
      <c r="D4367" s="30"/>
      <c r="E4367" s="30"/>
      <c r="F4367" s="22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</row>
    <row r="4368">
      <c r="A4368" s="20"/>
      <c r="B4368" s="20"/>
      <c r="C4368" s="30"/>
      <c r="D4368" s="30"/>
      <c r="E4368" s="30"/>
      <c r="F4368" s="22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</row>
    <row r="4369">
      <c r="A4369" s="20"/>
      <c r="B4369" s="20"/>
      <c r="C4369" s="30"/>
      <c r="D4369" s="30"/>
      <c r="E4369" s="30"/>
      <c r="F4369" s="22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</row>
    <row r="4370">
      <c r="A4370" s="20"/>
      <c r="B4370" s="20"/>
      <c r="C4370" s="30"/>
      <c r="D4370" s="30"/>
      <c r="E4370" s="30"/>
      <c r="F4370" s="22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</row>
    <row r="4371">
      <c r="A4371" s="20"/>
      <c r="B4371" s="20"/>
      <c r="C4371" s="30"/>
      <c r="D4371" s="30"/>
      <c r="E4371" s="30"/>
      <c r="F4371" s="22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  <c r="T4371" s="23"/>
      <c r="U4371" s="23"/>
    </row>
    <row r="4372">
      <c r="A4372" s="20"/>
      <c r="B4372" s="20"/>
      <c r="C4372" s="30"/>
      <c r="D4372" s="30"/>
      <c r="E4372" s="30"/>
      <c r="F4372" s="22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  <c r="T4372" s="23"/>
      <c r="U4372" s="23"/>
    </row>
    <row r="4373">
      <c r="A4373" s="20"/>
      <c r="B4373" s="20"/>
      <c r="C4373" s="30"/>
      <c r="D4373" s="30"/>
      <c r="E4373" s="30"/>
      <c r="F4373" s="22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</row>
    <row r="4374">
      <c r="A4374" s="20"/>
      <c r="B4374" s="20"/>
      <c r="C4374" s="30"/>
      <c r="D4374" s="30"/>
      <c r="E4374" s="30"/>
      <c r="F4374" s="22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</row>
    <row r="4375">
      <c r="A4375" s="20"/>
      <c r="B4375" s="20"/>
      <c r="C4375" s="30"/>
      <c r="D4375" s="30"/>
      <c r="E4375" s="30"/>
      <c r="F4375" s="22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  <c r="T4375" s="23"/>
      <c r="U4375" s="23"/>
    </row>
    <row r="4376">
      <c r="A4376" s="20"/>
      <c r="B4376" s="20"/>
      <c r="C4376" s="30"/>
      <c r="D4376" s="30"/>
      <c r="E4376" s="30"/>
      <c r="F4376" s="22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</row>
    <row r="4377">
      <c r="A4377" s="20"/>
      <c r="B4377" s="20"/>
      <c r="C4377" s="30"/>
      <c r="D4377" s="30"/>
      <c r="E4377" s="30"/>
      <c r="F4377" s="22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  <c r="T4377" s="23"/>
      <c r="U4377" s="23"/>
    </row>
    <row r="4378">
      <c r="A4378" s="20"/>
      <c r="B4378" s="20"/>
      <c r="C4378" s="30"/>
      <c r="D4378" s="30"/>
      <c r="E4378" s="30"/>
      <c r="F4378" s="22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</row>
    <row r="4379">
      <c r="A4379" s="20"/>
      <c r="B4379" s="20"/>
      <c r="C4379" s="30"/>
      <c r="D4379" s="30"/>
      <c r="E4379" s="30"/>
      <c r="F4379" s="22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</row>
    <row r="4380">
      <c r="A4380" s="20"/>
      <c r="B4380" s="20"/>
      <c r="C4380" s="30"/>
      <c r="D4380" s="30"/>
      <c r="E4380" s="30"/>
      <c r="F4380" s="22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</row>
    <row r="4381">
      <c r="A4381" s="20"/>
      <c r="B4381" s="20"/>
      <c r="C4381" s="30"/>
      <c r="D4381" s="30"/>
      <c r="E4381" s="30"/>
      <c r="F4381" s="22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</row>
    <row r="4382">
      <c r="A4382" s="20"/>
      <c r="B4382" s="20"/>
      <c r="C4382" s="30"/>
      <c r="D4382" s="30"/>
      <c r="E4382" s="30"/>
      <c r="F4382" s="22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</row>
    <row r="4383">
      <c r="A4383" s="20"/>
      <c r="B4383" s="20"/>
      <c r="C4383" s="30"/>
      <c r="D4383" s="30"/>
      <c r="E4383" s="30"/>
      <c r="F4383" s="22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</row>
    <row r="4384">
      <c r="A4384" s="20"/>
      <c r="B4384" s="20"/>
      <c r="C4384" s="30"/>
      <c r="D4384" s="30"/>
      <c r="E4384" s="30"/>
      <c r="F4384" s="22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</row>
    <row r="4385">
      <c r="A4385" s="20"/>
      <c r="B4385" s="20"/>
      <c r="C4385" s="30"/>
      <c r="D4385" s="30"/>
      <c r="E4385" s="30"/>
      <c r="F4385" s="22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207</v>
      </c>
      <c r="B1" s="1" t="s">
        <v>208</v>
      </c>
      <c r="C1" s="1" t="s">
        <v>209</v>
      </c>
      <c r="D1" s="1" t="s">
        <v>210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211</v>
      </c>
      <c r="B1" s="1" t="s">
        <v>212</v>
      </c>
      <c r="C1" s="1" t="s">
        <v>213</v>
      </c>
      <c r="D1" s="1" t="s">
        <v>214</v>
      </c>
      <c r="E1" s="1" t="s">
        <v>210</v>
      </c>
      <c r="F1" s="1" t="s">
        <v>215</v>
      </c>
      <c r="G1" s="1" t="s">
        <v>216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217</v>
      </c>
      <c r="B1" s="1" t="s">
        <v>218</v>
      </c>
      <c r="C1" s="1" t="s">
        <v>219</v>
      </c>
      <c r="D1" s="1" t="s">
        <v>211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215</v>
      </c>
      <c r="B1" s="1" t="s">
        <v>220</v>
      </c>
      <c r="C1" s="1" t="s">
        <v>221</v>
      </c>
      <c r="D1" s="1" t="s">
        <v>222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36.0"/>
  </cols>
  <sheetData>
    <row r="1">
      <c r="A1" s="31" t="s">
        <v>223</v>
      </c>
      <c r="B1" s="31" t="s">
        <v>224</v>
      </c>
      <c r="C1" s="31" t="s">
        <v>225</v>
      </c>
      <c r="D1" s="31" t="s">
        <v>226</v>
      </c>
    </row>
    <row r="2">
      <c r="A2" s="32" t="s">
        <v>227</v>
      </c>
      <c r="B2" s="33" t="s">
        <v>228</v>
      </c>
      <c r="C2" s="34">
        <v>55000.0</v>
      </c>
      <c r="D2" s="32" t="s">
        <v>18</v>
      </c>
      <c r="F2" s="1" t="str">
        <f t="shared" ref="F2:F15" si="1">"INSERT INTO 테이블명 VALUES (" &amp; A2 &amp; ", '" &amp; B2 &amp; "', " &amp; C2 &amp; ", '" &amp; D2 &amp; "');"</f>
        <v>INSERT INTO 테이블명 VALUES (seqReward.nextval, '애플 정품 유선 이어팟/라이트닝 이어폰', 55000, '출결');</v>
      </c>
    </row>
    <row r="3">
      <c r="A3" s="32" t="s">
        <v>227</v>
      </c>
      <c r="B3" s="35" t="s">
        <v>229</v>
      </c>
      <c r="C3" s="34">
        <v>89000.0</v>
      </c>
      <c r="D3" s="35" t="s">
        <v>230</v>
      </c>
      <c r="F3" s="1" t="str">
        <f t="shared" si="1"/>
        <v>INSERT INTO 테이블명 VALUES (seqReward.nextval, '삼성 갤럭시 버즈 라이브 (리퍼/특가)', 89000, '성적');</v>
      </c>
    </row>
    <row r="4">
      <c r="A4" s="32" t="s">
        <v>227</v>
      </c>
      <c r="B4" s="32" t="s">
        <v>231</v>
      </c>
      <c r="C4" s="34">
        <v>54000.0</v>
      </c>
      <c r="D4" s="32" t="s">
        <v>18</v>
      </c>
      <c r="F4" s="1" t="str">
        <f t="shared" si="1"/>
        <v>INSERT INTO 테이블명 VALUES (seqReward.nextval, '로지텍 블루투스 무선 마우스 M650', 54000, '출결');</v>
      </c>
    </row>
    <row r="5">
      <c r="A5" s="32" t="s">
        <v>227</v>
      </c>
      <c r="B5" s="35" t="s">
        <v>232</v>
      </c>
      <c r="C5" s="34">
        <v>50000.0</v>
      </c>
      <c r="D5" s="35" t="s">
        <v>230</v>
      </c>
      <c r="E5" s="36"/>
      <c r="F5" s="1" t="str">
        <f t="shared" si="1"/>
        <v>INSERT INTO 테이블명 VALUES (seqReward.nextval, '문화상품권 5만원권', 50000, '성적');</v>
      </c>
    </row>
    <row r="6">
      <c r="A6" s="32" t="s">
        <v>227</v>
      </c>
      <c r="B6" s="32" t="s">
        <v>233</v>
      </c>
      <c r="C6" s="34">
        <v>100000.0</v>
      </c>
      <c r="D6" s="33" t="s">
        <v>18</v>
      </c>
      <c r="F6" s="1" t="str">
        <f t="shared" si="1"/>
        <v>INSERT INTO 테이블명 VALUES (seqReward.nextval, '신세계 백화점 상품권 10만원권 (이벤트용)', 100000, '출결');</v>
      </c>
    </row>
    <row r="7">
      <c r="A7" s="32" t="s">
        <v>227</v>
      </c>
      <c r="B7" s="32" t="s">
        <v>234</v>
      </c>
      <c r="C7" s="34">
        <v>50000.0</v>
      </c>
      <c r="D7" s="33" t="s">
        <v>230</v>
      </c>
      <c r="F7" s="1" t="str">
        <f t="shared" si="1"/>
        <v>INSERT INTO 테이블명 VALUES (seqReward.nextval, '스타벅스 카드 (잔액형 기프트 카드)', 50000, '성적');</v>
      </c>
    </row>
    <row r="8">
      <c r="A8" s="32" t="s">
        <v>227</v>
      </c>
      <c r="B8" s="32" t="s">
        <v>235</v>
      </c>
      <c r="C8" s="34">
        <v>50000.0</v>
      </c>
      <c r="D8" s="33" t="s">
        <v>230</v>
      </c>
      <c r="F8" s="1" t="str">
        <f t="shared" si="1"/>
        <v>INSERT INTO 테이블명 VALUES (seqReward.nextval, '무신사 상품권', 50000, '성적');</v>
      </c>
    </row>
    <row r="9">
      <c r="A9" s="32" t="s">
        <v>227</v>
      </c>
      <c r="B9" s="32" t="s">
        <v>236</v>
      </c>
      <c r="C9" s="34">
        <v>50000.0</v>
      </c>
      <c r="D9" s="33" t="s">
        <v>230</v>
      </c>
      <c r="F9" s="1" t="str">
        <f t="shared" si="1"/>
        <v>INSERT INTO 테이블명 VALUES (seqReward.nextval, '다이소 프리패스권 (5만원 한도 물품 구매권)', 50000, '성적');</v>
      </c>
    </row>
    <row r="10">
      <c r="A10" s="32" t="s">
        <v>227</v>
      </c>
      <c r="B10" s="32" t="s">
        <v>237</v>
      </c>
      <c r="C10" s="34">
        <v>65000.0</v>
      </c>
      <c r="D10" s="33" t="s">
        <v>230</v>
      </c>
      <c r="F10" s="1" t="str">
        <f t="shared" si="1"/>
        <v>INSERT INTO 테이블명 VALUES (seqReward.nextval, '스마트 워치 (샤오미/가성비 브랜드)', 65000, '성적');</v>
      </c>
    </row>
    <row r="11">
      <c r="A11" s="32" t="s">
        <v>227</v>
      </c>
      <c r="B11" s="32" t="s">
        <v>238</v>
      </c>
      <c r="C11" s="34">
        <v>59000.0</v>
      </c>
      <c r="D11" s="33" t="s">
        <v>18</v>
      </c>
      <c r="F11" s="1" t="str">
        <f t="shared" si="1"/>
        <v>INSERT INTO 테이블명 VALUES (seqReward.nextval, '휴대용 보조배터리 (Anker 10000mAh 이상)', 59000, '출결');</v>
      </c>
    </row>
    <row r="12">
      <c r="A12" s="32" t="s">
        <v>227</v>
      </c>
      <c r="B12" s="32" t="s">
        <v>239</v>
      </c>
      <c r="C12" s="34">
        <v>89000.0</v>
      </c>
      <c r="D12" s="33" t="s">
        <v>230</v>
      </c>
      <c r="F12" s="1" t="str">
        <f t="shared" si="1"/>
        <v>INSERT INTO 테이블명 VALUES (seqReward.nextval, '게이밍 헤드셋 (로지텍 G335 등)', 89000, '성적');</v>
      </c>
    </row>
    <row r="13">
      <c r="A13" s="32" t="s">
        <v>227</v>
      </c>
      <c r="B13" s="32" t="s">
        <v>240</v>
      </c>
      <c r="C13" s="34">
        <v>60000.0</v>
      </c>
      <c r="D13" s="33" t="s">
        <v>18</v>
      </c>
      <c r="F13" s="1" t="str">
        <f t="shared" si="1"/>
        <v>INSERT INTO 테이블명 VALUES (seqReward.nextval, '책 + 문구류 종합 세트 (학습용 + 굿즈 포함)', 60000, '출결');</v>
      </c>
    </row>
    <row r="14">
      <c r="A14" s="32" t="s">
        <v>227</v>
      </c>
      <c r="B14" s="32" t="s">
        <v>241</v>
      </c>
      <c r="C14" s="34">
        <v>70000.0</v>
      </c>
      <c r="D14" s="33" t="s">
        <v>230</v>
      </c>
      <c r="F14" s="1" t="str">
        <f t="shared" si="1"/>
        <v>INSERT INTO 테이블명 VALUES (seqReward.nextval, '미니 블루투스 스피커 (JBL/샤오미 등)', 70000, '성적');</v>
      </c>
    </row>
    <row r="15">
      <c r="A15" s="32" t="s">
        <v>227</v>
      </c>
      <c r="B15" s="32" t="s">
        <v>242</v>
      </c>
      <c r="C15" s="34">
        <v>58000.0</v>
      </c>
      <c r="D15" s="33" t="s">
        <v>230</v>
      </c>
      <c r="F15" s="1" t="str">
        <f t="shared" si="1"/>
        <v>INSERT INTO 테이블명 VALUES (seqReward.nextval, '유명 브랜드 텀블러 (스탠리/하이드로플라스크)', 58000, '성적');</v>
      </c>
    </row>
    <row r="16">
      <c r="D16" s="37"/>
    </row>
    <row r="17">
      <c r="D17" s="37"/>
    </row>
    <row r="18">
      <c r="D18" s="37"/>
    </row>
    <row r="19">
      <c r="D19" s="37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3" max="3" width="9.75"/>
    <col customWidth="1" min="4" max="4" width="14.88"/>
  </cols>
  <sheetData>
    <row r="3">
      <c r="B3" s="38" t="s">
        <v>131</v>
      </c>
    </row>
    <row r="5">
      <c r="B5" s="36" t="s">
        <v>243</v>
      </c>
      <c r="C5" s="36" t="s">
        <v>244</v>
      </c>
      <c r="D5" s="36" t="s">
        <v>245</v>
      </c>
      <c r="E5" s="36" t="s">
        <v>246</v>
      </c>
      <c r="F5" s="36" t="s">
        <v>247</v>
      </c>
      <c r="G5" s="36" t="s">
        <v>248</v>
      </c>
    </row>
    <row r="6">
      <c r="B6" s="1" t="s">
        <v>249</v>
      </c>
      <c r="C6" s="39" t="s">
        <v>250</v>
      </c>
      <c r="D6" s="39" t="s">
        <v>251</v>
      </c>
      <c r="E6" s="39" t="s">
        <v>252</v>
      </c>
      <c r="F6" s="39" t="s">
        <v>253</v>
      </c>
      <c r="G6" s="40">
        <v>4500000.0</v>
      </c>
      <c r="I6" s="1" t="str">
        <f t="shared" ref="I6:I10" si="1">"INSERT INTO tblAdmin VALUES (" &amp; B6 &amp; ", '" &amp; C6 &amp; "', '" &amp; D6 &amp; "', '" &amp; E6 &amp; "', '" &amp; F6 &amp; "', " &amp; G6 &amp; ");"</f>
        <v>INSERT INTO tblAdmin VALUES (seqAdmin.nextval, '김민수', '871107-2712936', 'awMAX973', 'rVaWp352', 4500000);</v>
      </c>
    </row>
    <row r="7">
      <c r="B7" s="1" t="s">
        <v>249</v>
      </c>
      <c r="C7" s="39" t="s">
        <v>254</v>
      </c>
      <c r="D7" s="39" t="s">
        <v>255</v>
      </c>
      <c r="E7" s="39" t="s">
        <v>256</v>
      </c>
      <c r="F7" s="39" t="s">
        <v>257</v>
      </c>
      <c r="G7" s="40">
        <v>3500000.0</v>
      </c>
      <c r="I7" s="1" t="str">
        <f t="shared" si="1"/>
        <v>INSERT INTO tblAdmin VALUES (seqAdmin.nextval, '이서연', '980721-2559672', 'WSEpS162', 'SglHx256', 3500000);</v>
      </c>
    </row>
    <row r="8">
      <c r="B8" s="1" t="s">
        <v>249</v>
      </c>
      <c r="C8" s="39" t="s">
        <v>258</v>
      </c>
      <c r="D8" s="39" t="s">
        <v>259</v>
      </c>
      <c r="E8" s="39" t="s">
        <v>260</v>
      </c>
      <c r="F8" s="39" t="s">
        <v>261</v>
      </c>
      <c r="G8" s="40">
        <v>3700000.0</v>
      </c>
      <c r="I8" s="1" t="str">
        <f t="shared" si="1"/>
        <v>INSERT INTO tblAdmin VALUES (seqAdmin.nextval, '박지훈', '930408-1179368', 'FpDcQ504', 'EKVWW746!', 3700000);</v>
      </c>
    </row>
    <row r="9">
      <c r="B9" s="1" t="s">
        <v>249</v>
      </c>
      <c r="C9" s="39" t="s">
        <v>262</v>
      </c>
      <c r="D9" s="39" t="s">
        <v>263</v>
      </c>
      <c r="E9" s="39" t="s">
        <v>264</v>
      </c>
      <c r="F9" s="39" t="s">
        <v>265</v>
      </c>
      <c r="G9" s="40">
        <v>3700000.0</v>
      </c>
      <c r="I9" s="1" t="str">
        <f t="shared" si="1"/>
        <v>INSERT INTO tblAdmin VALUES (seqAdmin.nextval, '최유진', '950413-2124882', 'YkJgk353', 'iciSn755', 3700000);</v>
      </c>
    </row>
    <row r="10">
      <c r="B10" s="1" t="s">
        <v>249</v>
      </c>
      <c r="C10" s="39" t="s">
        <v>266</v>
      </c>
      <c r="D10" s="39" t="s">
        <v>267</v>
      </c>
      <c r="E10" s="39" t="s">
        <v>268</v>
      </c>
      <c r="F10" s="39" t="s">
        <v>269</v>
      </c>
      <c r="G10" s="40">
        <v>4000000.0</v>
      </c>
      <c r="I10" s="1" t="str">
        <f t="shared" si="1"/>
        <v>INSERT INTO tblAdmin VALUES (seqAdmin.nextval, '정우성', '800326-1595435', 'rcegX435', 'QrhnT511!', 4000000);</v>
      </c>
    </row>
  </sheetData>
  <mergeCells count="1">
    <mergeCell ref="B3:D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5" max="5" width="14.13"/>
  </cols>
  <sheetData>
    <row r="1">
      <c r="A1" s="41" t="s">
        <v>270</v>
      </c>
    </row>
    <row r="3">
      <c r="B3" s="38" t="s">
        <v>271</v>
      </c>
      <c r="G3" s="38"/>
    </row>
    <row r="5">
      <c r="B5" s="36" t="s">
        <v>207</v>
      </c>
      <c r="C5" s="36" t="s">
        <v>272</v>
      </c>
      <c r="D5" s="36" t="s">
        <v>208</v>
      </c>
      <c r="E5" s="36" t="s">
        <v>209</v>
      </c>
    </row>
    <row r="6">
      <c r="B6" s="1" t="s">
        <v>273</v>
      </c>
      <c r="C6" s="1">
        <v>169.0</v>
      </c>
      <c r="D6" s="1" t="s">
        <v>274</v>
      </c>
      <c r="E6" s="2" t="str">
        <f t="shared" ref="E6:E15" si="1">TEXT(RANDBETWEEN(DATE(2023,1,1),DATE(2025,8,4)),"yyyy-mm-dd")</f>
        <v>2024-01-04</v>
      </c>
      <c r="G6" s="2" t="str">
        <f t="shared" ref="G6:G325" si="2">"INSERT INTO tblJobPlacement VALUES (" &amp; B6 &amp; ", " &amp; C6 &amp; ", '" &amp; D6 &amp; "', '" &amp; E6 &amp; "');"</f>
        <v>INSERT INTO tblJobPlacement VALUES (seqJobPlacement.nextval, 169, '취업', '2024-01-04');</v>
      </c>
    </row>
    <row r="7">
      <c r="B7" s="1" t="s">
        <v>273</v>
      </c>
      <c r="C7" s="1">
        <v>170.0</v>
      </c>
      <c r="D7" s="1" t="s">
        <v>274</v>
      </c>
      <c r="E7" s="2" t="str">
        <f t="shared" si="1"/>
        <v>2024-02-21</v>
      </c>
      <c r="G7" s="2" t="str">
        <f t="shared" si="2"/>
        <v>INSERT INTO tblJobPlacement VALUES (seqJobPlacement.nextval, 170, '취업', '2024-02-21');</v>
      </c>
    </row>
    <row r="8">
      <c r="B8" s="1" t="s">
        <v>273</v>
      </c>
      <c r="C8" s="1">
        <v>171.0</v>
      </c>
      <c r="D8" s="1" t="s">
        <v>274</v>
      </c>
      <c r="E8" s="2" t="str">
        <f t="shared" si="1"/>
        <v>2025-03-06</v>
      </c>
      <c r="G8" s="2" t="str">
        <f t="shared" si="2"/>
        <v>INSERT INTO tblJobPlacement VALUES (seqJobPlacement.nextval, 171, '취업', '2025-03-06');</v>
      </c>
    </row>
    <row r="9">
      <c r="B9" s="1" t="s">
        <v>273</v>
      </c>
      <c r="C9" s="1">
        <v>172.0</v>
      </c>
      <c r="D9" s="1" t="s">
        <v>274</v>
      </c>
      <c r="E9" s="2" t="str">
        <f t="shared" si="1"/>
        <v>2023-09-12</v>
      </c>
      <c r="G9" s="2" t="str">
        <f t="shared" si="2"/>
        <v>INSERT INTO tblJobPlacement VALUES (seqJobPlacement.nextval, 172, '취업', '2023-09-12');</v>
      </c>
    </row>
    <row r="10">
      <c r="B10" s="1" t="s">
        <v>273</v>
      </c>
      <c r="C10" s="1">
        <v>173.0</v>
      </c>
      <c r="D10" s="1" t="s">
        <v>274</v>
      </c>
      <c r="E10" s="2" t="str">
        <f t="shared" si="1"/>
        <v>2024-05-02</v>
      </c>
      <c r="G10" s="2" t="str">
        <f t="shared" si="2"/>
        <v>INSERT INTO tblJobPlacement VALUES (seqJobPlacement.nextval, 173, '취업', '2024-05-02');</v>
      </c>
    </row>
    <row r="11">
      <c r="B11" s="1" t="s">
        <v>273</v>
      </c>
      <c r="C11" s="1">
        <v>174.0</v>
      </c>
      <c r="D11" s="1" t="s">
        <v>274</v>
      </c>
      <c r="E11" s="2" t="str">
        <f t="shared" si="1"/>
        <v>2025-06-07</v>
      </c>
      <c r="G11" s="2" t="str">
        <f t="shared" si="2"/>
        <v>INSERT INTO tblJobPlacement VALUES (seqJobPlacement.nextval, 174, '취업', '2025-06-07');</v>
      </c>
    </row>
    <row r="12">
      <c r="B12" s="1" t="s">
        <v>273</v>
      </c>
      <c r="C12" s="1">
        <v>175.0</v>
      </c>
      <c r="D12" s="1" t="s">
        <v>274</v>
      </c>
      <c r="E12" s="2" t="str">
        <f t="shared" si="1"/>
        <v>2023-11-22</v>
      </c>
      <c r="G12" s="2" t="str">
        <f t="shared" si="2"/>
        <v>INSERT INTO tblJobPlacement VALUES (seqJobPlacement.nextval, 175, '취업', '2023-11-22');</v>
      </c>
    </row>
    <row r="13">
      <c r="B13" s="1" t="s">
        <v>273</v>
      </c>
      <c r="C13" s="1">
        <v>176.0</v>
      </c>
      <c r="D13" s="1" t="s">
        <v>274</v>
      </c>
      <c r="E13" s="2" t="str">
        <f t="shared" si="1"/>
        <v>2023-05-05</v>
      </c>
      <c r="G13" s="2" t="str">
        <f t="shared" si="2"/>
        <v>INSERT INTO tblJobPlacement VALUES (seqJobPlacement.nextval, 176, '취업', '2023-05-05');</v>
      </c>
    </row>
    <row r="14">
      <c r="B14" s="1" t="s">
        <v>273</v>
      </c>
      <c r="C14" s="1">
        <v>177.0</v>
      </c>
      <c r="D14" s="1" t="s">
        <v>274</v>
      </c>
      <c r="E14" s="2" t="str">
        <f t="shared" si="1"/>
        <v>2024-11-05</v>
      </c>
      <c r="G14" s="2" t="str">
        <f t="shared" si="2"/>
        <v>INSERT INTO tblJobPlacement VALUES (seqJobPlacement.nextval, 177, '취업', '2024-11-05');</v>
      </c>
    </row>
    <row r="15">
      <c r="B15" s="1" t="s">
        <v>273</v>
      </c>
      <c r="C15" s="1">
        <v>178.0</v>
      </c>
      <c r="D15" s="1" t="s">
        <v>274</v>
      </c>
      <c r="E15" s="2" t="str">
        <f t="shared" si="1"/>
        <v>2024-09-11</v>
      </c>
      <c r="G15" s="2" t="str">
        <f t="shared" si="2"/>
        <v>INSERT INTO tblJobPlacement VALUES (seqJobPlacement.nextval, 178, '취업', '2024-09-11');</v>
      </c>
    </row>
    <row r="16">
      <c r="B16" s="1" t="s">
        <v>273</v>
      </c>
      <c r="C16" s="1">
        <v>179.0</v>
      </c>
      <c r="D16" s="1" t="s">
        <v>275</v>
      </c>
      <c r="G16" s="2" t="str">
        <f t="shared" si="2"/>
        <v>INSERT INTO tblJobPlacement VALUES (seqJobPlacement.nextval, 179, '미취업', '');</v>
      </c>
    </row>
    <row r="17">
      <c r="B17" s="1" t="s">
        <v>273</v>
      </c>
      <c r="C17" s="1">
        <v>180.0</v>
      </c>
      <c r="D17" s="1" t="s">
        <v>274</v>
      </c>
      <c r="E17" s="2" t="str">
        <f t="shared" ref="E17:E28" si="3">TEXT(RANDBETWEEN(DATE(2023,1,1),DATE(2025,8,4)),"yyyy-mm-dd")</f>
        <v>2024-12-06</v>
      </c>
      <c r="G17" s="2" t="str">
        <f t="shared" si="2"/>
        <v>INSERT INTO tblJobPlacement VALUES (seqJobPlacement.nextval, 180, '취업', '2024-12-06');</v>
      </c>
    </row>
    <row r="18">
      <c r="B18" s="1" t="s">
        <v>273</v>
      </c>
      <c r="C18" s="1">
        <v>181.0</v>
      </c>
      <c r="D18" s="1" t="s">
        <v>274</v>
      </c>
      <c r="E18" s="2" t="str">
        <f t="shared" si="3"/>
        <v>2024-01-15</v>
      </c>
      <c r="G18" s="2" t="str">
        <f t="shared" si="2"/>
        <v>INSERT INTO tblJobPlacement VALUES (seqJobPlacement.nextval, 181, '취업', '2024-01-15');</v>
      </c>
    </row>
    <row r="19">
      <c r="B19" s="1" t="s">
        <v>273</v>
      </c>
      <c r="C19" s="1">
        <v>182.0</v>
      </c>
      <c r="D19" s="1" t="s">
        <v>274</v>
      </c>
      <c r="E19" s="2" t="str">
        <f t="shared" si="3"/>
        <v>2024-11-30</v>
      </c>
      <c r="G19" s="2" t="str">
        <f t="shared" si="2"/>
        <v>INSERT INTO tblJobPlacement VALUES (seqJobPlacement.nextval, 182, '취업', '2024-11-30');</v>
      </c>
    </row>
    <row r="20">
      <c r="B20" s="1" t="s">
        <v>273</v>
      </c>
      <c r="C20" s="1">
        <v>183.0</v>
      </c>
      <c r="D20" s="1" t="s">
        <v>274</v>
      </c>
      <c r="E20" s="2" t="str">
        <f t="shared" si="3"/>
        <v>2023-08-14</v>
      </c>
      <c r="G20" s="2" t="str">
        <f t="shared" si="2"/>
        <v>INSERT INTO tblJobPlacement VALUES (seqJobPlacement.nextval, 183, '취업', '2023-08-14');</v>
      </c>
    </row>
    <row r="21">
      <c r="B21" s="1" t="s">
        <v>273</v>
      </c>
      <c r="C21" s="1">
        <v>184.0</v>
      </c>
      <c r="D21" s="1" t="s">
        <v>274</v>
      </c>
      <c r="E21" s="2" t="str">
        <f t="shared" si="3"/>
        <v>2023-06-11</v>
      </c>
      <c r="G21" s="2" t="str">
        <f t="shared" si="2"/>
        <v>INSERT INTO tblJobPlacement VALUES (seqJobPlacement.nextval, 184, '취업', '2023-06-11');</v>
      </c>
    </row>
    <row r="22">
      <c r="B22" s="1" t="s">
        <v>273</v>
      </c>
      <c r="C22" s="1">
        <v>185.0</v>
      </c>
      <c r="D22" s="1" t="s">
        <v>274</v>
      </c>
      <c r="E22" s="2" t="str">
        <f t="shared" si="3"/>
        <v>2023-03-05</v>
      </c>
      <c r="G22" s="2" t="str">
        <f t="shared" si="2"/>
        <v>INSERT INTO tblJobPlacement VALUES (seqJobPlacement.nextval, 185, '취업', '2023-03-05');</v>
      </c>
    </row>
    <row r="23">
      <c r="B23" s="1" t="s">
        <v>273</v>
      </c>
      <c r="C23" s="1">
        <v>186.0</v>
      </c>
      <c r="D23" s="1" t="s">
        <v>274</v>
      </c>
      <c r="E23" s="2" t="str">
        <f t="shared" si="3"/>
        <v>2023-11-15</v>
      </c>
      <c r="G23" s="2" t="str">
        <f t="shared" si="2"/>
        <v>INSERT INTO tblJobPlacement VALUES (seqJobPlacement.nextval, 186, '취업', '2023-11-15');</v>
      </c>
    </row>
    <row r="24">
      <c r="B24" s="1" t="s">
        <v>273</v>
      </c>
      <c r="C24" s="1">
        <v>187.0</v>
      </c>
      <c r="D24" s="1" t="s">
        <v>274</v>
      </c>
      <c r="E24" s="2" t="str">
        <f t="shared" si="3"/>
        <v>2024-04-12</v>
      </c>
      <c r="G24" s="2" t="str">
        <f t="shared" si="2"/>
        <v>INSERT INTO tblJobPlacement VALUES (seqJobPlacement.nextval, 187, '취업', '2024-04-12');</v>
      </c>
    </row>
    <row r="25">
      <c r="B25" s="1" t="s">
        <v>273</v>
      </c>
      <c r="C25" s="1">
        <v>188.0</v>
      </c>
      <c r="D25" s="1" t="s">
        <v>274</v>
      </c>
      <c r="E25" s="2" t="str">
        <f t="shared" si="3"/>
        <v>2024-03-10</v>
      </c>
      <c r="G25" s="2" t="str">
        <f t="shared" si="2"/>
        <v>INSERT INTO tblJobPlacement VALUES (seqJobPlacement.nextval, 188, '취업', '2024-03-10');</v>
      </c>
    </row>
    <row r="26">
      <c r="B26" s="1" t="s">
        <v>273</v>
      </c>
      <c r="C26" s="1">
        <v>189.0</v>
      </c>
      <c r="D26" s="1" t="s">
        <v>274</v>
      </c>
      <c r="E26" s="2" t="str">
        <f t="shared" si="3"/>
        <v>2024-10-12</v>
      </c>
      <c r="G26" s="2" t="str">
        <f t="shared" si="2"/>
        <v>INSERT INTO tblJobPlacement VALUES (seqJobPlacement.nextval, 189, '취업', '2024-10-12');</v>
      </c>
    </row>
    <row r="27">
      <c r="B27" s="1" t="s">
        <v>273</v>
      </c>
      <c r="C27" s="1">
        <v>190.0</v>
      </c>
      <c r="D27" s="1" t="s">
        <v>274</v>
      </c>
      <c r="E27" s="2" t="str">
        <f t="shared" si="3"/>
        <v>2025-02-22</v>
      </c>
      <c r="G27" s="2" t="str">
        <f t="shared" si="2"/>
        <v>INSERT INTO tblJobPlacement VALUES (seqJobPlacement.nextval, 190, '취업', '2025-02-22');</v>
      </c>
    </row>
    <row r="28">
      <c r="B28" s="1" t="s">
        <v>273</v>
      </c>
      <c r="C28" s="1">
        <v>191.0</v>
      </c>
      <c r="D28" s="1" t="s">
        <v>274</v>
      </c>
      <c r="E28" s="2" t="str">
        <f t="shared" si="3"/>
        <v>2025-06-26</v>
      </c>
      <c r="G28" s="2" t="str">
        <f t="shared" si="2"/>
        <v>INSERT INTO tblJobPlacement VALUES (seqJobPlacement.nextval, 191, '취업', '2025-06-26');</v>
      </c>
    </row>
    <row r="29">
      <c r="B29" s="1" t="s">
        <v>273</v>
      </c>
      <c r="C29" s="1">
        <v>192.0</v>
      </c>
      <c r="D29" s="1" t="s">
        <v>275</v>
      </c>
      <c r="G29" s="2" t="str">
        <f t="shared" si="2"/>
        <v>INSERT INTO tblJobPlacement VALUES (seqJobPlacement.nextval, 192, '미취업', '');</v>
      </c>
    </row>
    <row r="30">
      <c r="B30" s="1" t="s">
        <v>273</v>
      </c>
      <c r="C30" s="1">
        <v>193.0</v>
      </c>
      <c r="D30" s="1" t="s">
        <v>274</v>
      </c>
      <c r="E30" s="2" t="str">
        <f t="shared" ref="E30:E66" si="4">TEXT(RANDBETWEEN(DATE(2023,1,1),DATE(2025,8,4)),"yyyy-mm-dd")</f>
        <v>2024-12-28</v>
      </c>
      <c r="G30" s="2" t="str">
        <f t="shared" si="2"/>
        <v>INSERT INTO tblJobPlacement VALUES (seqJobPlacement.nextval, 193, '취업', '2024-12-28');</v>
      </c>
    </row>
    <row r="31">
      <c r="B31" s="1" t="s">
        <v>273</v>
      </c>
      <c r="C31" s="1">
        <v>194.0</v>
      </c>
      <c r="D31" s="1" t="s">
        <v>274</v>
      </c>
      <c r="E31" s="2" t="str">
        <f t="shared" si="4"/>
        <v>2025-06-24</v>
      </c>
      <c r="G31" s="2" t="str">
        <f t="shared" si="2"/>
        <v>INSERT INTO tblJobPlacement VALUES (seqJobPlacement.nextval, 194, '취업', '2025-06-24');</v>
      </c>
    </row>
    <row r="32">
      <c r="B32" s="1" t="s">
        <v>273</v>
      </c>
      <c r="C32" s="1">
        <v>195.0</v>
      </c>
      <c r="D32" s="1" t="s">
        <v>274</v>
      </c>
      <c r="E32" s="2" t="str">
        <f t="shared" si="4"/>
        <v>2024-12-22</v>
      </c>
      <c r="G32" s="2" t="str">
        <f t="shared" si="2"/>
        <v>INSERT INTO tblJobPlacement VALUES (seqJobPlacement.nextval, 195, '취업', '2024-12-22');</v>
      </c>
    </row>
    <row r="33">
      <c r="B33" s="1" t="s">
        <v>273</v>
      </c>
      <c r="C33" s="1">
        <v>196.0</v>
      </c>
      <c r="D33" s="1" t="s">
        <v>274</v>
      </c>
      <c r="E33" s="2" t="str">
        <f t="shared" si="4"/>
        <v>2023-09-27</v>
      </c>
      <c r="G33" s="2" t="str">
        <f t="shared" si="2"/>
        <v>INSERT INTO tblJobPlacement VALUES (seqJobPlacement.nextval, 196, '취업', '2023-09-27');</v>
      </c>
    </row>
    <row r="34">
      <c r="B34" s="1" t="s">
        <v>273</v>
      </c>
      <c r="C34" s="1">
        <v>197.0</v>
      </c>
      <c r="D34" s="1" t="s">
        <v>274</v>
      </c>
      <c r="E34" s="2" t="str">
        <f t="shared" si="4"/>
        <v>2025-05-20</v>
      </c>
      <c r="G34" s="2" t="str">
        <f t="shared" si="2"/>
        <v>INSERT INTO tblJobPlacement VALUES (seqJobPlacement.nextval, 197, '취업', '2025-05-20');</v>
      </c>
    </row>
    <row r="35">
      <c r="B35" s="1" t="s">
        <v>273</v>
      </c>
      <c r="C35" s="1">
        <v>198.0</v>
      </c>
      <c r="D35" s="1" t="s">
        <v>274</v>
      </c>
      <c r="E35" s="2" t="str">
        <f t="shared" si="4"/>
        <v>2023-03-30</v>
      </c>
      <c r="G35" s="2" t="str">
        <f t="shared" si="2"/>
        <v>INSERT INTO tblJobPlacement VALUES (seqJobPlacement.nextval, 198, '취업', '2023-03-30');</v>
      </c>
    </row>
    <row r="36">
      <c r="B36" s="1" t="s">
        <v>273</v>
      </c>
      <c r="C36" s="1">
        <v>199.0</v>
      </c>
      <c r="D36" s="1" t="s">
        <v>274</v>
      </c>
      <c r="E36" s="2" t="str">
        <f t="shared" si="4"/>
        <v>2025-07-20</v>
      </c>
      <c r="G36" s="2" t="str">
        <f t="shared" si="2"/>
        <v>INSERT INTO tblJobPlacement VALUES (seqJobPlacement.nextval, 199, '취업', '2025-07-20');</v>
      </c>
    </row>
    <row r="37">
      <c r="B37" s="1" t="s">
        <v>273</v>
      </c>
      <c r="C37" s="1">
        <v>200.0</v>
      </c>
      <c r="D37" s="1" t="s">
        <v>274</v>
      </c>
      <c r="E37" s="2" t="str">
        <f t="shared" si="4"/>
        <v>2023-10-26</v>
      </c>
      <c r="G37" s="2" t="str">
        <f t="shared" si="2"/>
        <v>INSERT INTO tblJobPlacement VALUES (seqJobPlacement.nextval, 200, '취업', '2023-10-26');</v>
      </c>
    </row>
    <row r="38">
      <c r="B38" s="1" t="s">
        <v>273</v>
      </c>
      <c r="C38" s="1">
        <v>201.0</v>
      </c>
      <c r="D38" s="1" t="s">
        <v>274</v>
      </c>
      <c r="E38" s="2" t="str">
        <f t="shared" si="4"/>
        <v>2024-05-03</v>
      </c>
      <c r="G38" s="2" t="str">
        <f t="shared" si="2"/>
        <v>INSERT INTO tblJobPlacement VALUES (seqJobPlacement.nextval, 201, '취업', '2024-05-03');</v>
      </c>
    </row>
    <row r="39">
      <c r="B39" s="1" t="s">
        <v>273</v>
      </c>
      <c r="C39" s="1">
        <v>202.0</v>
      </c>
      <c r="D39" s="1" t="s">
        <v>274</v>
      </c>
      <c r="E39" s="2" t="str">
        <f t="shared" si="4"/>
        <v>2024-04-04</v>
      </c>
      <c r="G39" s="2" t="str">
        <f t="shared" si="2"/>
        <v>INSERT INTO tblJobPlacement VALUES (seqJobPlacement.nextval, 202, '취업', '2024-04-04');</v>
      </c>
    </row>
    <row r="40">
      <c r="B40" s="1" t="s">
        <v>273</v>
      </c>
      <c r="C40" s="1">
        <v>203.0</v>
      </c>
      <c r="D40" s="1" t="s">
        <v>274</v>
      </c>
      <c r="E40" s="2" t="str">
        <f t="shared" si="4"/>
        <v>2024-08-15</v>
      </c>
      <c r="G40" s="2" t="str">
        <f t="shared" si="2"/>
        <v>INSERT INTO tblJobPlacement VALUES (seqJobPlacement.nextval, 203, '취업', '2024-08-15');</v>
      </c>
    </row>
    <row r="41">
      <c r="B41" s="1" t="s">
        <v>273</v>
      </c>
      <c r="C41" s="1">
        <v>204.0</v>
      </c>
      <c r="D41" s="1" t="s">
        <v>274</v>
      </c>
      <c r="E41" s="2" t="str">
        <f t="shared" si="4"/>
        <v>2023-10-02</v>
      </c>
      <c r="G41" s="2" t="str">
        <f t="shared" si="2"/>
        <v>INSERT INTO tblJobPlacement VALUES (seqJobPlacement.nextval, 204, '취업', '2023-10-02');</v>
      </c>
    </row>
    <row r="42">
      <c r="B42" s="1" t="s">
        <v>273</v>
      </c>
      <c r="C42" s="1">
        <v>205.0</v>
      </c>
      <c r="D42" s="1" t="s">
        <v>274</v>
      </c>
      <c r="E42" s="2" t="str">
        <f t="shared" si="4"/>
        <v>2024-03-09</v>
      </c>
      <c r="G42" s="2" t="str">
        <f t="shared" si="2"/>
        <v>INSERT INTO tblJobPlacement VALUES (seqJobPlacement.nextval, 205, '취업', '2024-03-09');</v>
      </c>
    </row>
    <row r="43">
      <c r="B43" s="1" t="s">
        <v>273</v>
      </c>
      <c r="C43" s="1">
        <v>206.0</v>
      </c>
      <c r="D43" s="1" t="s">
        <v>274</v>
      </c>
      <c r="E43" s="2" t="str">
        <f t="shared" si="4"/>
        <v>2024-09-14</v>
      </c>
      <c r="G43" s="2" t="str">
        <f t="shared" si="2"/>
        <v>INSERT INTO tblJobPlacement VALUES (seqJobPlacement.nextval, 206, '취업', '2024-09-14');</v>
      </c>
    </row>
    <row r="44">
      <c r="B44" s="1" t="s">
        <v>273</v>
      </c>
      <c r="C44" s="1">
        <v>207.0</v>
      </c>
      <c r="D44" s="1" t="s">
        <v>274</v>
      </c>
      <c r="E44" s="2" t="str">
        <f t="shared" si="4"/>
        <v>2024-12-15</v>
      </c>
      <c r="G44" s="2" t="str">
        <f t="shared" si="2"/>
        <v>INSERT INTO tblJobPlacement VALUES (seqJobPlacement.nextval, 207, '취업', '2024-12-15');</v>
      </c>
    </row>
    <row r="45">
      <c r="B45" s="1" t="s">
        <v>273</v>
      </c>
      <c r="C45" s="1">
        <v>208.0</v>
      </c>
      <c r="D45" s="1" t="s">
        <v>274</v>
      </c>
      <c r="E45" s="2" t="str">
        <f t="shared" si="4"/>
        <v>2024-09-09</v>
      </c>
      <c r="G45" s="2" t="str">
        <f t="shared" si="2"/>
        <v>INSERT INTO tblJobPlacement VALUES (seqJobPlacement.nextval, 208, '취업', '2024-09-09');</v>
      </c>
    </row>
    <row r="46">
      <c r="B46" s="1" t="s">
        <v>273</v>
      </c>
      <c r="C46" s="1">
        <v>209.0</v>
      </c>
      <c r="D46" s="1" t="s">
        <v>274</v>
      </c>
      <c r="E46" s="2" t="str">
        <f t="shared" si="4"/>
        <v>2024-08-05</v>
      </c>
      <c r="G46" s="2" t="str">
        <f t="shared" si="2"/>
        <v>INSERT INTO tblJobPlacement VALUES (seqJobPlacement.nextval, 209, '취업', '2024-08-05');</v>
      </c>
    </row>
    <row r="47">
      <c r="B47" s="1" t="s">
        <v>273</v>
      </c>
      <c r="C47" s="1">
        <v>210.0</v>
      </c>
      <c r="D47" s="1" t="s">
        <v>274</v>
      </c>
      <c r="E47" s="2" t="str">
        <f t="shared" si="4"/>
        <v>2024-12-01</v>
      </c>
      <c r="G47" s="2" t="str">
        <f t="shared" si="2"/>
        <v>INSERT INTO tblJobPlacement VALUES (seqJobPlacement.nextval, 210, '취업', '2024-12-01');</v>
      </c>
    </row>
    <row r="48">
      <c r="B48" s="1" t="s">
        <v>273</v>
      </c>
      <c r="C48" s="1">
        <v>211.0</v>
      </c>
      <c r="D48" s="1" t="s">
        <v>274</v>
      </c>
      <c r="E48" s="2" t="str">
        <f t="shared" si="4"/>
        <v>2023-05-22</v>
      </c>
      <c r="G48" s="2" t="str">
        <f t="shared" si="2"/>
        <v>INSERT INTO tblJobPlacement VALUES (seqJobPlacement.nextval, 211, '취업', '2023-05-22');</v>
      </c>
    </row>
    <row r="49">
      <c r="B49" s="1" t="s">
        <v>273</v>
      </c>
      <c r="C49" s="1">
        <v>212.0</v>
      </c>
      <c r="D49" s="1" t="s">
        <v>274</v>
      </c>
      <c r="E49" s="2" t="str">
        <f t="shared" si="4"/>
        <v>2025-01-10</v>
      </c>
      <c r="G49" s="2" t="str">
        <f t="shared" si="2"/>
        <v>INSERT INTO tblJobPlacement VALUES (seqJobPlacement.nextval, 212, '취업', '2025-01-10');</v>
      </c>
    </row>
    <row r="50">
      <c r="B50" s="1" t="s">
        <v>273</v>
      </c>
      <c r="C50" s="1">
        <v>213.0</v>
      </c>
      <c r="D50" s="1" t="s">
        <v>274</v>
      </c>
      <c r="E50" s="2" t="str">
        <f t="shared" si="4"/>
        <v>2023-04-18</v>
      </c>
      <c r="G50" s="2" t="str">
        <f t="shared" si="2"/>
        <v>INSERT INTO tblJobPlacement VALUES (seqJobPlacement.nextval, 213, '취업', '2023-04-18');</v>
      </c>
    </row>
    <row r="51">
      <c r="B51" s="1" t="s">
        <v>273</v>
      </c>
      <c r="C51" s="1">
        <v>214.0</v>
      </c>
      <c r="D51" s="1" t="s">
        <v>274</v>
      </c>
      <c r="E51" s="2" t="str">
        <f t="shared" si="4"/>
        <v>2025-03-31</v>
      </c>
      <c r="G51" s="2" t="str">
        <f t="shared" si="2"/>
        <v>INSERT INTO tblJobPlacement VALUES (seqJobPlacement.nextval, 214, '취업', '2025-03-31');</v>
      </c>
    </row>
    <row r="52">
      <c r="B52" s="1" t="s">
        <v>273</v>
      </c>
      <c r="C52" s="1">
        <v>215.0</v>
      </c>
      <c r="D52" s="1" t="s">
        <v>274</v>
      </c>
      <c r="E52" s="2" t="str">
        <f t="shared" si="4"/>
        <v>2023-10-18</v>
      </c>
      <c r="G52" s="2" t="str">
        <f t="shared" si="2"/>
        <v>INSERT INTO tblJobPlacement VALUES (seqJobPlacement.nextval, 215, '취업', '2023-10-18');</v>
      </c>
    </row>
    <row r="53">
      <c r="B53" s="1" t="s">
        <v>273</v>
      </c>
      <c r="C53" s="1">
        <v>216.0</v>
      </c>
      <c r="D53" s="1" t="s">
        <v>274</v>
      </c>
      <c r="E53" s="2" t="str">
        <f t="shared" si="4"/>
        <v>2024-02-06</v>
      </c>
      <c r="G53" s="2" t="str">
        <f t="shared" si="2"/>
        <v>INSERT INTO tblJobPlacement VALUES (seqJobPlacement.nextval, 216, '취업', '2024-02-06');</v>
      </c>
    </row>
    <row r="54">
      <c r="B54" s="1" t="s">
        <v>273</v>
      </c>
      <c r="C54" s="1">
        <v>217.0</v>
      </c>
      <c r="D54" s="1" t="s">
        <v>274</v>
      </c>
      <c r="E54" s="2" t="str">
        <f t="shared" si="4"/>
        <v>2023-06-20</v>
      </c>
      <c r="G54" s="2" t="str">
        <f t="shared" si="2"/>
        <v>INSERT INTO tblJobPlacement VALUES (seqJobPlacement.nextval, 217, '취업', '2023-06-20');</v>
      </c>
    </row>
    <row r="55">
      <c r="B55" s="1" t="s">
        <v>273</v>
      </c>
      <c r="C55" s="1">
        <v>218.0</v>
      </c>
      <c r="D55" s="1" t="s">
        <v>274</v>
      </c>
      <c r="E55" s="2" t="str">
        <f t="shared" si="4"/>
        <v>2023-08-30</v>
      </c>
      <c r="G55" s="2" t="str">
        <f t="shared" si="2"/>
        <v>INSERT INTO tblJobPlacement VALUES (seqJobPlacement.nextval, 218, '취업', '2023-08-30');</v>
      </c>
    </row>
    <row r="56">
      <c r="B56" s="1" t="s">
        <v>273</v>
      </c>
      <c r="C56" s="1">
        <v>219.0</v>
      </c>
      <c r="D56" s="1" t="s">
        <v>274</v>
      </c>
      <c r="E56" s="2" t="str">
        <f t="shared" si="4"/>
        <v>2023-01-11</v>
      </c>
      <c r="G56" s="2" t="str">
        <f t="shared" si="2"/>
        <v>INSERT INTO tblJobPlacement VALUES (seqJobPlacement.nextval, 219, '취업', '2023-01-11');</v>
      </c>
    </row>
    <row r="57">
      <c r="B57" s="1" t="s">
        <v>273</v>
      </c>
      <c r="C57" s="1">
        <v>220.0</v>
      </c>
      <c r="D57" s="1" t="s">
        <v>274</v>
      </c>
      <c r="E57" s="2" t="str">
        <f t="shared" si="4"/>
        <v>2024-06-07</v>
      </c>
      <c r="G57" s="2" t="str">
        <f t="shared" si="2"/>
        <v>INSERT INTO tblJobPlacement VALUES (seqJobPlacement.nextval, 220, '취업', '2024-06-07');</v>
      </c>
    </row>
    <row r="58">
      <c r="B58" s="1" t="s">
        <v>273</v>
      </c>
      <c r="C58" s="1">
        <v>221.0</v>
      </c>
      <c r="D58" s="1" t="s">
        <v>274</v>
      </c>
      <c r="E58" s="2" t="str">
        <f t="shared" si="4"/>
        <v>2024-10-01</v>
      </c>
      <c r="G58" s="2" t="str">
        <f t="shared" si="2"/>
        <v>INSERT INTO tblJobPlacement VALUES (seqJobPlacement.nextval, 221, '취업', '2024-10-01');</v>
      </c>
    </row>
    <row r="59">
      <c r="B59" s="1" t="s">
        <v>273</v>
      </c>
      <c r="C59" s="1">
        <v>222.0</v>
      </c>
      <c r="D59" s="1" t="s">
        <v>274</v>
      </c>
      <c r="E59" s="2" t="str">
        <f t="shared" si="4"/>
        <v>2023-06-27</v>
      </c>
      <c r="G59" s="2" t="str">
        <f t="shared" si="2"/>
        <v>INSERT INTO tblJobPlacement VALUES (seqJobPlacement.nextval, 222, '취업', '2023-06-27');</v>
      </c>
    </row>
    <row r="60">
      <c r="B60" s="1" t="s">
        <v>273</v>
      </c>
      <c r="C60" s="1">
        <v>223.0</v>
      </c>
      <c r="D60" s="1" t="s">
        <v>274</v>
      </c>
      <c r="E60" s="2" t="str">
        <f t="shared" si="4"/>
        <v>2023-10-24</v>
      </c>
      <c r="G60" s="2" t="str">
        <f t="shared" si="2"/>
        <v>INSERT INTO tblJobPlacement VALUES (seqJobPlacement.nextval, 223, '취업', '2023-10-24');</v>
      </c>
    </row>
    <row r="61">
      <c r="B61" s="1" t="s">
        <v>273</v>
      </c>
      <c r="C61" s="1">
        <v>224.0</v>
      </c>
      <c r="D61" s="1" t="s">
        <v>274</v>
      </c>
      <c r="E61" s="2" t="str">
        <f t="shared" si="4"/>
        <v>2023-09-21</v>
      </c>
      <c r="G61" s="2" t="str">
        <f t="shared" si="2"/>
        <v>INSERT INTO tblJobPlacement VALUES (seqJobPlacement.nextval, 224, '취업', '2023-09-21');</v>
      </c>
    </row>
    <row r="62">
      <c r="B62" s="1" t="s">
        <v>273</v>
      </c>
      <c r="C62" s="1">
        <v>225.0</v>
      </c>
      <c r="D62" s="1" t="s">
        <v>274</v>
      </c>
      <c r="E62" s="2" t="str">
        <f t="shared" si="4"/>
        <v>2023-12-03</v>
      </c>
      <c r="G62" s="2" t="str">
        <f t="shared" si="2"/>
        <v>INSERT INTO tblJobPlacement VALUES (seqJobPlacement.nextval, 225, '취업', '2023-12-03');</v>
      </c>
    </row>
    <row r="63">
      <c r="B63" s="1" t="s">
        <v>273</v>
      </c>
      <c r="C63" s="1">
        <v>226.0</v>
      </c>
      <c r="D63" s="1" t="s">
        <v>274</v>
      </c>
      <c r="E63" s="2" t="str">
        <f t="shared" si="4"/>
        <v>2025-01-06</v>
      </c>
      <c r="G63" s="2" t="str">
        <f t="shared" si="2"/>
        <v>INSERT INTO tblJobPlacement VALUES (seqJobPlacement.nextval, 226, '취업', '2025-01-06');</v>
      </c>
    </row>
    <row r="64">
      <c r="B64" s="1" t="s">
        <v>273</v>
      </c>
      <c r="C64" s="1">
        <v>227.0</v>
      </c>
      <c r="D64" s="1" t="s">
        <v>274</v>
      </c>
      <c r="E64" s="2" t="str">
        <f t="shared" si="4"/>
        <v>2024-02-20</v>
      </c>
      <c r="G64" s="2" t="str">
        <f t="shared" si="2"/>
        <v>INSERT INTO tblJobPlacement VALUES (seqJobPlacement.nextval, 227, '취업', '2024-02-20');</v>
      </c>
    </row>
    <row r="65">
      <c r="B65" s="1" t="s">
        <v>273</v>
      </c>
      <c r="C65" s="1">
        <v>228.0</v>
      </c>
      <c r="D65" s="1" t="s">
        <v>274</v>
      </c>
      <c r="E65" s="2" t="str">
        <f t="shared" si="4"/>
        <v>2024-07-26</v>
      </c>
      <c r="G65" s="2" t="str">
        <f t="shared" si="2"/>
        <v>INSERT INTO tblJobPlacement VALUES (seqJobPlacement.nextval, 228, '취업', '2024-07-26');</v>
      </c>
    </row>
    <row r="66">
      <c r="B66" s="1" t="s">
        <v>273</v>
      </c>
      <c r="C66" s="1">
        <v>229.0</v>
      </c>
      <c r="D66" s="1" t="s">
        <v>274</v>
      </c>
      <c r="E66" s="2" t="str">
        <f t="shared" si="4"/>
        <v>2024-06-06</v>
      </c>
      <c r="G66" s="2" t="str">
        <f t="shared" si="2"/>
        <v>INSERT INTO tblJobPlacement VALUES (seqJobPlacement.nextval, 229, '취업', '2024-06-06');</v>
      </c>
    </row>
    <row r="67">
      <c r="B67" s="1" t="s">
        <v>273</v>
      </c>
      <c r="C67" s="1">
        <v>230.0</v>
      </c>
      <c r="D67" s="1" t="s">
        <v>275</v>
      </c>
      <c r="G67" s="2" t="str">
        <f t="shared" si="2"/>
        <v>INSERT INTO tblJobPlacement VALUES (seqJobPlacement.nextval, 230, '미취업', '');</v>
      </c>
    </row>
    <row r="68">
      <c r="B68" s="1" t="s">
        <v>273</v>
      </c>
      <c r="C68" s="1">
        <v>231.0</v>
      </c>
      <c r="D68" s="1" t="s">
        <v>274</v>
      </c>
      <c r="E68" s="2" t="str">
        <f t="shared" ref="E68:E100" si="5">TEXT(RANDBETWEEN(DATE(2023,1,1),DATE(2025,8,4)),"yyyy-mm-dd")</f>
        <v>2023-03-24</v>
      </c>
      <c r="G68" s="2" t="str">
        <f t="shared" si="2"/>
        <v>INSERT INTO tblJobPlacement VALUES (seqJobPlacement.nextval, 231, '취업', '2023-03-24');</v>
      </c>
    </row>
    <row r="69">
      <c r="B69" s="1" t="s">
        <v>273</v>
      </c>
      <c r="C69" s="1">
        <v>232.0</v>
      </c>
      <c r="D69" s="1" t="s">
        <v>274</v>
      </c>
      <c r="E69" s="2" t="str">
        <f t="shared" si="5"/>
        <v>2024-07-07</v>
      </c>
      <c r="G69" s="2" t="str">
        <f t="shared" si="2"/>
        <v>INSERT INTO tblJobPlacement VALUES (seqJobPlacement.nextval, 232, '취업', '2024-07-07');</v>
      </c>
    </row>
    <row r="70">
      <c r="B70" s="1" t="s">
        <v>273</v>
      </c>
      <c r="C70" s="1">
        <v>233.0</v>
      </c>
      <c r="D70" s="1" t="s">
        <v>274</v>
      </c>
      <c r="E70" s="2" t="str">
        <f t="shared" si="5"/>
        <v>2023-05-22</v>
      </c>
      <c r="G70" s="2" t="str">
        <f t="shared" si="2"/>
        <v>INSERT INTO tblJobPlacement VALUES (seqJobPlacement.nextval, 233, '취업', '2023-05-22');</v>
      </c>
    </row>
    <row r="71">
      <c r="B71" s="1" t="s">
        <v>273</v>
      </c>
      <c r="C71" s="1">
        <v>234.0</v>
      </c>
      <c r="D71" s="1" t="s">
        <v>274</v>
      </c>
      <c r="E71" s="2" t="str">
        <f t="shared" si="5"/>
        <v>2025-01-30</v>
      </c>
      <c r="G71" s="2" t="str">
        <f t="shared" si="2"/>
        <v>INSERT INTO tblJobPlacement VALUES (seqJobPlacement.nextval, 234, '취업', '2025-01-30');</v>
      </c>
    </row>
    <row r="72">
      <c r="B72" s="1" t="s">
        <v>273</v>
      </c>
      <c r="C72" s="1">
        <v>235.0</v>
      </c>
      <c r="D72" s="1" t="s">
        <v>274</v>
      </c>
      <c r="E72" s="2" t="str">
        <f t="shared" si="5"/>
        <v>2023-03-15</v>
      </c>
      <c r="G72" s="2" t="str">
        <f t="shared" si="2"/>
        <v>INSERT INTO tblJobPlacement VALUES (seqJobPlacement.nextval, 235, '취업', '2023-03-15');</v>
      </c>
    </row>
    <row r="73">
      <c r="B73" s="1" t="s">
        <v>273</v>
      </c>
      <c r="C73" s="1">
        <v>236.0</v>
      </c>
      <c r="D73" s="1" t="s">
        <v>274</v>
      </c>
      <c r="E73" s="2" t="str">
        <f t="shared" si="5"/>
        <v>2023-04-16</v>
      </c>
      <c r="G73" s="2" t="str">
        <f t="shared" si="2"/>
        <v>INSERT INTO tblJobPlacement VALUES (seqJobPlacement.nextval, 236, '취업', '2023-04-16');</v>
      </c>
    </row>
    <row r="74">
      <c r="B74" s="1" t="s">
        <v>273</v>
      </c>
      <c r="C74" s="1">
        <v>237.0</v>
      </c>
      <c r="D74" s="1" t="s">
        <v>274</v>
      </c>
      <c r="E74" s="2" t="str">
        <f t="shared" si="5"/>
        <v>2023-06-09</v>
      </c>
      <c r="G74" s="2" t="str">
        <f t="shared" si="2"/>
        <v>INSERT INTO tblJobPlacement VALUES (seqJobPlacement.nextval, 237, '취업', '2023-06-09');</v>
      </c>
    </row>
    <row r="75">
      <c r="B75" s="1" t="s">
        <v>273</v>
      </c>
      <c r="C75" s="1">
        <v>238.0</v>
      </c>
      <c r="D75" s="1" t="s">
        <v>274</v>
      </c>
      <c r="E75" s="2" t="str">
        <f t="shared" si="5"/>
        <v>2023-06-16</v>
      </c>
      <c r="G75" s="2" t="str">
        <f t="shared" si="2"/>
        <v>INSERT INTO tblJobPlacement VALUES (seqJobPlacement.nextval, 238, '취업', '2023-06-16');</v>
      </c>
    </row>
    <row r="76">
      <c r="B76" s="1" t="s">
        <v>273</v>
      </c>
      <c r="C76" s="1">
        <v>239.0</v>
      </c>
      <c r="D76" s="1" t="s">
        <v>274</v>
      </c>
      <c r="E76" s="2" t="str">
        <f t="shared" si="5"/>
        <v>2023-04-13</v>
      </c>
      <c r="G76" s="2" t="str">
        <f t="shared" si="2"/>
        <v>INSERT INTO tblJobPlacement VALUES (seqJobPlacement.nextval, 239, '취업', '2023-04-13');</v>
      </c>
    </row>
    <row r="77">
      <c r="B77" s="1" t="s">
        <v>273</v>
      </c>
      <c r="C77" s="1">
        <v>240.0</v>
      </c>
      <c r="D77" s="1" t="s">
        <v>274</v>
      </c>
      <c r="E77" s="2" t="str">
        <f t="shared" si="5"/>
        <v>2023-08-14</v>
      </c>
      <c r="G77" s="2" t="str">
        <f t="shared" si="2"/>
        <v>INSERT INTO tblJobPlacement VALUES (seqJobPlacement.nextval, 240, '취업', '2023-08-14');</v>
      </c>
    </row>
    <row r="78">
      <c r="B78" s="1" t="s">
        <v>273</v>
      </c>
      <c r="C78" s="1">
        <v>241.0</v>
      </c>
      <c r="D78" s="1" t="s">
        <v>274</v>
      </c>
      <c r="E78" s="2" t="str">
        <f t="shared" si="5"/>
        <v>2024-09-18</v>
      </c>
      <c r="G78" s="2" t="str">
        <f t="shared" si="2"/>
        <v>INSERT INTO tblJobPlacement VALUES (seqJobPlacement.nextval, 241, '취업', '2024-09-18');</v>
      </c>
    </row>
    <row r="79">
      <c r="B79" s="1" t="s">
        <v>273</v>
      </c>
      <c r="C79" s="1">
        <v>242.0</v>
      </c>
      <c r="D79" s="1" t="s">
        <v>274</v>
      </c>
      <c r="E79" s="2" t="str">
        <f t="shared" si="5"/>
        <v>2023-11-28</v>
      </c>
      <c r="G79" s="2" t="str">
        <f t="shared" si="2"/>
        <v>INSERT INTO tblJobPlacement VALUES (seqJobPlacement.nextval, 242, '취업', '2023-11-28');</v>
      </c>
    </row>
    <row r="80">
      <c r="B80" s="1" t="s">
        <v>273</v>
      </c>
      <c r="C80" s="1">
        <v>243.0</v>
      </c>
      <c r="D80" s="1" t="s">
        <v>274</v>
      </c>
      <c r="E80" s="2" t="str">
        <f t="shared" si="5"/>
        <v>2024-06-29</v>
      </c>
      <c r="G80" s="2" t="str">
        <f t="shared" si="2"/>
        <v>INSERT INTO tblJobPlacement VALUES (seqJobPlacement.nextval, 243, '취업', '2024-06-29');</v>
      </c>
    </row>
    <row r="81">
      <c r="B81" s="1" t="s">
        <v>273</v>
      </c>
      <c r="C81" s="1">
        <v>244.0</v>
      </c>
      <c r="D81" s="1" t="s">
        <v>274</v>
      </c>
      <c r="E81" s="2" t="str">
        <f t="shared" si="5"/>
        <v>2024-04-27</v>
      </c>
      <c r="G81" s="2" t="str">
        <f t="shared" si="2"/>
        <v>INSERT INTO tblJobPlacement VALUES (seqJobPlacement.nextval, 244, '취업', '2024-04-27');</v>
      </c>
    </row>
    <row r="82">
      <c r="B82" s="1" t="s">
        <v>273</v>
      </c>
      <c r="C82" s="1">
        <v>245.0</v>
      </c>
      <c r="D82" s="1" t="s">
        <v>274</v>
      </c>
      <c r="E82" s="2" t="str">
        <f t="shared" si="5"/>
        <v>2023-12-29</v>
      </c>
      <c r="G82" s="2" t="str">
        <f t="shared" si="2"/>
        <v>INSERT INTO tblJobPlacement VALUES (seqJobPlacement.nextval, 245, '취업', '2023-12-29');</v>
      </c>
    </row>
    <row r="83">
      <c r="B83" s="1" t="s">
        <v>273</v>
      </c>
      <c r="C83" s="1">
        <v>246.0</v>
      </c>
      <c r="D83" s="1" t="s">
        <v>274</v>
      </c>
      <c r="E83" s="2" t="str">
        <f t="shared" si="5"/>
        <v>2024-09-25</v>
      </c>
      <c r="G83" s="2" t="str">
        <f t="shared" si="2"/>
        <v>INSERT INTO tblJobPlacement VALUES (seqJobPlacement.nextval, 246, '취업', '2024-09-25');</v>
      </c>
    </row>
    <row r="84">
      <c r="B84" s="1" t="s">
        <v>273</v>
      </c>
      <c r="C84" s="1">
        <v>247.0</v>
      </c>
      <c r="D84" s="1" t="s">
        <v>274</v>
      </c>
      <c r="E84" s="2" t="str">
        <f t="shared" si="5"/>
        <v>2024-07-23</v>
      </c>
      <c r="G84" s="2" t="str">
        <f t="shared" si="2"/>
        <v>INSERT INTO tblJobPlacement VALUES (seqJobPlacement.nextval, 247, '취업', '2024-07-23');</v>
      </c>
    </row>
    <row r="85">
      <c r="B85" s="1" t="s">
        <v>273</v>
      </c>
      <c r="C85" s="1">
        <v>248.0</v>
      </c>
      <c r="D85" s="1" t="s">
        <v>274</v>
      </c>
      <c r="E85" s="2" t="str">
        <f t="shared" si="5"/>
        <v>2025-05-01</v>
      </c>
      <c r="G85" s="2" t="str">
        <f t="shared" si="2"/>
        <v>INSERT INTO tblJobPlacement VALUES (seqJobPlacement.nextval, 248, '취업', '2025-05-01');</v>
      </c>
    </row>
    <row r="86">
      <c r="B86" s="1" t="s">
        <v>273</v>
      </c>
      <c r="C86" s="1">
        <v>249.0</v>
      </c>
      <c r="D86" s="1" t="s">
        <v>274</v>
      </c>
      <c r="E86" s="2" t="str">
        <f t="shared" si="5"/>
        <v>2024-02-23</v>
      </c>
      <c r="G86" s="2" t="str">
        <f t="shared" si="2"/>
        <v>INSERT INTO tblJobPlacement VALUES (seqJobPlacement.nextval, 249, '취업', '2024-02-23');</v>
      </c>
    </row>
    <row r="87">
      <c r="B87" s="1" t="s">
        <v>273</v>
      </c>
      <c r="C87" s="1">
        <v>250.0</v>
      </c>
      <c r="D87" s="1" t="s">
        <v>274</v>
      </c>
      <c r="E87" s="2" t="str">
        <f t="shared" si="5"/>
        <v>2025-07-03</v>
      </c>
      <c r="G87" s="2" t="str">
        <f t="shared" si="2"/>
        <v>INSERT INTO tblJobPlacement VALUES (seqJobPlacement.nextval, 250, '취업', '2025-07-03');</v>
      </c>
    </row>
    <row r="88">
      <c r="B88" s="1" t="s">
        <v>273</v>
      </c>
      <c r="C88" s="1">
        <v>251.0</v>
      </c>
      <c r="D88" s="1" t="s">
        <v>274</v>
      </c>
      <c r="E88" s="2" t="str">
        <f t="shared" si="5"/>
        <v>2024-04-24</v>
      </c>
      <c r="G88" s="2" t="str">
        <f t="shared" si="2"/>
        <v>INSERT INTO tblJobPlacement VALUES (seqJobPlacement.nextval, 251, '취업', '2024-04-24');</v>
      </c>
    </row>
    <row r="89">
      <c r="B89" s="1" t="s">
        <v>273</v>
      </c>
      <c r="C89" s="1">
        <v>252.0</v>
      </c>
      <c r="D89" s="1" t="s">
        <v>274</v>
      </c>
      <c r="E89" s="2" t="str">
        <f t="shared" si="5"/>
        <v>2025-05-30</v>
      </c>
      <c r="G89" s="2" t="str">
        <f t="shared" si="2"/>
        <v>INSERT INTO tblJobPlacement VALUES (seqJobPlacement.nextval, 252, '취업', '2025-05-30');</v>
      </c>
    </row>
    <row r="90">
      <c r="B90" s="1" t="s">
        <v>273</v>
      </c>
      <c r="C90" s="1">
        <v>253.0</v>
      </c>
      <c r="D90" s="1" t="s">
        <v>274</v>
      </c>
      <c r="E90" s="2" t="str">
        <f t="shared" si="5"/>
        <v>2023-02-25</v>
      </c>
      <c r="G90" s="2" t="str">
        <f t="shared" si="2"/>
        <v>INSERT INTO tblJobPlacement VALUES (seqJobPlacement.nextval, 253, '취업', '2023-02-25');</v>
      </c>
    </row>
    <row r="91">
      <c r="B91" s="1" t="s">
        <v>273</v>
      </c>
      <c r="C91" s="1">
        <v>254.0</v>
      </c>
      <c r="D91" s="1" t="s">
        <v>274</v>
      </c>
      <c r="E91" s="2" t="str">
        <f t="shared" si="5"/>
        <v>2025-07-27</v>
      </c>
      <c r="G91" s="2" t="str">
        <f t="shared" si="2"/>
        <v>INSERT INTO tblJobPlacement VALUES (seqJobPlacement.nextval, 254, '취업', '2025-07-27');</v>
      </c>
    </row>
    <row r="92">
      <c r="B92" s="1" t="s">
        <v>273</v>
      </c>
      <c r="C92" s="1">
        <v>255.0</v>
      </c>
      <c r="D92" s="1" t="s">
        <v>274</v>
      </c>
      <c r="E92" s="2" t="str">
        <f t="shared" si="5"/>
        <v>2023-08-16</v>
      </c>
      <c r="G92" s="2" t="str">
        <f t="shared" si="2"/>
        <v>INSERT INTO tblJobPlacement VALUES (seqJobPlacement.nextval, 255, '취업', '2023-08-16');</v>
      </c>
    </row>
    <row r="93">
      <c r="B93" s="1" t="s">
        <v>273</v>
      </c>
      <c r="C93" s="1">
        <v>256.0</v>
      </c>
      <c r="D93" s="1" t="s">
        <v>274</v>
      </c>
      <c r="E93" s="2" t="str">
        <f t="shared" si="5"/>
        <v>2025-05-09</v>
      </c>
      <c r="G93" s="2" t="str">
        <f t="shared" si="2"/>
        <v>INSERT INTO tblJobPlacement VALUES (seqJobPlacement.nextval, 256, '취업', '2025-05-09');</v>
      </c>
    </row>
    <row r="94">
      <c r="B94" s="1" t="s">
        <v>273</v>
      </c>
      <c r="C94" s="1">
        <v>257.0</v>
      </c>
      <c r="D94" s="1" t="s">
        <v>274</v>
      </c>
      <c r="E94" s="2" t="str">
        <f t="shared" si="5"/>
        <v>2024-06-10</v>
      </c>
      <c r="G94" s="2" t="str">
        <f t="shared" si="2"/>
        <v>INSERT INTO tblJobPlacement VALUES (seqJobPlacement.nextval, 257, '취업', '2024-06-10');</v>
      </c>
    </row>
    <row r="95">
      <c r="B95" s="1" t="s">
        <v>273</v>
      </c>
      <c r="C95" s="1">
        <v>258.0</v>
      </c>
      <c r="D95" s="1" t="s">
        <v>274</v>
      </c>
      <c r="E95" s="2" t="str">
        <f t="shared" si="5"/>
        <v>2024-01-20</v>
      </c>
      <c r="G95" s="2" t="str">
        <f t="shared" si="2"/>
        <v>INSERT INTO tblJobPlacement VALUES (seqJobPlacement.nextval, 258, '취업', '2024-01-20');</v>
      </c>
    </row>
    <row r="96">
      <c r="B96" s="1" t="s">
        <v>273</v>
      </c>
      <c r="C96" s="1">
        <v>259.0</v>
      </c>
      <c r="D96" s="1" t="s">
        <v>274</v>
      </c>
      <c r="E96" s="2" t="str">
        <f t="shared" si="5"/>
        <v>2023-08-01</v>
      </c>
      <c r="G96" s="2" t="str">
        <f t="shared" si="2"/>
        <v>INSERT INTO tblJobPlacement VALUES (seqJobPlacement.nextval, 259, '취업', '2023-08-01');</v>
      </c>
    </row>
    <row r="97">
      <c r="B97" s="1" t="s">
        <v>273</v>
      </c>
      <c r="C97" s="1">
        <v>260.0</v>
      </c>
      <c r="D97" s="1" t="s">
        <v>274</v>
      </c>
      <c r="E97" s="2" t="str">
        <f t="shared" si="5"/>
        <v>2024-08-15</v>
      </c>
      <c r="G97" s="2" t="str">
        <f t="shared" si="2"/>
        <v>INSERT INTO tblJobPlacement VALUES (seqJobPlacement.nextval, 260, '취업', '2024-08-15');</v>
      </c>
    </row>
    <row r="98">
      <c r="B98" s="1" t="s">
        <v>273</v>
      </c>
      <c r="C98" s="1">
        <v>261.0</v>
      </c>
      <c r="D98" s="1" t="s">
        <v>274</v>
      </c>
      <c r="E98" s="2" t="str">
        <f t="shared" si="5"/>
        <v>2024-03-06</v>
      </c>
      <c r="G98" s="2" t="str">
        <f t="shared" si="2"/>
        <v>INSERT INTO tblJobPlacement VALUES (seqJobPlacement.nextval, 261, '취업', '2024-03-06');</v>
      </c>
    </row>
    <row r="99">
      <c r="B99" s="1" t="s">
        <v>273</v>
      </c>
      <c r="C99" s="1">
        <v>262.0</v>
      </c>
      <c r="D99" s="1" t="s">
        <v>274</v>
      </c>
      <c r="E99" s="2" t="str">
        <f t="shared" si="5"/>
        <v>2024-04-09</v>
      </c>
      <c r="G99" s="2" t="str">
        <f t="shared" si="2"/>
        <v>INSERT INTO tblJobPlacement VALUES (seqJobPlacement.nextval, 262, '취업', '2024-04-09');</v>
      </c>
    </row>
    <row r="100">
      <c r="B100" s="1" t="s">
        <v>273</v>
      </c>
      <c r="C100" s="1">
        <v>263.0</v>
      </c>
      <c r="D100" s="1" t="s">
        <v>274</v>
      </c>
      <c r="E100" s="2" t="str">
        <f t="shared" si="5"/>
        <v>2025-07-25</v>
      </c>
      <c r="G100" s="2" t="str">
        <f t="shared" si="2"/>
        <v>INSERT INTO tblJobPlacement VALUES (seqJobPlacement.nextval, 263, '취업', '2025-07-25');</v>
      </c>
    </row>
    <row r="101">
      <c r="B101" s="1" t="s">
        <v>273</v>
      </c>
      <c r="C101" s="1">
        <v>264.0</v>
      </c>
      <c r="D101" s="1" t="s">
        <v>275</v>
      </c>
      <c r="G101" s="2" t="str">
        <f t="shared" si="2"/>
        <v>INSERT INTO tblJobPlacement VALUES (seqJobPlacement.nextval, 264, '미취업', '');</v>
      </c>
    </row>
    <row r="102">
      <c r="B102" s="1" t="s">
        <v>273</v>
      </c>
      <c r="C102" s="1">
        <v>265.0</v>
      </c>
      <c r="D102" s="1" t="s">
        <v>274</v>
      </c>
      <c r="E102" s="2" t="str">
        <f t="shared" ref="E102:E125" si="6">TEXT(RANDBETWEEN(DATE(2023,1,1),DATE(2025,8,4)),"yyyy-mm-dd")</f>
        <v>2025-06-21</v>
      </c>
      <c r="G102" s="2" t="str">
        <f t="shared" si="2"/>
        <v>INSERT INTO tblJobPlacement VALUES (seqJobPlacement.nextval, 265, '취업', '2025-06-21');</v>
      </c>
    </row>
    <row r="103">
      <c r="B103" s="1" t="s">
        <v>273</v>
      </c>
      <c r="C103" s="1">
        <v>266.0</v>
      </c>
      <c r="D103" s="1" t="s">
        <v>274</v>
      </c>
      <c r="E103" s="2" t="str">
        <f t="shared" si="6"/>
        <v>2024-10-30</v>
      </c>
      <c r="G103" s="2" t="str">
        <f t="shared" si="2"/>
        <v>INSERT INTO tblJobPlacement VALUES (seqJobPlacement.nextval, 266, '취업', '2024-10-30');</v>
      </c>
    </row>
    <row r="104">
      <c r="B104" s="1" t="s">
        <v>273</v>
      </c>
      <c r="C104" s="1">
        <v>267.0</v>
      </c>
      <c r="D104" s="1" t="s">
        <v>274</v>
      </c>
      <c r="E104" s="2" t="str">
        <f t="shared" si="6"/>
        <v>2023-02-05</v>
      </c>
      <c r="G104" s="2" t="str">
        <f t="shared" si="2"/>
        <v>INSERT INTO tblJobPlacement VALUES (seqJobPlacement.nextval, 267, '취업', '2023-02-05');</v>
      </c>
    </row>
    <row r="105">
      <c r="B105" s="1" t="s">
        <v>273</v>
      </c>
      <c r="C105" s="1">
        <v>268.0</v>
      </c>
      <c r="D105" s="1" t="s">
        <v>274</v>
      </c>
      <c r="E105" s="2" t="str">
        <f t="shared" si="6"/>
        <v>2023-09-07</v>
      </c>
      <c r="G105" s="2" t="str">
        <f t="shared" si="2"/>
        <v>INSERT INTO tblJobPlacement VALUES (seqJobPlacement.nextval, 268, '취업', '2023-09-07');</v>
      </c>
    </row>
    <row r="106">
      <c r="B106" s="1" t="s">
        <v>273</v>
      </c>
      <c r="C106" s="1">
        <v>269.0</v>
      </c>
      <c r="D106" s="1" t="s">
        <v>274</v>
      </c>
      <c r="E106" s="2" t="str">
        <f t="shared" si="6"/>
        <v>2025-05-31</v>
      </c>
      <c r="G106" s="2" t="str">
        <f t="shared" si="2"/>
        <v>INSERT INTO tblJobPlacement VALUES (seqJobPlacement.nextval, 269, '취업', '2025-05-31');</v>
      </c>
    </row>
    <row r="107">
      <c r="B107" s="1" t="s">
        <v>273</v>
      </c>
      <c r="C107" s="1">
        <v>270.0</v>
      </c>
      <c r="D107" s="1" t="s">
        <v>274</v>
      </c>
      <c r="E107" s="2" t="str">
        <f t="shared" si="6"/>
        <v>2023-12-01</v>
      </c>
      <c r="G107" s="2" t="str">
        <f t="shared" si="2"/>
        <v>INSERT INTO tblJobPlacement VALUES (seqJobPlacement.nextval, 270, '취업', '2023-12-01');</v>
      </c>
    </row>
    <row r="108">
      <c r="B108" s="1" t="s">
        <v>273</v>
      </c>
      <c r="C108" s="1">
        <v>271.0</v>
      </c>
      <c r="D108" s="1" t="s">
        <v>274</v>
      </c>
      <c r="E108" s="2" t="str">
        <f t="shared" si="6"/>
        <v>2024-12-20</v>
      </c>
      <c r="G108" s="2" t="str">
        <f t="shared" si="2"/>
        <v>INSERT INTO tblJobPlacement VALUES (seqJobPlacement.nextval, 271, '취업', '2024-12-20');</v>
      </c>
    </row>
    <row r="109">
      <c r="B109" s="1" t="s">
        <v>273</v>
      </c>
      <c r="C109" s="1">
        <v>272.0</v>
      </c>
      <c r="D109" s="1" t="s">
        <v>274</v>
      </c>
      <c r="E109" s="2" t="str">
        <f t="shared" si="6"/>
        <v>2023-02-13</v>
      </c>
      <c r="G109" s="2" t="str">
        <f t="shared" si="2"/>
        <v>INSERT INTO tblJobPlacement VALUES (seqJobPlacement.nextval, 272, '취업', '2023-02-13');</v>
      </c>
    </row>
    <row r="110">
      <c r="B110" s="1" t="s">
        <v>273</v>
      </c>
      <c r="C110" s="1">
        <v>273.0</v>
      </c>
      <c r="D110" s="1" t="s">
        <v>274</v>
      </c>
      <c r="E110" s="2" t="str">
        <f t="shared" si="6"/>
        <v>2024-05-02</v>
      </c>
      <c r="G110" s="2" t="str">
        <f t="shared" si="2"/>
        <v>INSERT INTO tblJobPlacement VALUES (seqJobPlacement.nextval, 273, '취업', '2024-05-02');</v>
      </c>
    </row>
    <row r="111">
      <c r="B111" s="1" t="s">
        <v>273</v>
      </c>
      <c r="C111" s="1">
        <v>274.0</v>
      </c>
      <c r="D111" s="1" t="s">
        <v>274</v>
      </c>
      <c r="E111" s="2" t="str">
        <f t="shared" si="6"/>
        <v>2024-03-27</v>
      </c>
      <c r="G111" s="2" t="str">
        <f t="shared" si="2"/>
        <v>INSERT INTO tblJobPlacement VALUES (seqJobPlacement.nextval, 274, '취업', '2024-03-27');</v>
      </c>
    </row>
    <row r="112">
      <c r="B112" s="1" t="s">
        <v>273</v>
      </c>
      <c r="C112" s="1">
        <v>275.0</v>
      </c>
      <c r="D112" s="1" t="s">
        <v>274</v>
      </c>
      <c r="E112" s="2" t="str">
        <f t="shared" si="6"/>
        <v>2023-12-27</v>
      </c>
      <c r="G112" s="2" t="str">
        <f t="shared" si="2"/>
        <v>INSERT INTO tblJobPlacement VALUES (seqJobPlacement.nextval, 275, '취업', '2023-12-27');</v>
      </c>
    </row>
    <row r="113">
      <c r="B113" s="1" t="s">
        <v>273</v>
      </c>
      <c r="C113" s="1">
        <v>276.0</v>
      </c>
      <c r="D113" s="1" t="s">
        <v>274</v>
      </c>
      <c r="E113" s="2" t="str">
        <f t="shared" si="6"/>
        <v>2023-11-22</v>
      </c>
      <c r="G113" s="2" t="str">
        <f t="shared" si="2"/>
        <v>INSERT INTO tblJobPlacement VALUES (seqJobPlacement.nextval, 276, '취업', '2023-11-22');</v>
      </c>
    </row>
    <row r="114">
      <c r="B114" s="1" t="s">
        <v>273</v>
      </c>
      <c r="C114" s="1">
        <v>277.0</v>
      </c>
      <c r="D114" s="1" t="s">
        <v>274</v>
      </c>
      <c r="E114" s="2" t="str">
        <f t="shared" si="6"/>
        <v>2023-10-22</v>
      </c>
      <c r="G114" s="2" t="str">
        <f t="shared" si="2"/>
        <v>INSERT INTO tblJobPlacement VALUES (seqJobPlacement.nextval, 277, '취업', '2023-10-22');</v>
      </c>
    </row>
    <row r="115">
      <c r="B115" s="1" t="s">
        <v>273</v>
      </c>
      <c r="C115" s="1">
        <v>278.0</v>
      </c>
      <c r="D115" s="1" t="s">
        <v>274</v>
      </c>
      <c r="E115" s="2" t="str">
        <f t="shared" si="6"/>
        <v>2024-12-09</v>
      </c>
      <c r="G115" s="2" t="str">
        <f t="shared" si="2"/>
        <v>INSERT INTO tblJobPlacement VALUES (seqJobPlacement.nextval, 278, '취업', '2024-12-09');</v>
      </c>
    </row>
    <row r="116">
      <c r="B116" s="1" t="s">
        <v>273</v>
      </c>
      <c r="C116" s="1">
        <v>279.0</v>
      </c>
      <c r="D116" s="1" t="s">
        <v>274</v>
      </c>
      <c r="E116" s="2" t="str">
        <f t="shared" si="6"/>
        <v>2024-04-22</v>
      </c>
      <c r="G116" s="2" t="str">
        <f t="shared" si="2"/>
        <v>INSERT INTO tblJobPlacement VALUES (seqJobPlacement.nextval, 279, '취업', '2024-04-22');</v>
      </c>
    </row>
    <row r="117">
      <c r="B117" s="1" t="s">
        <v>273</v>
      </c>
      <c r="C117" s="1">
        <v>280.0</v>
      </c>
      <c r="D117" s="1" t="s">
        <v>274</v>
      </c>
      <c r="E117" s="2" t="str">
        <f t="shared" si="6"/>
        <v>2025-03-02</v>
      </c>
      <c r="G117" s="2" t="str">
        <f t="shared" si="2"/>
        <v>INSERT INTO tblJobPlacement VALUES (seqJobPlacement.nextval, 280, '취업', '2025-03-02');</v>
      </c>
    </row>
    <row r="118">
      <c r="B118" s="1" t="s">
        <v>273</v>
      </c>
      <c r="C118" s="1">
        <v>281.0</v>
      </c>
      <c r="D118" s="1" t="s">
        <v>274</v>
      </c>
      <c r="E118" s="2" t="str">
        <f t="shared" si="6"/>
        <v>2024-08-07</v>
      </c>
      <c r="G118" s="2" t="str">
        <f t="shared" si="2"/>
        <v>INSERT INTO tblJobPlacement VALUES (seqJobPlacement.nextval, 281, '취업', '2024-08-07');</v>
      </c>
    </row>
    <row r="119">
      <c r="B119" s="1" t="s">
        <v>273</v>
      </c>
      <c r="C119" s="1">
        <v>282.0</v>
      </c>
      <c r="D119" s="1" t="s">
        <v>274</v>
      </c>
      <c r="E119" s="2" t="str">
        <f t="shared" si="6"/>
        <v>2024-03-05</v>
      </c>
      <c r="G119" s="2" t="str">
        <f t="shared" si="2"/>
        <v>INSERT INTO tblJobPlacement VALUES (seqJobPlacement.nextval, 282, '취업', '2024-03-05');</v>
      </c>
    </row>
    <row r="120">
      <c r="B120" s="1" t="s">
        <v>273</v>
      </c>
      <c r="C120" s="1">
        <v>283.0</v>
      </c>
      <c r="D120" s="1" t="s">
        <v>274</v>
      </c>
      <c r="E120" s="2" t="str">
        <f t="shared" si="6"/>
        <v>2023-05-24</v>
      </c>
      <c r="G120" s="2" t="str">
        <f t="shared" si="2"/>
        <v>INSERT INTO tblJobPlacement VALUES (seqJobPlacement.nextval, 283, '취업', '2023-05-24');</v>
      </c>
    </row>
    <row r="121">
      <c r="B121" s="1" t="s">
        <v>273</v>
      </c>
      <c r="C121" s="1">
        <v>284.0</v>
      </c>
      <c r="D121" s="1" t="s">
        <v>274</v>
      </c>
      <c r="E121" s="2" t="str">
        <f t="shared" si="6"/>
        <v>2025-05-09</v>
      </c>
      <c r="G121" s="2" t="str">
        <f t="shared" si="2"/>
        <v>INSERT INTO tblJobPlacement VALUES (seqJobPlacement.nextval, 284, '취업', '2025-05-09');</v>
      </c>
    </row>
    <row r="122">
      <c r="B122" s="1" t="s">
        <v>273</v>
      </c>
      <c r="C122" s="1">
        <v>285.0</v>
      </c>
      <c r="D122" s="1" t="s">
        <v>274</v>
      </c>
      <c r="E122" s="2" t="str">
        <f t="shared" si="6"/>
        <v>2025-03-10</v>
      </c>
      <c r="G122" s="2" t="str">
        <f t="shared" si="2"/>
        <v>INSERT INTO tblJobPlacement VALUES (seqJobPlacement.nextval, 285, '취업', '2025-03-10');</v>
      </c>
    </row>
    <row r="123">
      <c r="B123" s="1" t="s">
        <v>273</v>
      </c>
      <c r="C123" s="1">
        <v>286.0</v>
      </c>
      <c r="D123" s="1" t="s">
        <v>274</v>
      </c>
      <c r="E123" s="2" t="str">
        <f t="shared" si="6"/>
        <v>2025-04-02</v>
      </c>
      <c r="G123" s="2" t="str">
        <f t="shared" si="2"/>
        <v>INSERT INTO tblJobPlacement VALUES (seqJobPlacement.nextval, 286, '취업', '2025-04-02');</v>
      </c>
    </row>
    <row r="124">
      <c r="B124" s="1" t="s">
        <v>273</v>
      </c>
      <c r="C124" s="1">
        <v>287.0</v>
      </c>
      <c r="D124" s="1" t="s">
        <v>274</v>
      </c>
      <c r="E124" s="2" t="str">
        <f t="shared" si="6"/>
        <v>2023-09-18</v>
      </c>
      <c r="G124" s="2" t="str">
        <f t="shared" si="2"/>
        <v>INSERT INTO tblJobPlacement VALUES (seqJobPlacement.nextval, 287, '취업', '2023-09-18');</v>
      </c>
    </row>
    <row r="125">
      <c r="B125" s="1" t="s">
        <v>273</v>
      </c>
      <c r="C125" s="1">
        <v>288.0</v>
      </c>
      <c r="D125" s="1" t="s">
        <v>274</v>
      </c>
      <c r="E125" s="2" t="str">
        <f t="shared" si="6"/>
        <v>2023-06-19</v>
      </c>
      <c r="G125" s="2" t="str">
        <f t="shared" si="2"/>
        <v>INSERT INTO tblJobPlacement VALUES (seqJobPlacement.nextval, 288, '취업', '2023-06-19');</v>
      </c>
    </row>
    <row r="126">
      <c r="B126" s="1" t="s">
        <v>273</v>
      </c>
      <c r="C126" s="1">
        <v>289.0</v>
      </c>
      <c r="D126" s="1" t="s">
        <v>275</v>
      </c>
      <c r="G126" s="2" t="str">
        <f t="shared" si="2"/>
        <v>INSERT INTO tblJobPlacement VALUES (seqJobPlacement.nextval, 289, '미취업', '');</v>
      </c>
    </row>
    <row r="127">
      <c r="B127" s="1" t="s">
        <v>273</v>
      </c>
      <c r="C127" s="1">
        <v>290.0</v>
      </c>
      <c r="D127" s="1" t="s">
        <v>274</v>
      </c>
      <c r="E127" s="2" t="str">
        <f t="shared" ref="E127:E137" si="7">TEXT(RANDBETWEEN(DATE(2023,1,1),DATE(2025,8,4)),"yyyy-mm-dd")</f>
        <v>2023-05-05</v>
      </c>
      <c r="G127" s="2" t="str">
        <f t="shared" si="2"/>
        <v>INSERT INTO tblJobPlacement VALUES (seqJobPlacement.nextval, 290, '취업', '2023-05-05');</v>
      </c>
    </row>
    <row r="128">
      <c r="B128" s="1" t="s">
        <v>273</v>
      </c>
      <c r="C128" s="1">
        <v>291.0</v>
      </c>
      <c r="D128" s="1" t="s">
        <v>274</v>
      </c>
      <c r="E128" s="2" t="str">
        <f t="shared" si="7"/>
        <v>2024-10-03</v>
      </c>
      <c r="G128" s="2" t="str">
        <f t="shared" si="2"/>
        <v>INSERT INTO tblJobPlacement VALUES (seqJobPlacement.nextval, 291, '취업', '2024-10-03');</v>
      </c>
    </row>
    <row r="129">
      <c r="B129" s="1" t="s">
        <v>273</v>
      </c>
      <c r="C129" s="1">
        <v>292.0</v>
      </c>
      <c r="D129" s="1" t="s">
        <v>274</v>
      </c>
      <c r="E129" s="2" t="str">
        <f t="shared" si="7"/>
        <v>2025-04-12</v>
      </c>
      <c r="G129" s="2" t="str">
        <f t="shared" si="2"/>
        <v>INSERT INTO tblJobPlacement VALUES (seqJobPlacement.nextval, 292, '취업', '2025-04-12');</v>
      </c>
    </row>
    <row r="130">
      <c r="B130" s="1" t="s">
        <v>273</v>
      </c>
      <c r="C130" s="1">
        <v>293.0</v>
      </c>
      <c r="D130" s="1" t="s">
        <v>274</v>
      </c>
      <c r="E130" s="2" t="str">
        <f t="shared" si="7"/>
        <v>2023-10-14</v>
      </c>
      <c r="G130" s="2" t="str">
        <f t="shared" si="2"/>
        <v>INSERT INTO tblJobPlacement VALUES (seqJobPlacement.nextval, 293, '취업', '2023-10-14');</v>
      </c>
    </row>
    <row r="131">
      <c r="B131" s="1" t="s">
        <v>273</v>
      </c>
      <c r="C131" s="1">
        <v>294.0</v>
      </c>
      <c r="D131" s="1" t="s">
        <v>274</v>
      </c>
      <c r="E131" s="2" t="str">
        <f t="shared" si="7"/>
        <v>2023-08-27</v>
      </c>
      <c r="G131" s="2" t="str">
        <f t="shared" si="2"/>
        <v>INSERT INTO tblJobPlacement VALUES (seqJobPlacement.nextval, 294, '취업', '2023-08-27');</v>
      </c>
    </row>
    <row r="132">
      <c r="B132" s="1" t="s">
        <v>273</v>
      </c>
      <c r="C132" s="1">
        <v>295.0</v>
      </c>
      <c r="D132" s="1" t="s">
        <v>274</v>
      </c>
      <c r="E132" s="2" t="str">
        <f t="shared" si="7"/>
        <v>2025-03-16</v>
      </c>
      <c r="G132" s="2" t="str">
        <f t="shared" si="2"/>
        <v>INSERT INTO tblJobPlacement VALUES (seqJobPlacement.nextval, 295, '취업', '2025-03-16');</v>
      </c>
    </row>
    <row r="133">
      <c r="B133" s="1" t="s">
        <v>273</v>
      </c>
      <c r="C133" s="1">
        <v>296.0</v>
      </c>
      <c r="D133" s="1" t="s">
        <v>274</v>
      </c>
      <c r="E133" s="2" t="str">
        <f t="shared" si="7"/>
        <v>2023-02-25</v>
      </c>
      <c r="G133" s="2" t="str">
        <f t="shared" si="2"/>
        <v>INSERT INTO tblJobPlacement VALUES (seqJobPlacement.nextval, 296, '취업', '2023-02-25');</v>
      </c>
    </row>
    <row r="134">
      <c r="B134" s="1" t="s">
        <v>273</v>
      </c>
      <c r="C134" s="1">
        <v>297.0</v>
      </c>
      <c r="D134" s="1" t="s">
        <v>274</v>
      </c>
      <c r="E134" s="2" t="str">
        <f t="shared" si="7"/>
        <v>2023-09-25</v>
      </c>
      <c r="G134" s="2" t="str">
        <f t="shared" si="2"/>
        <v>INSERT INTO tblJobPlacement VALUES (seqJobPlacement.nextval, 297, '취업', '2023-09-25');</v>
      </c>
    </row>
    <row r="135">
      <c r="B135" s="1" t="s">
        <v>273</v>
      </c>
      <c r="C135" s="1">
        <v>298.0</v>
      </c>
      <c r="D135" s="1" t="s">
        <v>274</v>
      </c>
      <c r="E135" s="2" t="str">
        <f t="shared" si="7"/>
        <v>2023-07-26</v>
      </c>
      <c r="G135" s="2" t="str">
        <f t="shared" si="2"/>
        <v>INSERT INTO tblJobPlacement VALUES (seqJobPlacement.nextval, 298, '취업', '2023-07-26');</v>
      </c>
    </row>
    <row r="136">
      <c r="B136" s="1" t="s">
        <v>273</v>
      </c>
      <c r="C136" s="1">
        <v>299.0</v>
      </c>
      <c r="D136" s="1" t="s">
        <v>274</v>
      </c>
      <c r="E136" s="2" t="str">
        <f t="shared" si="7"/>
        <v>2023-08-18</v>
      </c>
      <c r="G136" s="2" t="str">
        <f t="shared" si="2"/>
        <v>INSERT INTO tblJobPlacement VALUES (seqJobPlacement.nextval, 299, '취업', '2023-08-18');</v>
      </c>
    </row>
    <row r="137">
      <c r="B137" s="1" t="s">
        <v>273</v>
      </c>
      <c r="C137" s="1">
        <v>300.0</v>
      </c>
      <c r="D137" s="1" t="s">
        <v>274</v>
      </c>
      <c r="E137" s="2" t="str">
        <f t="shared" si="7"/>
        <v>2024-09-29</v>
      </c>
      <c r="G137" s="2" t="str">
        <f t="shared" si="2"/>
        <v>INSERT INTO tblJobPlacement VALUES (seqJobPlacement.nextval, 300, '취업', '2024-09-29');</v>
      </c>
    </row>
    <row r="138">
      <c r="B138" s="1" t="s">
        <v>273</v>
      </c>
      <c r="C138" s="1">
        <v>301.0</v>
      </c>
      <c r="D138" s="1" t="s">
        <v>275</v>
      </c>
      <c r="G138" s="2" t="str">
        <f t="shared" si="2"/>
        <v>INSERT INTO tblJobPlacement VALUES (seqJobPlacement.nextval, 301, '미취업', '');</v>
      </c>
    </row>
    <row r="139">
      <c r="B139" s="1" t="s">
        <v>273</v>
      </c>
      <c r="C139" s="1">
        <v>302.0</v>
      </c>
      <c r="D139" s="1" t="s">
        <v>274</v>
      </c>
      <c r="E139" s="2" t="str">
        <f t="shared" ref="E139:E179" si="8">TEXT(RANDBETWEEN(DATE(2023,1,1),DATE(2025,8,4)),"yyyy-mm-dd")</f>
        <v>2024-07-28</v>
      </c>
      <c r="G139" s="2" t="str">
        <f t="shared" si="2"/>
        <v>INSERT INTO tblJobPlacement VALUES (seqJobPlacement.nextval, 302, '취업', '2024-07-28');</v>
      </c>
    </row>
    <row r="140">
      <c r="B140" s="1" t="s">
        <v>273</v>
      </c>
      <c r="C140" s="1">
        <v>303.0</v>
      </c>
      <c r="D140" s="1" t="s">
        <v>274</v>
      </c>
      <c r="E140" s="2" t="str">
        <f t="shared" si="8"/>
        <v>2024-04-24</v>
      </c>
      <c r="G140" s="2" t="str">
        <f t="shared" si="2"/>
        <v>INSERT INTO tblJobPlacement VALUES (seqJobPlacement.nextval, 303, '취업', '2024-04-24');</v>
      </c>
    </row>
    <row r="141">
      <c r="B141" s="1" t="s">
        <v>273</v>
      </c>
      <c r="C141" s="1">
        <v>304.0</v>
      </c>
      <c r="D141" s="1" t="s">
        <v>274</v>
      </c>
      <c r="E141" s="2" t="str">
        <f t="shared" si="8"/>
        <v>2025-02-21</v>
      </c>
      <c r="G141" s="2" t="str">
        <f t="shared" si="2"/>
        <v>INSERT INTO tblJobPlacement VALUES (seqJobPlacement.nextval, 304, '취업', '2025-02-21');</v>
      </c>
    </row>
    <row r="142">
      <c r="B142" s="1" t="s">
        <v>273</v>
      </c>
      <c r="C142" s="1">
        <v>305.0</v>
      </c>
      <c r="D142" s="1" t="s">
        <v>274</v>
      </c>
      <c r="E142" s="2" t="str">
        <f t="shared" si="8"/>
        <v>2024-10-24</v>
      </c>
      <c r="G142" s="2" t="str">
        <f t="shared" si="2"/>
        <v>INSERT INTO tblJobPlacement VALUES (seqJobPlacement.nextval, 305, '취업', '2024-10-24');</v>
      </c>
    </row>
    <row r="143">
      <c r="B143" s="1" t="s">
        <v>273</v>
      </c>
      <c r="C143" s="1">
        <v>306.0</v>
      </c>
      <c r="D143" s="1" t="s">
        <v>274</v>
      </c>
      <c r="E143" s="2" t="str">
        <f t="shared" si="8"/>
        <v>2024-08-21</v>
      </c>
      <c r="G143" s="2" t="str">
        <f t="shared" si="2"/>
        <v>INSERT INTO tblJobPlacement VALUES (seqJobPlacement.nextval, 306, '취업', '2024-08-21');</v>
      </c>
    </row>
    <row r="144">
      <c r="B144" s="1" t="s">
        <v>273</v>
      </c>
      <c r="C144" s="1">
        <v>307.0</v>
      </c>
      <c r="D144" s="1" t="s">
        <v>274</v>
      </c>
      <c r="E144" s="2" t="str">
        <f t="shared" si="8"/>
        <v>2023-02-17</v>
      </c>
      <c r="G144" s="2" t="str">
        <f t="shared" si="2"/>
        <v>INSERT INTO tblJobPlacement VALUES (seqJobPlacement.nextval, 307, '취업', '2023-02-17');</v>
      </c>
    </row>
    <row r="145">
      <c r="B145" s="1" t="s">
        <v>273</v>
      </c>
      <c r="C145" s="1">
        <v>308.0</v>
      </c>
      <c r="D145" s="1" t="s">
        <v>274</v>
      </c>
      <c r="E145" s="2" t="str">
        <f t="shared" si="8"/>
        <v>2024-09-06</v>
      </c>
      <c r="G145" s="2" t="str">
        <f t="shared" si="2"/>
        <v>INSERT INTO tblJobPlacement VALUES (seqJobPlacement.nextval, 308, '취업', '2024-09-06');</v>
      </c>
    </row>
    <row r="146">
      <c r="B146" s="1" t="s">
        <v>273</v>
      </c>
      <c r="C146" s="1">
        <v>309.0</v>
      </c>
      <c r="D146" s="1" t="s">
        <v>274</v>
      </c>
      <c r="E146" s="2" t="str">
        <f t="shared" si="8"/>
        <v>2025-04-13</v>
      </c>
      <c r="G146" s="2" t="str">
        <f t="shared" si="2"/>
        <v>INSERT INTO tblJobPlacement VALUES (seqJobPlacement.nextval, 309, '취업', '2025-04-13');</v>
      </c>
    </row>
    <row r="147">
      <c r="B147" s="1" t="s">
        <v>273</v>
      </c>
      <c r="C147" s="1">
        <v>310.0</v>
      </c>
      <c r="D147" s="1" t="s">
        <v>274</v>
      </c>
      <c r="E147" s="2" t="str">
        <f t="shared" si="8"/>
        <v>2023-04-05</v>
      </c>
      <c r="G147" s="2" t="str">
        <f t="shared" si="2"/>
        <v>INSERT INTO tblJobPlacement VALUES (seqJobPlacement.nextval, 310, '취업', '2023-04-05');</v>
      </c>
    </row>
    <row r="148">
      <c r="B148" s="1" t="s">
        <v>273</v>
      </c>
      <c r="C148" s="1">
        <v>311.0</v>
      </c>
      <c r="D148" s="1" t="s">
        <v>274</v>
      </c>
      <c r="E148" s="2" t="str">
        <f t="shared" si="8"/>
        <v>2024-08-29</v>
      </c>
      <c r="G148" s="2" t="str">
        <f t="shared" si="2"/>
        <v>INSERT INTO tblJobPlacement VALUES (seqJobPlacement.nextval, 311, '취업', '2024-08-29');</v>
      </c>
    </row>
    <row r="149">
      <c r="B149" s="1" t="s">
        <v>273</v>
      </c>
      <c r="C149" s="1">
        <v>312.0</v>
      </c>
      <c r="D149" s="1" t="s">
        <v>274</v>
      </c>
      <c r="E149" s="2" t="str">
        <f t="shared" si="8"/>
        <v>2023-02-08</v>
      </c>
      <c r="G149" s="2" t="str">
        <f t="shared" si="2"/>
        <v>INSERT INTO tblJobPlacement VALUES (seqJobPlacement.nextval, 312, '취업', '2023-02-08');</v>
      </c>
    </row>
    <row r="150">
      <c r="B150" s="1" t="s">
        <v>273</v>
      </c>
      <c r="C150" s="1">
        <v>313.0</v>
      </c>
      <c r="D150" s="1" t="s">
        <v>274</v>
      </c>
      <c r="E150" s="2" t="str">
        <f t="shared" si="8"/>
        <v>2023-07-05</v>
      </c>
      <c r="G150" s="2" t="str">
        <f t="shared" si="2"/>
        <v>INSERT INTO tblJobPlacement VALUES (seqJobPlacement.nextval, 313, '취업', '2023-07-05');</v>
      </c>
    </row>
    <row r="151">
      <c r="B151" s="1" t="s">
        <v>273</v>
      </c>
      <c r="C151" s="1">
        <v>314.0</v>
      </c>
      <c r="D151" s="1" t="s">
        <v>274</v>
      </c>
      <c r="E151" s="2" t="str">
        <f t="shared" si="8"/>
        <v>2023-05-05</v>
      </c>
      <c r="G151" s="2" t="str">
        <f t="shared" si="2"/>
        <v>INSERT INTO tblJobPlacement VALUES (seqJobPlacement.nextval, 314, '취업', '2023-05-05');</v>
      </c>
    </row>
    <row r="152">
      <c r="B152" s="1" t="s">
        <v>273</v>
      </c>
      <c r="C152" s="1">
        <v>315.0</v>
      </c>
      <c r="D152" s="1" t="s">
        <v>274</v>
      </c>
      <c r="E152" s="2" t="str">
        <f t="shared" si="8"/>
        <v>2024-01-19</v>
      </c>
      <c r="G152" s="2" t="str">
        <f t="shared" si="2"/>
        <v>INSERT INTO tblJobPlacement VALUES (seqJobPlacement.nextval, 315, '취업', '2024-01-19');</v>
      </c>
    </row>
    <row r="153">
      <c r="B153" s="1" t="s">
        <v>273</v>
      </c>
      <c r="C153" s="1">
        <v>316.0</v>
      </c>
      <c r="D153" s="1" t="s">
        <v>274</v>
      </c>
      <c r="E153" s="2" t="str">
        <f t="shared" si="8"/>
        <v>2025-03-03</v>
      </c>
      <c r="G153" s="2" t="str">
        <f t="shared" si="2"/>
        <v>INSERT INTO tblJobPlacement VALUES (seqJobPlacement.nextval, 316, '취업', '2025-03-03');</v>
      </c>
    </row>
    <row r="154">
      <c r="B154" s="1" t="s">
        <v>273</v>
      </c>
      <c r="C154" s="1">
        <v>317.0</v>
      </c>
      <c r="D154" s="1" t="s">
        <v>274</v>
      </c>
      <c r="E154" s="2" t="str">
        <f t="shared" si="8"/>
        <v>2024-08-14</v>
      </c>
      <c r="G154" s="2" t="str">
        <f t="shared" si="2"/>
        <v>INSERT INTO tblJobPlacement VALUES (seqJobPlacement.nextval, 317, '취업', '2024-08-14');</v>
      </c>
    </row>
    <row r="155">
      <c r="B155" s="1" t="s">
        <v>273</v>
      </c>
      <c r="C155" s="1">
        <v>318.0</v>
      </c>
      <c r="D155" s="1" t="s">
        <v>274</v>
      </c>
      <c r="E155" s="2" t="str">
        <f t="shared" si="8"/>
        <v>2023-01-29</v>
      </c>
      <c r="G155" s="2" t="str">
        <f t="shared" si="2"/>
        <v>INSERT INTO tblJobPlacement VALUES (seqJobPlacement.nextval, 318, '취업', '2023-01-29');</v>
      </c>
    </row>
    <row r="156">
      <c r="B156" s="1" t="s">
        <v>273</v>
      </c>
      <c r="C156" s="1">
        <v>319.0</v>
      </c>
      <c r="D156" s="1" t="s">
        <v>274</v>
      </c>
      <c r="E156" s="2" t="str">
        <f t="shared" si="8"/>
        <v>2024-03-05</v>
      </c>
      <c r="G156" s="2" t="str">
        <f t="shared" si="2"/>
        <v>INSERT INTO tblJobPlacement VALUES (seqJobPlacement.nextval, 319, '취업', '2024-03-05');</v>
      </c>
    </row>
    <row r="157">
      <c r="B157" s="1" t="s">
        <v>273</v>
      </c>
      <c r="C157" s="1">
        <v>320.0</v>
      </c>
      <c r="D157" s="1" t="s">
        <v>274</v>
      </c>
      <c r="E157" s="2" t="str">
        <f t="shared" si="8"/>
        <v>2025-06-09</v>
      </c>
      <c r="G157" s="2" t="str">
        <f t="shared" si="2"/>
        <v>INSERT INTO tblJobPlacement VALUES (seqJobPlacement.nextval, 320, '취업', '2025-06-09');</v>
      </c>
    </row>
    <row r="158">
      <c r="B158" s="1" t="s">
        <v>273</v>
      </c>
      <c r="C158" s="1">
        <v>321.0</v>
      </c>
      <c r="D158" s="1" t="s">
        <v>274</v>
      </c>
      <c r="E158" s="2" t="str">
        <f t="shared" si="8"/>
        <v>2025-07-16</v>
      </c>
      <c r="G158" s="2" t="str">
        <f t="shared" si="2"/>
        <v>INSERT INTO tblJobPlacement VALUES (seqJobPlacement.nextval, 321, '취업', '2025-07-16');</v>
      </c>
    </row>
    <row r="159">
      <c r="B159" s="1" t="s">
        <v>273</v>
      </c>
      <c r="C159" s="1">
        <v>322.0</v>
      </c>
      <c r="D159" s="1" t="s">
        <v>274</v>
      </c>
      <c r="E159" s="2" t="str">
        <f t="shared" si="8"/>
        <v>2024-12-29</v>
      </c>
      <c r="G159" s="2" t="str">
        <f t="shared" si="2"/>
        <v>INSERT INTO tblJobPlacement VALUES (seqJobPlacement.nextval, 322, '취업', '2024-12-29');</v>
      </c>
    </row>
    <row r="160">
      <c r="B160" s="1" t="s">
        <v>273</v>
      </c>
      <c r="C160" s="1">
        <v>323.0</v>
      </c>
      <c r="D160" s="1" t="s">
        <v>274</v>
      </c>
      <c r="E160" s="2" t="str">
        <f t="shared" si="8"/>
        <v>2024-02-12</v>
      </c>
      <c r="G160" s="2" t="str">
        <f t="shared" si="2"/>
        <v>INSERT INTO tblJobPlacement VALUES (seqJobPlacement.nextval, 323, '취업', '2024-02-12');</v>
      </c>
    </row>
    <row r="161">
      <c r="B161" s="1" t="s">
        <v>273</v>
      </c>
      <c r="C161" s="1">
        <v>324.0</v>
      </c>
      <c r="D161" s="1" t="s">
        <v>274</v>
      </c>
      <c r="E161" s="2" t="str">
        <f t="shared" si="8"/>
        <v>2024-11-13</v>
      </c>
      <c r="G161" s="2" t="str">
        <f t="shared" si="2"/>
        <v>INSERT INTO tblJobPlacement VALUES (seqJobPlacement.nextval, 324, '취업', '2024-11-13');</v>
      </c>
    </row>
    <row r="162">
      <c r="B162" s="1" t="s">
        <v>273</v>
      </c>
      <c r="C162" s="1">
        <v>325.0</v>
      </c>
      <c r="D162" s="1" t="s">
        <v>274</v>
      </c>
      <c r="E162" s="2" t="str">
        <f t="shared" si="8"/>
        <v>2025-03-05</v>
      </c>
      <c r="G162" s="2" t="str">
        <f t="shared" si="2"/>
        <v>INSERT INTO tblJobPlacement VALUES (seqJobPlacement.nextval, 325, '취업', '2025-03-05');</v>
      </c>
    </row>
    <row r="163">
      <c r="B163" s="1" t="s">
        <v>273</v>
      </c>
      <c r="C163" s="1">
        <v>326.0</v>
      </c>
      <c r="D163" s="1" t="s">
        <v>274</v>
      </c>
      <c r="E163" s="2" t="str">
        <f t="shared" si="8"/>
        <v>2024-12-15</v>
      </c>
      <c r="G163" s="2" t="str">
        <f t="shared" si="2"/>
        <v>INSERT INTO tblJobPlacement VALUES (seqJobPlacement.nextval, 326, '취업', '2024-12-15');</v>
      </c>
    </row>
    <row r="164">
      <c r="B164" s="1" t="s">
        <v>273</v>
      </c>
      <c r="C164" s="1">
        <v>327.0</v>
      </c>
      <c r="D164" s="1" t="s">
        <v>274</v>
      </c>
      <c r="E164" s="2" t="str">
        <f t="shared" si="8"/>
        <v>2023-05-27</v>
      </c>
      <c r="G164" s="2" t="str">
        <f t="shared" si="2"/>
        <v>INSERT INTO tblJobPlacement VALUES (seqJobPlacement.nextval, 327, '취업', '2023-05-27');</v>
      </c>
    </row>
    <row r="165">
      <c r="B165" s="1" t="s">
        <v>273</v>
      </c>
      <c r="C165" s="1">
        <v>328.0</v>
      </c>
      <c r="D165" s="1" t="s">
        <v>274</v>
      </c>
      <c r="E165" s="2" t="str">
        <f t="shared" si="8"/>
        <v>2025-07-21</v>
      </c>
      <c r="G165" s="2" t="str">
        <f t="shared" si="2"/>
        <v>INSERT INTO tblJobPlacement VALUES (seqJobPlacement.nextval, 328, '취업', '2025-07-21');</v>
      </c>
    </row>
    <row r="166">
      <c r="B166" s="1" t="s">
        <v>273</v>
      </c>
      <c r="C166" s="1">
        <v>329.0</v>
      </c>
      <c r="D166" s="1" t="s">
        <v>274</v>
      </c>
      <c r="E166" s="2" t="str">
        <f t="shared" si="8"/>
        <v>2025-06-20</v>
      </c>
      <c r="G166" s="2" t="str">
        <f t="shared" si="2"/>
        <v>INSERT INTO tblJobPlacement VALUES (seqJobPlacement.nextval, 329, '취업', '2025-06-20');</v>
      </c>
    </row>
    <row r="167">
      <c r="B167" s="1" t="s">
        <v>273</v>
      </c>
      <c r="C167" s="1">
        <v>330.0</v>
      </c>
      <c r="D167" s="1" t="s">
        <v>274</v>
      </c>
      <c r="E167" s="2" t="str">
        <f t="shared" si="8"/>
        <v>2024-09-05</v>
      </c>
      <c r="G167" s="2" t="str">
        <f t="shared" si="2"/>
        <v>INSERT INTO tblJobPlacement VALUES (seqJobPlacement.nextval, 330, '취업', '2024-09-05');</v>
      </c>
    </row>
    <row r="168">
      <c r="B168" s="1" t="s">
        <v>273</v>
      </c>
      <c r="C168" s="1">
        <v>331.0</v>
      </c>
      <c r="D168" s="1" t="s">
        <v>274</v>
      </c>
      <c r="E168" s="2" t="str">
        <f t="shared" si="8"/>
        <v>2025-01-06</v>
      </c>
      <c r="G168" s="2" t="str">
        <f t="shared" si="2"/>
        <v>INSERT INTO tblJobPlacement VALUES (seqJobPlacement.nextval, 331, '취업', '2025-01-06');</v>
      </c>
    </row>
    <row r="169">
      <c r="B169" s="1" t="s">
        <v>273</v>
      </c>
      <c r="C169" s="1">
        <v>332.0</v>
      </c>
      <c r="D169" s="1" t="s">
        <v>274</v>
      </c>
      <c r="E169" s="2" t="str">
        <f t="shared" si="8"/>
        <v>2024-03-27</v>
      </c>
      <c r="G169" s="2" t="str">
        <f t="shared" si="2"/>
        <v>INSERT INTO tblJobPlacement VALUES (seqJobPlacement.nextval, 332, '취업', '2024-03-27');</v>
      </c>
    </row>
    <row r="170">
      <c r="B170" s="1" t="s">
        <v>273</v>
      </c>
      <c r="C170" s="1">
        <v>333.0</v>
      </c>
      <c r="D170" s="1" t="s">
        <v>274</v>
      </c>
      <c r="E170" s="2" t="str">
        <f t="shared" si="8"/>
        <v>2024-05-06</v>
      </c>
      <c r="G170" s="2" t="str">
        <f t="shared" si="2"/>
        <v>INSERT INTO tblJobPlacement VALUES (seqJobPlacement.nextval, 333, '취업', '2024-05-06');</v>
      </c>
    </row>
    <row r="171">
      <c r="B171" s="1" t="s">
        <v>273</v>
      </c>
      <c r="C171" s="1">
        <v>334.0</v>
      </c>
      <c r="D171" s="1" t="s">
        <v>274</v>
      </c>
      <c r="E171" s="2" t="str">
        <f t="shared" si="8"/>
        <v>2023-09-04</v>
      </c>
      <c r="G171" s="2" t="str">
        <f t="shared" si="2"/>
        <v>INSERT INTO tblJobPlacement VALUES (seqJobPlacement.nextval, 334, '취업', '2023-09-04');</v>
      </c>
    </row>
    <row r="172">
      <c r="B172" s="1" t="s">
        <v>273</v>
      </c>
      <c r="C172" s="1">
        <v>335.0</v>
      </c>
      <c r="D172" s="1" t="s">
        <v>274</v>
      </c>
      <c r="E172" s="2" t="str">
        <f t="shared" si="8"/>
        <v>2025-01-20</v>
      </c>
      <c r="G172" s="2" t="str">
        <f t="shared" si="2"/>
        <v>INSERT INTO tblJobPlacement VALUES (seqJobPlacement.nextval, 335, '취업', '2025-01-20');</v>
      </c>
    </row>
    <row r="173">
      <c r="B173" s="1" t="s">
        <v>273</v>
      </c>
      <c r="C173" s="1">
        <v>336.0</v>
      </c>
      <c r="D173" s="1" t="s">
        <v>274</v>
      </c>
      <c r="E173" s="2" t="str">
        <f t="shared" si="8"/>
        <v>2024-03-06</v>
      </c>
      <c r="G173" s="2" t="str">
        <f t="shared" si="2"/>
        <v>INSERT INTO tblJobPlacement VALUES (seqJobPlacement.nextval, 336, '취업', '2024-03-06');</v>
      </c>
    </row>
    <row r="174">
      <c r="B174" s="1" t="s">
        <v>273</v>
      </c>
      <c r="C174" s="1">
        <v>337.0</v>
      </c>
      <c r="D174" s="1" t="s">
        <v>274</v>
      </c>
      <c r="E174" s="2" t="str">
        <f t="shared" si="8"/>
        <v>2024-12-05</v>
      </c>
      <c r="G174" s="2" t="str">
        <f t="shared" si="2"/>
        <v>INSERT INTO tblJobPlacement VALUES (seqJobPlacement.nextval, 337, '취업', '2024-12-05');</v>
      </c>
    </row>
    <row r="175">
      <c r="B175" s="1" t="s">
        <v>273</v>
      </c>
      <c r="C175" s="1">
        <v>338.0</v>
      </c>
      <c r="D175" s="1" t="s">
        <v>274</v>
      </c>
      <c r="E175" s="2" t="str">
        <f t="shared" si="8"/>
        <v>2024-01-31</v>
      </c>
      <c r="G175" s="2" t="str">
        <f t="shared" si="2"/>
        <v>INSERT INTO tblJobPlacement VALUES (seqJobPlacement.nextval, 338, '취업', '2024-01-31');</v>
      </c>
    </row>
    <row r="176">
      <c r="B176" s="1" t="s">
        <v>273</v>
      </c>
      <c r="C176" s="1">
        <v>339.0</v>
      </c>
      <c r="D176" s="1" t="s">
        <v>274</v>
      </c>
      <c r="E176" s="2" t="str">
        <f t="shared" si="8"/>
        <v>2024-06-07</v>
      </c>
      <c r="G176" s="2" t="str">
        <f t="shared" si="2"/>
        <v>INSERT INTO tblJobPlacement VALUES (seqJobPlacement.nextval, 339, '취업', '2024-06-07');</v>
      </c>
    </row>
    <row r="177">
      <c r="B177" s="1" t="s">
        <v>273</v>
      </c>
      <c r="C177" s="1">
        <v>340.0</v>
      </c>
      <c r="D177" s="1" t="s">
        <v>274</v>
      </c>
      <c r="E177" s="2" t="str">
        <f t="shared" si="8"/>
        <v>2023-02-12</v>
      </c>
      <c r="G177" s="2" t="str">
        <f t="shared" si="2"/>
        <v>INSERT INTO tblJobPlacement VALUES (seqJobPlacement.nextval, 340, '취업', '2023-02-12');</v>
      </c>
    </row>
    <row r="178">
      <c r="B178" s="1" t="s">
        <v>273</v>
      </c>
      <c r="C178" s="1">
        <v>341.0</v>
      </c>
      <c r="D178" s="1" t="s">
        <v>274</v>
      </c>
      <c r="E178" s="2" t="str">
        <f t="shared" si="8"/>
        <v>2025-01-10</v>
      </c>
      <c r="G178" s="2" t="str">
        <f t="shared" si="2"/>
        <v>INSERT INTO tblJobPlacement VALUES (seqJobPlacement.nextval, 341, '취업', '2025-01-10');</v>
      </c>
    </row>
    <row r="179">
      <c r="B179" s="1" t="s">
        <v>273</v>
      </c>
      <c r="C179" s="1">
        <v>342.0</v>
      </c>
      <c r="D179" s="1" t="s">
        <v>274</v>
      </c>
      <c r="E179" s="2" t="str">
        <f t="shared" si="8"/>
        <v>2024-12-30</v>
      </c>
      <c r="G179" s="2" t="str">
        <f t="shared" si="2"/>
        <v>INSERT INTO tblJobPlacement VALUES (seqJobPlacement.nextval, 342, '취업', '2024-12-30');</v>
      </c>
    </row>
    <row r="180">
      <c r="B180" s="1" t="s">
        <v>273</v>
      </c>
      <c r="C180" s="1">
        <v>343.0</v>
      </c>
      <c r="D180" s="1" t="s">
        <v>275</v>
      </c>
      <c r="G180" s="2" t="str">
        <f t="shared" si="2"/>
        <v>INSERT INTO tblJobPlacement VALUES (seqJobPlacement.nextval, 343, '미취업', '');</v>
      </c>
    </row>
    <row r="181">
      <c r="B181" s="1" t="s">
        <v>273</v>
      </c>
      <c r="C181" s="1">
        <v>344.0</v>
      </c>
      <c r="D181" s="1" t="s">
        <v>274</v>
      </c>
      <c r="E181" s="2" t="str">
        <f t="shared" ref="E181:E224" si="9">TEXT(RANDBETWEEN(DATE(2023,1,1),DATE(2025,8,4)),"yyyy-mm-dd")</f>
        <v>2025-03-01</v>
      </c>
      <c r="G181" s="2" t="str">
        <f t="shared" si="2"/>
        <v>INSERT INTO tblJobPlacement VALUES (seqJobPlacement.nextval, 344, '취업', '2025-03-01');</v>
      </c>
    </row>
    <row r="182">
      <c r="B182" s="1" t="s">
        <v>273</v>
      </c>
      <c r="C182" s="1">
        <v>345.0</v>
      </c>
      <c r="D182" s="1" t="s">
        <v>274</v>
      </c>
      <c r="E182" s="2" t="str">
        <f t="shared" si="9"/>
        <v>2023-09-18</v>
      </c>
      <c r="G182" s="2" t="str">
        <f t="shared" si="2"/>
        <v>INSERT INTO tblJobPlacement VALUES (seqJobPlacement.nextval, 345, '취업', '2023-09-18');</v>
      </c>
    </row>
    <row r="183">
      <c r="B183" s="1" t="s">
        <v>273</v>
      </c>
      <c r="C183" s="1">
        <v>346.0</v>
      </c>
      <c r="D183" s="1" t="s">
        <v>274</v>
      </c>
      <c r="E183" s="2" t="str">
        <f t="shared" si="9"/>
        <v>2023-10-28</v>
      </c>
      <c r="G183" s="2" t="str">
        <f t="shared" si="2"/>
        <v>INSERT INTO tblJobPlacement VALUES (seqJobPlacement.nextval, 346, '취업', '2023-10-28');</v>
      </c>
    </row>
    <row r="184">
      <c r="B184" s="1" t="s">
        <v>273</v>
      </c>
      <c r="C184" s="1">
        <v>347.0</v>
      </c>
      <c r="D184" s="1" t="s">
        <v>274</v>
      </c>
      <c r="E184" s="2" t="str">
        <f t="shared" si="9"/>
        <v>2023-03-19</v>
      </c>
      <c r="G184" s="2" t="str">
        <f t="shared" si="2"/>
        <v>INSERT INTO tblJobPlacement VALUES (seqJobPlacement.nextval, 347, '취업', '2023-03-19');</v>
      </c>
    </row>
    <row r="185">
      <c r="B185" s="1" t="s">
        <v>273</v>
      </c>
      <c r="C185" s="1">
        <v>348.0</v>
      </c>
      <c r="D185" s="1" t="s">
        <v>274</v>
      </c>
      <c r="E185" s="2" t="str">
        <f t="shared" si="9"/>
        <v>2023-04-28</v>
      </c>
      <c r="G185" s="2" t="str">
        <f t="shared" si="2"/>
        <v>INSERT INTO tblJobPlacement VALUES (seqJobPlacement.nextval, 348, '취업', '2023-04-28');</v>
      </c>
    </row>
    <row r="186">
      <c r="B186" s="1" t="s">
        <v>273</v>
      </c>
      <c r="C186" s="1">
        <v>349.0</v>
      </c>
      <c r="D186" s="1" t="s">
        <v>274</v>
      </c>
      <c r="E186" s="2" t="str">
        <f t="shared" si="9"/>
        <v>2025-07-14</v>
      </c>
      <c r="G186" s="2" t="str">
        <f t="shared" si="2"/>
        <v>INSERT INTO tblJobPlacement VALUES (seqJobPlacement.nextval, 349, '취업', '2025-07-14');</v>
      </c>
    </row>
    <row r="187">
      <c r="B187" s="1" t="s">
        <v>273</v>
      </c>
      <c r="C187" s="1">
        <v>350.0</v>
      </c>
      <c r="D187" s="1" t="s">
        <v>274</v>
      </c>
      <c r="E187" s="2" t="str">
        <f t="shared" si="9"/>
        <v>2024-05-27</v>
      </c>
      <c r="G187" s="2" t="str">
        <f t="shared" si="2"/>
        <v>INSERT INTO tblJobPlacement VALUES (seqJobPlacement.nextval, 350, '취업', '2024-05-27');</v>
      </c>
    </row>
    <row r="188">
      <c r="B188" s="1" t="s">
        <v>273</v>
      </c>
      <c r="C188" s="1">
        <v>351.0</v>
      </c>
      <c r="D188" s="1" t="s">
        <v>274</v>
      </c>
      <c r="E188" s="2" t="str">
        <f t="shared" si="9"/>
        <v>2023-10-19</v>
      </c>
      <c r="G188" s="2" t="str">
        <f t="shared" si="2"/>
        <v>INSERT INTO tblJobPlacement VALUES (seqJobPlacement.nextval, 351, '취업', '2023-10-19');</v>
      </c>
    </row>
    <row r="189">
      <c r="B189" s="1" t="s">
        <v>273</v>
      </c>
      <c r="C189" s="1">
        <v>352.0</v>
      </c>
      <c r="D189" s="1" t="s">
        <v>274</v>
      </c>
      <c r="E189" s="2" t="str">
        <f t="shared" si="9"/>
        <v>2023-12-21</v>
      </c>
      <c r="G189" s="2" t="str">
        <f t="shared" si="2"/>
        <v>INSERT INTO tblJobPlacement VALUES (seqJobPlacement.nextval, 352, '취업', '2023-12-21');</v>
      </c>
    </row>
    <row r="190">
      <c r="B190" s="1" t="s">
        <v>273</v>
      </c>
      <c r="C190" s="1">
        <v>353.0</v>
      </c>
      <c r="D190" s="1" t="s">
        <v>274</v>
      </c>
      <c r="E190" s="2" t="str">
        <f t="shared" si="9"/>
        <v>2023-12-22</v>
      </c>
      <c r="G190" s="2" t="str">
        <f t="shared" si="2"/>
        <v>INSERT INTO tblJobPlacement VALUES (seqJobPlacement.nextval, 353, '취업', '2023-12-22');</v>
      </c>
    </row>
    <row r="191">
      <c r="B191" s="1" t="s">
        <v>273</v>
      </c>
      <c r="C191" s="1">
        <v>354.0</v>
      </c>
      <c r="D191" s="1" t="s">
        <v>274</v>
      </c>
      <c r="E191" s="2" t="str">
        <f t="shared" si="9"/>
        <v>2025-06-08</v>
      </c>
      <c r="G191" s="2" t="str">
        <f t="shared" si="2"/>
        <v>INSERT INTO tblJobPlacement VALUES (seqJobPlacement.nextval, 354, '취업', '2025-06-08');</v>
      </c>
    </row>
    <row r="192">
      <c r="B192" s="1" t="s">
        <v>273</v>
      </c>
      <c r="C192" s="1">
        <v>355.0</v>
      </c>
      <c r="D192" s="1" t="s">
        <v>274</v>
      </c>
      <c r="E192" s="2" t="str">
        <f t="shared" si="9"/>
        <v>2024-06-22</v>
      </c>
      <c r="G192" s="2" t="str">
        <f t="shared" si="2"/>
        <v>INSERT INTO tblJobPlacement VALUES (seqJobPlacement.nextval, 355, '취업', '2024-06-22');</v>
      </c>
    </row>
    <row r="193">
      <c r="B193" s="1" t="s">
        <v>273</v>
      </c>
      <c r="C193" s="1">
        <v>356.0</v>
      </c>
      <c r="D193" s="1" t="s">
        <v>274</v>
      </c>
      <c r="E193" s="2" t="str">
        <f t="shared" si="9"/>
        <v>2025-01-27</v>
      </c>
      <c r="G193" s="2" t="str">
        <f t="shared" si="2"/>
        <v>INSERT INTO tblJobPlacement VALUES (seqJobPlacement.nextval, 356, '취업', '2025-01-27');</v>
      </c>
    </row>
    <row r="194">
      <c r="B194" s="1" t="s">
        <v>273</v>
      </c>
      <c r="C194" s="1">
        <v>357.0</v>
      </c>
      <c r="D194" s="1" t="s">
        <v>274</v>
      </c>
      <c r="E194" s="2" t="str">
        <f t="shared" si="9"/>
        <v>2024-09-13</v>
      </c>
      <c r="G194" s="2" t="str">
        <f t="shared" si="2"/>
        <v>INSERT INTO tblJobPlacement VALUES (seqJobPlacement.nextval, 357, '취업', '2024-09-13');</v>
      </c>
    </row>
    <row r="195">
      <c r="B195" s="1" t="s">
        <v>273</v>
      </c>
      <c r="C195" s="1">
        <v>358.0</v>
      </c>
      <c r="D195" s="1" t="s">
        <v>274</v>
      </c>
      <c r="E195" s="2" t="str">
        <f t="shared" si="9"/>
        <v>2024-10-24</v>
      </c>
      <c r="G195" s="2" t="str">
        <f t="shared" si="2"/>
        <v>INSERT INTO tblJobPlacement VALUES (seqJobPlacement.nextval, 358, '취업', '2024-10-24');</v>
      </c>
    </row>
    <row r="196">
      <c r="B196" s="1" t="s">
        <v>273</v>
      </c>
      <c r="C196" s="1">
        <v>359.0</v>
      </c>
      <c r="D196" s="1" t="s">
        <v>274</v>
      </c>
      <c r="E196" s="2" t="str">
        <f t="shared" si="9"/>
        <v>2023-04-20</v>
      </c>
      <c r="G196" s="2" t="str">
        <f t="shared" si="2"/>
        <v>INSERT INTO tblJobPlacement VALUES (seqJobPlacement.nextval, 359, '취업', '2023-04-20');</v>
      </c>
    </row>
    <row r="197">
      <c r="B197" s="1" t="s">
        <v>273</v>
      </c>
      <c r="C197" s="1">
        <v>360.0</v>
      </c>
      <c r="D197" s="1" t="s">
        <v>274</v>
      </c>
      <c r="E197" s="2" t="str">
        <f t="shared" si="9"/>
        <v>2025-07-09</v>
      </c>
      <c r="G197" s="2" t="str">
        <f t="shared" si="2"/>
        <v>INSERT INTO tblJobPlacement VALUES (seqJobPlacement.nextval, 360, '취업', '2025-07-09');</v>
      </c>
    </row>
    <row r="198">
      <c r="B198" s="1" t="s">
        <v>273</v>
      </c>
      <c r="C198" s="1">
        <v>361.0</v>
      </c>
      <c r="D198" s="1" t="s">
        <v>274</v>
      </c>
      <c r="E198" s="2" t="str">
        <f t="shared" si="9"/>
        <v>2024-11-12</v>
      </c>
      <c r="G198" s="2" t="str">
        <f t="shared" si="2"/>
        <v>INSERT INTO tblJobPlacement VALUES (seqJobPlacement.nextval, 361, '취업', '2024-11-12');</v>
      </c>
    </row>
    <row r="199">
      <c r="B199" s="1" t="s">
        <v>273</v>
      </c>
      <c r="C199" s="1">
        <v>362.0</v>
      </c>
      <c r="D199" s="1" t="s">
        <v>274</v>
      </c>
      <c r="E199" s="2" t="str">
        <f t="shared" si="9"/>
        <v>2024-06-26</v>
      </c>
      <c r="G199" s="2" t="str">
        <f t="shared" si="2"/>
        <v>INSERT INTO tblJobPlacement VALUES (seqJobPlacement.nextval, 362, '취업', '2024-06-26');</v>
      </c>
    </row>
    <row r="200">
      <c r="B200" s="1" t="s">
        <v>273</v>
      </c>
      <c r="C200" s="1">
        <v>363.0</v>
      </c>
      <c r="D200" s="1" t="s">
        <v>274</v>
      </c>
      <c r="E200" s="2" t="str">
        <f t="shared" si="9"/>
        <v>2024-09-04</v>
      </c>
      <c r="G200" s="2" t="str">
        <f t="shared" si="2"/>
        <v>INSERT INTO tblJobPlacement VALUES (seqJobPlacement.nextval, 363, '취업', '2024-09-04');</v>
      </c>
    </row>
    <row r="201">
      <c r="B201" s="1" t="s">
        <v>273</v>
      </c>
      <c r="C201" s="1">
        <v>364.0</v>
      </c>
      <c r="D201" s="1" t="s">
        <v>274</v>
      </c>
      <c r="E201" s="2" t="str">
        <f t="shared" si="9"/>
        <v>2023-05-12</v>
      </c>
      <c r="G201" s="2" t="str">
        <f t="shared" si="2"/>
        <v>INSERT INTO tblJobPlacement VALUES (seqJobPlacement.nextval, 364, '취업', '2023-05-12');</v>
      </c>
    </row>
    <row r="202">
      <c r="B202" s="1" t="s">
        <v>273</v>
      </c>
      <c r="C202" s="1">
        <v>365.0</v>
      </c>
      <c r="D202" s="1" t="s">
        <v>274</v>
      </c>
      <c r="E202" s="2" t="str">
        <f t="shared" si="9"/>
        <v>2025-06-15</v>
      </c>
      <c r="G202" s="2" t="str">
        <f t="shared" si="2"/>
        <v>INSERT INTO tblJobPlacement VALUES (seqJobPlacement.nextval, 365, '취업', '2025-06-15');</v>
      </c>
    </row>
    <row r="203">
      <c r="B203" s="1" t="s">
        <v>273</v>
      </c>
      <c r="C203" s="1">
        <v>366.0</v>
      </c>
      <c r="D203" s="1" t="s">
        <v>274</v>
      </c>
      <c r="E203" s="2" t="str">
        <f t="shared" si="9"/>
        <v>2025-07-08</v>
      </c>
      <c r="G203" s="2" t="str">
        <f t="shared" si="2"/>
        <v>INSERT INTO tblJobPlacement VALUES (seqJobPlacement.nextval, 366, '취업', '2025-07-08');</v>
      </c>
    </row>
    <row r="204">
      <c r="B204" s="1" t="s">
        <v>273</v>
      </c>
      <c r="C204" s="1">
        <v>367.0</v>
      </c>
      <c r="D204" s="1" t="s">
        <v>274</v>
      </c>
      <c r="E204" s="2" t="str">
        <f t="shared" si="9"/>
        <v>2023-08-13</v>
      </c>
      <c r="G204" s="2" t="str">
        <f t="shared" si="2"/>
        <v>INSERT INTO tblJobPlacement VALUES (seqJobPlacement.nextval, 367, '취업', '2023-08-13');</v>
      </c>
    </row>
    <row r="205">
      <c r="B205" s="1" t="s">
        <v>273</v>
      </c>
      <c r="C205" s="1">
        <v>368.0</v>
      </c>
      <c r="D205" s="1" t="s">
        <v>274</v>
      </c>
      <c r="E205" s="2" t="str">
        <f t="shared" si="9"/>
        <v>2024-09-30</v>
      </c>
      <c r="G205" s="2" t="str">
        <f t="shared" si="2"/>
        <v>INSERT INTO tblJobPlacement VALUES (seqJobPlacement.nextval, 368, '취업', '2024-09-30');</v>
      </c>
    </row>
    <row r="206">
      <c r="B206" s="1" t="s">
        <v>273</v>
      </c>
      <c r="C206" s="1">
        <v>369.0</v>
      </c>
      <c r="D206" s="1" t="s">
        <v>274</v>
      </c>
      <c r="E206" s="2" t="str">
        <f t="shared" si="9"/>
        <v>2024-03-15</v>
      </c>
      <c r="G206" s="2" t="str">
        <f t="shared" si="2"/>
        <v>INSERT INTO tblJobPlacement VALUES (seqJobPlacement.nextval, 369, '취업', '2024-03-15');</v>
      </c>
    </row>
    <row r="207">
      <c r="B207" s="1" t="s">
        <v>273</v>
      </c>
      <c r="C207" s="1">
        <v>370.0</v>
      </c>
      <c r="D207" s="1" t="s">
        <v>274</v>
      </c>
      <c r="E207" s="2" t="str">
        <f t="shared" si="9"/>
        <v>2023-08-05</v>
      </c>
      <c r="G207" s="2" t="str">
        <f t="shared" si="2"/>
        <v>INSERT INTO tblJobPlacement VALUES (seqJobPlacement.nextval, 370, '취업', '2023-08-05');</v>
      </c>
    </row>
    <row r="208">
      <c r="B208" s="1" t="s">
        <v>273</v>
      </c>
      <c r="C208" s="1">
        <v>371.0</v>
      </c>
      <c r="D208" s="1" t="s">
        <v>274</v>
      </c>
      <c r="E208" s="2" t="str">
        <f t="shared" si="9"/>
        <v>2023-10-08</v>
      </c>
      <c r="G208" s="2" t="str">
        <f t="shared" si="2"/>
        <v>INSERT INTO tblJobPlacement VALUES (seqJobPlacement.nextval, 371, '취업', '2023-10-08');</v>
      </c>
    </row>
    <row r="209">
      <c r="B209" s="1" t="s">
        <v>273</v>
      </c>
      <c r="C209" s="1">
        <v>372.0</v>
      </c>
      <c r="D209" s="1" t="s">
        <v>274</v>
      </c>
      <c r="E209" s="2" t="str">
        <f t="shared" si="9"/>
        <v>2024-10-14</v>
      </c>
      <c r="G209" s="2" t="str">
        <f t="shared" si="2"/>
        <v>INSERT INTO tblJobPlacement VALUES (seqJobPlacement.nextval, 372, '취업', '2024-10-14');</v>
      </c>
    </row>
    <row r="210">
      <c r="B210" s="1" t="s">
        <v>273</v>
      </c>
      <c r="C210" s="1">
        <v>373.0</v>
      </c>
      <c r="D210" s="1" t="s">
        <v>274</v>
      </c>
      <c r="E210" s="2" t="str">
        <f t="shared" si="9"/>
        <v>2023-03-15</v>
      </c>
      <c r="G210" s="2" t="str">
        <f t="shared" si="2"/>
        <v>INSERT INTO tblJobPlacement VALUES (seqJobPlacement.nextval, 373, '취업', '2023-03-15');</v>
      </c>
    </row>
    <row r="211">
      <c r="B211" s="1" t="s">
        <v>273</v>
      </c>
      <c r="C211" s="1">
        <v>374.0</v>
      </c>
      <c r="D211" s="1" t="s">
        <v>274</v>
      </c>
      <c r="E211" s="2" t="str">
        <f t="shared" si="9"/>
        <v>2025-01-02</v>
      </c>
      <c r="G211" s="2" t="str">
        <f t="shared" si="2"/>
        <v>INSERT INTO tblJobPlacement VALUES (seqJobPlacement.nextval, 374, '취업', '2025-01-02');</v>
      </c>
    </row>
    <row r="212">
      <c r="B212" s="1" t="s">
        <v>273</v>
      </c>
      <c r="C212" s="1">
        <v>375.0</v>
      </c>
      <c r="D212" s="1" t="s">
        <v>274</v>
      </c>
      <c r="E212" s="2" t="str">
        <f t="shared" si="9"/>
        <v>2023-12-18</v>
      </c>
      <c r="G212" s="2" t="str">
        <f t="shared" si="2"/>
        <v>INSERT INTO tblJobPlacement VALUES (seqJobPlacement.nextval, 375, '취업', '2023-12-18');</v>
      </c>
    </row>
    <row r="213">
      <c r="B213" s="1" t="s">
        <v>273</v>
      </c>
      <c r="C213" s="1">
        <v>376.0</v>
      </c>
      <c r="D213" s="1" t="s">
        <v>274</v>
      </c>
      <c r="E213" s="2" t="str">
        <f t="shared" si="9"/>
        <v>2024-03-19</v>
      </c>
      <c r="G213" s="2" t="str">
        <f t="shared" si="2"/>
        <v>INSERT INTO tblJobPlacement VALUES (seqJobPlacement.nextval, 376, '취업', '2024-03-19');</v>
      </c>
    </row>
    <row r="214">
      <c r="B214" s="1" t="s">
        <v>273</v>
      </c>
      <c r="C214" s="1">
        <v>377.0</v>
      </c>
      <c r="D214" s="1" t="s">
        <v>274</v>
      </c>
      <c r="E214" s="2" t="str">
        <f t="shared" si="9"/>
        <v>2025-06-06</v>
      </c>
      <c r="G214" s="2" t="str">
        <f t="shared" si="2"/>
        <v>INSERT INTO tblJobPlacement VALUES (seqJobPlacement.nextval, 377, '취업', '2025-06-06');</v>
      </c>
    </row>
    <row r="215">
      <c r="B215" s="1" t="s">
        <v>273</v>
      </c>
      <c r="C215" s="1">
        <v>378.0</v>
      </c>
      <c r="D215" s="1" t="s">
        <v>274</v>
      </c>
      <c r="E215" s="2" t="str">
        <f t="shared" si="9"/>
        <v>2023-12-16</v>
      </c>
      <c r="G215" s="2" t="str">
        <f t="shared" si="2"/>
        <v>INSERT INTO tblJobPlacement VALUES (seqJobPlacement.nextval, 378, '취업', '2023-12-16');</v>
      </c>
    </row>
    <row r="216">
      <c r="B216" s="1" t="s">
        <v>273</v>
      </c>
      <c r="C216" s="1">
        <v>379.0</v>
      </c>
      <c r="D216" s="1" t="s">
        <v>274</v>
      </c>
      <c r="E216" s="2" t="str">
        <f t="shared" si="9"/>
        <v>2024-12-29</v>
      </c>
      <c r="G216" s="2" t="str">
        <f t="shared" si="2"/>
        <v>INSERT INTO tblJobPlacement VALUES (seqJobPlacement.nextval, 379, '취업', '2024-12-29');</v>
      </c>
    </row>
    <row r="217">
      <c r="B217" s="1" t="s">
        <v>273</v>
      </c>
      <c r="C217" s="1">
        <v>380.0</v>
      </c>
      <c r="D217" s="1" t="s">
        <v>274</v>
      </c>
      <c r="E217" s="2" t="str">
        <f t="shared" si="9"/>
        <v>2023-02-25</v>
      </c>
      <c r="G217" s="2" t="str">
        <f t="shared" si="2"/>
        <v>INSERT INTO tblJobPlacement VALUES (seqJobPlacement.nextval, 380, '취업', '2023-02-25');</v>
      </c>
    </row>
    <row r="218">
      <c r="B218" s="1" t="s">
        <v>273</v>
      </c>
      <c r="C218" s="1">
        <v>381.0</v>
      </c>
      <c r="D218" s="1" t="s">
        <v>274</v>
      </c>
      <c r="E218" s="2" t="str">
        <f t="shared" si="9"/>
        <v>2024-04-13</v>
      </c>
      <c r="G218" s="2" t="str">
        <f t="shared" si="2"/>
        <v>INSERT INTO tblJobPlacement VALUES (seqJobPlacement.nextval, 381, '취업', '2024-04-13');</v>
      </c>
    </row>
    <row r="219">
      <c r="B219" s="1" t="s">
        <v>273</v>
      </c>
      <c r="C219" s="1">
        <v>382.0</v>
      </c>
      <c r="D219" s="1" t="s">
        <v>274</v>
      </c>
      <c r="E219" s="2" t="str">
        <f t="shared" si="9"/>
        <v>2023-09-06</v>
      </c>
      <c r="G219" s="2" t="str">
        <f t="shared" si="2"/>
        <v>INSERT INTO tblJobPlacement VALUES (seqJobPlacement.nextval, 382, '취업', '2023-09-06');</v>
      </c>
    </row>
    <row r="220">
      <c r="B220" s="1" t="s">
        <v>273</v>
      </c>
      <c r="C220" s="1">
        <v>386.0</v>
      </c>
      <c r="D220" s="1" t="s">
        <v>274</v>
      </c>
      <c r="E220" s="2" t="str">
        <f t="shared" si="9"/>
        <v>2024-06-13</v>
      </c>
      <c r="G220" s="2" t="str">
        <f t="shared" si="2"/>
        <v>INSERT INTO tblJobPlacement VALUES (seqJobPlacement.nextval, 386, '취업', '2024-06-13');</v>
      </c>
    </row>
    <row r="221">
      <c r="B221" s="1" t="s">
        <v>273</v>
      </c>
      <c r="C221" s="1">
        <v>387.0</v>
      </c>
      <c r="D221" s="1" t="s">
        <v>274</v>
      </c>
      <c r="E221" s="2" t="str">
        <f t="shared" si="9"/>
        <v>2023-12-01</v>
      </c>
      <c r="G221" s="2" t="str">
        <f t="shared" si="2"/>
        <v>INSERT INTO tblJobPlacement VALUES (seqJobPlacement.nextval, 387, '취업', '2023-12-01');</v>
      </c>
    </row>
    <row r="222">
      <c r="B222" s="1" t="s">
        <v>273</v>
      </c>
      <c r="C222" s="1">
        <v>388.0</v>
      </c>
      <c r="D222" s="1" t="s">
        <v>274</v>
      </c>
      <c r="E222" s="2" t="str">
        <f t="shared" si="9"/>
        <v>2023-02-10</v>
      </c>
      <c r="G222" s="2" t="str">
        <f t="shared" si="2"/>
        <v>INSERT INTO tblJobPlacement VALUES (seqJobPlacement.nextval, 388, '취업', '2023-02-10');</v>
      </c>
    </row>
    <row r="223">
      <c r="B223" s="1" t="s">
        <v>273</v>
      </c>
      <c r="C223" s="1">
        <v>389.0</v>
      </c>
      <c r="D223" s="1" t="s">
        <v>274</v>
      </c>
      <c r="E223" s="2" t="str">
        <f t="shared" si="9"/>
        <v>2025-04-09</v>
      </c>
      <c r="G223" s="2" t="str">
        <f t="shared" si="2"/>
        <v>INSERT INTO tblJobPlacement VALUES (seqJobPlacement.nextval, 389, '취업', '2025-04-09');</v>
      </c>
    </row>
    <row r="224">
      <c r="B224" s="1" t="s">
        <v>273</v>
      </c>
      <c r="C224" s="1">
        <v>390.0</v>
      </c>
      <c r="D224" s="1" t="s">
        <v>274</v>
      </c>
      <c r="E224" s="2" t="str">
        <f t="shared" si="9"/>
        <v>2024-09-19</v>
      </c>
      <c r="G224" s="2" t="str">
        <f t="shared" si="2"/>
        <v>INSERT INTO tblJobPlacement VALUES (seqJobPlacement.nextval, 390, '취업', '2024-09-19');</v>
      </c>
    </row>
    <row r="225">
      <c r="B225" s="1" t="s">
        <v>273</v>
      </c>
      <c r="C225" s="1">
        <v>391.0</v>
      </c>
      <c r="D225" s="1" t="s">
        <v>275</v>
      </c>
      <c r="G225" s="2" t="str">
        <f t="shared" si="2"/>
        <v>INSERT INTO tblJobPlacement VALUES (seqJobPlacement.nextval, 391, '미취업', '');</v>
      </c>
    </row>
    <row r="226">
      <c r="B226" s="1" t="s">
        <v>273</v>
      </c>
      <c r="C226" s="1">
        <v>392.0</v>
      </c>
      <c r="D226" s="1" t="s">
        <v>275</v>
      </c>
      <c r="G226" s="2" t="str">
        <f t="shared" si="2"/>
        <v>INSERT INTO tblJobPlacement VALUES (seqJobPlacement.nextval, 392, '미취업', '');</v>
      </c>
    </row>
    <row r="227">
      <c r="B227" s="1" t="s">
        <v>273</v>
      </c>
      <c r="C227" s="1">
        <v>393.0</v>
      </c>
      <c r="D227" s="1" t="s">
        <v>275</v>
      </c>
      <c r="G227" s="2" t="str">
        <f t="shared" si="2"/>
        <v>INSERT INTO tblJobPlacement VALUES (seqJobPlacement.nextval, 393, '미취업', '');</v>
      </c>
    </row>
    <row r="228">
      <c r="B228" s="1" t="s">
        <v>273</v>
      </c>
      <c r="C228" s="1">
        <v>394.0</v>
      </c>
      <c r="D228" s="1" t="s">
        <v>274</v>
      </c>
      <c r="E228" s="2" t="str">
        <f t="shared" ref="E228:E233" si="10">TEXT(RANDBETWEEN(DATE(2023,1,1),DATE(2025,8,4)),"yyyy-mm-dd")</f>
        <v>2023-06-08</v>
      </c>
      <c r="G228" s="2" t="str">
        <f t="shared" si="2"/>
        <v>INSERT INTO tblJobPlacement VALUES (seqJobPlacement.nextval, 394, '취업', '2023-06-08');</v>
      </c>
    </row>
    <row r="229">
      <c r="B229" s="1" t="s">
        <v>273</v>
      </c>
      <c r="C229" s="1">
        <v>395.0</v>
      </c>
      <c r="D229" s="1" t="s">
        <v>274</v>
      </c>
      <c r="E229" s="2" t="str">
        <f t="shared" si="10"/>
        <v>2024-06-21</v>
      </c>
      <c r="G229" s="2" t="str">
        <f t="shared" si="2"/>
        <v>INSERT INTO tblJobPlacement VALUES (seqJobPlacement.nextval, 395, '취업', '2024-06-21');</v>
      </c>
    </row>
    <row r="230">
      <c r="B230" s="1" t="s">
        <v>273</v>
      </c>
      <c r="C230" s="1">
        <v>396.0</v>
      </c>
      <c r="D230" s="1" t="s">
        <v>274</v>
      </c>
      <c r="E230" s="2" t="str">
        <f t="shared" si="10"/>
        <v>2024-01-04</v>
      </c>
      <c r="G230" s="2" t="str">
        <f t="shared" si="2"/>
        <v>INSERT INTO tblJobPlacement VALUES (seqJobPlacement.nextval, 396, '취업', '2024-01-04');</v>
      </c>
    </row>
    <row r="231">
      <c r="B231" s="1" t="s">
        <v>273</v>
      </c>
      <c r="C231" s="1">
        <v>397.0</v>
      </c>
      <c r="D231" s="1" t="s">
        <v>274</v>
      </c>
      <c r="E231" s="2" t="str">
        <f t="shared" si="10"/>
        <v>2024-05-05</v>
      </c>
      <c r="G231" s="2" t="str">
        <f t="shared" si="2"/>
        <v>INSERT INTO tblJobPlacement VALUES (seqJobPlacement.nextval, 397, '취업', '2024-05-05');</v>
      </c>
    </row>
    <row r="232">
      <c r="B232" s="1" t="s">
        <v>273</v>
      </c>
      <c r="C232" s="1">
        <v>398.0</v>
      </c>
      <c r="D232" s="1" t="s">
        <v>274</v>
      </c>
      <c r="E232" s="2" t="str">
        <f t="shared" si="10"/>
        <v>2025-03-07</v>
      </c>
      <c r="G232" s="2" t="str">
        <f t="shared" si="2"/>
        <v>INSERT INTO tblJobPlacement VALUES (seqJobPlacement.nextval, 398, '취업', '2025-03-07');</v>
      </c>
    </row>
    <row r="233">
      <c r="B233" s="1" t="s">
        <v>273</v>
      </c>
      <c r="C233" s="1">
        <v>399.0</v>
      </c>
      <c r="D233" s="1" t="s">
        <v>274</v>
      </c>
      <c r="E233" s="2" t="str">
        <f t="shared" si="10"/>
        <v>2024-09-30</v>
      </c>
      <c r="G233" s="2" t="str">
        <f t="shared" si="2"/>
        <v>INSERT INTO tblJobPlacement VALUES (seqJobPlacement.nextval, 399, '취업', '2024-09-30');</v>
      </c>
    </row>
    <row r="234">
      <c r="B234" s="1" t="s">
        <v>273</v>
      </c>
      <c r="C234" s="1">
        <v>400.0</v>
      </c>
      <c r="D234" s="1" t="s">
        <v>275</v>
      </c>
      <c r="G234" s="2" t="str">
        <f t="shared" si="2"/>
        <v>INSERT INTO tblJobPlacement VALUES (seqJobPlacement.nextval, 400, '미취업', '');</v>
      </c>
    </row>
    <row r="235">
      <c r="B235" s="1" t="s">
        <v>273</v>
      </c>
      <c r="C235" s="1">
        <v>401.0</v>
      </c>
      <c r="D235" s="1" t="s">
        <v>274</v>
      </c>
      <c r="E235" s="2" t="str">
        <f t="shared" ref="E235:E237" si="11">TEXT(RANDBETWEEN(DATE(2023,1,1),DATE(2025,8,4)),"yyyy-mm-dd")</f>
        <v>2025-01-18</v>
      </c>
      <c r="G235" s="2" t="str">
        <f t="shared" si="2"/>
        <v>INSERT INTO tblJobPlacement VALUES (seqJobPlacement.nextval, 401, '취업', '2025-01-18');</v>
      </c>
    </row>
    <row r="236">
      <c r="B236" s="1" t="s">
        <v>273</v>
      </c>
      <c r="C236" s="1">
        <v>402.0</v>
      </c>
      <c r="D236" s="1" t="s">
        <v>274</v>
      </c>
      <c r="E236" s="2" t="str">
        <f t="shared" si="11"/>
        <v>2025-05-22</v>
      </c>
      <c r="G236" s="2" t="str">
        <f t="shared" si="2"/>
        <v>INSERT INTO tblJobPlacement VALUES (seqJobPlacement.nextval, 402, '취업', '2025-05-22');</v>
      </c>
    </row>
    <row r="237">
      <c r="B237" s="1" t="s">
        <v>273</v>
      </c>
      <c r="C237" s="1">
        <v>403.0</v>
      </c>
      <c r="D237" s="1" t="s">
        <v>274</v>
      </c>
      <c r="E237" s="2" t="str">
        <f t="shared" si="11"/>
        <v>2023-08-18</v>
      </c>
      <c r="G237" s="2" t="str">
        <f t="shared" si="2"/>
        <v>INSERT INTO tblJobPlacement VALUES (seqJobPlacement.nextval, 403, '취업', '2023-08-18');</v>
      </c>
    </row>
    <row r="238">
      <c r="B238" s="1" t="s">
        <v>273</v>
      </c>
      <c r="C238" s="1">
        <v>404.0</v>
      </c>
      <c r="D238" s="1" t="s">
        <v>275</v>
      </c>
      <c r="G238" s="2" t="str">
        <f t="shared" si="2"/>
        <v>INSERT INTO tblJobPlacement VALUES (seqJobPlacement.nextval, 404, '미취업', '');</v>
      </c>
    </row>
    <row r="239">
      <c r="B239" s="1" t="s">
        <v>273</v>
      </c>
      <c r="C239" s="1">
        <v>405.0</v>
      </c>
      <c r="D239" s="1" t="s">
        <v>274</v>
      </c>
      <c r="E239" s="2" t="str">
        <f t="shared" ref="E239:E242" si="12">TEXT(RANDBETWEEN(DATE(2023,1,1),DATE(2025,8,4)),"yyyy-mm-dd")</f>
        <v>2023-12-27</v>
      </c>
      <c r="G239" s="2" t="str">
        <f t="shared" si="2"/>
        <v>INSERT INTO tblJobPlacement VALUES (seqJobPlacement.nextval, 405, '취업', '2023-12-27');</v>
      </c>
    </row>
    <row r="240">
      <c r="B240" s="1" t="s">
        <v>273</v>
      </c>
      <c r="C240" s="1">
        <v>406.0</v>
      </c>
      <c r="D240" s="1" t="s">
        <v>274</v>
      </c>
      <c r="E240" s="2" t="str">
        <f t="shared" si="12"/>
        <v>2023-10-27</v>
      </c>
      <c r="G240" s="2" t="str">
        <f t="shared" si="2"/>
        <v>INSERT INTO tblJobPlacement VALUES (seqJobPlacement.nextval, 406, '취업', '2023-10-27');</v>
      </c>
    </row>
    <row r="241">
      <c r="B241" s="1" t="s">
        <v>273</v>
      </c>
      <c r="C241" s="1">
        <v>407.0</v>
      </c>
      <c r="D241" s="1" t="s">
        <v>274</v>
      </c>
      <c r="E241" s="2" t="str">
        <f t="shared" si="12"/>
        <v>2024-03-22</v>
      </c>
      <c r="G241" s="2" t="str">
        <f t="shared" si="2"/>
        <v>INSERT INTO tblJobPlacement VALUES (seqJobPlacement.nextval, 407, '취업', '2024-03-22');</v>
      </c>
    </row>
    <row r="242">
      <c r="B242" s="1" t="s">
        <v>273</v>
      </c>
      <c r="C242" s="1">
        <v>408.0</v>
      </c>
      <c r="D242" s="1" t="s">
        <v>274</v>
      </c>
      <c r="E242" s="2" t="str">
        <f t="shared" si="12"/>
        <v>2023-07-23</v>
      </c>
      <c r="G242" s="2" t="str">
        <f t="shared" si="2"/>
        <v>INSERT INTO tblJobPlacement VALUES (seqJobPlacement.nextval, 408, '취업', '2023-07-23');</v>
      </c>
    </row>
    <row r="243">
      <c r="B243" s="1" t="s">
        <v>273</v>
      </c>
      <c r="C243" s="1">
        <v>409.0</v>
      </c>
      <c r="D243" s="1" t="s">
        <v>275</v>
      </c>
      <c r="G243" s="2" t="str">
        <f t="shared" si="2"/>
        <v>INSERT INTO tblJobPlacement VALUES (seqJobPlacement.nextval, 409, '미취업', '');</v>
      </c>
    </row>
    <row r="244">
      <c r="B244" s="1" t="s">
        <v>273</v>
      </c>
      <c r="C244" s="1">
        <v>410.0</v>
      </c>
      <c r="D244" s="1" t="s">
        <v>275</v>
      </c>
      <c r="G244" s="2" t="str">
        <f t="shared" si="2"/>
        <v>INSERT INTO tblJobPlacement VALUES (seqJobPlacement.nextval, 410, '미취업', '');</v>
      </c>
    </row>
    <row r="245">
      <c r="B245" s="1" t="s">
        <v>273</v>
      </c>
      <c r="C245" s="1">
        <v>411.0</v>
      </c>
      <c r="D245" s="1" t="s">
        <v>274</v>
      </c>
      <c r="E245" s="2" t="str">
        <f t="shared" ref="E245:E249" si="13">TEXT(RANDBETWEEN(DATE(2023,1,1),DATE(2025,8,4)),"yyyy-mm-dd")</f>
        <v>2024-08-28</v>
      </c>
      <c r="G245" s="2" t="str">
        <f t="shared" si="2"/>
        <v>INSERT INTO tblJobPlacement VALUES (seqJobPlacement.nextval, 411, '취업', '2024-08-28');</v>
      </c>
    </row>
    <row r="246">
      <c r="B246" s="1" t="s">
        <v>273</v>
      </c>
      <c r="C246" s="1">
        <v>412.0</v>
      </c>
      <c r="D246" s="1" t="s">
        <v>274</v>
      </c>
      <c r="E246" s="2" t="str">
        <f t="shared" si="13"/>
        <v>2024-04-14</v>
      </c>
      <c r="G246" s="2" t="str">
        <f t="shared" si="2"/>
        <v>INSERT INTO tblJobPlacement VALUES (seqJobPlacement.nextval, 412, '취업', '2024-04-14');</v>
      </c>
    </row>
    <row r="247">
      <c r="B247" s="1" t="s">
        <v>273</v>
      </c>
      <c r="C247" s="1">
        <v>413.0</v>
      </c>
      <c r="D247" s="1" t="s">
        <v>274</v>
      </c>
      <c r="E247" s="2" t="str">
        <f t="shared" si="13"/>
        <v>2024-10-31</v>
      </c>
      <c r="G247" s="2" t="str">
        <f t="shared" si="2"/>
        <v>INSERT INTO tblJobPlacement VALUES (seqJobPlacement.nextval, 413, '취업', '2024-10-31');</v>
      </c>
    </row>
    <row r="248">
      <c r="B248" s="1" t="s">
        <v>273</v>
      </c>
      <c r="C248" s="1">
        <v>414.0</v>
      </c>
      <c r="D248" s="1" t="s">
        <v>274</v>
      </c>
      <c r="E248" s="2" t="str">
        <f t="shared" si="13"/>
        <v>2024-07-10</v>
      </c>
      <c r="G248" s="2" t="str">
        <f t="shared" si="2"/>
        <v>INSERT INTO tblJobPlacement VALUES (seqJobPlacement.nextval, 414, '취업', '2024-07-10');</v>
      </c>
    </row>
    <row r="249">
      <c r="B249" s="1" t="s">
        <v>273</v>
      </c>
      <c r="C249" s="1">
        <v>415.0</v>
      </c>
      <c r="D249" s="1" t="s">
        <v>274</v>
      </c>
      <c r="E249" s="2" t="str">
        <f t="shared" si="13"/>
        <v>2024-11-13</v>
      </c>
      <c r="G249" s="2" t="str">
        <f t="shared" si="2"/>
        <v>INSERT INTO tblJobPlacement VALUES (seqJobPlacement.nextval, 415, '취업', '2024-11-13');</v>
      </c>
    </row>
    <row r="250">
      <c r="B250" s="1" t="s">
        <v>273</v>
      </c>
      <c r="C250" s="1">
        <v>416.0</v>
      </c>
      <c r="D250" s="1" t="s">
        <v>275</v>
      </c>
      <c r="G250" s="2" t="str">
        <f t="shared" si="2"/>
        <v>INSERT INTO tblJobPlacement VALUES (seqJobPlacement.nextval, 416, '미취업', '');</v>
      </c>
    </row>
    <row r="251">
      <c r="B251" s="1" t="s">
        <v>273</v>
      </c>
      <c r="C251" s="1">
        <v>417.0</v>
      </c>
      <c r="D251" s="1" t="s">
        <v>275</v>
      </c>
      <c r="G251" s="2" t="str">
        <f t="shared" si="2"/>
        <v>INSERT INTO tblJobPlacement VALUES (seqJobPlacement.nextval, 417, '미취업', '');</v>
      </c>
    </row>
    <row r="252">
      <c r="B252" s="1" t="s">
        <v>273</v>
      </c>
      <c r="C252" s="1">
        <v>418.0</v>
      </c>
      <c r="D252" s="1" t="s">
        <v>275</v>
      </c>
      <c r="G252" s="2" t="str">
        <f t="shared" si="2"/>
        <v>INSERT INTO tblJobPlacement VALUES (seqJobPlacement.nextval, 418, '미취업', '');</v>
      </c>
    </row>
    <row r="253">
      <c r="B253" s="1" t="s">
        <v>273</v>
      </c>
      <c r="C253" s="1">
        <v>419.0</v>
      </c>
      <c r="D253" s="1" t="s">
        <v>274</v>
      </c>
      <c r="E253" s="2" t="str">
        <f t="shared" ref="E253:E264" si="14">TEXT(RANDBETWEEN(DATE(2023,1,1),DATE(2025,8,4)),"yyyy-mm-dd")</f>
        <v>2025-03-06</v>
      </c>
      <c r="G253" s="2" t="str">
        <f t="shared" si="2"/>
        <v>INSERT INTO tblJobPlacement VALUES (seqJobPlacement.nextval, 419, '취업', '2025-03-06');</v>
      </c>
    </row>
    <row r="254">
      <c r="B254" s="1" t="s">
        <v>273</v>
      </c>
      <c r="C254" s="1">
        <v>420.0</v>
      </c>
      <c r="D254" s="1" t="s">
        <v>274</v>
      </c>
      <c r="E254" s="2" t="str">
        <f t="shared" si="14"/>
        <v>2023-09-13</v>
      </c>
      <c r="G254" s="2" t="str">
        <f t="shared" si="2"/>
        <v>INSERT INTO tblJobPlacement VALUES (seqJobPlacement.nextval, 420, '취업', '2023-09-13');</v>
      </c>
    </row>
    <row r="255">
      <c r="B255" s="1" t="s">
        <v>273</v>
      </c>
      <c r="C255" s="1">
        <v>421.0</v>
      </c>
      <c r="D255" s="1" t="s">
        <v>274</v>
      </c>
      <c r="E255" s="2" t="str">
        <f t="shared" si="14"/>
        <v>2023-02-03</v>
      </c>
      <c r="G255" s="2" t="str">
        <f t="shared" si="2"/>
        <v>INSERT INTO tblJobPlacement VALUES (seqJobPlacement.nextval, 421, '취업', '2023-02-03');</v>
      </c>
    </row>
    <row r="256">
      <c r="B256" s="1" t="s">
        <v>273</v>
      </c>
      <c r="C256" s="1">
        <v>422.0</v>
      </c>
      <c r="D256" s="1" t="s">
        <v>274</v>
      </c>
      <c r="E256" s="2" t="str">
        <f t="shared" si="14"/>
        <v>2023-08-07</v>
      </c>
      <c r="G256" s="2" t="str">
        <f t="shared" si="2"/>
        <v>INSERT INTO tblJobPlacement VALUES (seqJobPlacement.nextval, 422, '취업', '2023-08-07');</v>
      </c>
    </row>
    <row r="257">
      <c r="B257" s="1" t="s">
        <v>273</v>
      </c>
      <c r="C257" s="1">
        <v>423.0</v>
      </c>
      <c r="D257" s="1" t="s">
        <v>274</v>
      </c>
      <c r="E257" s="2" t="str">
        <f t="shared" si="14"/>
        <v>2025-07-01</v>
      </c>
      <c r="G257" s="2" t="str">
        <f t="shared" si="2"/>
        <v>INSERT INTO tblJobPlacement VALUES (seqJobPlacement.nextval, 423, '취업', '2025-07-01');</v>
      </c>
    </row>
    <row r="258">
      <c r="B258" s="1" t="s">
        <v>273</v>
      </c>
      <c r="C258" s="1">
        <v>424.0</v>
      </c>
      <c r="D258" s="1" t="s">
        <v>274</v>
      </c>
      <c r="E258" s="2" t="str">
        <f t="shared" si="14"/>
        <v>2024-02-19</v>
      </c>
      <c r="G258" s="2" t="str">
        <f t="shared" si="2"/>
        <v>INSERT INTO tblJobPlacement VALUES (seqJobPlacement.nextval, 424, '취업', '2024-02-19');</v>
      </c>
    </row>
    <row r="259">
      <c r="B259" s="1" t="s">
        <v>273</v>
      </c>
      <c r="C259" s="1">
        <v>425.0</v>
      </c>
      <c r="D259" s="1" t="s">
        <v>274</v>
      </c>
      <c r="E259" s="2" t="str">
        <f t="shared" si="14"/>
        <v>2023-10-08</v>
      </c>
      <c r="G259" s="2" t="str">
        <f t="shared" si="2"/>
        <v>INSERT INTO tblJobPlacement VALUES (seqJobPlacement.nextval, 425, '취업', '2023-10-08');</v>
      </c>
    </row>
    <row r="260">
      <c r="B260" s="1" t="s">
        <v>273</v>
      </c>
      <c r="C260" s="1">
        <v>426.0</v>
      </c>
      <c r="D260" s="1" t="s">
        <v>274</v>
      </c>
      <c r="E260" s="2" t="str">
        <f t="shared" si="14"/>
        <v>2024-05-14</v>
      </c>
      <c r="G260" s="2" t="str">
        <f t="shared" si="2"/>
        <v>INSERT INTO tblJobPlacement VALUES (seqJobPlacement.nextval, 426, '취업', '2024-05-14');</v>
      </c>
    </row>
    <row r="261">
      <c r="B261" s="1" t="s">
        <v>273</v>
      </c>
      <c r="C261" s="1">
        <v>427.0</v>
      </c>
      <c r="D261" s="1" t="s">
        <v>274</v>
      </c>
      <c r="E261" s="2" t="str">
        <f t="shared" si="14"/>
        <v>2024-09-02</v>
      </c>
      <c r="G261" s="2" t="str">
        <f t="shared" si="2"/>
        <v>INSERT INTO tblJobPlacement VALUES (seqJobPlacement.nextval, 427, '취업', '2024-09-02');</v>
      </c>
    </row>
    <row r="262">
      <c r="B262" s="1" t="s">
        <v>273</v>
      </c>
      <c r="C262" s="1">
        <v>428.0</v>
      </c>
      <c r="D262" s="1" t="s">
        <v>274</v>
      </c>
      <c r="E262" s="2" t="str">
        <f t="shared" si="14"/>
        <v>2023-05-15</v>
      </c>
      <c r="G262" s="2" t="str">
        <f t="shared" si="2"/>
        <v>INSERT INTO tblJobPlacement VALUES (seqJobPlacement.nextval, 428, '취업', '2023-05-15');</v>
      </c>
    </row>
    <row r="263">
      <c r="B263" s="1" t="s">
        <v>273</v>
      </c>
      <c r="C263" s="1">
        <v>429.0</v>
      </c>
      <c r="D263" s="1" t="s">
        <v>274</v>
      </c>
      <c r="E263" s="2" t="str">
        <f t="shared" si="14"/>
        <v>2025-03-04</v>
      </c>
      <c r="G263" s="2" t="str">
        <f t="shared" si="2"/>
        <v>INSERT INTO tblJobPlacement VALUES (seqJobPlacement.nextval, 429, '취업', '2025-03-04');</v>
      </c>
    </row>
    <row r="264">
      <c r="B264" s="1" t="s">
        <v>273</v>
      </c>
      <c r="C264" s="1">
        <v>430.0</v>
      </c>
      <c r="D264" s="1" t="s">
        <v>274</v>
      </c>
      <c r="E264" s="2" t="str">
        <f t="shared" si="14"/>
        <v>2024-10-19</v>
      </c>
      <c r="G264" s="2" t="str">
        <f t="shared" si="2"/>
        <v>INSERT INTO tblJobPlacement VALUES (seqJobPlacement.nextval, 430, '취업', '2024-10-19');</v>
      </c>
    </row>
    <row r="265">
      <c r="B265" s="1" t="s">
        <v>273</v>
      </c>
      <c r="C265" s="1">
        <v>431.0</v>
      </c>
      <c r="D265" s="1" t="s">
        <v>275</v>
      </c>
      <c r="G265" s="2" t="str">
        <f t="shared" si="2"/>
        <v>INSERT INTO tblJobPlacement VALUES (seqJobPlacement.nextval, 431, '미취업', '');</v>
      </c>
    </row>
    <row r="266">
      <c r="B266" s="1" t="s">
        <v>273</v>
      </c>
      <c r="C266" s="1">
        <v>432.0</v>
      </c>
      <c r="D266" s="1" t="s">
        <v>275</v>
      </c>
      <c r="G266" s="2" t="str">
        <f t="shared" si="2"/>
        <v>INSERT INTO tblJobPlacement VALUES (seqJobPlacement.nextval, 432, '미취업', '');</v>
      </c>
    </row>
    <row r="267">
      <c r="B267" s="1" t="s">
        <v>273</v>
      </c>
      <c r="C267" s="1">
        <v>433.0</v>
      </c>
      <c r="D267" s="1" t="s">
        <v>275</v>
      </c>
      <c r="G267" s="2" t="str">
        <f t="shared" si="2"/>
        <v>INSERT INTO tblJobPlacement VALUES (seqJobPlacement.nextval, 433, '미취업', '');</v>
      </c>
    </row>
    <row r="268">
      <c r="B268" s="1" t="s">
        <v>273</v>
      </c>
      <c r="C268" s="1">
        <v>434.0</v>
      </c>
      <c r="D268" s="1" t="s">
        <v>275</v>
      </c>
      <c r="G268" s="2" t="str">
        <f t="shared" si="2"/>
        <v>INSERT INTO tblJobPlacement VALUES (seqJobPlacement.nextval, 434, '미취업', '');</v>
      </c>
    </row>
    <row r="269">
      <c r="B269" s="1" t="s">
        <v>273</v>
      </c>
      <c r="C269" s="1">
        <v>435.0</v>
      </c>
      <c r="D269" s="1" t="s">
        <v>274</v>
      </c>
      <c r="E269" s="2" t="str">
        <f t="shared" ref="E269:E276" si="15">TEXT(RANDBETWEEN(DATE(2023,1,1),DATE(2025,8,4)),"yyyy-mm-dd")</f>
        <v>2025-05-05</v>
      </c>
      <c r="G269" s="2" t="str">
        <f t="shared" si="2"/>
        <v>INSERT INTO tblJobPlacement VALUES (seqJobPlacement.nextval, 435, '취업', '2025-05-05');</v>
      </c>
    </row>
    <row r="270">
      <c r="B270" s="1" t="s">
        <v>273</v>
      </c>
      <c r="C270" s="1">
        <v>436.0</v>
      </c>
      <c r="D270" s="1" t="s">
        <v>274</v>
      </c>
      <c r="E270" s="2" t="str">
        <f t="shared" si="15"/>
        <v>2024-09-15</v>
      </c>
      <c r="G270" s="2" t="str">
        <f t="shared" si="2"/>
        <v>INSERT INTO tblJobPlacement VALUES (seqJobPlacement.nextval, 436, '취업', '2024-09-15');</v>
      </c>
    </row>
    <row r="271">
      <c r="B271" s="1" t="s">
        <v>273</v>
      </c>
      <c r="C271" s="1">
        <v>437.0</v>
      </c>
      <c r="D271" s="1" t="s">
        <v>274</v>
      </c>
      <c r="E271" s="2" t="str">
        <f t="shared" si="15"/>
        <v>2023-02-25</v>
      </c>
      <c r="G271" s="2" t="str">
        <f t="shared" si="2"/>
        <v>INSERT INTO tblJobPlacement VALUES (seqJobPlacement.nextval, 437, '취업', '2023-02-25');</v>
      </c>
    </row>
    <row r="272">
      <c r="B272" s="1" t="s">
        <v>273</v>
      </c>
      <c r="C272" s="1">
        <v>438.0</v>
      </c>
      <c r="D272" s="1" t="s">
        <v>274</v>
      </c>
      <c r="E272" s="2" t="str">
        <f t="shared" si="15"/>
        <v>2024-04-19</v>
      </c>
      <c r="G272" s="2" t="str">
        <f t="shared" si="2"/>
        <v>INSERT INTO tblJobPlacement VALUES (seqJobPlacement.nextval, 438, '취업', '2024-04-19');</v>
      </c>
    </row>
    <row r="273">
      <c r="B273" s="1" t="s">
        <v>273</v>
      </c>
      <c r="C273" s="1">
        <v>439.0</v>
      </c>
      <c r="D273" s="1" t="s">
        <v>274</v>
      </c>
      <c r="E273" s="2" t="str">
        <f t="shared" si="15"/>
        <v>2023-10-04</v>
      </c>
      <c r="G273" s="2" t="str">
        <f t="shared" si="2"/>
        <v>INSERT INTO tblJobPlacement VALUES (seqJobPlacement.nextval, 439, '취업', '2023-10-04');</v>
      </c>
    </row>
    <row r="274">
      <c r="B274" s="1" t="s">
        <v>273</v>
      </c>
      <c r="C274" s="1">
        <v>440.0</v>
      </c>
      <c r="D274" s="1" t="s">
        <v>274</v>
      </c>
      <c r="E274" s="2" t="str">
        <f t="shared" si="15"/>
        <v>2023-11-19</v>
      </c>
      <c r="G274" s="2" t="str">
        <f t="shared" si="2"/>
        <v>INSERT INTO tblJobPlacement VALUES (seqJobPlacement.nextval, 440, '취업', '2023-11-19');</v>
      </c>
    </row>
    <row r="275">
      <c r="B275" s="1" t="s">
        <v>273</v>
      </c>
      <c r="C275" s="1">
        <v>441.0</v>
      </c>
      <c r="D275" s="1" t="s">
        <v>274</v>
      </c>
      <c r="E275" s="2" t="str">
        <f t="shared" si="15"/>
        <v>2025-02-28</v>
      </c>
      <c r="G275" s="2" t="str">
        <f t="shared" si="2"/>
        <v>INSERT INTO tblJobPlacement VALUES (seqJobPlacement.nextval, 441, '취업', '2025-02-28');</v>
      </c>
    </row>
    <row r="276">
      <c r="B276" s="1" t="s">
        <v>273</v>
      </c>
      <c r="C276" s="1">
        <v>442.0</v>
      </c>
      <c r="D276" s="1" t="s">
        <v>274</v>
      </c>
      <c r="E276" s="2" t="str">
        <f t="shared" si="15"/>
        <v>2024-04-27</v>
      </c>
      <c r="G276" s="2" t="str">
        <f t="shared" si="2"/>
        <v>INSERT INTO tblJobPlacement VALUES (seqJobPlacement.nextval, 442, '취업', '2024-04-27');</v>
      </c>
    </row>
    <row r="277">
      <c r="B277" s="1" t="s">
        <v>273</v>
      </c>
      <c r="C277" s="1">
        <v>443.0</v>
      </c>
      <c r="D277" s="1" t="s">
        <v>275</v>
      </c>
      <c r="G277" s="2" t="str">
        <f t="shared" si="2"/>
        <v>INSERT INTO tblJobPlacement VALUES (seqJobPlacement.nextval, 443, '미취업', '');</v>
      </c>
    </row>
    <row r="278">
      <c r="B278" s="1" t="s">
        <v>273</v>
      </c>
      <c r="C278" s="1">
        <v>444.0</v>
      </c>
      <c r="D278" s="1" t="s">
        <v>274</v>
      </c>
      <c r="E278" s="2" t="str">
        <f t="shared" ref="E278:E291" si="16">TEXT(RANDBETWEEN(DATE(2023,1,1),DATE(2025,8,4)),"yyyy-mm-dd")</f>
        <v>2023-07-14</v>
      </c>
      <c r="G278" s="2" t="str">
        <f t="shared" si="2"/>
        <v>INSERT INTO tblJobPlacement VALUES (seqJobPlacement.nextval, 444, '취업', '2023-07-14');</v>
      </c>
    </row>
    <row r="279">
      <c r="B279" s="1" t="s">
        <v>273</v>
      </c>
      <c r="C279" s="1">
        <v>445.0</v>
      </c>
      <c r="D279" s="1" t="s">
        <v>274</v>
      </c>
      <c r="E279" s="2" t="str">
        <f t="shared" si="16"/>
        <v>2023-11-12</v>
      </c>
      <c r="G279" s="2" t="str">
        <f t="shared" si="2"/>
        <v>INSERT INTO tblJobPlacement VALUES (seqJobPlacement.nextval, 445, '취업', '2023-11-12');</v>
      </c>
    </row>
    <row r="280">
      <c r="B280" s="1" t="s">
        <v>273</v>
      </c>
      <c r="C280" s="1">
        <v>446.0</v>
      </c>
      <c r="D280" s="1" t="s">
        <v>274</v>
      </c>
      <c r="E280" s="2" t="str">
        <f t="shared" si="16"/>
        <v>2023-12-11</v>
      </c>
      <c r="G280" s="2" t="str">
        <f t="shared" si="2"/>
        <v>INSERT INTO tblJobPlacement VALUES (seqJobPlacement.nextval, 446, '취업', '2023-12-11');</v>
      </c>
    </row>
    <row r="281">
      <c r="B281" s="1" t="s">
        <v>273</v>
      </c>
      <c r="C281" s="1">
        <v>447.0</v>
      </c>
      <c r="D281" s="1" t="s">
        <v>274</v>
      </c>
      <c r="E281" s="2" t="str">
        <f t="shared" si="16"/>
        <v>2024-12-25</v>
      </c>
      <c r="G281" s="2" t="str">
        <f t="shared" si="2"/>
        <v>INSERT INTO tblJobPlacement VALUES (seqJobPlacement.nextval, 447, '취업', '2024-12-25');</v>
      </c>
    </row>
    <row r="282">
      <c r="B282" s="1" t="s">
        <v>273</v>
      </c>
      <c r="C282" s="1">
        <v>448.0</v>
      </c>
      <c r="D282" s="1" t="s">
        <v>274</v>
      </c>
      <c r="E282" s="2" t="str">
        <f t="shared" si="16"/>
        <v>2023-11-04</v>
      </c>
      <c r="G282" s="2" t="str">
        <f t="shared" si="2"/>
        <v>INSERT INTO tblJobPlacement VALUES (seqJobPlacement.nextval, 448, '취업', '2023-11-04');</v>
      </c>
    </row>
    <row r="283">
      <c r="B283" s="1" t="s">
        <v>273</v>
      </c>
      <c r="C283" s="1">
        <v>449.0</v>
      </c>
      <c r="D283" s="1" t="s">
        <v>274</v>
      </c>
      <c r="E283" s="2" t="str">
        <f t="shared" si="16"/>
        <v>2024-03-08</v>
      </c>
      <c r="G283" s="2" t="str">
        <f t="shared" si="2"/>
        <v>INSERT INTO tblJobPlacement VALUES (seqJobPlacement.nextval, 449, '취업', '2024-03-08');</v>
      </c>
    </row>
    <row r="284">
      <c r="B284" s="1" t="s">
        <v>273</v>
      </c>
      <c r="C284" s="1">
        <v>450.0</v>
      </c>
      <c r="D284" s="1" t="s">
        <v>274</v>
      </c>
      <c r="E284" s="2" t="str">
        <f t="shared" si="16"/>
        <v>2025-04-13</v>
      </c>
      <c r="G284" s="2" t="str">
        <f t="shared" si="2"/>
        <v>INSERT INTO tblJobPlacement VALUES (seqJobPlacement.nextval, 450, '취업', '2025-04-13');</v>
      </c>
    </row>
    <row r="285">
      <c r="B285" s="1" t="s">
        <v>273</v>
      </c>
      <c r="C285" s="1">
        <v>451.0</v>
      </c>
      <c r="D285" s="1" t="s">
        <v>274</v>
      </c>
      <c r="E285" s="2" t="str">
        <f t="shared" si="16"/>
        <v>2023-10-11</v>
      </c>
      <c r="G285" s="2" t="str">
        <f t="shared" si="2"/>
        <v>INSERT INTO tblJobPlacement VALUES (seqJobPlacement.nextval, 451, '취업', '2023-10-11');</v>
      </c>
    </row>
    <row r="286">
      <c r="B286" s="1" t="s">
        <v>273</v>
      </c>
      <c r="C286" s="1">
        <v>452.0</v>
      </c>
      <c r="D286" s="1" t="s">
        <v>274</v>
      </c>
      <c r="E286" s="2" t="str">
        <f t="shared" si="16"/>
        <v>2023-03-27</v>
      </c>
      <c r="G286" s="2" t="str">
        <f t="shared" si="2"/>
        <v>INSERT INTO tblJobPlacement VALUES (seqJobPlacement.nextval, 452, '취업', '2023-03-27');</v>
      </c>
    </row>
    <row r="287">
      <c r="B287" s="1" t="s">
        <v>273</v>
      </c>
      <c r="C287" s="1">
        <v>453.0</v>
      </c>
      <c r="D287" s="1" t="s">
        <v>274</v>
      </c>
      <c r="E287" s="2" t="str">
        <f t="shared" si="16"/>
        <v>2024-09-26</v>
      </c>
      <c r="G287" s="2" t="str">
        <f t="shared" si="2"/>
        <v>INSERT INTO tblJobPlacement VALUES (seqJobPlacement.nextval, 453, '취업', '2024-09-26');</v>
      </c>
    </row>
    <row r="288">
      <c r="B288" s="1" t="s">
        <v>273</v>
      </c>
      <c r="C288" s="1">
        <v>454.0</v>
      </c>
      <c r="D288" s="1" t="s">
        <v>274</v>
      </c>
      <c r="E288" s="2" t="str">
        <f t="shared" si="16"/>
        <v>2024-08-21</v>
      </c>
      <c r="G288" s="2" t="str">
        <f t="shared" si="2"/>
        <v>INSERT INTO tblJobPlacement VALUES (seqJobPlacement.nextval, 454, '취업', '2024-08-21');</v>
      </c>
    </row>
    <row r="289">
      <c r="B289" s="1" t="s">
        <v>273</v>
      </c>
      <c r="C289" s="1">
        <v>455.0</v>
      </c>
      <c r="D289" s="1" t="s">
        <v>274</v>
      </c>
      <c r="E289" s="2" t="str">
        <f t="shared" si="16"/>
        <v>2025-03-29</v>
      </c>
      <c r="G289" s="2" t="str">
        <f t="shared" si="2"/>
        <v>INSERT INTO tblJobPlacement VALUES (seqJobPlacement.nextval, 455, '취업', '2025-03-29');</v>
      </c>
    </row>
    <row r="290">
      <c r="B290" s="1" t="s">
        <v>273</v>
      </c>
      <c r="C290" s="1">
        <v>456.0</v>
      </c>
      <c r="D290" s="1" t="s">
        <v>274</v>
      </c>
      <c r="E290" s="2" t="str">
        <f t="shared" si="16"/>
        <v>2024-10-22</v>
      </c>
      <c r="G290" s="2" t="str">
        <f t="shared" si="2"/>
        <v>INSERT INTO tblJobPlacement VALUES (seqJobPlacement.nextval, 456, '취업', '2024-10-22');</v>
      </c>
    </row>
    <row r="291">
      <c r="B291" s="1" t="s">
        <v>273</v>
      </c>
      <c r="C291" s="1">
        <v>457.0</v>
      </c>
      <c r="D291" s="1" t="s">
        <v>274</v>
      </c>
      <c r="E291" s="2" t="str">
        <f t="shared" si="16"/>
        <v>2023-12-04</v>
      </c>
      <c r="G291" s="2" t="str">
        <f t="shared" si="2"/>
        <v>INSERT INTO tblJobPlacement VALUES (seqJobPlacement.nextval, 457, '취업', '2023-12-04');</v>
      </c>
    </row>
    <row r="292">
      <c r="B292" s="1" t="s">
        <v>273</v>
      </c>
      <c r="C292" s="1">
        <v>458.0</v>
      </c>
      <c r="D292" s="1" t="s">
        <v>275</v>
      </c>
      <c r="G292" s="2" t="str">
        <f t="shared" si="2"/>
        <v>INSERT INTO tblJobPlacement VALUES (seqJobPlacement.nextval, 458, '미취업', '');</v>
      </c>
    </row>
    <row r="293">
      <c r="B293" s="1" t="s">
        <v>273</v>
      </c>
      <c r="C293" s="1">
        <v>459.0</v>
      </c>
      <c r="D293" s="1" t="s">
        <v>275</v>
      </c>
      <c r="G293" s="2" t="str">
        <f t="shared" si="2"/>
        <v>INSERT INTO tblJobPlacement VALUES (seqJobPlacement.nextval, 459, '미취업', '');</v>
      </c>
    </row>
    <row r="294">
      <c r="B294" s="1" t="s">
        <v>273</v>
      </c>
      <c r="C294" s="1">
        <v>460.0</v>
      </c>
      <c r="D294" s="1" t="s">
        <v>274</v>
      </c>
      <c r="E294" s="2" t="str">
        <f t="shared" ref="E294:E299" si="17">TEXT(RANDBETWEEN(DATE(2023,1,1),DATE(2025,8,4)),"yyyy-mm-dd")</f>
        <v>2023-04-01</v>
      </c>
      <c r="G294" s="2" t="str">
        <f t="shared" si="2"/>
        <v>INSERT INTO tblJobPlacement VALUES (seqJobPlacement.nextval, 460, '취업', '2023-04-01');</v>
      </c>
    </row>
    <row r="295">
      <c r="B295" s="1" t="s">
        <v>273</v>
      </c>
      <c r="C295" s="1">
        <v>461.0</v>
      </c>
      <c r="D295" s="1" t="s">
        <v>274</v>
      </c>
      <c r="E295" s="2" t="str">
        <f t="shared" si="17"/>
        <v>2023-04-27</v>
      </c>
      <c r="G295" s="2" t="str">
        <f t="shared" si="2"/>
        <v>INSERT INTO tblJobPlacement VALUES (seqJobPlacement.nextval, 461, '취업', '2023-04-27');</v>
      </c>
    </row>
    <row r="296">
      <c r="B296" s="1" t="s">
        <v>273</v>
      </c>
      <c r="C296" s="1">
        <v>462.0</v>
      </c>
      <c r="D296" s="1" t="s">
        <v>274</v>
      </c>
      <c r="E296" s="2" t="str">
        <f t="shared" si="17"/>
        <v>2023-08-30</v>
      </c>
      <c r="G296" s="2" t="str">
        <f t="shared" si="2"/>
        <v>INSERT INTO tblJobPlacement VALUES (seqJobPlacement.nextval, 462, '취업', '2023-08-30');</v>
      </c>
    </row>
    <row r="297">
      <c r="B297" s="1" t="s">
        <v>273</v>
      </c>
      <c r="C297" s="1">
        <v>463.0</v>
      </c>
      <c r="D297" s="1" t="s">
        <v>274</v>
      </c>
      <c r="E297" s="2" t="str">
        <f t="shared" si="17"/>
        <v>2023-07-19</v>
      </c>
      <c r="G297" s="2" t="str">
        <f t="shared" si="2"/>
        <v>INSERT INTO tblJobPlacement VALUES (seqJobPlacement.nextval, 463, '취업', '2023-07-19');</v>
      </c>
    </row>
    <row r="298">
      <c r="B298" s="1" t="s">
        <v>273</v>
      </c>
      <c r="C298" s="1">
        <v>464.0</v>
      </c>
      <c r="D298" s="1" t="s">
        <v>274</v>
      </c>
      <c r="E298" s="2" t="str">
        <f t="shared" si="17"/>
        <v>2023-04-25</v>
      </c>
      <c r="G298" s="2" t="str">
        <f t="shared" si="2"/>
        <v>INSERT INTO tblJobPlacement VALUES (seqJobPlacement.nextval, 464, '취업', '2023-04-25');</v>
      </c>
    </row>
    <row r="299">
      <c r="B299" s="1" t="s">
        <v>273</v>
      </c>
      <c r="C299" s="1">
        <v>465.0</v>
      </c>
      <c r="D299" s="1" t="s">
        <v>274</v>
      </c>
      <c r="E299" s="2" t="str">
        <f t="shared" si="17"/>
        <v>2024-02-02</v>
      </c>
      <c r="G299" s="2" t="str">
        <f t="shared" si="2"/>
        <v>INSERT INTO tblJobPlacement VALUES (seqJobPlacement.nextval, 465, '취업', '2024-02-02');</v>
      </c>
    </row>
    <row r="300">
      <c r="B300" s="1" t="s">
        <v>273</v>
      </c>
      <c r="C300" s="1">
        <v>466.0</v>
      </c>
      <c r="D300" s="1" t="s">
        <v>275</v>
      </c>
      <c r="G300" s="2" t="str">
        <f t="shared" si="2"/>
        <v>INSERT INTO tblJobPlacement VALUES (seqJobPlacement.nextval, 466, '미취업', '');</v>
      </c>
    </row>
    <row r="301">
      <c r="B301" s="1" t="s">
        <v>273</v>
      </c>
      <c r="C301" s="1">
        <v>467.0</v>
      </c>
      <c r="D301" s="1" t="s">
        <v>275</v>
      </c>
      <c r="G301" s="2" t="str">
        <f t="shared" si="2"/>
        <v>INSERT INTO tblJobPlacement VALUES (seqJobPlacement.nextval, 467, '미취업', '');</v>
      </c>
    </row>
    <row r="302">
      <c r="B302" s="1" t="s">
        <v>273</v>
      </c>
      <c r="C302" s="1">
        <v>468.0</v>
      </c>
      <c r="D302" s="1" t="s">
        <v>275</v>
      </c>
      <c r="G302" s="2" t="str">
        <f t="shared" si="2"/>
        <v>INSERT INTO tblJobPlacement VALUES (seqJobPlacement.nextval, 468, '미취업', '');</v>
      </c>
    </row>
    <row r="303">
      <c r="B303" s="1" t="s">
        <v>273</v>
      </c>
      <c r="C303" s="1">
        <v>469.0</v>
      </c>
      <c r="D303" s="1" t="s">
        <v>274</v>
      </c>
      <c r="E303" s="2" t="str">
        <f t="shared" ref="E303:E309" si="18">TEXT(RANDBETWEEN(DATE(2023,1,1),DATE(2025,8,4)),"yyyy-mm-dd")</f>
        <v>2024-12-04</v>
      </c>
      <c r="G303" s="2" t="str">
        <f t="shared" si="2"/>
        <v>INSERT INTO tblJobPlacement VALUES (seqJobPlacement.nextval, 469, '취업', '2024-12-04');</v>
      </c>
    </row>
    <row r="304">
      <c r="B304" s="1" t="s">
        <v>273</v>
      </c>
      <c r="C304" s="1">
        <v>470.0</v>
      </c>
      <c r="D304" s="1" t="s">
        <v>274</v>
      </c>
      <c r="E304" s="2" t="str">
        <f t="shared" si="18"/>
        <v>2025-05-13</v>
      </c>
      <c r="G304" s="2" t="str">
        <f t="shared" si="2"/>
        <v>INSERT INTO tblJobPlacement VALUES (seqJobPlacement.nextval, 470, '취업', '2025-05-13');</v>
      </c>
    </row>
    <row r="305">
      <c r="B305" s="1" t="s">
        <v>273</v>
      </c>
      <c r="C305" s="1">
        <v>471.0</v>
      </c>
      <c r="D305" s="1" t="s">
        <v>274</v>
      </c>
      <c r="E305" s="2" t="str">
        <f t="shared" si="18"/>
        <v>2024-10-12</v>
      </c>
      <c r="G305" s="2" t="str">
        <f t="shared" si="2"/>
        <v>INSERT INTO tblJobPlacement VALUES (seqJobPlacement.nextval, 471, '취업', '2024-10-12');</v>
      </c>
    </row>
    <row r="306">
      <c r="B306" s="1" t="s">
        <v>273</v>
      </c>
      <c r="C306" s="1">
        <v>472.0</v>
      </c>
      <c r="D306" s="1" t="s">
        <v>274</v>
      </c>
      <c r="E306" s="2" t="str">
        <f t="shared" si="18"/>
        <v>2023-07-17</v>
      </c>
      <c r="G306" s="2" t="str">
        <f t="shared" si="2"/>
        <v>INSERT INTO tblJobPlacement VALUES (seqJobPlacement.nextval, 472, '취업', '2023-07-17');</v>
      </c>
    </row>
    <row r="307">
      <c r="B307" s="1" t="s">
        <v>273</v>
      </c>
      <c r="C307" s="1">
        <v>473.0</v>
      </c>
      <c r="D307" s="1" t="s">
        <v>274</v>
      </c>
      <c r="E307" s="2" t="str">
        <f t="shared" si="18"/>
        <v>2023-05-11</v>
      </c>
      <c r="G307" s="2" t="str">
        <f t="shared" si="2"/>
        <v>INSERT INTO tblJobPlacement VALUES (seqJobPlacement.nextval, 473, '취업', '2023-05-11');</v>
      </c>
    </row>
    <row r="308">
      <c r="B308" s="1" t="s">
        <v>273</v>
      </c>
      <c r="C308" s="1">
        <v>474.0</v>
      </c>
      <c r="D308" s="1" t="s">
        <v>274</v>
      </c>
      <c r="E308" s="2" t="str">
        <f t="shared" si="18"/>
        <v>2023-06-10</v>
      </c>
      <c r="G308" s="2" t="str">
        <f t="shared" si="2"/>
        <v>INSERT INTO tblJobPlacement VALUES (seqJobPlacement.nextval, 474, '취업', '2023-06-10');</v>
      </c>
    </row>
    <row r="309">
      <c r="B309" s="1" t="s">
        <v>273</v>
      </c>
      <c r="C309" s="1">
        <v>475.0</v>
      </c>
      <c r="D309" s="1" t="s">
        <v>274</v>
      </c>
      <c r="E309" s="2" t="str">
        <f t="shared" si="18"/>
        <v>2025-05-04</v>
      </c>
      <c r="G309" s="2" t="str">
        <f t="shared" si="2"/>
        <v>INSERT INTO tblJobPlacement VALUES (seqJobPlacement.nextval, 475, '취업', '2025-05-04');</v>
      </c>
    </row>
    <row r="310">
      <c r="B310" s="1" t="s">
        <v>273</v>
      </c>
      <c r="C310" s="1">
        <v>476.0</v>
      </c>
      <c r="D310" s="1" t="s">
        <v>275</v>
      </c>
      <c r="G310" s="2" t="str">
        <f t="shared" si="2"/>
        <v>INSERT INTO tblJobPlacement VALUES (seqJobPlacement.nextval, 476, '미취업', '');</v>
      </c>
    </row>
    <row r="311">
      <c r="B311" s="1" t="s">
        <v>273</v>
      </c>
      <c r="C311" s="1">
        <v>477.0</v>
      </c>
      <c r="D311" s="1" t="s">
        <v>275</v>
      </c>
      <c r="G311" s="2" t="str">
        <f t="shared" si="2"/>
        <v>INSERT INTO tblJobPlacement VALUES (seqJobPlacement.nextval, 477, '미취업', '');</v>
      </c>
    </row>
    <row r="312">
      <c r="B312" s="1" t="s">
        <v>273</v>
      </c>
      <c r="C312" s="1">
        <v>478.0</v>
      </c>
      <c r="D312" s="1" t="s">
        <v>274</v>
      </c>
      <c r="E312" s="2" t="str">
        <f t="shared" ref="E312:E316" si="19">TEXT(RANDBETWEEN(DATE(2023,1,1),DATE(2025,8,4)),"yyyy-mm-dd")</f>
        <v>2024-03-17</v>
      </c>
      <c r="G312" s="2" t="str">
        <f t="shared" si="2"/>
        <v>INSERT INTO tblJobPlacement VALUES (seqJobPlacement.nextval, 478, '취업', '2024-03-17');</v>
      </c>
    </row>
    <row r="313">
      <c r="B313" s="1" t="s">
        <v>273</v>
      </c>
      <c r="C313" s="1">
        <v>479.0</v>
      </c>
      <c r="D313" s="1" t="s">
        <v>274</v>
      </c>
      <c r="E313" s="2" t="str">
        <f t="shared" si="19"/>
        <v>2024-07-06</v>
      </c>
      <c r="G313" s="2" t="str">
        <f t="shared" si="2"/>
        <v>INSERT INTO tblJobPlacement VALUES (seqJobPlacement.nextval, 479, '취업', '2024-07-06');</v>
      </c>
    </row>
    <row r="314">
      <c r="B314" s="1" t="s">
        <v>273</v>
      </c>
      <c r="C314" s="1">
        <v>480.0</v>
      </c>
      <c r="D314" s="1" t="s">
        <v>274</v>
      </c>
      <c r="E314" s="2" t="str">
        <f t="shared" si="19"/>
        <v>2023-08-20</v>
      </c>
      <c r="G314" s="2" t="str">
        <f t="shared" si="2"/>
        <v>INSERT INTO tblJobPlacement VALUES (seqJobPlacement.nextval, 480, '취업', '2023-08-20');</v>
      </c>
    </row>
    <row r="315">
      <c r="B315" s="1" t="s">
        <v>273</v>
      </c>
      <c r="C315" s="1">
        <v>481.0</v>
      </c>
      <c r="D315" s="1" t="s">
        <v>274</v>
      </c>
      <c r="E315" s="2" t="str">
        <f t="shared" si="19"/>
        <v>2024-01-23</v>
      </c>
      <c r="G315" s="2" t="str">
        <f t="shared" si="2"/>
        <v>INSERT INTO tblJobPlacement VALUES (seqJobPlacement.nextval, 481, '취업', '2024-01-23');</v>
      </c>
    </row>
    <row r="316">
      <c r="B316" s="1" t="s">
        <v>273</v>
      </c>
      <c r="C316" s="1">
        <v>482.0</v>
      </c>
      <c r="D316" s="1" t="s">
        <v>274</v>
      </c>
      <c r="E316" s="2" t="str">
        <f t="shared" si="19"/>
        <v>2024-05-27</v>
      </c>
      <c r="G316" s="2" t="str">
        <f t="shared" si="2"/>
        <v>INSERT INTO tblJobPlacement VALUES (seqJobPlacement.nextval, 482, '취업', '2024-05-27');</v>
      </c>
    </row>
    <row r="317">
      <c r="B317" s="1" t="s">
        <v>273</v>
      </c>
      <c r="C317" s="1">
        <v>483.0</v>
      </c>
      <c r="D317" s="1" t="s">
        <v>275</v>
      </c>
      <c r="G317" s="2" t="str">
        <f t="shared" si="2"/>
        <v>INSERT INTO tblJobPlacement VALUES (seqJobPlacement.nextval, 483, '미취업', '');</v>
      </c>
    </row>
    <row r="318">
      <c r="B318" s="1" t="s">
        <v>273</v>
      </c>
      <c r="C318" s="1">
        <v>484.0</v>
      </c>
      <c r="D318" s="1" t="s">
        <v>275</v>
      </c>
      <c r="G318" s="2" t="str">
        <f t="shared" si="2"/>
        <v>INSERT INTO tblJobPlacement VALUES (seqJobPlacement.nextval, 484, '미취업', '');</v>
      </c>
    </row>
    <row r="319">
      <c r="B319" s="1" t="s">
        <v>273</v>
      </c>
      <c r="C319" s="1">
        <v>485.0</v>
      </c>
      <c r="D319" s="1" t="s">
        <v>275</v>
      </c>
      <c r="G319" s="2" t="str">
        <f t="shared" si="2"/>
        <v>INSERT INTO tblJobPlacement VALUES (seqJobPlacement.nextval, 485, '미취업', '');</v>
      </c>
    </row>
    <row r="320">
      <c r="B320" s="1" t="s">
        <v>273</v>
      </c>
      <c r="C320" s="1">
        <v>486.0</v>
      </c>
      <c r="D320" s="1" t="s">
        <v>275</v>
      </c>
      <c r="G320" s="2" t="str">
        <f t="shared" si="2"/>
        <v>INSERT INTO tblJobPlacement VALUES (seqJobPlacement.nextval, 486, '미취업', '');</v>
      </c>
    </row>
    <row r="321">
      <c r="B321" s="1" t="s">
        <v>273</v>
      </c>
      <c r="C321" s="1">
        <v>487.0</v>
      </c>
      <c r="D321" s="1" t="s">
        <v>274</v>
      </c>
      <c r="E321" s="2" t="str">
        <f>TEXT(RANDBETWEEN(DATE(2023,1,1),DATE(2025,8,4)),"yyyy-mm-dd")</f>
        <v>2023-08-03</v>
      </c>
      <c r="G321" s="2" t="str">
        <f t="shared" si="2"/>
        <v>INSERT INTO tblJobPlacement VALUES (seqJobPlacement.nextval, 487, '취업', '2023-08-03');</v>
      </c>
    </row>
    <row r="322">
      <c r="B322" s="1" t="s">
        <v>273</v>
      </c>
      <c r="C322" s="1">
        <v>488.0</v>
      </c>
      <c r="D322" s="1" t="s">
        <v>275</v>
      </c>
      <c r="G322" s="2" t="str">
        <f t="shared" si="2"/>
        <v>INSERT INTO tblJobPlacement VALUES (seqJobPlacement.nextval, 488, '미취업', '');</v>
      </c>
    </row>
    <row r="323">
      <c r="B323" s="1" t="s">
        <v>273</v>
      </c>
      <c r="C323" s="1">
        <v>489.0</v>
      </c>
      <c r="D323" s="1" t="s">
        <v>275</v>
      </c>
      <c r="G323" s="2" t="str">
        <f t="shared" si="2"/>
        <v>INSERT INTO tblJobPlacement VALUES (seqJobPlacement.nextval, 489, '미취업', '');</v>
      </c>
    </row>
    <row r="324">
      <c r="B324" s="1" t="s">
        <v>273</v>
      </c>
      <c r="C324" s="1">
        <v>490.0</v>
      </c>
      <c r="D324" s="1" t="s">
        <v>275</v>
      </c>
      <c r="G324" s="2" t="str">
        <f t="shared" si="2"/>
        <v>INSERT INTO tblJobPlacement VALUES (seqJobPlacement.nextval, 490, '미취업', '');</v>
      </c>
    </row>
    <row r="325">
      <c r="B325" s="1" t="s">
        <v>273</v>
      </c>
      <c r="C325" s="1">
        <v>491.0</v>
      </c>
      <c r="D325" s="1" t="s">
        <v>275</v>
      </c>
      <c r="G325" s="2" t="str">
        <f t="shared" si="2"/>
        <v>INSERT INTO tblJobPlacement VALUES (seqJobPlacement.nextval, 491, '미취업', '');</v>
      </c>
    </row>
  </sheetData>
  <mergeCells count="1">
    <mergeCell ref="B3:F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3">
      <c r="B3" s="38" t="s">
        <v>276</v>
      </c>
    </row>
    <row r="5">
      <c r="B5" s="1" t="s">
        <v>277</v>
      </c>
      <c r="C5" s="1" t="s">
        <v>278</v>
      </c>
      <c r="D5" s="1" t="s">
        <v>279</v>
      </c>
    </row>
    <row r="6">
      <c r="B6" s="1">
        <v>0.2</v>
      </c>
      <c r="C6" s="1">
        <v>0.4</v>
      </c>
      <c r="D6" s="1">
        <v>0.4</v>
      </c>
    </row>
  </sheetData>
  <mergeCells count="1">
    <mergeCell ref="B3:F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96.38"/>
  </cols>
  <sheetData>
    <row r="3">
      <c r="B3" s="38" t="s">
        <v>127</v>
      </c>
    </row>
    <row r="5">
      <c r="B5" s="36" t="s">
        <v>280</v>
      </c>
      <c r="C5" s="36" t="s">
        <v>281</v>
      </c>
      <c r="D5" s="36" t="s">
        <v>282</v>
      </c>
    </row>
    <row r="6">
      <c r="A6" s="1">
        <v>1.0</v>
      </c>
      <c r="B6" s="1" t="s">
        <v>283</v>
      </c>
      <c r="C6" s="39" t="s">
        <v>284</v>
      </c>
      <c r="D6" s="2">
        <f t="shared" ref="D6:D1005" si="1">RANDBETWEEN(1,5)</f>
        <v>2</v>
      </c>
      <c r="F6" s="1" t="str">
        <f t="shared" ref="F6:F1005" si="2">"INSERT INTO tblQuestionBank VALUES (" &amp; B6 &amp; ", q'[" &amp; C6 &amp; "]', " &amp; D6 &amp; ");"</f>
        <v>INSERT INTO tblQuestionBank VALUES (seqQuestionBank.nextval, q'[변수의 스코프(scope)란 무엇인가에 대한 설명으로 올바른 것을 고르시오.]', 2);</v>
      </c>
    </row>
    <row r="7">
      <c r="A7" s="1">
        <v>2.0</v>
      </c>
      <c r="B7" s="1" t="s">
        <v>283</v>
      </c>
      <c r="C7" s="39" t="s">
        <v>285</v>
      </c>
      <c r="D7" s="2">
        <f t="shared" si="1"/>
        <v>3</v>
      </c>
      <c r="F7" s="1" t="str">
        <f t="shared" si="2"/>
        <v>INSERT INTO tblQuestionBank VALUES (seqQuestionBank.nextval, q'[재귀 함수와 반복문 중 메모리 사용량이 더 많은 것은 무엇인가?]', 3);</v>
      </c>
    </row>
    <row r="8">
      <c r="A8" s="1">
        <v>3.0</v>
      </c>
      <c r="B8" s="1" t="s">
        <v>283</v>
      </c>
      <c r="C8" s="39" t="s">
        <v>286</v>
      </c>
      <c r="D8" s="2">
        <f t="shared" si="1"/>
        <v>3</v>
      </c>
      <c r="F8" s="1" t="str">
        <f t="shared" si="2"/>
        <v>INSERT INTO tblQuestionBank VALUES (seqQuestionBank.nextval, q'[HTML에서 'a' 태그의 주요 기능은 무엇인가?]', 3);</v>
      </c>
    </row>
    <row r="9">
      <c r="A9" s="1">
        <v>4.0</v>
      </c>
      <c r="B9" s="1" t="s">
        <v>283</v>
      </c>
      <c r="C9" s="39" t="s">
        <v>287</v>
      </c>
      <c r="D9" s="2">
        <f t="shared" si="1"/>
        <v>1</v>
      </c>
      <c r="F9" s="1" t="str">
        <f t="shared" si="2"/>
        <v>INSERT INTO tblQuestionBank VALUES (seqQuestionBank.nextval, q'[Java에서 클래스와 객체의 차이점은 무엇인가?]', 1);</v>
      </c>
    </row>
    <row r="10">
      <c r="A10" s="1">
        <v>5.0</v>
      </c>
      <c r="B10" s="1" t="s">
        <v>283</v>
      </c>
      <c r="C10" s="39" t="s">
        <v>288</v>
      </c>
      <c r="D10" s="2">
        <f t="shared" si="1"/>
        <v>4</v>
      </c>
      <c r="F10" s="1" t="str">
        <f t="shared" si="2"/>
        <v>INSERT INTO tblQuestionBank VALUES (seqQuestionBank.nextval, q'[Python의 리스트와 튜플의 차이점은 무엇인가?]', 4);</v>
      </c>
    </row>
    <row r="11">
      <c r="A11" s="1">
        <v>6.0</v>
      </c>
      <c r="B11" s="1" t="s">
        <v>283</v>
      </c>
      <c r="C11" s="39" t="s">
        <v>289</v>
      </c>
      <c r="D11" s="2">
        <f t="shared" si="1"/>
        <v>5</v>
      </c>
      <c r="F11" s="1" t="str">
        <f t="shared" si="2"/>
        <v>INSERT INTO tblQuestionBank VALUES (seqQuestionBank.nextval, q'[C언어에서 포인터를 사용하는 주된 이유는 무엇인가?]', 5);</v>
      </c>
    </row>
    <row r="12">
      <c r="A12" s="1">
        <v>7.0</v>
      </c>
      <c r="B12" s="1" t="s">
        <v>283</v>
      </c>
      <c r="C12" s="39" t="s">
        <v>290</v>
      </c>
      <c r="D12" s="2">
        <f t="shared" si="1"/>
        <v>4</v>
      </c>
      <c r="F12" s="1" t="str">
        <f t="shared" si="2"/>
        <v>INSERT INTO tblQuestionBank VALUES (seqQuestionBank.nextval, q'[컴파일러와 인터프리터의 차이점은 무엇인가?]', 4);</v>
      </c>
    </row>
    <row r="13">
      <c r="A13" s="1">
        <v>8.0</v>
      </c>
      <c r="B13" s="1" t="s">
        <v>283</v>
      </c>
      <c r="C13" s="39" t="s">
        <v>291</v>
      </c>
      <c r="D13" s="2">
        <f t="shared" si="1"/>
        <v>5</v>
      </c>
      <c r="F13" s="1" t="str">
        <f t="shared" si="2"/>
        <v>INSERT INTO tblQuestionBank VALUES (seqQuestionBank.nextval, q'[JavaScript에서 클로저(closure)의 정의는 무엇인가?]', 5);</v>
      </c>
    </row>
    <row r="14">
      <c r="A14" s="1">
        <v>9.0</v>
      </c>
      <c r="B14" s="1" t="s">
        <v>283</v>
      </c>
      <c r="C14" s="39" t="s">
        <v>292</v>
      </c>
      <c r="D14" s="2">
        <f t="shared" si="1"/>
        <v>5</v>
      </c>
      <c r="F14" s="1" t="str">
        <f t="shared" si="2"/>
        <v>INSERT INTO tblQuestionBank VALUES (seqQuestionBank.nextval, q'[객체 지향 프로그래밍의 4대 특징 중 하나가 아닌 것은 무엇인가?]', 5);</v>
      </c>
    </row>
    <row r="15">
      <c r="A15" s="1">
        <v>10.0</v>
      </c>
      <c r="B15" s="1" t="s">
        <v>283</v>
      </c>
      <c r="C15" s="39" t="s">
        <v>293</v>
      </c>
      <c r="D15" s="2">
        <f t="shared" si="1"/>
        <v>2</v>
      </c>
      <c r="F15" s="1" t="str">
        <f t="shared" si="2"/>
        <v>INSERT INTO tblQuestionBank VALUES (seqQuestionBank.nextval, q'[SQL에서 'JOIN'의 기능은 무엇인가?]', 2);</v>
      </c>
    </row>
    <row r="16">
      <c r="A16" s="1">
        <v>11.0</v>
      </c>
      <c r="B16" s="1" t="s">
        <v>283</v>
      </c>
      <c r="C16" s="39" t="s">
        <v>294</v>
      </c>
      <c r="D16" s="2">
        <f t="shared" si="1"/>
        <v>1</v>
      </c>
      <c r="F16" s="1" t="str">
        <f t="shared" si="2"/>
        <v>INSERT INTO tblQuestionBank VALUES (seqQuestionBank.nextval, q'[Python에서 'with open()' 구문의 주요 목적은 무엇인가?]', 1);</v>
      </c>
    </row>
    <row r="17">
      <c r="A17" s="1">
        <v>12.0</v>
      </c>
      <c r="B17" s="1" t="s">
        <v>283</v>
      </c>
      <c r="C17" s="39" t="s">
        <v>295</v>
      </c>
      <c r="D17" s="2">
        <f t="shared" si="1"/>
        <v>4</v>
      </c>
      <c r="F17" s="1" t="str">
        <f t="shared" si="2"/>
        <v>INSERT INTO tblQuestionBank VALUES (seqQuestionBank.nextval, q'[데이터베이스에서 정규화의 목적은 무엇인가?]', 4);</v>
      </c>
    </row>
    <row r="18">
      <c r="A18" s="1">
        <v>13.0</v>
      </c>
      <c r="B18" s="1" t="s">
        <v>283</v>
      </c>
      <c r="C18" s="39" t="s">
        <v>296</v>
      </c>
      <c r="D18" s="2">
        <f t="shared" si="1"/>
        <v>2</v>
      </c>
      <c r="F18" s="1" t="str">
        <f t="shared" si="2"/>
        <v>INSERT INTO tblQuestionBank VALUES (seqQuestionBank.nextval, q'[CSS에서 'flexbox'의 주요 사용 목적은 무엇인가?]', 2);</v>
      </c>
    </row>
    <row r="19">
      <c r="A19" s="1">
        <v>14.0</v>
      </c>
      <c r="B19" s="1" t="s">
        <v>283</v>
      </c>
      <c r="C19" s="39" t="s">
        <v>297</v>
      </c>
      <c r="D19" s="2">
        <f t="shared" si="1"/>
        <v>2</v>
      </c>
      <c r="F19" s="1" t="str">
        <f t="shared" si="2"/>
        <v>INSERT INTO tblQuestionBank VALUES (seqQuestionBank.nextval, q'[Git에서 'merge'와 'rebase'의 차이점은 무엇인가?]', 2);</v>
      </c>
    </row>
    <row r="20">
      <c r="A20" s="1">
        <v>15.0</v>
      </c>
      <c r="B20" s="1" t="s">
        <v>283</v>
      </c>
      <c r="C20" s="39" t="s">
        <v>298</v>
      </c>
      <c r="D20" s="2">
        <f t="shared" si="1"/>
        <v>2</v>
      </c>
      <c r="F20" s="1" t="str">
        <f t="shared" si="2"/>
        <v>INSERT INTO tblQuestionBank VALUES (seqQuestionBank.nextval, q'[C++에서 참조자(reference)와 포인터(pointer)의 차이는 무엇인가?]', 2);</v>
      </c>
    </row>
    <row r="21">
      <c r="A21" s="1">
        <v>16.0</v>
      </c>
      <c r="B21" s="1" t="s">
        <v>283</v>
      </c>
      <c r="C21" s="39" t="s">
        <v>299</v>
      </c>
      <c r="D21" s="2">
        <f t="shared" si="1"/>
        <v>2</v>
      </c>
      <c r="F21" s="1" t="str">
        <f t="shared" si="2"/>
        <v>INSERT INTO tblQuestionBank VALUES (seqQuestionBank.nextval, q'[네트워크에서 TCP와 UDP의 차이점은 무엇인가?]', 2);</v>
      </c>
    </row>
    <row r="22">
      <c r="A22" s="1">
        <v>17.0</v>
      </c>
      <c r="B22" s="1" t="s">
        <v>283</v>
      </c>
      <c r="C22" s="39" t="s">
        <v>300</v>
      </c>
      <c r="D22" s="2">
        <f t="shared" si="1"/>
        <v>2</v>
      </c>
      <c r="F22" s="1" t="str">
        <f t="shared" si="2"/>
        <v>INSERT INTO tblQuestionBank VALUES (seqQuestionBank.nextval, q'[Python에서 제너레이터(generator)의 특징은 무엇인가?]', 2);</v>
      </c>
    </row>
    <row r="23">
      <c r="A23" s="1">
        <v>18.0</v>
      </c>
      <c r="B23" s="1" t="s">
        <v>283</v>
      </c>
      <c r="C23" s="39" t="s">
        <v>301</v>
      </c>
      <c r="D23" s="2">
        <f t="shared" si="1"/>
        <v>3</v>
      </c>
      <c r="F23" s="1" t="str">
        <f t="shared" si="2"/>
        <v>INSERT INTO tblQuestionBank VALUES (seqQuestionBank.nextval, q'[REST API의 주요 원칙 중 하나가 아닌 것은 무엇인가?]', 3);</v>
      </c>
    </row>
    <row r="24">
      <c r="A24" s="1">
        <v>19.0</v>
      </c>
      <c r="B24" s="1" t="s">
        <v>283</v>
      </c>
      <c r="C24" s="39" t="s">
        <v>302</v>
      </c>
      <c r="D24" s="2">
        <f t="shared" si="1"/>
        <v>4</v>
      </c>
      <c r="F24" s="1" t="str">
        <f t="shared" si="2"/>
        <v>INSERT INTO tblQuestionBank VALUES (seqQuestionBank.nextval, q'[Java에서 예외(Exception) 처리 방법으로 올바른 것을 고르시오.]', 4);</v>
      </c>
    </row>
    <row r="25">
      <c r="A25" s="1">
        <v>20.0</v>
      </c>
      <c r="B25" s="1" t="s">
        <v>283</v>
      </c>
      <c r="C25" s="39" t="s">
        <v>303</v>
      </c>
      <c r="D25" s="2">
        <f t="shared" si="1"/>
        <v>3</v>
      </c>
      <c r="F25" s="1" t="str">
        <f t="shared" si="2"/>
        <v>INSERT INTO tblQuestionBank VALUES (seqQuestionBank.nextval, q'[프로그래밍 언어에서 타입 캐스팅(type casting)이란 무엇인가?]', 3);</v>
      </c>
    </row>
    <row r="26">
      <c r="A26" s="1">
        <v>21.0</v>
      </c>
      <c r="B26" s="1" t="s">
        <v>283</v>
      </c>
      <c r="C26" s="39" t="s">
        <v>284</v>
      </c>
      <c r="D26" s="2">
        <f t="shared" si="1"/>
        <v>4</v>
      </c>
      <c r="F26" s="1" t="str">
        <f t="shared" si="2"/>
        <v>INSERT INTO tblQuestionBank VALUES (seqQuestionBank.nextval, q'[변수의 스코프(scope)란 무엇인가에 대한 설명으로 올바른 것을 고르시오.]', 4);</v>
      </c>
    </row>
    <row r="27">
      <c r="A27" s="1">
        <v>22.0</v>
      </c>
      <c r="B27" s="1" t="s">
        <v>283</v>
      </c>
      <c r="C27" s="39" t="s">
        <v>285</v>
      </c>
      <c r="D27" s="2">
        <f t="shared" si="1"/>
        <v>2</v>
      </c>
      <c r="F27" s="1" t="str">
        <f t="shared" si="2"/>
        <v>INSERT INTO tblQuestionBank VALUES (seqQuestionBank.nextval, q'[재귀 함수와 반복문 중 메모리 사용량이 더 많은 것은 무엇인가?]', 2);</v>
      </c>
    </row>
    <row r="28">
      <c r="A28" s="1">
        <v>23.0</v>
      </c>
      <c r="B28" s="1" t="s">
        <v>283</v>
      </c>
      <c r="C28" s="39" t="s">
        <v>286</v>
      </c>
      <c r="D28" s="2">
        <f t="shared" si="1"/>
        <v>1</v>
      </c>
      <c r="F28" s="1" t="str">
        <f t="shared" si="2"/>
        <v>INSERT INTO tblQuestionBank VALUES (seqQuestionBank.nextval, q'[HTML에서 'a' 태그의 주요 기능은 무엇인가?]', 1);</v>
      </c>
    </row>
    <row r="29">
      <c r="A29" s="1">
        <v>24.0</v>
      </c>
      <c r="B29" s="1" t="s">
        <v>283</v>
      </c>
      <c r="C29" s="39" t="s">
        <v>287</v>
      </c>
      <c r="D29" s="2">
        <f t="shared" si="1"/>
        <v>2</v>
      </c>
      <c r="F29" s="1" t="str">
        <f t="shared" si="2"/>
        <v>INSERT INTO tblQuestionBank VALUES (seqQuestionBank.nextval, q'[Java에서 클래스와 객체의 차이점은 무엇인가?]', 2);</v>
      </c>
    </row>
    <row r="30">
      <c r="A30" s="1">
        <v>25.0</v>
      </c>
      <c r="B30" s="1" t="s">
        <v>283</v>
      </c>
      <c r="C30" s="39" t="s">
        <v>288</v>
      </c>
      <c r="D30" s="2">
        <f t="shared" si="1"/>
        <v>4</v>
      </c>
      <c r="F30" s="1" t="str">
        <f t="shared" si="2"/>
        <v>INSERT INTO tblQuestionBank VALUES (seqQuestionBank.nextval, q'[Python의 리스트와 튜플의 차이점은 무엇인가?]', 4);</v>
      </c>
    </row>
    <row r="31">
      <c r="A31" s="1">
        <v>26.0</v>
      </c>
      <c r="B31" s="1" t="s">
        <v>283</v>
      </c>
      <c r="C31" s="39" t="s">
        <v>289</v>
      </c>
      <c r="D31" s="2">
        <f t="shared" si="1"/>
        <v>5</v>
      </c>
      <c r="F31" s="1" t="str">
        <f t="shared" si="2"/>
        <v>INSERT INTO tblQuestionBank VALUES (seqQuestionBank.nextval, q'[C언어에서 포인터를 사용하는 주된 이유는 무엇인가?]', 5);</v>
      </c>
    </row>
    <row r="32">
      <c r="A32" s="1">
        <v>27.0</v>
      </c>
      <c r="B32" s="1" t="s">
        <v>283</v>
      </c>
      <c r="C32" s="39" t="s">
        <v>290</v>
      </c>
      <c r="D32" s="2">
        <f t="shared" si="1"/>
        <v>3</v>
      </c>
      <c r="F32" s="1" t="str">
        <f t="shared" si="2"/>
        <v>INSERT INTO tblQuestionBank VALUES (seqQuestionBank.nextval, q'[컴파일러와 인터프리터의 차이점은 무엇인가?]', 3);</v>
      </c>
    </row>
    <row r="33">
      <c r="A33" s="1">
        <v>28.0</v>
      </c>
      <c r="B33" s="1" t="s">
        <v>283</v>
      </c>
      <c r="C33" s="39" t="s">
        <v>291</v>
      </c>
      <c r="D33" s="2">
        <f t="shared" si="1"/>
        <v>5</v>
      </c>
      <c r="F33" s="1" t="str">
        <f t="shared" si="2"/>
        <v>INSERT INTO tblQuestionBank VALUES (seqQuestionBank.nextval, q'[JavaScript에서 클로저(closure)의 정의는 무엇인가?]', 5);</v>
      </c>
    </row>
    <row r="34">
      <c r="A34" s="1">
        <v>29.0</v>
      </c>
      <c r="B34" s="1" t="s">
        <v>283</v>
      </c>
      <c r="C34" s="39" t="s">
        <v>292</v>
      </c>
      <c r="D34" s="2">
        <f t="shared" si="1"/>
        <v>5</v>
      </c>
      <c r="F34" s="1" t="str">
        <f t="shared" si="2"/>
        <v>INSERT INTO tblQuestionBank VALUES (seqQuestionBank.nextval, q'[객체 지향 프로그래밍의 4대 특징 중 하나가 아닌 것은 무엇인가?]', 5);</v>
      </c>
    </row>
    <row r="35">
      <c r="A35" s="1">
        <v>30.0</v>
      </c>
      <c r="B35" s="1" t="s">
        <v>283</v>
      </c>
      <c r="C35" s="39" t="s">
        <v>293</v>
      </c>
      <c r="D35" s="2">
        <f t="shared" si="1"/>
        <v>1</v>
      </c>
      <c r="F35" s="1" t="str">
        <f t="shared" si="2"/>
        <v>INSERT INTO tblQuestionBank VALUES (seqQuestionBank.nextval, q'[SQL에서 'JOIN'의 기능은 무엇인가?]', 1);</v>
      </c>
    </row>
    <row r="36">
      <c r="A36" s="1">
        <v>31.0</v>
      </c>
      <c r="B36" s="1" t="s">
        <v>283</v>
      </c>
      <c r="C36" s="39" t="s">
        <v>294</v>
      </c>
      <c r="D36" s="2">
        <f t="shared" si="1"/>
        <v>5</v>
      </c>
      <c r="F36" s="1" t="str">
        <f t="shared" si="2"/>
        <v>INSERT INTO tblQuestionBank VALUES (seqQuestionBank.nextval, q'[Python에서 'with open()' 구문의 주요 목적은 무엇인가?]', 5);</v>
      </c>
    </row>
    <row r="37">
      <c r="A37" s="1">
        <v>32.0</v>
      </c>
      <c r="B37" s="1" t="s">
        <v>283</v>
      </c>
      <c r="C37" s="39" t="s">
        <v>295</v>
      </c>
      <c r="D37" s="2">
        <f t="shared" si="1"/>
        <v>5</v>
      </c>
      <c r="F37" s="1" t="str">
        <f t="shared" si="2"/>
        <v>INSERT INTO tblQuestionBank VALUES (seqQuestionBank.nextval, q'[데이터베이스에서 정규화의 목적은 무엇인가?]', 5);</v>
      </c>
    </row>
    <row r="38">
      <c r="A38" s="1">
        <v>33.0</v>
      </c>
      <c r="B38" s="1" t="s">
        <v>283</v>
      </c>
      <c r="C38" s="39" t="s">
        <v>296</v>
      </c>
      <c r="D38" s="2">
        <f t="shared" si="1"/>
        <v>1</v>
      </c>
      <c r="F38" s="1" t="str">
        <f t="shared" si="2"/>
        <v>INSERT INTO tblQuestionBank VALUES (seqQuestionBank.nextval, q'[CSS에서 'flexbox'의 주요 사용 목적은 무엇인가?]', 1);</v>
      </c>
    </row>
    <row r="39">
      <c r="A39" s="1">
        <v>34.0</v>
      </c>
      <c r="B39" s="1" t="s">
        <v>283</v>
      </c>
      <c r="C39" s="39" t="s">
        <v>297</v>
      </c>
      <c r="D39" s="2">
        <f t="shared" si="1"/>
        <v>3</v>
      </c>
      <c r="F39" s="1" t="str">
        <f t="shared" si="2"/>
        <v>INSERT INTO tblQuestionBank VALUES (seqQuestionBank.nextval, q'[Git에서 'merge'와 'rebase'의 차이점은 무엇인가?]', 3);</v>
      </c>
    </row>
    <row r="40">
      <c r="A40" s="1">
        <v>35.0</v>
      </c>
      <c r="B40" s="1" t="s">
        <v>283</v>
      </c>
      <c r="C40" s="39" t="s">
        <v>298</v>
      </c>
      <c r="D40" s="2">
        <f t="shared" si="1"/>
        <v>1</v>
      </c>
      <c r="F40" s="1" t="str">
        <f t="shared" si="2"/>
        <v>INSERT INTO tblQuestionBank VALUES (seqQuestionBank.nextval, q'[C++에서 참조자(reference)와 포인터(pointer)의 차이는 무엇인가?]', 1);</v>
      </c>
    </row>
    <row r="41">
      <c r="A41" s="1">
        <v>36.0</v>
      </c>
      <c r="B41" s="1" t="s">
        <v>283</v>
      </c>
      <c r="C41" s="39" t="s">
        <v>299</v>
      </c>
      <c r="D41" s="2">
        <f t="shared" si="1"/>
        <v>4</v>
      </c>
      <c r="F41" s="1" t="str">
        <f t="shared" si="2"/>
        <v>INSERT INTO tblQuestionBank VALUES (seqQuestionBank.nextval, q'[네트워크에서 TCP와 UDP의 차이점은 무엇인가?]', 4);</v>
      </c>
    </row>
    <row r="42">
      <c r="A42" s="1">
        <v>37.0</v>
      </c>
      <c r="B42" s="1" t="s">
        <v>283</v>
      </c>
      <c r="C42" s="39" t="s">
        <v>300</v>
      </c>
      <c r="D42" s="2">
        <f t="shared" si="1"/>
        <v>3</v>
      </c>
      <c r="F42" s="1" t="str">
        <f t="shared" si="2"/>
        <v>INSERT INTO tblQuestionBank VALUES (seqQuestionBank.nextval, q'[Python에서 제너레이터(generator)의 특징은 무엇인가?]', 3);</v>
      </c>
    </row>
    <row r="43">
      <c r="A43" s="1">
        <v>38.0</v>
      </c>
      <c r="B43" s="1" t="s">
        <v>283</v>
      </c>
      <c r="C43" s="39" t="s">
        <v>301</v>
      </c>
      <c r="D43" s="2">
        <f t="shared" si="1"/>
        <v>2</v>
      </c>
      <c r="F43" s="1" t="str">
        <f t="shared" si="2"/>
        <v>INSERT INTO tblQuestionBank VALUES (seqQuestionBank.nextval, q'[REST API의 주요 원칙 중 하나가 아닌 것은 무엇인가?]', 2);</v>
      </c>
    </row>
    <row r="44">
      <c r="A44" s="1">
        <v>39.0</v>
      </c>
      <c r="B44" s="1" t="s">
        <v>283</v>
      </c>
      <c r="C44" s="39" t="s">
        <v>302</v>
      </c>
      <c r="D44" s="2">
        <f t="shared" si="1"/>
        <v>4</v>
      </c>
      <c r="F44" s="1" t="str">
        <f t="shared" si="2"/>
        <v>INSERT INTO tblQuestionBank VALUES (seqQuestionBank.nextval, q'[Java에서 예외(Exception) 처리 방법으로 올바른 것을 고르시오.]', 4);</v>
      </c>
    </row>
    <row r="45">
      <c r="A45" s="1">
        <v>40.0</v>
      </c>
      <c r="B45" s="1" t="s">
        <v>283</v>
      </c>
      <c r="C45" s="39" t="s">
        <v>303</v>
      </c>
      <c r="D45" s="2">
        <f t="shared" si="1"/>
        <v>3</v>
      </c>
      <c r="F45" s="1" t="str">
        <f t="shared" si="2"/>
        <v>INSERT INTO tblQuestionBank VALUES (seqQuestionBank.nextval, q'[프로그래밍 언어에서 타입 캐스팅(type casting)이란 무엇인가?]', 3);</v>
      </c>
    </row>
    <row r="46">
      <c r="A46" s="1">
        <v>41.0</v>
      </c>
      <c r="B46" s="1" t="s">
        <v>283</v>
      </c>
      <c r="C46" s="39" t="s">
        <v>284</v>
      </c>
      <c r="D46" s="2">
        <f t="shared" si="1"/>
        <v>4</v>
      </c>
      <c r="F46" s="1" t="str">
        <f t="shared" si="2"/>
        <v>INSERT INTO tblQuestionBank VALUES (seqQuestionBank.nextval, q'[변수의 스코프(scope)란 무엇인가에 대한 설명으로 올바른 것을 고르시오.]', 4);</v>
      </c>
    </row>
    <row r="47">
      <c r="A47" s="1">
        <v>42.0</v>
      </c>
      <c r="B47" s="1" t="s">
        <v>283</v>
      </c>
      <c r="C47" s="39" t="s">
        <v>285</v>
      </c>
      <c r="D47" s="2">
        <f t="shared" si="1"/>
        <v>3</v>
      </c>
      <c r="F47" s="1" t="str">
        <f t="shared" si="2"/>
        <v>INSERT INTO tblQuestionBank VALUES (seqQuestionBank.nextval, q'[재귀 함수와 반복문 중 메모리 사용량이 더 많은 것은 무엇인가?]', 3);</v>
      </c>
    </row>
    <row r="48">
      <c r="A48" s="1">
        <v>43.0</v>
      </c>
      <c r="B48" s="1" t="s">
        <v>283</v>
      </c>
      <c r="C48" s="39" t="s">
        <v>286</v>
      </c>
      <c r="D48" s="2">
        <f t="shared" si="1"/>
        <v>5</v>
      </c>
      <c r="F48" s="1" t="str">
        <f t="shared" si="2"/>
        <v>INSERT INTO tblQuestionBank VALUES (seqQuestionBank.nextval, q'[HTML에서 'a' 태그의 주요 기능은 무엇인가?]', 5);</v>
      </c>
    </row>
    <row r="49">
      <c r="A49" s="1">
        <v>44.0</v>
      </c>
      <c r="B49" s="1" t="s">
        <v>283</v>
      </c>
      <c r="C49" s="39" t="s">
        <v>287</v>
      </c>
      <c r="D49" s="2">
        <f t="shared" si="1"/>
        <v>5</v>
      </c>
      <c r="F49" s="1" t="str">
        <f t="shared" si="2"/>
        <v>INSERT INTO tblQuestionBank VALUES (seqQuestionBank.nextval, q'[Java에서 클래스와 객체의 차이점은 무엇인가?]', 5);</v>
      </c>
    </row>
    <row r="50">
      <c r="A50" s="1">
        <v>45.0</v>
      </c>
      <c r="B50" s="1" t="s">
        <v>283</v>
      </c>
      <c r="C50" s="39" t="s">
        <v>288</v>
      </c>
      <c r="D50" s="2">
        <f t="shared" si="1"/>
        <v>4</v>
      </c>
      <c r="F50" s="1" t="str">
        <f t="shared" si="2"/>
        <v>INSERT INTO tblQuestionBank VALUES (seqQuestionBank.nextval, q'[Python의 리스트와 튜플의 차이점은 무엇인가?]', 4);</v>
      </c>
    </row>
    <row r="51">
      <c r="A51" s="1">
        <v>46.0</v>
      </c>
      <c r="B51" s="1" t="s">
        <v>283</v>
      </c>
      <c r="C51" s="39" t="s">
        <v>289</v>
      </c>
      <c r="D51" s="2">
        <f t="shared" si="1"/>
        <v>5</v>
      </c>
      <c r="F51" s="1" t="str">
        <f t="shared" si="2"/>
        <v>INSERT INTO tblQuestionBank VALUES (seqQuestionBank.nextval, q'[C언어에서 포인터를 사용하는 주된 이유는 무엇인가?]', 5);</v>
      </c>
    </row>
    <row r="52">
      <c r="A52" s="1">
        <v>47.0</v>
      </c>
      <c r="B52" s="1" t="s">
        <v>283</v>
      </c>
      <c r="C52" s="39" t="s">
        <v>290</v>
      </c>
      <c r="D52" s="2">
        <f t="shared" si="1"/>
        <v>5</v>
      </c>
      <c r="F52" s="1" t="str">
        <f t="shared" si="2"/>
        <v>INSERT INTO tblQuestionBank VALUES (seqQuestionBank.nextval, q'[컴파일러와 인터프리터의 차이점은 무엇인가?]', 5);</v>
      </c>
    </row>
    <row r="53">
      <c r="A53" s="1">
        <v>48.0</v>
      </c>
      <c r="B53" s="1" t="s">
        <v>283</v>
      </c>
      <c r="C53" s="39" t="s">
        <v>291</v>
      </c>
      <c r="D53" s="2">
        <f t="shared" si="1"/>
        <v>5</v>
      </c>
      <c r="F53" s="1" t="str">
        <f t="shared" si="2"/>
        <v>INSERT INTO tblQuestionBank VALUES (seqQuestionBank.nextval, q'[JavaScript에서 클로저(closure)의 정의는 무엇인가?]', 5);</v>
      </c>
    </row>
    <row r="54">
      <c r="A54" s="1">
        <v>49.0</v>
      </c>
      <c r="B54" s="1" t="s">
        <v>283</v>
      </c>
      <c r="C54" s="39" t="s">
        <v>292</v>
      </c>
      <c r="D54" s="2">
        <f t="shared" si="1"/>
        <v>1</v>
      </c>
      <c r="F54" s="1" t="str">
        <f t="shared" si="2"/>
        <v>INSERT INTO tblQuestionBank VALUES (seqQuestionBank.nextval, q'[객체 지향 프로그래밍의 4대 특징 중 하나가 아닌 것은 무엇인가?]', 1);</v>
      </c>
    </row>
    <row r="55">
      <c r="A55" s="1">
        <v>50.0</v>
      </c>
      <c r="B55" s="1" t="s">
        <v>283</v>
      </c>
      <c r="C55" s="39" t="s">
        <v>293</v>
      </c>
      <c r="D55" s="2">
        <f t="shared" si="1"/>
        <v>2</v>
      </c>
      <c r="F55" s="1" t="str">
        <f t="shared" si="2"/>
        <v>INSERT INTO tblQuestionBank VALUES (seqQuestionBank.nextval, q'[SQL에서 'JOIN'의 기능은 무엇인가?]', 2);</v>
      </c>
    </row>
    <row r="56">
      <c r="A56" s="1">
        <v>51.0</v>
      </c>
      <c r="B56" s="1" t="s">
        <v>283</v>
      </c>
      <c r="C56" s="39" t="s">
        <v>294</v>
      </c>
      <c r="D56" s="2">
        <f t="shared" si="1"/>
        <v>1</v>
      </c>
      <c r="F56" s="1" t="str">
        <f t="shared" si="2"/>
        <v>INSERT INTO tblQuestionBank VALUES (seqQuestionBank.nextval, q'[Python에서 'with open()' 구문의 주요 목적은 무엇인가?]', 1);</v>
      </c>
    </row>
    <row r="57">
      <c r="A57" s="1">
        <v>52.0</v>
      </c>
      <c r="B57" s="1" t="s">
        <v>283</v>
      </c>
      <c r="C57" s="39" t="s">
        <v>295</v>
      </c>
      <c r="D57" s="2">
        <f t="shared" si="1"/>
        <v>1</v>
      </c>
      <c r="F57" s="1" t="str">
        <f t="shared" si="2"/>
        <v>INSERT INTO tblQuestionBank VALUES (seqQuestionBank.nextval, q'[데이터베이스에서 정규화의 목적은 무엇인가?]', 1);</v>
      </c>
    </row>
    <row r="58">
      <c r="A58" s="1">
        <v>53.0</v>
      </c>
      <c r="B58" s="1" t="s">
        <v>283</v>
      </c>
      <c r="C58" s="39" t="s">
        <v>296</v>
      </c>
      <c r="D58" s="2">
        <f t="shared" si="1"/>
        <v>2</v>
      </c>
      <c r="F58" s="1" t="str">
        <f t="shared" si="2"/>
        <v>INSERT INTO tblQuestionBank VALUES (seqQuestionBank.nextval, q'[CSS에서 'flexbox'의 주요 사용 목적은 무엇인가?]', 2);</v>
      </c>
    </row>
    <row r="59">
      <c r="A59" s="1">
        <v>54.0</v>
      </c>
      <c r="B59" s="1" t="s">
        <v>283</v>
      </c>
      <c r="C59" s="39" t="s">
        <v>297</v>
      </c>
      <c r="D59" s="2">
        <f t="shared" si="1"/>
        <v>1</v>
      </c>
      <c r="F59" s="1" t="str">
        <f t="shared" si="2"/>
        <v>INSERT INTO tblQuestionBank VALUES (seqQuestionBank.nextval, q'[Git에서 'merge'와 'rebase'의 차이점은 무엇인가?]', 1);</v>
      </c>
    </row>
    <row r="60">
      <c r="A60" s="1">
        <v>55.0</v>
      </c>
      <c r="B60" s="1" t="s">
        <v>283</v>
      </c>
      <c r="C60" s="39" t="s">
        <v>298</v>
      </c>
      <c r="D60" s="2">
        <f t="shared" si="1"/>
        <v>1</v>
      </c>
      <c r="F60" s="1" t="str">
        <f t="shared" si="2"/>
        <v>INSERT INTO tblQuestionBank VALUES (seqQuestionBank.nextval, q'[C++에서 참조자(reference)와 포인터(pointer)의 차이는 무엇인가?]', 1);</v>
      </c>
    </row>
    <row r="61">
      <c r="A61" s="1">
        <v>56.0</v>
      </c>
      <c r="B61" s="1" t="s">
        <v>283</v>
      </c>
      <c r="C61" s="39" t="s">
        <v>299</v>
      </c>
      <c r="D61" s="2">
        <f t="shared" si="1"/>
        <v>4</v>
      </c>
      <c r="F61" s="1" t="str">
        <f t="shared" si="2"/>
        <v>INSERT INTO tblQuestionBank VALUES (seqQuestionBank.nextval, q'[네트워크에서 TCP와 UDP의 차이점은 무엇인가?]', 4);</v>
      </c>
    </row>
    <row r="62">
      <c r="A62" s="1">
        <v>57.0</v>
      </c>
      <c r="B62" s="1" t="s">
        <v>283</v>
      </c>
      <c r="C62" s="39" t="s">
        <v>300</v>
      </c>
      <c r="D62" s="2">
        <f t="shared" si="1"/>
        <v>2</v>
      </c>
      <c r="F62" s="1" t="str">
        <f t="shared" si="2"/>
        <v>INSERT INTO tblQuestionBank VALUES (seqQuestionBank.nextval, q'[Python에서 제너레이터(generator)의 특징은 무엇인가?]', 2);</v>
      </c>
    </row>
    <row r="63">
      <c r="A63" s="1">
        <v>58.0</v>
      </c>
      <c r="B63" s="1" t="s">
        <v>283</v>
      </c>
      <c r="C63" s="39" t="s">
        <v>301</v>
      </c>
      <c r="D63" s="2">
        <f t="shared" si="1"/>
        <v>3</v>
      </c>
      <c r="F63" s="1" t="str">
        <f t="shared" si="2"/>
        <v>INSERT INTO tblQuestionBank VALUES (seqQuestionBank.nextval, q'[REST API의 주요 원칙 중 하나가 아닌 것은 무엇인가?]', 3);</v>
      </c>
    </row>
    <row r="64">
      <c r="A64" s="1">
        <v>59.0</v>
      </c>
      <c r="B64" s="1" t="s">
        <v>283</v>
      </c>
      <c r="C64" s="39" t="s">
        <v>302</v>
      </c>
      <c r="D64" s="2">
        <f t="shared" si="1"/>
        <v>2</v>
      </c>
      <c r="F64" s="1" t="str">
        <f t="shared" si="2"/>
        <v>INSERT INTO tblQuestionBank VALUES (seqQuestionBank.nextval, q'[Java에서 예외(Exception) 처리 방법으로 올바른 것을 고르시오.]', 2);</v>
      </c>
    </row>
    <row r="65">
      <c r="A65" s="1">
        <v>60.0</v>
      </c>
      <c r="B65" s="1" t="s">
        <v>283</v>
      </c>
      <c r="C65" s="39" t="s">
        <v>303</v>
      </c>
      <c r="D65" s="2">
        <f t="shared" si="1"/>
        <v>5</v>
      </c>
      <c r="F65" s="1" t="str">
        <f t="shared" si="2"/>
        <v>INSERT INTO tblQuestionBank VALUES (seqQuestionBank.nextval, q'[프로그래밍 언어에서 타입 캐스팅(type casting)이란 무엇인가?]', 5);</v>
      </c>
    </row>
    <row r="66">
      <c r="A66" s="1">
        <v>61.0</v>
      </c>
      <c r="B66" s="1" t="s">
        <v>283</v>
      </c>
      <c r="C66" s="39" t="s">
        <v>284</v>
      </c>
      <c r="D66" s="2">
        <f t="shared" si="1"/>
        <v>5</v>
      </c>
      <c r="F66" s="1" t="str">
        <f t="shared" si="2"/>
        <v>INSERT INTO tblQuestionBank VALUES (seqQuestionBank.nextval, q'[변수의 스코프(scope)란 무엇인가에 대한 설명으로 올바른 것을 고르시오.]', 5);</v>
      </c>
    </row>
    <row r="67">
      <c r="A67" s="1">
        <v>62.0</v>
      </c>
      <c r="B67" s="1" t="s">
        <v>283</v>
      </c>
      <c r="C67" s="39" t="s">
        <v>285</v>
      </c>
      <c r="D67" s="2">
        <f t="shared" si="1"/>
        <v>5</v>
      </c>
      <c r="F67" s="1" t="str">
        <f t="shared" si="2"/>
        <v>INSERT INTO tblQuestionBank VALUES (seqQuestionBank.nextval, q'[재귀 함수와 반복문 중 메모리 사용량이 더 많은 것은 무엇인가?]', 5);</v>
      </c>
    </row>
    <row r="68">
      <c r="A68" s="1">
        <v>63.0</v>
      </c>
      <c r="B68" s="1" t="s">
        <v>283</v>
      </c>
      <c r="C68" s="39" t="s">
        <v>286</v>
      </c>
      <c r="D68" s="2">
        <f t="shared" si="1"/>
        <v>2</v>
      </c>
      <c r="F68" s="1" t="str">
        <f t="shared" si="2"/>
        <v>INSERT INTO tblQuestionBank VALUES (seqQuestionBank.nextval, q'[HTML에서 'a' 태그의 주요 기능은 무엇인가?]', 2);</v>
      </c>
    </row>
    <row r="69">
      <c r="A69" s="1">
        <v>64.0</v>
      </c>
      <c r="B69" s="1" t="s">
        <v>283</v>
      </c>
      <c r="C69" s="39" t="s">
        <v>287</v>
      </c>
      <c r="D69" s="2">
        <f t="shared" si="1"/>
        <v>4</v>
      </c>
      <c r="F69" s="1" t="str">
        <f t="shared" si="2"/>
        <v>INSERT INTO tblQuestionBank VALUES (seqQuestionBank.nextval, q'[Java에서 클래스와 객체의 차이점은 무엇인가?]', 4);</v>
      </c>
    </row>
    <row r="70">
      <c r="A70" s="1">
        <v>65.0</v>
      </c>
      <c r="B70" s="1" t="s">
        <v>283</v>
      </c>
      <c r="C70" s="39" t="s">
        <v>288</v>
      </c>
      <c r="D70" s="2">
        <f t="shared" si="1"/>
        <v>1</v>
      </c>
      <c r="F70" s="1" t="str">
        <f t="shared" si="2"/>
        <v>INSERT INTO tblQuestionBank VALUES (seqQuestionBank.nextval, q'[Python의 리스트와 튜플의 차이점은 무엇인가?]', 1);</v>
      </c>
    </row>
    <row r="71">
      <c r="A71" s="1">
        <v>66.0</v>
      </c>
      <c r="B71" s="1" t="s">
        <v>283</v>
      </c>
      <c r="C71" s="39" t="s">
        <v>289</v>
      </c>
      <c r="D71" s="2">
        <f t="shared" si="1"/>
        <v>2</v>
      </c>
      <c r="F71" s="1" t="str">
        <f t="shared" si="2"/>
        <v>INSERT INTO tblQuestionBank VALUES (seqQuestionBank.nextval, q'[C언어에서 포인터를 사용하는 주된 이유는 무엇인가?]', 2);</v>
      </c>
    </row>
    <row r="72">
      <c r="A72" s="1">
        <v>67.0</v>
      </c>
      <c r="B72" s="1" t="s">
        <v>283</v>
      </c>
      <c r="C72" s="39" t="s">
        <v>290</v>
      </c>
      <c r="D72" s="2">
        <f t="shared" si="1"/>
        <v>2</v>
      </c>
      <c r="F72" s="1" t="str">
        <f t="shared" si="2"/>
        <v>INSERT INTO tblQuestionBank VALUES (seqQuestionBank.nextval, q'[컴파일러와 인터프리터의 차이점은 무엇인가?]', 2);</v>
      </c>
    </row>
    <row r="73">
      <c r="A73" s="1">
        <v>68.0</v>
      </c>
      <c r="B73" s="1" t="s">
        <v>283</v>
      </c>
      <c r="C73" s="39" t="s">
        <v>291</v>
      </c>
      <c r="D73" s="2">
        <f t="shared" si="1"/>
        <v>2</v>
      </c>
      <c r="F73" s="1" t="str">
        <f t="shared" si="2"/>
        <v>INSERT INTO tblQuestionBank VALUES (seqQuestionBank.nextval, q'[JavaScript에서 클로저(closure)의 정의는 무엇인가?]', 2);</v>
      </c>
    </row>
    <row r="74">
      <c r="A74" s="1">
        <v>69.0</v>
      </c>
      <c r="B74" s="1" t="s">
        <v>283</v>
      </c>
      <c r="C74" s="39" t="s">
        <v>292</v>
      </c>
      <c r="D74" s="2">
        <f t="shared" si="1"/>
        <v>2</v>
      </c>
      <c r="F74" s="1" t="str">
        <f t="shared" si="2"/>
        <v>INSERT INTO tblQuestionBank VALUES (seqQuestionBank.nextval, q'[객체 지향 프로그래밍의 4대 특징 중 하나가 아닌 것은 무엇인가?]', 2);</v>
      </c>
    </row>
    <row r="75">
      <c r="A75" s="1">
        <v>70.0</v>
      </c>
      <c r="B75" s="1" t="s">
        <v>283</v>
      </c>
      <c r="C75" s="39" t="s">
        <v>293</v>
      </c>
      <c r="D75" s="2">
        <f t="shared" si="1"/>
        <v>2</v>
      </c>
      <c r="F75" s="1" t="str">
        <f t="shared" si="2"/>
        <v>INSERT INTO tblQuestionBank VALUES (seqQuestionBank.nextval, q'[SQL에서 'JOIN'의 기능은 무엇인가?]', 2);</v>
      </c>
    </row>
    <row r="76">
      <c r="A76" s="1">
        <v>71.0</v>
      </c>
      <c r="B76" s="1" t="s">
        <v>283</v>
      </c>
      <c r="C76" s="39" t="s">
        <v>294</v>
      </c>
      <c r="D76" s="2">
        <f t="shared" si="1"/>
        <v>4</v>
      </c>
      <c r="F76" s="1" t="str">
        <f t="shared" si="2"/>
        <v>INSERT INTO tblQuestionBank VALUES (seqQuestionBank.nextval, q'[Python에서 'with open()' 구문의 주요 목적은 무엇인가?]', 4);</v>
      </c>
    </row>
    <row r="77">
      <c r="A77" s="1">
        <v>72.0</v>
      </c>
      <c r="B77" s="1" t="s">
        <v>283</v>
      </c>
      <c r="C77" s="39" t="s">
        <v>295</v>
      </c>
      <c r="D77" s="2">
        <f t="shared" si="1"/>
        <v>2</v>
      </c>
      <c r="F77" s="1" t="str">
        <f t="shared" si="2"/>
        <v>INSERT INTO tblQuestionBank VALUES (seqQuestionBank.nextval, q'[데이터베이스에서 정규화의 목적은 무엇인가?]', 2);</v>
      </c>
    </row>
    <row r="78">
      <c r="A78" s="1">
        <v>73.0</v>
      </c>
      <c r="B78" s="1" t="s">
        <v>283</v>
      </c>
      <c r="C78" s="39" t="s">
        <v>296</v>
      </c>
      <c r="D78" s="2">
        <f t="shared" si="1"/>
        <v>4</v>
      </c>
      <c r="F78" s="1" t="str">
        <f t="shared" si="2"/>
        <v>INSERT INTO tblQuestionBank VALUES (seqQuestionBank.nextval, q'[CSS에서 'flexbox'의 주요 사용 목적은 무엇인가?]', 4);</v>
      </c>
    </row>
    <row r="79">
      <c r="A79" s="1">
        <v>74.0</v>
      </c>
      <c r="B79" s="1" t="s">
        <v>283</v>
      </c>
      <c r="C79" s="39" t="s">
        <v>297</v>
      </c>
      <c r="D79" s="2">
        <f t="shared" si="1"/>
        <v>2</v>
      </c>
      <c r="F79" s="1" t="str">
        <f t="shared" si="2"/>
        <v>INSERT INTO tblQuestionBank VALUES (seqQuestionBank.nextval, q'[Git에서 'merge'와 'rebase'의 차이점은 무엇인가?]', 2);</v>
      </c>
    </row>
    <row r="80">
      <c r="A80" s="1">
        <v>75.0</v>
      </c>
      <c r="B80" s="1" t="s">
        <v>283</v>
      </c>
      <c r="C80" s="39" t="s">
        <v>298</v>
      </c>
      <c r="D80" s="2">
        <f t="shared" si="1"/>
        <v>4</v>
      </c>
      <c r="F80" s="1" t="str">
        <f t="shared" si="2"/>
        <v>INSERT INTO tblQuestionBank VALUES (seqQuestionBank.nextval, q'[C++에서 참조자(reference)와 포인터(pointer)의 차이는 무엇인가?]', 4);</v>
      </c>
    </row>
    <row r="81">
      <c r="A81" s="1">
        <v>76.0</v>
      </c>
      <c r="B81" s="1" t="s">
        <v>283</v>
      </c>
      <c r="C81" s="39" t="s">
        <v>299</v>
      </c>
      <c r="D81" s="2">
        <f t="shared" si="1"/>
        <v>1</v>
      </c>
      <c r="F81" s="1" t="str">
        <f t="shared" si="2"/>
        <v>INSERT INTO tblQuestionBank VALUES (seqQuestionBank.nextval, q'[네트워크에서 TCP와 UDP의 차이점은 무엇인가?]', 1);</v>
      </c>
    </row>
    <row r="82">
      <c r="A82" s="1">
        <v>77.0</v>
      </c>
      <c r="B82" s="1" t="s">
        <v>283</v>
      </c>
      <c r="C82" s="39" t="s">
        <v>300</v>
      </c>
      <c r="D82" s="2">
        <f t="shared" si="1"/>
        <v>5</v>
      </c>
      <c r="F82" s="1" t="str">
        <f t="shared" si="2"/>
        <v>INSERT INTO tblQuestionBank VALUES (seqQuestionBank.nextval, q'[Python에서 제너레이터(generator)의 특징은 무엇인가?]', 5);</v>
      </c>
    </row>
    <row r="83">
      <c r="A83" s="1">
        <v>78.0</v>
      </c>
      <c r="B83" s="1" t="s">
        <v>283</v>
      </c>
      <c r="C83" s="39" t="s">
        <v>301</v>
      </c>
      <c r="D83" s="2">
        <f t="shared" si="1"/>
        <v>5</v>
      </c>
      <c r="F83" s="1" t="str">
        <f t="shared" si="2"/>
        <v>INSERT INTO tblQuestionBank VALUES (seqQuestionBank.nextval, q'[REST API의 주요 원칙 중 하나가 아닌 것은 무엇인가?]', 5);</v>
      </c>
    </row>
    <row r="84">
      <c r="A84" s="1">
        <v>79.0</v>
      </c>
      <c r="B84" s="1" t="s">
        <v>283</v>
      </c>
      <c r="C84" s="39" t="s">
        <v>302</v>
      </c>
      <c r="D84" s="2">
        <f t="shared" si="1"/>
        <v>4</v>
      </c>
      <c r="F84" s="1" t="str">
        <f t="shared" si="2"/>
        <v>INSERT INTO tblQuestionBank VALUES (seqQuestionBank.nextval, q'[Java에서 예외(Exception) 처리 방법으로 올바른 것을 고르시오.]', 4);</v>
      </c>
    </row>
    <row r="85">
      <c r="A85" s="1">
        <v>80.0</v>
      </c>
      <c r="B85" s="1" t="s">
        <v>283</v>
      </c>
      <c r="C85" s="39" t="s">
        <v>303</v>
      </c>
      <c r="D85" s="2">
        <f t="shared" si="1"/>
        <v>5</v>
      </c>
      <c r="F85" s="1" t="str">
        <f t="shared" si="2"/>
        <v>INSERT INTO tblQuestionBank VALUES (seqQuestionBank.nextval, q'[프로그래밍 언어에서 타입 캐스팅(type casting)이란 무엇인가?]', 5);</v>
      </c>
    </row>
    <row r="86">
      <c r="A86" s="1">
        <v>81.0</v>
      </c>
      <c r="B86" s="1" t="s">
        <v>283</v>
      </c>
      <c r="C86" s="39" t="s">
        <v>284</v>
      </c>
      <c r="D86" s="2">
        <f t="shared" si="1"/>
        <v>1</v>
      </c>
      <c r="F86" s="1" t="str">
        <f t="shared" si="2"/>
        <v>INSERT INTO tblQuestionBank VALUES (seqQuestionBank.nextval, q'[변수의 스코프(scope)란 무엇인가에 대한 설명으로 올바른 것을 고르시오.]', 1);</v>
      </c>
    </row>
    <row r="87">
      <c r="A87" s="1">
        <v>82.0</v>
      </c>
      <c r="B87" s="1" t="s">
        <v>283</v>
      </c>
      <c r="C87" s="39" t="s">
        <v>285</v>
      </c>
      <c r="D87" s="2">
        <f t="shared" si="1"/>
        <v>1</v>
      </c>
      <c r="F87" s="1" t="str">
        <f t="shared" si="2"/>
        <v>INSERT INTO tblQuestionBank VALUES (seqQuestionBank.nextval, q'[재귀 함수와 반복문 중 메모리 사용량이 더 많은 것은 무엇인가?]', 1);</v>
      </c>
    </row>
    <row r="88">
      <c r="A88" s="1">
        <v>83.0</v>
      </c>
      <c r="B88" s="1" t="s">
        <v>283</v>
      </c>
      <c r="C88" s="39" t="s">
        <v>286</v>
      </c>
      <c r="D88" s="2">
        <f t="shared" si="1"/>
        <v>1</v>
      </c>
      <c r="F88" s="1" t="str">
        <f t="shared" si="2"/>
        <v>INSERT INTO tblQuestionBank VALUES (seqQuestionBank.nextval, q'[HTML에서 'a' 태그의 주요 기능은 무엇인가?]', 1);</v>
      </c>
    </row>
    <row r="89">
      <c r="A89" s="1">
        <v>84.0</v>
      </c>
      <c r="B89" s="1" t="s">
        <v>283</v>
      </c>
      <c r="C89" s="39" t="s">
        <v>287</v>
      </c>
      <c r="D89" s="2">
        <f t="shared" si="1"/>
        <v>1</v>
      </c>
      <c r="F89" s="1" t="str">
        <f t="shared" si="2"/>
        <v>INSERT INTO tblQuestionBank VALUES (seqQuestionBank.nextval, q'[Java에서 클래스와 객체의 차이점은 무엇인가?]', 1);</v>
      </c>
    </row>
    <row r="90">
      <c r="A90" s="1">
        <v>85.0</v>
      </c>
      <c r="B90" s="1" t="s">
        <v>283</v>
      </c>
      <c r="C90" s="39" t="s">
        <v>288</v>
      </c>
      <c r="D90" s="2">
        <f t="shared" si="1"/>
        <v>1</v>
      </c>
      <c r="F90" s="1" t="str">
        <f t="shared" si="2"/>
        <v>INSERT INTO tblQuestionBank VALUES (seqQuestionBank.nextval, q'[Python의 리스트와 튜플의 차이점은 무엇인가?]', 1);</v>
      </c>
    </row>
    <row r="91">
      <c r="A91" s="1">
        <v>86.0</v>
      </c>
      <c r="B91" s="1" t="s">
        <v>283</v>
      </c>
      <c r="C91" s="39" t="s">
        <v>289</v>
      </c>
      <c r="D91" s="2">
        <f t="shared" si="1"/>
        <v>3</v>
      </c>
      <c r="F91" s="1" t="str">
        <f t="shared" si="2"/>
        <v>INSERT INTO tblQuestionBank VALUES (seqQuestionBank.nextval, q'[C언어에서 포인터를 사용하는 주된 이유는 무엇인가?]', 3);</v>
      </c>
    </row>
    <row r="92">
      <c r="A92" s="1">
        <v>87.0</v>
      </c>
      <c r="B92" s="1" t="s">
        <v>283</v>
      </c>
      <c r="C92" s="39" t="s">
        <v>290</v>
      </c>
      <c r="D92" s="2">
        <f t="shared" si="1"/>
        <v>2</v>
      </c>
      <c r="F92" s="1" t="str">
        <f t="shared" si="2"/>
        <v>INSERT INTO tblQuestionBank VALUES (seqQuestionBank.nextval, q'[컴파일러와 인터프리터의 차이점은 무엇인가?]', 2);</v>
      </c>
    </row>
    <row r="93">
      <c r="A93" s="1">
        <v>88.0</v>
      </c>
      <c r="B93" s="1" t="s">
        <v>283</v>
      </c>
      <c r="C93" s="39" t="s">
        <v>291</v>
      </c>
      <c r="D93" s="2">
        <f t="shared" si="1"/>
        <v>3</v>
      </c>
      <c r="F93" s="1" t="str">
        <f t="shared" si="2"/>
        <v>INSERT INTO tblQuestionBank VALUES (seqQuestionBank.nextval, q'[JavaScript에서 클로저(closure)의 정의는 무엇인가?]', 3);</v>
      </c>
    </row>
    <row r="94">
      <c r="A94" s="1">
        <v>89.0</v>
      </c>
      <c r="B94" s="1" t="s">
        <v>283</v>
      </c>
      <c r="C94" s="39" t="s">
        <v>292</v>
      </c>
      <c r="D94" s="2">
        <f t="shared" si="1"/>
        <v>3</v>
      </c>
      <c r="F94" s="1" t="str">
        <f t="shared" si="2"/>
        <v>INSERT INTO tblQuestionBank VALUES (seqQuestionBank.nextval, q'[객체 지향 프로그래밍의 4대 특징 중 하나가 아닌 것은 무엇인가?]', 3);</v>
      </c>
    </row>
    <row r="95">
      <c r="A95" s="1">
        <v>90.0</v>
      </c>
      <c r="B95" s="1" t="s">
        <v>283</v>
      </c>
      <c r="C95" s="39" t="s">
        <v>293</v>
      </c>
      <c r="D95" s="2">
        <f t="shared" si="1"/>
        <v>4</v>
      </c>
      <c r="F95" s="1" t="str">
        <f t="shared" si="2"/>
        <v>INSERT INTO tblQuestionBank VALUES (seqQuestionBank.nextval, q'[SQL에서 'JOIN'의 기능은 무엇인가?]', 4);</v>
      </c>
    </row>
    <row r="96">
      <c r="A96" s="1">
        <v>91.0</v>
      </c>
      <c r="B96" s="1" t="s">
        <v>283</v>
      </c>
      <c r="C96" s="39" t="s">
        <v>294</v>
      </c>
      <c r="D96" s="2">
        <f t="shared" si="1"/>
        <v>4</v>
      </c>
      <c r="F96" s="1" t="str">
        <f t="shared" si="2"/>
        <v>INSERT INTO tblQuestionBank VALUES (seqQuestionBank.nextval, q'[Python에서 'with open()' 구문의 주요 목적은 무엇인가?]', 4);</v>
      </c>
    </row>
    <row r="97">
      <c r="A97" s="1">
        <v>92.0</v>
      </c>
      <c r="B97" s="1" t="s">
        <v>283</v>
      </c>
      <c r="C97" s="39" t="s">
        <v>295</v>
      </c>
      <c r="D97" s="2">
        <f t="shared" si="1"/>
        <v>3</v>
      </c>
      <c r="F97" s="1" t="str">
        <f t="shared" si="2"/>
        <v>INSERT INTO tblQuestionBank VALUES (seqQuestionBank.nextval, q'[데이터베이스에서 정규화의 목적은 무엇인가?]', 3);</v>
      </c>
    </row>
    <row r="98">
      <c r="A98" s="1">
        <v>93.0</v>
      </c>
      <c r="B98" s="1" t="s">
        <v>283</v>
      </c>
      <c r="C98" s="39" t="s">
        <v>296</v>
      </c>
      <c r="D98" s="2">
        <f t="shared" si="1"/>
        <v>4</v>
      </c>
      <c r="F98" s="1" t="str">
        <f t="shared" si="2"/>
        <v>INSERT INTO tblQuestionBank VALUES (seqQuestionBank.nextval, q'[CSS에서 'flexbox'의 주요 사용 목적은 무엇인가?]', 4);</v>
      </c>
    </row>
    <row r="99">
      <c r="A99" s="1">
        <v>94.0</v>
      </c>
      <c r="B99" s="1" t="s">
        <v>283</v>
      </c>
      <c r="C99" s="39" t="s">
        <v>297</v>
      </c>
      <c r="D99" s="2">
        <f t="shared" si="1"/>
        <v>2</v>
      </c>
      <c r="F99" s="1" t="str">
        <f t="shared" si="2"/>
        <v>INSERT INTO tblQuestionBank VALUES (seqQuestionBank.nextval, q'[Git에서 'merge'와 'rebase'의 차이점은 무엇인가?]', 2);</v>
      </c>
    </row>
    <row r="100">
      <c r="A100" s="1">
        <v>95.0</v>
      </c>
      <c r="B100" s="1" t="s">
        <v>283</v>
      </c>
      <c r="C100" s="39" t="s">
        <v>298</v>
      </c>
      <c r="D100" s="2">
        <f t="shared" si="1"/>
        <v>4</v>
      </c>
      <c r="F100" s="1" t="str">
        <f t="shared" si="2"/>
        <v>INSERT INTO tblQuestionBank VALUES (seqQuestionBank.nextval, q'[C++에서 참조자(reference)와 포인터(pointer)의 차이는 무엇인가?]', 4);</v>
      </c>
    </row>
    <row r="101">
      <c r="A101" s="1">
        <v>96.0</v>
      </c>
      <c r="B101" s="1" t="s">
        <v>283</v>
      </c>
      <c r="C101" s="39" t="s">
        <v>299</v>
      </c>
      <c r="D101" s="2">
        <f t="shared" si="1"/>
        <v>4</v>
      </c>
      <c r="F101" s="1" t="str">
        <f t="shared" si="2"/>
        <v>INSERT INTO tblQuestionBank VALUES (seqQuestionBank.nextval, q'[네트워크에서 TCP와 UDP의 차이점은 무엇인가?]', 4);</v>
      </c>
    </row>
    <row r="102">
      <c r="A102" s="1">
        <v>97.0</v>
      </c>
      <c r="B102" s="1" t="s">
        <v>283</v>
      </c>
      <c r="C102" s="39" t="s">
        <v>300</v>
      </c>
      <c r="D102" s="2">
        <f t="shared" si="1"/>
        <v>5</v>
      </c>
      <c r="F102" s="1" t="str">
        <f t="shared" si="2"/>
        <v>INSERT INTO tblQuestionBank VALUES (seqQuestionBank.nextval, q'[Python에서 제너레이터(generator)의 특징은 무엇인가?]', 5);</v>
      </c>
    </row>
    <row r="103">
      <c r="A103" s="1">
        <v>98.0</v>
      </c>
      <c r="B103" s="1" t="s">
        <v>283</v>
      </c>
      <c r="C103" s="39" t="s">
        <v>301</v>
      </c>
      <c r="D103" s="2">
        <f t="shared" si="1"/>
        <v>3</v>
      </c>
      <c r="F103" s="1" t="str">
        <f t="shared" si="2"/>
        <v>INSERT INTO tblQuestionBank VALUES (seqQuestionBank.nextval, q'[REST API의 주요 원칙 중 하나가 아닌 것은 무엇인가?]', 3);</v>
      </c>
    </row>
    <row r="104">
      <c r="A104" s="1">
        <v>99.0</v>
      </c>
      <c r="B104" s="1" t="s">
        <v>283</v>
      </c>
      <c r="C104" s="39" t="s">
        <v>302</v>
      </c>
      <c r="D104" s="2">
        <f t="shared" si="1"/>
        <v>4</v>
      </c>
      <c r="F104" s="1" t="str">
        <f t="shared" si="2"/>
        <v>INSERT INTO tblQuestionBank VALUES (seqQuestionBank.nextval, q'[Java에서 예외(Exception) 처리 방법으로 올바른 것을 고르시오.]', 4);</v>
      </c>
    </row>
    <row r="105">
      <c r="A105" s="1">
        <v>100.0</v>
      </c>
      <c r="B105" s="1" t="s">
        <v>283</v>
      </c>
      <c r="C105" s="39" t="s">
        <v>303</v>
      </c>
      <c r="D105" s="2">
        <f t="shared" si="1"/>
        <v>5</v>
      </c>
      <c r="F105" s="1" t="str">
        <f t="shared" si="2"/>
        <v>INSERT INTO tblQuestionBank VALUES (seqQuestionBank.nextval, q'[프로그래밍 언어에서 타입 캐스팅(type casting)이란 무엇인가?]', 5);</v>
      </c>
    </row>
    <row r="106">
      <c r="A106" s="1">
        <v>101.0</v>
      </c>
      <c r="B106" s="1" t="s">
        <v>283</v>
      </c>
      <c r="C106" s="39" t="s">
        <v>284</v>
      </c>
      <c r="D106" s="2">
        <f t="shared" si="1"/>
        <v>1</v>
      </c>
      <c r="F106" s="1" t="str">
        <f t="shared" si="2"/>
        <v>INSERT INTO tblQuestionBank VALUES (seqQuestionBank.nextval, q'[변수의 스코프(scope)란 무엇인가에 대한 설명으로 올바른 것을 고르시오.]', 1);</v>
      </c>
    </row>
    <row r="107">
      <c r="A107" s="1">
        <v>102.0</v>
      </c>
      <c r="B107" s="1" t="s">
        <v>283</v>
      </c>
      <c r="C107" s="39" t="s">
        <v>285</v>
      </c>
      <c r="D107" s="2">
        <f t="shared" si="1"/>
        <v>1</v>
      </c>
      <c r="F107" s="1" t="str">
        <f t="shared" si="2"/>
        <v>INSERT INTO tblQuestionBank VALUES (seqQuestionBank.nextval, q'[재귀 함수와 반복문 중 메모리 사용량이 더 많은 것은 무엇인가?]', 1);</v>
      </c>
    </row>
    <row r="108">
      <c r="A108" s="1">
        <v>103.0</v>
      </c>
      <c r="B108" s="1" t="s">
        <v>283</v>
      </c>
      <c r="C108" s="39" t="s">
        <v>286</v>
      </c>
      <c r="D108" s="2">
        <f t="shared" si="1"/>
        <v>1</v>
      </c>
      <c r="F108" s="1" t="str">
        <f t="shared" si="2"/>
        <v>INSERT INTO tblQuestionBank VALUES (seqQuestionBank.nextval, q'[HTML에서 'a' 태그의 주요 기능은 무엇인가?]', 1);</v>
      </c>
    </row>
    <row r="109">
      <c r="A109" s="1">
        <v>104.0</v>
      </c>
      <c r="B109" s="1" t="s">
        <v>283</v>
      </c>
      <c r="C109" s="39" t="s">
        <v>287</v>
      </c>
      <c r="D109" s="2">
        <f t="shared" si="1"/>
        <v>5</v>
      </c>
      <c r="F109" s="1" t="str">
        <f t="shared" si="2"/>
        <v>INSERT INTO tblQuestionBank VALUES (seqQuestionBank.nextval, q'[Java에서 클래스와 객체의 차이점은 무엇인가?]', 5);</v>
      </c>
    </row>
    <row r="110">
      <c r="A110" s="1">
        <v>105.0</v>
      </c>
      <c r="B110" s="1" t="s">
        <v>283</v>
      </c>
      <c r="C110" s="39" t="s">
        <v>288</v>
      </c>
      <c r="D110" s="2">
        <f t="shared" si="1"/>
        <v>1</v>
      </c>
      <c r="F110" s="1" t="str">
        <f t="shared" si="2"/>
        <v>INSERT INTO tblQuestionBank VALUES (seqQuestionBank.nextval, q'[Python의 리스트와 튜플의 차이점은 무엇인가?]', 1);</v>
      </c>
    </row>
    <row r="111">
      <c r="A111" s="1">
        <v>106.0</v>
      </c>
      <c r="B111" s="1" t="s">
        <v>283</v>
      </c>
      <c r="C111" s="39" t="s">
        <v>289</v>
      </c>
      <c r="D111" s="2">
        <f t="shared" si="1"/>
        <v>2</v>
      </c>
      <c r="F111" s="1" t="str">
        <f t="shared" si="2"/>
        <v>INSERT INTO tblQuestionBank VALUES (seqQuestionBank.nextval, q'[C언어에서 포인터를 사용하는 주된 이유는 무엇인가?]', 2);</v>
      </c>
    </row>
    <row r="112">
      <c r="A112" s="1">
        <v>107.0</v>
      </c>
      <c r="B112" s="1" t="s">
        <v>283</v>
      </c>
      <c r="C112" s="39" t="s">
        <v>290</v>
      </c>
      <c r="D112" s="2">
        <f t="shared" si="1"/>
        <v>2</v>
      </c>
      <c r="F112" s="1" t="str">
        <f t="shared" si="2"/>
        <v>INSERT INTO tblQuestionBank VALUES (seqQuestionBank.nextval, q'[컴파일러와 인터프리터의 차이점은 무엇인가?]', 2);</v>
      </c>
    </row>
    <row r="113">
      <c r="A113" s="1">
        <v>108.0</v>
      </c>
      <c r="B113" s="1" t="s">
        <v>283</v>
      </c>
      <c r="C113" s="39" t="s">
        <v>291</v>
      </c>
      <c r="D113" s="2">
        <f t="shared" si="1"/>
        <v>3</v>
      </c>
      <c r="F113" s="1" t="str">
        <f t="shared" si="2"/>
        <v>INSERT INTO tblQuestionBank VALUES (seqQuestionBank.nextval, q'[JavaScript에서 클로저(closure)의 정의는 무엇인가?]', 3);</v>
      </c>
    </row>
    <row r="114">
      <c r="A114" s="1">
        <v>109.0</v>
      </c>
      <c r="B114" s="1" t="s">
        <v>283</v>
      </c>
      <c r="C114" s="39" t="s">
        <v>292</v>
      </c>
      <c r="D114" s="2">
        <f t="shared" si="1"/>
        <v>1</v>
      </c>
      <c r="F114" s="1" t="str">
        <f t="shared" si="2"/>
        <v>INSERT INTO tblQuestionBank VALUES (seqQuestionBank.nextval, q'[객체 지향 프로그래밍의 4대 특징 중 하나가 아닌 것은 무엇인가?]', 1);</v>
      </c>
    </row>
    <row r="115">
      <c r="A115" s="1">
        <v>110.0</v>
      </c>
      <c r="B115" s="1" t="s">
        <v>283</v>
      </c>
      <c r="C115" s="39" t="s">
        <v>293</v>
      </c>
      <c r="D115" s="2">
        <f t="shared" si="1"/>
        <v>4</v>
      </c>
      <c r="F115" s="1" t="str">
        <f t="shared" si="2"/>
        <v>INSERT INTO tblQuestionBank VALUES (seqQuestionBank.nextval, q'[SQL에서 'JOIN'의 기능은 무엇인가?]', 4);</v>
      </c>
    </row>
    <row r="116">
      <c r="A116" s="1">
        <v>111.0</v>
      </c>
      <c r="B116" s="1" t="s">
        <v>283</v>
      </c>
      <c r="C116" s="39" t="s">
        <v>294</v>
      </c>
      <c r="D116" s="2">
        <f t="shared" si="1"/>
        <v>2</v>
      </c>
      <c r="F116" s="1" t="str">
        <f t="shared" si="2"/>
        <v>INSERT INTO tblQuestionBank VALUES (seqQuestionBank.nextval, q'[Python에서 'with open()' 구문의 주요 목적은 무엇인가?]', 2);</v>
      </c>
    </row>
    <row r="117">
      <c r="A117" s="1">
        <v>112.0</v>
      </c>
      <c r="B117" s="1" t="s">
        <v>283</v>
      </c>
      <c r="C117" s="39" t="s">
        <v>295</v>
      </c>
      <c r="D117" s="2">
        <f t="shared" si="1"/>
        <v>3</v>
      </c>
      <c r="F117" s="1" t="str">
        <f t="shared" si="2"/>
        <v>INSERT INTO tblQuestionBank VALUES (seqQuestionBank.nextval, q'[데이터베이스에서 정규화의 목적은 무엇인가?]', 3);</v>
      </c>
    </row>
    <row r="118">
      <c r="A118" s="1">
        <v>113.0</v>
      </c>
      <c r="B118" s="1" t="s">
        <v>283</v>
      </c>
      <c r="C118" s="39" t="s">
        <v>296</v>
      </c>
      <c r="D118" s="2">
        <f t="shared" si="1"/>
        <v>4</v>
      </c>
      <c r="F118" s="1" t="str">
        <f t="shared" si="2"/>
        <v>INSERT INTO tblQuestionBank VALUES (seqQuestionBank.nextval, q'[CSS에서 'flexbox'의 주요 사용 목적은 무엇인가?]', 4);</v>
      </c>
    </row>
    <row r="119">
      <c r="A119" s="1">
        <v>114.0</v>
      </c>
      <c r="B119" s="1" t="s">
        <v>283</v>
      </c>
      <c r="C119" s="39" t="s">
        <v>297</v>
      </c>
      <c r="D119" s="2">
        <f t="shared" si="1"/>
        <v>2</v>
      </c>
      <c r="F119" s="1" t="str">
        <f t="shared" si="2"/>
        <v>INSERT INTO tblQuestionBank VALUES (seqQuestionBank.nextval, q'[Git에서 'merge'와 'rebase'의 차이점은 무엇인가?]', 2);</v>
      </c>
    </row>
    <row r="120">
      <c r="A120" s="1">
        <v>115.0</v>
      </c>
      <c r="B120" s="1" t="s">
        <v>283</v>
      </c>
      <c r="C120" s="39" t="s">
        <v>298</v>
      </c>
      <c r="D120" s="2">
        <f t="shared" si="1"/>
        <v>5</v>
      </c>
      <c r="F120" s="1" t="str">
        <f t="shared" si="2"/>
        <v>INSERT INTO tblQuestionBank VALUES (seqQuestionBank.nextval, q'[C++에서 참조자(reference)와 포인터(pointer)의 차이는 무엇인가?]', 5);</v>
      </c>
    </row>
    <row r="121">
      <c r="A121" s="1">
        <v>116.0</v>
      </c>
      <c r="B121" s="1" t="s">
        <v>283</v>
      </c>
      <c r="C121" s="39" t="s">
        <v>299</v>
      </c>
      <c r="D121" s="2">
        <f t="shared" si="1"/>
        <v>4</v>
      </c>
      <c r="F121" s="1" t="str">
        <f t="shared" si="2"/>
        <v>INSERT INTO tblQuestionBank VALUES (seqQuestionBank.nextval, q'[네트워크에서 TCP와 UDP의 차이점은 무엇인가?]', 4);</v>
      </c>
    </row>
    <row r="122">
      <c r="A122" s="1">
        <v>117.0</v>
      </c>
      <c r="B122" s="1" t="s">
        <v>283</v>
      </c>
      <c r="C122" s="39" t="s">
        <v>300</v>
      </c>
      <c r="D122" s="2">
        <f t="shared" si="1"/>
        <v>5</v>
      </c>
      <c r="F122" s="1" t="str">
        <f t="shared" si="2"/>
        <v>INSERT INTO tblQuestionBank VALUES (seqQuestionBank.nextval, q'[Python에서 제너레이터(generator)의 특징은 무엇인가?]', 5);</v>
      </c>
    </row>
    <row r="123">
      <c r="A123" s="1">
        <v>118.0</v>
      </c>
      <c r="B123" s="1" t="s">
        <v>283</v>
      </c>
      <c r="C123" s="39" t="s">
        <v>301</v>
      </c>
      <c r="D123" s="2">
        <f t="shared" si="1"/>
        <v>5</v>
      </c>
      <c r="F123" s="1" t="str">
        <f t="shared" si="2"/>
        <v>INSERT INTO tblQuestionBank VALUES (seqQuestionBank.nextval, q'[REST API의 주요 원칙 중 하나가 아닌 것은 무엇인가?]', 5);</v>
      </c>
    </row>
    <row r="124">
      <c r="A124" s="1">
        <v>119.0</v>
      </c>
      <c r="B124" s="1" t="s">
        <v>283</v>
      </c>
      <c r="C124" s="39" t="s">
        <v>302</v>
      </c>
      <c r="D124" s="2">
        <f t="shared" si="1"/>
        <v>4</v>
      </c>
      <c r="F124" s="1" t="str">
        <f t="shared" si="2"/>
        <v>INSERT INTO tblQuestionBank VALUES (seqQuestionBank.nextval, q'[Java에서 예외(Exception) 처리 방법으로 올바른 것을 고르시오.]', 4);</v>
      </c>
    </row>
    <row r="125">
      <c r="A125" s="1">
        <v>120.0</v>
      </c>
      <c r="B125" s="1" t="s">
        <v>283</v>
      </c>
      <c r="C125" s="39" t="s">
        <v>303</v>
      </c>
      <c r="D125" s="2">
        <f t="shared" si="1"/>
        <v>1</v>
      </c>
      <c r="F125" s="1" t="str">
        <f t="shared" si="2"/>
        <v>INSERT INTO tblQuestionBank VALUES (seqQuestionBank.nextval, q'[프로그래밍 언어에서 타입 캐스팅(type casting)이란 무엇인가?]', 1);</v>
      </c>
    </row>
    <row r="126">
      <c r="A126" s="1">
        <v>121.0</v>
      </c>
      <c r="B126" s="1" t="s">
        <v>283</v>
      </c>
      <c r="C126" s="39" t="s">
        <v>284</v>
      </c>
      <c r="D126" s="2">
        <f t="shared" si="1"/>
        <v>4</v>
      </c>
      <c r="F126" s="1" t="str">
        <f t="shared" si="2"/>
        <v>INSERT INTO tblQuestionBank VALUES (seqQuestionBank.nextval, q'[변수의 스코프(scope)란 무엇인가에 대한 설명으로 올바른 것을 고르시오.]', 4);</v>
      </c>
    </row>
    <row r="127">
      <c r="A127" s="1">
        <v>122.0</v>
      </c>
      <c r="B127" s="1" t="s">
        <v>283</v>
      </c>
      <c r="C127" s="39" t="s">
        <v>285</v>
      </c>
      <c r="D127" s="2">
        <f t="shared" si="1"/>
        <v>5</v>
      </c>
      <c r="F127" s="1" t="str">
        <f t="shared" si="2"/>
        <v>INSERT INTO tblQuestionBank VALUES (seqQuestionBank.nextval, q'[재귀 함수와 반복문 중 메모리 사용량이 더 많은 것은 무엇인가?]', 5);</v>
      </c>
    </row>
    <row r="128">
      <c r="A128" s="1">
        <v>123.0</v>
      </c>
      <c r="B128" s="1" t="s">
        <v>283</v>
      </c>
      <c r="C128" s="39" t="s">
        <v>286</v>
      </c>
      <c r="D128" s="2">
        <f t="shared" si="1"/>
        <v>3</v>
      </c>
      <c r="F128" s="1" t="str">
        <f t="shared" si="2"/>
        <v>INSERT INTO tblQuestionBank VALUES (seqQuestionBank.nextval, q'[HTML에서 'a' 태그의 주요 기능은 무엇인가?]', 3);</v>
      </c>
    </row>
    <row r="129">
      <c r="A129" s="1">
        <v>124.0</v>
      </c>
      <c r="B129" s="1" t="s">
        <v>283</v>
      </c>
      <c r="C129" s="39" t="s">
        <v>287</v>
      </c>
      <c r="D129" s="2">
        <f t="shared" si="1"/>
        <v>4</v>
      </c>
      <c r="F129" s="1" t="str">
        <f t="shared" si="2"/>
        <v>INSERT INTO tblQuestionBank VALUES (seqQuestionBank.nextval, q'[Java에서 클래스와 객체의 차이점은 무엇인가?]', 4);</v>
      </c>
    </row>
    <row r="130">
      <c r="A130" s="1">
        <v>125.0</v>
      </c>
      <c r="B130" s="1" t="s">
        <v>283</v>
      </c>
      <c r="C130" s="39" t="s">
        <v>288</v>
      </c>
      <c r="D130" s="2">
        <f t="shared" si="1"/>
        <v>2</v>
      </c>
      <c r="F130" s="1" t="str">
        <f t="shared" si="2"/>
        <v>INSERT INTO tblQuestionBank VALUES (seqQuestionBank.nextval, q'[Python의 리스트와 튜플의 차이점은 무엇인가?]', 2);</v>
      </c>
    </row>
    <row r="131">
      <c r="A131" s="1">
        <v>126.0</v>
      </c>
      <c r="B131" s="1" t="s">
        <v>283</v>
      </c>
      <c r="C131" s="39" t="s">
        <v>289</v>
      </c>
      <c r="D131" s="2">
        <f t="shared" si="1"/>
        <v>1</v>
      </c>
      <c r="F131" s="1" t="str">
        <f t="shared" si="2"/>
        <v>INSERT INTO tblQuestionBank VALUES (seqQuestionBank.nextval, q'[C언어에서 포인터를 사용하는 주된 이유는 무엇인가?]', 1);</v>
      </c>
    </row>
    <row r="132">
      <c r="A132" s="1">
        <v>127.0</v>
      </c>
      <c r="B132" s="1" t="s">
        <v>283</v>
      </c>
      <c r="C132" s="39" t="s">
        <v>290</v>
      </c>
      <c r="D132" s="2">
        <f t="shared" si="1"/>
        <v>1</v>
      </c>
      <c r="F132" s="1" t="str">
        <f t="shared" si="2"/>
        <v>INSERT INTO tblQuestionBank VALUES (seqQuestionBank.nextval, q'[컴파일러와 인터프리터의 차이점은 무엇인가?]', 1);</v>
      </c>
    </row>
    <row r="133">
      <c r="A133" s="1">
        <v>128.0</v>
      </c>
      <c r="B133" s="1" t="s">
        <v>283</v>
      </c>
      <c r="C133" s="39" t="s">
        <v>291</v>
      </c>
      <c r="D133" s="2">
        <f t="shared" si="1"/>
        <v>4</v>
      </c>
      <c r="F133" s="1" t="str">
        <f t="shared" si="2"/>
        <v>INSERT INTO tblQuestionBank VALUES (seqQuestionBank.nextval, q'[JavaScript에서 클로저(closure)의 정의는 무엇인가?]', 4);</v>
      </c>
    </row>
    <row r="134">
      <c r="A134" s="1">
        <v>129.0</v>
      </c>
      <c r="B134" s="1" t="s">
        <v>283</v>
      </c>
      <c r="C134" s="39" t="s">
        <v>292</v>
      </c>
      <c r="D134" s="2">
        <f t="shared" si="1"/>
        <v>1</v>
      </c>
      <c r="F134" s="1" t="str">
        <f t="shared" si="2"/>
        <v>INSERT INTO tblQuestionBank VALUES (seqQuestionBank.nextval, q'[객체 지향 프로그래밍의 4대 특징 중 하나가 아닌 것은 무엇인가?]', 1);</v>
      </c>
    </row>
    <row r="135">
      <c r="A135" s="1">
        <v>130.0</v>
      </c>
      <c r="B135" s="1" t="s">
        <v>283</v>
      </c>
      <c r="C135" s="39" t="s">
        <v>293</v>
      </c>
      <c r="D135" s="2">
        <f t="shared" si="1"/>
        <v>5</v>
      </c>
      <c r="F135" s="1" t="str">
        <f t="shared" si="2"/>
        <v>INSERT INTO tblQuestionBank VALUES (seqQuestionBank.nextval, q'[SQL에서 'JOIN'의 기능은 무엇인가?]', 5);</v>
      </c>
    </row>
    <row r="136">
      <c r="A136" s="1">
        <v>131.0</v>
      </c>
      <c r="B136" s="1" t="s">
        <v>283</v>
      </c>
      <c r="C136" s="39" t="s">
        <v>294</v>
      </c>
      <c r="D136" s="2">
        <f t="shared" si="1"/>
        <v>3</v>
      </c>
      <c r="F136" s="1" t="str">
        <f t="shared" si="2"/>
        <v>INSERT INTO tblQuestionBank VALUES (seqQuestionBank.nextval, q'[Python에서 'with open()' 구문의 주요 목적은 무엇인가?]', 3);</v>
      </c>
    </row>
    <row r="137">
      <c r="A137" s="1">
        <v>132.0</v>
      </c>
      <c r="B137" s="1" t="s">
        <v>283</v>
      </c>
      <c r="C137" s="39" t="s">
        <v>295</v>
      </c>
      <c r="D137" s="2">
        <f t="shared" si="1"/>
        <v>4</v>
      </c>
      <c r="F137" s="1" t="str">
        <f t="shared" si="2"/>
        <v>INSERT INTO tblQuestionBank VALUES (seqQuestionBank.nextval, q'[데이터베이스에서 정규화의 목적은 무엇인가?]', 4);</v>
      </c>
    </row>
    <row r="138">
      <c r="A138" s="1">
        <v>133.0</v>
      </c>
      <c r="B138" s="1" t="s">
        <v>283</v>
      </c>
      <c r="C138" s="39" t="s">
        <v>296</v>
      </c>
      <c r="D138" s="2">
        <f t="shared" si="1"/>
        <v>1</v>
      </c>
      <c r="F138" s="1" t="str">
        <f t="shared" si="2"/>
        <v>INSERT INTO tblQuestionBank VALUES (seqQuestionBank.nextval, q'[CSS에서 'flexbox'의 주요 사용 목적은 무엇인가?]', 1);</v>
      </c>
    </row>
    <row r="139">
      <c r="A139" s="1">
        <v>134.0</v>
      </c>
      <c r="B139" s="1" t="s">
        <v>283</v>
      </c>
      <c r="C139" s="39" t="s">
        <v>297</v>
      </c>
      <c r="D139" s="2">
        <f t="shared" si="1"/>
        <v>5</v>
      </c>
      <c r="F139" s="1" t="str">
        <f t="shared" si="2"/>
        <v>INSERT INTO tblQuestionBank VALUES (seqQuestionBank.nextval, q'[Git에서 'merge'와 'rebase'의 차이점은 무엇인가?]', 5);</v>
      </c>
    </row>
    <row r="140">
      <c r="A140" s="1">
        <v>135.0</v>
      </c>
      <c r="B140" s="1" t="s">
        <v>283</v>
      </c>
      <c r="C140" s="39" t="s">
        <v>298</v>
      </c>
      <c r="D140" s="2">
        <f t="shared" si="1"/>
        <v>5</v>
      </c>
      <c r="F140" s="1" t="str">
        <f t="shared" si="2"/>
        <v>INSERT INTO tblQuestionBank VALUES (seqQuestionBank.nextval, q'[C++에서 참조자(reference)와 포인터(pointer)의 차이는 무엇인가?]', 5);</v>
      </c>
    </row>
    <row r="141">
      <c r="A141" s="1">
        <v>136.0</v>
      </c>
      <c r="B141" s="1" t="s">
        <v>283</v>
      </c>
      <c r="C141" s="39" t="s">
        <v>299</v>
      </c>
      <c r="D141" s="2">
        <f t="shared" si="1"/>
        <v>1</v>
      </c>
      <c r="F141" s="1" t="str">
        <f t="shared" si="2"/>
        <v>INSERT INTO tblQuestionBank VALUES (seqQuestionBank.nextval, q'[네트워크에서 TCP와 UDP의 차이점은 무엇인가?]', 1);</v>
      </c>
    </row>
    <row r="142">
      <c r="A142" s="1">
        <v>137.0</v>
      </c>
      <c r="B142" s="1" t="s">
        <v>283</v>
      </c>
      <c r="C142" s="39" t="s">
        <v>300</v>
      </c>
      <c r="D142" s="2">
        <f t="shared" si="1"/>
        <v>5</v>
      </c>
      <c r="F142" s="1" t="str">
        <f t="shared" si="2"/>
        <v>INSERT INTO tblQuestionBank VALUES (seqQuestionBank.nextval, q'[Python에서 제너레이터(generator)의 특징은 무엇인가?]', 5);</v>
      </c>
    </row>
    <row r="143">
      <c r="A143" s="1">
        <v>138.0</v>
      </c>
      <c r="B143" s="1" t="s">
        <v>283</v>
      </c>
      <c r="C143" s="39" t="s">
        <v>301</v>
      </c>
      <c r="D143" s="2">
        <f t="shared" si="1"/>
        <v>3</v>
      </c>
      <c r="F143" s="1" t="str">
        <f t="shared" si="2"/>
        <v>INSERT INTO tblQuestionBank VALUES (seqQuestionBank.nextval, q'[REST API의 주요 원칙 중 하나가 아닌 것은 무엇인가?]', 3);</v>
      </c>
    </row>
    <row r="144">
      <c r="A144" s="1">
        <v>139.0</v>
      </c>
      <c r="B144" s="1" t="s">
        <v>283</v>
      </c>
      <c r="C144" s="39" t="s">
        <v>302</v>
      </c>
      <c r="D144" s="2">
        <f t="shared" si="1"/>
        <v>1</v>
      </c>
      <c r="F144" s="1" t="str">
        <f t="shared" si="2"/>
        <v>INSERT INTO tblQuestionBank VALUES (seqQuestionBank.nextval, q'[Java에서 예외(Exception) 처리 방법으로 올바른 것을 고르시오.]', 1);</v>
      </c>
    </row>
    <row r="145">
      <c r="A145" s="1">
        <v>140.0</v>
      </c>
      <c r="B145" s="1" t="s">
        <v>283</v>
      </c>
      <c r="C145" s="39" t="s">
        <v>303</v>
      </c>
      <c r="D145" s="2">
        <f t="shared" si="1"/>
        <v>2</v>
      </c>
      <c r="F145" s="1" t="str">
        <f t="shared" si="2"/>
        <v>INSERT INTO tblQuestionBank VALUES (seqQuestionBank.nextval, q'[프로그래밍 언어에서 타입 캐스팅(type casting)이란 무엇인가?]', 2);</v>
      </c>
    </row>
    <row r="146">
      <c r="A146" s="1">
        <v>141.0</v>
      </c>
      <c r="B146" s="1" t="s">
        <v>283</v>
      </c>
      <c r="C146" s="39" t="s">
        <v>284</v>
      </c>
      <c r="D146" s="2">
        <f t="shared" si="1"/>
        <v>2</v>
      </c>
      <c r="F146" s="1" t="str">
        <f t="shared" si="2"/>
        <v>INSERT INTO tblQuestionBank VALUES (seqQuestionBank.nextval, q'[변수의 스코프(scope)란 무엇인가에 대한 설명으로 올바른 것을 고르시오.]', 2);</v>
      </c>
    </row>
    <row r="147">
      <c r="A147" s="1">
        <v>142.0</v>
      </c>
      <c r="B147" s="1" t="s">
        <v>283</v>
      </c>
      <c r="C147" s="39" t="s">
        <v>285</v>
      </c>
      <c r="D147" s="2">
        <f t="shared" si="1"/>
        <v>1</v>
      </c>
      <c r="F147" s="1" t="str">
        <f t="shared" si="2"/>
        <v>INSERT INTO tblQuestionBank VALUES (seqQuestionBank.nextval, q'[재귀 함수와 반복문 중 메모리 사용량이 더 많은 것은 무엇인가?]', 1);</v>
      </c>
    </row>
    <row r="148">
      <c r="A148" s="1">
        <v>143.0</v>
      </c>
      <c r="B148" s="1" t="s">
        <v>283</v>
      </c>
      <c r="C148" s="39" t="s">
        <v>286</v>
      </c>
      <c r="D148" s="2">
        <f t="shared" si="1"/>
        <v>4</v>
      </c>
      <c r="F148" s="1" t="str">
        <f t="shared" si="2"/>
        <v>INSERT INTO tblQuestionBank VALUES (seqQuestionBank.nextval, q'[HTML에서 'a' 태그의 주요 기능은 무엇인가?]', 4);</v>
      </c>
    </row>
    <row r="149">
      <c r="A149" s="1">
        <v>144.0</v>
      </c>
      <c r="B149" s="1" t="s">
        <v>283</v>
      </c>
      <c r="C149" s="39" t="s">
        <v>287</v>
      </c>
      <c r="D149" s="2">
        <f t="shared" si="1"/>
        <v>2</v>
      </c>
      <c r="F149" s="1" t="str">
        <f t="shared" si="2"/>
        <v>INSERT INTO tblQuestionBank VALUES (seqQuestionBank.nextval, q'[Java에서 클래스와 객체의 차이점은 무엇인가?]', 2);</v>
      </c>
    </row>
    <row r="150">
      <c r="A150" s="1">
        <v>145.0</v>
      </c>
      <c r="B150" s="1" t="s">
        <v>283</v>
      </c>
      <c r="C150" s="39" t="s">
        <v>288</v>
      </c>
      <c r="D150" s="2">
        <f t="shared" si="1"/>
        <v>3</v>
      </c>
      <c r="F150" s="1" t="str">
        <f t="shared" si="2"/>
        <v>INSERT INTO tblQuestionBank VALUES (seqQuestionBank.nextval, q'[Python의 리스트와 튜플의 차이점은 무엇인가?]', 3);</v>
      </c>
    </row>
    <row r="151">
      <c r="A151" s="1">
        <v>146.0</v>
      </c>
      <c r="B151" s="1" t="s">
        <v>283</v>
      </c>
      <c r="C151" s="39" t="s">
        <v>289</v>
      </c>
      <c r="D151" s="2">
        <f t="shared" si="1"/>
        <v>3</v>
      </c>
      <c r="F151" s="1" t="str">
        <f t="shared" si="2"/>
        <v>INSERT INTO tblQuestionBank VALUES (seqQuestionBank.nextval, q'[C언어에서 포인터를 사용하는 주된 이유는 무엇인가?]', 3);</v>
      </c>
    </row>
    <row r="152">
      <c r="A152" s="1">
        <v>147.0</v>
      </c>
      <c r="B152" s="1" t="s">
        <v>283</v>
      </c>
      <c r="C152" s="39" t="s">
        <v>290</v>
      </c>
      <c r="D152" s="2">
        <f t="shared" si="1"/>
        <v>4</v>
      </c>
      <c r="F152" s="1" t="str">
        <f t="shared" si="2"/>
        <v>INSERT INTO tblQuestionBank VALUES (seqQuestionBank.nextval, q'[컴파일러와 인터프리터의 차이점은 무엇인가?]', 4);</v>
      </c>
    </row>
    <row r="153">
      <c r="A153" s="1">
        <v>148.0</v>
      </c>
      <c r="B153" s="1" t="s">
        <v>283</v>
      </c>
      <c r="C153" s="39" t="s">
        <v>291</v>
      </c>
      <c r="D153" s="2">
        <f t="shared" si="1"/>
        <v>4</v>
      </c>
      <c r="F153" s="1" t="str">
        <f t="shared" si="2"/>
        <v>INSERT INTO tblQuestionBank VALUES (seqQuestionBank.nextval, q'[JavaScript에서 클로저(closure)의 정의는 무엇인가?]', 4);</v>
      </c>
    </row>
    <row r="154">
      <c r="A154" s="1">
        <v>149.0</v>
      </c>
      <c r="B154" s="1" t="s">
        <v>283</v>
      </c>
      <c r="C154" s="39" t="s">
        <v>292</v>
      </c>
      <c r="D154" s="2">
        <f t="shared" si="1"/>
        <v>5</v>
      </c>
      <c r="F154" s="1" t="str">
        <f t="shared" si="2"/>
        <v>INSERT INTO tblQuestionBank VALUES (seqQuestionBank.nextval, q'[객체 지향 프로그래밍의 4대 특징 중 하나가 아닌 것은 무엇인가?]', 5);</v>
      </c>
    </row>
    <row r="155">
      <c r="A155" s="1">
        <v>150.0</v>
      </c>
      <c r="B155" s="1" t="s">
        <v>283</v>
      </c>
      <c r="C155" s="39" t="s">
        <v>293</v>
      </c>
      <c r="D155" s="2">
        <f t="shared" si="1"/>
        <v>4</v>
      </c>
      <c r="F155" s="1" t="str">
        <f t="shared" si="2"/>
        <v>INSERT INTO tblQuestionBank VALUES (seqQuestionBank.nextval, q'[SQL에서 'JOIN'의 기능은 무엇인가?]', 4);</v>
      </c>
    </row>
    <row r="156">
      <c r="A156" s="1">
        <v>151.0</v>
      </c>
      <c r="B156" s="1" t="s">
        <v>283</v>
      </c>
      <c r="C156" s="39" t="s">
        <v>294</v>
      </c>
      <c r="D156" s="2">
        <f t="shared" si="1"/>
        <v>4</v>
      </c>
      <c r="F156" s="1" t="str">
        <f t="shared" si="2"/>
        <v>INSERT INTO tblQuestionBank VALUES (seqQuestionBank.nextval, q'[Python에서 'with open()' 구문의 주요 목적은 무엇인가?]', 4);</v>
      </c>
    </row>
    <row r="157">
      <c r="A157" s="1">
        <v>152.0</v>
      </c>
      <c r="B157" s="1" t="s">
        <v>283</v>
      </c>
      <c r="C157" s="39" t="s">
        <v>295</v>
      </c>
      <c r="D157" s="2">
        <f t="shared" si="1"/>
        <v>5</v>
      </c>
      <c r="F157" s="1" t="str">
        <f t="shared" si="2"/>
        <v>INSERT INTO tblQuestionBank VALUES (seqQuestionBank.nextval, q'[데이터베이스에서 정규화의 목적은 무엇인가?]', 5);</v>
      </c>
    </row>
    <row r="158">
      <c r="A158" s="1">
        <v>153.0</v>
      </c>
      <c r="B158" s="1" t="s">
        <v>283</v>
      </c>
      <c r="C158" s="39" t="s">
        <v>296</v>
      </c>
      <c r="D158" s="2">
        <f t="shared" si="1"/>
        <v>1</v>
      </c>
      <c r="F158" s="1" t="str">
        <f t="shared" si="2"/>
        <v>INSERT INTO tblQuestionBank VALUES (seqQuestionBank.nextval, q'[CSS에서 'flexbox'의 주요 사용 목적은 무엇인가?]', 1);</v>
      </c>
    </row>
    <row r="159">
      <c r="A159" s="1">
        <v>154.0</v>
      </c>
      <c r="B159" s="1" t="s">
        <v>283</v>
      </c>
      <c r="C159" s="39" t="s">
        <v>297</v>
      </c>
      <c r="D159" s="2">
        <f t="shared" si="1"/>
        <v>1</v>
      </c>
      <c r="F159" s="1" t="str">
        <f t="shared" si="2"/>
        <v>INSERT INTO tblQuestionBank VALUES (seqQuestionBank.nextval, q'[Git에서 'merge'와 'rebase'의 차이점은 무엇인가?]', 1);</v>
      </c>
    </row>
    <row r="160">
      <c r="A160" s="1">
        <v>155.0</v>
      </c>
      <c r="B160" s="1" t="s">
        <v>283</v>
      </c>
      <c r="C160" s="39" t="s">
        <v>298</v>
      </c>
      <c r="D160" s="2">
        <f t="shared" si="1"/>
        <v>5</v>
      </c>
      <c r="F160" s="1" t="str">
        <f t="shared" si="2"/>
        <v>INSERT INTO tblQuestionBank VALUES (seqQuestionBank.nextval, q'[C++에서 참조자(reference)와 포인터(pointer)의 차이는 무엇인가?]', 5);</v>
      </c>
    </row>
    <row r="161">
      <c r="A161" s="1">
        <v>156.0</v>
      </c>
      <c r="B161" s="1" t="s">
        <v>283</v>
      </c>
      <c r="C161" s="39" t="s">
        <v>299</v>
      </c>
      <c r="D161" s="2">
        <f t="shared" si="1"/>
        <v>1</v>
      </c>
      <c r="F161" s="1" t="str">
        <f t="shared" si="2"/>
        <v>INSERT INTO tblQuestionBank VALUES (seqQuestionBank.nextval, q'[네트워크에서 TCP와 UDP의 차이점은 무엇인가?]', 1);</v>
      </c>
    </row>
    <row r="162">
      <c r="A162" s="1">
        <v>157.0</v>
      </c>
      <c r="B162" s="1" t="s">
        <v>283</v>
      </c>
      <c r="C162" s="39" t="s">
        <v>300</v>
      </c>
      <c r="D162" s="2">
        <f t="shared" si="1"/>
        <v>2</v>
      </c>
      <c r="F162" s="1" t="str">
        <f t="shared" si="2"/>
        <v>INSERT INTO tblQuestionBank VALUES (seqQuestionBank.nextval, q'[Python에서 제너레이터(generator)의 특징은 무엇인가?]', 2);</v>
      </c>
    </row>
    <row r="163">
      <c r="A163" s="1">
        <v>158.0</v>
      </c>
      <c r="B163" s="1" t="s">
        <v>283</v>
      </c>
      <c r="C163" s="39" t="s">
        <v>301</v>
      </c>
      <c r="D163" s="2">
        <f t="shared" si="1"/>
        <v>2</v>
      </c>
      <c r="F163" s="1" t="str">
        <f t="shared" si="2"/>
        <v>INSERT INTO tblQuestionBank VALUES (seqQuestionBank.nextval, q'[REST API의 주요 원칙 중 하나가 아닌 것은 무엇인가?]', 2);</v>
      </c>
    </row>
    <row r="164">
      <c r="A164" s="1">
        <v>159.0</v>
      </c>
      <c r="B164" s="1" t="s">
        <v>283</v>
      </c>
      <c r="C164" s="39" t="s">
        <v>302</v>
      </c>
      <c r="D164" s="2">
        <f t="shared" si="1"/>
        <v>2</v>
      </c>
      <c r="F164" s="1" t="str">
        <f t="shared" si="2"/>
        <v>INSERT INTO tblQuestionBank VALUES (seqQuestionBank.nextval, q'[Java에서 예외(Exception) 처리 방법으로 올바른 것을 고르시오.]', 2);</v>
      </c>
    </row>
    <row r="165">
      <c r="A165" s="1">
        <v>160.0</v>
      </c>
      <c r="B165" s="1" t="s">
        <v>283</v>
      </c>
      <c r="C165" s="39" t="s">
        <v>303</v>
      </c>
      <c r="D165" s="2">
        <f t="shared" si="1"/>
        <v>3</v>
      </c>
      <c r="F165" s="1" t="str">
        <f t="shared" si="2"/>
        <v>INSERT INTO tblQuestionBank VALUES (seqQuestionBank.nextval, q'[프로그래밍 언어에서 타입 캐스팅(type casting)이란 무엇인가?]', 3);</v>
      </c>
    </row>
    <row r="166">
      <c r="A166" s="1">
        <v>161.0</v>
      </c>
      <c r="B166" s="1" t="s">
        <v>283</v>
      </c>
      <c r="C166" s="39" t="s">
        <v>284</v>
      </c>
      <c r="D166" s="2">
        <f t="shared" si="1"/>
        <v>1</v>
      </c>
      <c r="F166" s="1" t="str">
        <f t="shared" si="2"/>
        <v>INSERT INTO tblQuestionBank VALUES (seqQuestionBank.nextval, q'[변수의 스코프(scope)란 무엇인가에 대한 설명으로 올바른 것을 고르시오.]', 1);</v>
      </c>
    </row>
    <row r="167">
      <c r="A167" s="1">
        <v>162.0</v>
      </c>
      <c r="B167" s="1" t="s">
        <v>283</v>
      </c>
      <c r="C167" s="39" t="s">
        <v>285</v>
      </c>
      <c r="D167" s="2">
        <f t="shared" si="1"/>
        <v>4</v>
      </c>
      <c r="F167" s="1" t="str">
        <f t="shared" si="2"/>
        <v>INSERT INTO tblQuestionBank VALUES (seqQuestionBank.nextval, q'[재귀 함수와 반복문 중 메모리 사용량이 더 많은 것은 무엇인가?]', 4);</v>
      </c>
    </row>
    <row r="168">
      <c r="A168" s="1">
        <v>163.0</v>
      </c>
      <c r="B168" s="1" t="s">
        <v>283</v>
      </c>
      <c r="C168" s="39" t="s">
        <v>286</v>
      </c>
      <c r="D168" s="2">
        <f t="shared" si="1"/>
        <v>3</v>
      </c>
      <c r="F168" s="1" t="str">
        <f t="shared" si="2"/>
        <v>INSERT INTO tblQuestionBank VALUES (seqQuestionBank.nextval, q'[HTML에서 'a' 태그의 주요 기능은 무엇인가?]', 3);</v>
      </c>
    </row>
    <row r="169">
      <c r="A169" s="1">
        <v>164.0</v>
      </c>
      <c r="B169" s="1" t="s">
        <v>283</v>
      </c>
      <c r="C169" s="39" t="s">
        <v>287</v>
      </c>
      <c r="D169" s="2">
        <f t="shared" si="1"/>
        <v>1</v>
      </c>
      <c r="F169" s="1" t="str">
        <f t="shared" si="2"/>
        <v>INSERT INTO tblQuestionBank VALUES (seqQuestionBank.nextval, q'[Java에서 클래스와 객체의 차이점은 무엇인가?]', 1);</v>
      </c>
    </row>
    <row r="170">
      <c r="A170" s="1">
        <v>165.0</v>
      </c>
      <c r="B170" s="1" t="s">
        <v>283</v>
      </c>
      <c r="C170" s="39" t="s">
        <v>288</v>
      </c>
      <c r="D170" s="2">
        <f t="shared" si="1"/>
        <v>5</v>
      </c>
      <c r="F170" s="1" t="str">
        <f t="shared" si="2"/>
        <v>INSERT INTO tblQuestionBank VALUES (seqQuestionBank.nextval, q'[Python의 리스트와 튜플의 차이점은 무엇인가?]', 5);</v>
      </c>
    </row>
    <row r="171">
      <c r="A171" s="1">
        <v>166.0</v>
      </c>
      <c r="B171" s="1" t="s">
        <v>283</v>
      </c>
      <c r="C171" s="39" t="s">
        <v>289</v>
      </c>
      <c r="D171" s="2">
        <f t="shared" si="1"/>
        <v>5</v>
      </c>
      <c r="F171" s="1" t="str">
        <f t="shared" si="2"/>
        <v>INSERT INTO tblQuestionBank VALUES (seqQuestionBank.nextval, q'[C언어에서 포인터를 사용하는 주된 이유는 무엇인가?]', 5);</v>
      </c>
    </row>
    <row r="172">
      <c r="A172" s="1">
        <v>167.0</v>
      </c>
      <c r="B172" s="1" t="s">
        <v>283</v>
      </c>
      <c r="C172" s="39" t="s">
        <v>290</v>
      </c>
      <c r="D172" s="2">
        <f t="shared" si="1"/>
        <v>4</v>
      </c>
      <c r="F172" s="1" t="str">
        <f t="shared" si="2"/>
        <v>INSERT INTO tblQuestionBank VALUES (seqQuestionBank.nextval, q'[컴파일러와 인터프리터의 차이점은 무엇인가?]', 4);</v>
      </c>
    </row>
    <row r="173">
      <c r="A173" s="1">
        <v>168.0</v>
      </c>
      <c r="B173" s="1" t="s">
        <v>283</v>
      </c>
      <c r="C173" s="39" t="s">
        <v>291</v>
      </c>
      <c r="D173" s="2">
        <f t="shared" si="1"/>
        <v>2</v>
      </c>
      <c r="F173" s="1" t="str">
        <f t="shared" si="2"/>
        <v>INSERT INTO tblQuestionBank VALUES (seqQuestionBank.nextval, q'[JavaScript에서 클로저(closure)의 정의는 무엇인가?]', 2);</v>
      </c>
    </row>
    <row r="174">
      <c r="A174" s="1">
        <v>169.0</v>
      </c>
      <c r="B174" s="1" t="s">
        <v>283</v>
      </c>
      <c r="C174" s="39" t="s">
        <v>292</v>
      </c>
      <c r="D174" s="2">
        <f t="shared" si="1"/>
        <v>3</v>
      </c>
      <c r="F174" s="1" t="str">
        <f t="shared" si="2"/>
        <v>INSERT INTO tblQuestionBank VALUES (seqQuestionBank.nextval, q'[객체 지향 프로그래밍의 4대 특징 중 하나가 아닌 것은 무엇인가?]', 3);</v>
      </c>
    </row>
    <row r="175">
      <c r="A175" s="1">
        <v>170.0</v>
      </c>
      <c r="B175" s="1" t="s">
        <v>283</v>
      </c>
      <c r="C175" s="39" t="s">
        <v>293</v>
      </c>
      <c r="D175" s="2">
        <f t="shared" si="1"/>
        <v>4</v>
      </c>
      <c r="F175" s="1" t="str">
        <f t="shared" si="2"/>
        <v>INSERT INTO tblQuestionBank VALUES (seqQuestionBank.nextval, q'[SQL에서 'JOIN'의 기능은 무엇인가?]', 4);</v>
      </c>
    </row>
    <row r="176">
      <c r="A176" s="1">
        <v>171.0</v>
      </c>
      <c r="B176" s="1" t="s">
        <v>283</v>
      </c>
      <c r="C176" s="39" t="s">
        <v>294</v>
      </c>
      <c r="D176" s="2">
        <f t="shared" si="1"/>
        <v>2</v>
      </c>
      <c r="F176" s="1" t="str">
        <f t="shared" si="2"/>
        <v>INSERT INTO tblQuestionBank VALUES (seqQuestionBank.nextval, q'[Python에서 'with open()' 구문의 주요 목적은 무엇인가?]', 2);</v>
      </c>
    </row>
    <row r="177">
      <c r="A177" s="1">
        <v>172.0</v>
      </c>
      <c r="B177" s="1" t="s">
        <v>283</v>
      </c>
      <c r="C177" s="39" t="s">
        <v>295</v>
      </c>
      <c r="D177" s="2">
        <f t="shared" si="1"/>
        <v>4</v>
      </c>
      <c r="F177" s="1" t="str">
        <f t="shared" si="2"/>
        <v>INSERT INTO tblQuestionBank VALUES (seqQuestionBank.nextval, q'[데이터베이스에서 정규화의 목적은 무엇인가?]', 4);</v>
      </c>
    </row>
    <row r="178">
      <c r="A178" s="1">
        <v>173.0</v>
      </c>
      <c r="B178" s="1" t="s">
        <v>283</v>
      </c>
      <c r="C178" s="39" t="s">
        <v>296</v>
      </c>
      <c r="D178" s="2">
        <f t="shared" si="1"/>
        <v>4</v>
      </c>
      <c r="F178" s="1" t="str">
        <f t="shared" si="2"/>
        <v>INSERT INTO tblQuestionBank VALUES (seqQuestionBank.nextval, q'[CSS에서 'flexbox'의 주요 사용 목적은 무엇인가?]', 4);</v>
      </c>
    </row>
    <row r="179">
      <c r="A179" s="1">
        <v>174.0</v>
      </c>
      <c r="B179" s="1" t="s">
        <v>283</v>
      </c>
      <c r="C179" s="39" t="s">
        <v>297</v>
      </c>
      <c r="D179" s="2">
        <f t="shared" si="1"/>
        <v>3</v>
      </c>
      <c r="F179" s="1" t="str">
        <f t="shared" si="2"/>
        <v>INSERT INTO tblQuestionBank VALUES (seqQuestionBank.nextval, q'[Git에서 'merge'와 'rebase'의 차이점은 무엇인가?]', 3);</v>
      </c>
    </row>
    <row r="180">
      <c r="A180" s="1">
        <v>175.0</v>
      </c>
      <c r="B180" s="1" t="s">
        <v>283</v>
      </c>
      <c r="C180" s="39" t="s">
        <v>298</v>
      </c>
      <c r="D180" s="2">
        <f t="shared" si="1"/>
        <v>1</v>
      </c>
      <c r="F180" s="1" t="str">
        <f t="shared" si="2"/>
        <v>INSERT INTO tblQuestionBank VALUES (seqQuestionBank.nextval, q'[C++에서 참조자(reference)와 포인터(pointer)의 차이는 무엇인가?]', 1);</v>
      </c>
    </row>
    <row r="181">
      <c r="A181" s="1">
        <v>176.0</v>
      </c>
      <c r="B181" s="1" t="s">
        <v>283</v>
      </c>
      <c r="C181" s="39" t="s">
        <v>299</v>
      </c>
      <c r="D181" s="2">
        <f t="shared" si="1"/>
        <v>3</v>
      </c>
      <c r="F181" s="1" t="str">
        <f t="shared" si="2"/>
        <v>INSERT INTO tblQuestionBank VALUES (seqQuestionBank.nextval, q'[네트워크에서 TCP와 UDP의 차이점은 무엇인가?]', 3);</v>
      </c>
    </row>
    <row r="182">
      <c r="A182" s="1">
        <v>177.0</v>
      </c>
      <c r="B182" s="1" t="s">
        <v>283</v>
      </c>
      <c r="C182" s="39" t="s">
        <v>300</v>
      </c>
      <c r="D182" s="2">
        <f t="shared" si="1"/>
        <v>2</v>
      </c>
      <c r="F182" s="1" t="str">
        <f t="shared" si="2"/>
        <v>INSERT INTO tblQuestionBank VALUES (seqQuestionBank.nextval, q'[Python에서 제너레이터(generator)의 특징은 무엇인가?]', 2);</v>
      </c>
    </row>
    <row r="183">
      <c r="A183" s="1">
        <v>178.0</v>
      </c>
      <c r="B183" s="1" t="s">
        <v>283</v>
      </c>
      <c r="C183" s="39" t="s">
        <v>301</v>
      </c>
      <c r="D183" s="2">
        <f t="shared" si="1"/>
        <v>4</v>
      </c>
      <c r="F183" s="1" t="str">
        <f t="shared" si="2"/>
        <v>INSERT INTO tblQuestionBank VALUES (seqQuestionBank.nextval, q'[REST API의 주요 원칙 중 하나가 아닌 것은 무엇인가?]', 4);</v>
      </c>
    </row>
    <row r="184">
      <c r="A184" s="1">
        <v>179.0</v>
      </c>
      <c r="B184" s="1" t="s">
        <v>283</v>
      </c>
      <c r="C184" s="39" t="s">
        <v>302</v>
      </c>
      <c r="D184" s="2">
        <f t="shared" si="1"/>
        <v>4</v>
      </c>
      <c r="F184" s="1" t="str">
        <f t="shared" si="2"/>
        <v>INSERT INTO tblQuestionBank VALUES (seqQuestionBank.nextval, q'[Java에서 예외(Exception) 처리 방법으로 올바른 것을 고르시오.]', 4);</v>
      </c>
    </row>
    <row r="185">
      <c r="A185" s="1">
        <v>180.0</v>
      </c>
      <c r="B185" s="1" t="s">
        <v>283</v>
      </c>
      <c r="C185" s="39" t="s">
        <v>303</v>
      </c>
      <c r="D185" s="2">
        <f t="shared" si="1"/>
        <v>3</v>
      </c>
      <c r="F185" s="1" t="str">
        <f t="shared" si="2"/>
        <v>INSERT INTO tblQuestionBank VALUES (seqQuestionBank.nextval, q'[프로그래밍 언어에서 타입 캐스팅(type casting)이란 무엇인가?]', 3);</v>
      </c>
    </row>
    <row r="186">
      <c r="A186" s="1">
        <v>181.0</v>
      </c>
      <c r="B186" s="1" t="s">
        <v>283</v>
      </c>
      <c r="C186" s="39" t="s">
        <v>284</v>
      </c>
      <c r="D186" s="2">
        <f t="shared" si="1"/>
        <v>4</v>
      </c>
      <c r="F186" s="1" t="str">
        <f t="shared" si="2"/>
        <v>INSERT INTO tblQuestionBank VALUES (seqQuestionBank.nextval, q'[변수의 스코프(scope)란 무엇인가에 대한 설명으로 올바른 것을 고르시오.]', 4);</v>
      </c>
    </row>
    <row r="187">
      <c r="A187" s="1">
        <v>182.0</v>
      </c>
      <c r="B187" s="1" t="s">
        <v>283</v>
      </c>
      <c r="C187" s="39" t="s">
        <v>285</v>
      </c>
      <c r="D187" s="2">
        <f t="shared" si="1"/>
        <v>2</v>
      </c>
      <c r="F187" s="1" t="str">
        <f t="shared" si="2"/>
        <v>INSERT INTO tblQuestionBank VALUES (seqQuestionBank.nextval, q'[재귀 함수와 반복문 중 메모리 사용량이 더 많은 것은 무엇인가?]', 2);</v>
      </c>
    </row>
    <row r="188">
      <c r="A188" s="1">
        <v>183.0</v>
      </c>
      <c r="B188" s="1" t="s">
        <v>283</v>
      </c>
      <c r="C188" s="39" t="s">
        <v>286</v>
      </c>
      <c r="D188" s="2">
        <f t="shared" si="1"/>
        <v>2</v>
      </c>
      <c r="F188" s="1" t="str">
        <f t="shared" si="2"/>
        <v>INSERT INTO tblQuestionBank VALUES (seqQuestionBank.nextval, q'[HTML에서 'a' 태그의 주요 기능은 무엇인가?]', 2);</v>
      </c>
    </row>
    <row r="189">
      <c r="A189" s="1">
        <v>184.0</v>
      </c>
      <c r="B189" s="1" t="s">
        <v>283</v>
      </c>
      <c r="C189" s="39" t="s">
        <v>287</v>
      </c>
      <c r="D189" s="2">
        <f t="shared" si="1"/>
        <v>1</v>
      </c>
      <c r="F189" s="1" t="str">
        <f t="shared" si="2"/>
        <v>INSERT INTO tblQuestionBank VALUES (seqQuestionBank.nextval, q'[Java에서 클래스와 객체의 차이점은 무엇인가?]', 1);</v>
      </c>
    </row>
    <row r="190">
      <c r="A190" s="1">
        <v>185.0</v>
      </c>
      <c r="B190" s="1" t="s">
        <v>283</v>
      </c>
      <c r="C190" s="39" t="s">
        <v>288</v>
      </c>
      <c r="D190" s="2">
        <f t="shared" si="1"/>
        <v>3</v>
      </c>
      <c r="F190" s="1" t="str">
        <f t="shared" si="2"/>
        <v>INSERT INTO tblQuestionBank VALUES (seqQuestionBank.nextval, q'[Python의 리스트와 튜플의 차이점은 무엇인가?]', 3);</v>
      </c>
    </row>
    <row r="191">
      <c r="A191" s="1">
        <v>186.0</v>
      </c>
      <c r="B191" s="1" t="s">
        <v>283</v>
      </c>
      <c r="C191" s="39" t="s">
        <v>289</v>
      </c>
      <c r="D191" s="2">
        <f t="shared" si="1"/>
        <v>1</v>
      </c>
      <c r="F191" s="1" t="str">
        <f t="shared" si="2"/>
        <v>INSERT INTO tblQuestionBank VALUES (seqQuestionBank.nextval, q'[C언어에서 포인터를 사용하는 주된 이유는 무엇인가?]', 1);</v>
      </c>
    </row>
    <row r="192">
      <c r="A192" s="1">
        <v>187.0</v>
      </c>
      <c r="B192" s="1" t="s">
        <v>283</v>
      </c>
      <c r="C192" s="39" t="s">
        <v>290</v>
      </c>
      <c r="D192" s="2">
        <f t="shared" si="1"/>
        <v>4</v>
      </c>
      <c r="F192" s="1" t="str">
        <f t="shared" si="2"/>
        <v>INSERT INTO tblQuestionBank VALUES (seqQuestionBank.nextval, q'[컴파일러와 인터프리터의 차이점은 무엇인가?]', 4);</v>
      </c>
    </row>
    <row r="193">
      <c r="A193" s="1">
        <v>188.0</v>
      </c>
      <c r="B193" s="1" t="s">
        <v>283</v>
      </c>
      <c r="C193" s="39" t="s">
        <v>291</v>
      </c>
      <c r="D193" s="2">
        <f t="shared" si="1"/>
        <v>3</v>
      </c>
      <c r="F193" s="1" t="str">
        <f t="shared" si="2"/>
        <v>INSERT INTO tblQuestionBank VALUES (seqQuestionBank.nextval, q'[JavaScript에서 클로저(closure)의 정의는 무엇인가?]', 3);</v>
      </c>
    </row>
    <row r="194">
      <c r="A194" s="1">
        <v>189.0</v>
      </c>
      <c r="B194" s="1" t="s">
        <v>283</v>
      </c>
      <c r="C194" s="39" t="s">
        <v>292</v>
      </c>
      <c r="D194" s="2">
        <f t="shared" si="1"/>
        <v>2</v>
      </c>
      <c r="F194" s="1" t="str">
        <f t="shared" si="2"/>
        <v>INSERT INTO tblQuestionBank VALUES (seqQuestionBank.nextval, q'[객체 지향 프로그래밍의 4대 특징 중 하나가 아닌 것은 무엇인가?]', 2);</v>
      </c>
    </row>
    <row r="195">
      <c r="A195" s="1">
        <v>190.0</v>
      </c>
      <c r="B195" s="1" t="s">
        <v>283</v>
      </c>
      <c r="C195" s="39" t="s">
        <v>293</v>
      </c>
      <c r="D195" s="2">
        <f t="shared" si="1"/>
        <v>1</v>
      </c>
      <c r="F195" s="1" t="str">
        <f t="shared" si="2"/>
        <v>INSERT INTO tblQuestionBank VALUES (seqQuestionBank.nextval, q'[SQL에서 'JOIN'의 기능은 무엇인가?]', 1);</v>
      </c>
    </row>
    <row r="196">
      <c r="A196" s="1">
        <v>191.0</v>
      </c>
      <c r="B196" s="1" t="s">
        <v>283</v>
      </c>
      <c r="C196" s="39" t="s">
        <v>294</v>
      </c>
      <c r="D196" s="2">
        <f t="shared" si="1"/>
        <v>1</v>
      </c>
      <c r="F196" s="1" t="str">
        <f t="shared" si="2"/>
        <v>INSERT INTO tblQuestionBank VALUES (seqQuestionBank.nextval, q'[Python에서 'with open()' 구문의 주요 목적은 무엇인가?]', 1);</v>
      </c>
    </row>
    <row r="197">
      <c r="A197" s="1">
        <v>192.0</v>
      </c>
      <c r="B197" s="1" t="s">
        <v>283</v>
      </c>
      <c r="C197" s="39" t="s">
        <v>295</v>
      </c>
      <c r="D197" s="2">
        <f t="shared" si="1"/>
        <v>4</v>
      </c>
      <c r="F197" s="1" t="str">
        <f t="shared" si="2"/>
        <v>INSERT INTO tblQuestionBank VALUES (seqQuestionBank.nextval, q'[데이터베이스에서 정규화의 목적은 무엇인가?]', 4);</v>
      </c>
    </row>
    <row r="198">
      <c r="A198" s="1">
        <v>193.0</v>
      </c>
      <c r="B198" s="1" t="s">
        <v>283</v>
      </c>
      <c r="C198" s="39" t="s">
        <v>296</v>
      </c>
      <c r="D198" s="2">
        <f t="shared" si="1"/>
        <v>5</v>
      </c>
      <c r="F198" s="1" t="str">
        <f t="shared" si="2"/>
        <v>INSERT INTO tblQuestionBank VALUES (seqQuestionBank.nextval, q'[CSS에서 'flexbox'의 주요 사용 목적은 무엇인가?]', 5);</v>
      </c>
    </row>
    <row r="199">
      <c r="A199" s="1">
        <v>194.0</v>
      </c>
      <c r="B199" s="1" t="s">
        <v>283</v>
      </c>
      <c r="C199" s="39" t="s">
        <v>297</v>
      </c>
      <c r="D199" s="2">
        <f t="shared" si="1"/>
        <v>3</v>
      </c>
      <c r="F199" s="1" t="str">
        <f t="shared" si="2"/>
        <v>INSERT INTO tblQuestionBank VALUES (seqQuestionBank.nextval, q'[Git에서 'merge'와 'rebase'의 차이점은 무엇인가?]', 3);</v>
      </c>
    </row>
    <row r="200">
      <c r="A200" s="1">
        <v>195.0</v>
      </c>
      <c r="B200" s="1" t="s">
        <v>283</v>
      </c>
      <c r="C200" s="39" t="s">
        <v>298</v>
      </c>
      <c r="D200" s="2">
        <f t="shared" si="1"/>
        <v>1</v>
      </c>
      <c r="F200" s="1" t="str">
        <f t="shared" si="2"/>
        <v>INSERT INTO tblQuestionBank VALUES (seqQuestionBank.nextval, q'[C++에서 참조자(reference)와 포인터(pointer)의 차이는 무엇인가?]', 1);</v>
      </c>
    </row>
    <row r="201">
      <c r="A201" s="1">
        <v>196.0</v>
      </c>
      <c r="B201" s="1" t="s">
        <v>283</v>
      </c>
      <c r="C201" s="39" t="s">
        <v>299</v>
      </c>
      <c r="D201" s="2">
        <f t="shared" si="1"/>
        <v>3</v>
      </c>
      <c r="F201" s="1" t="str">
        <f t="shared" si="2"/>
        <v>INSERT INTO tblQuestionBank VALUES (seqQuestionBank.nextval, q'[네트워크에서 TCP와 UDP의 차이점은 무엇인가?]', 3);</v>
      </c>
    </row>
    <row r="202">
      <c r="A202" s="1">
        <v>197.0</v>
      </c>
      <c r="B202" s="1" t="s">
        <v>283</v>
      </c>
      <c r="C202" s="39" t="s">
        <v>300</v>
      </c>
      <c r="D202" s="2">
        <f t="shared" si="1"/>
        <v>1</v>
      </c>
      <c r="F202" s="1" t="str">
        <f t="shared" si="2"/>
        <v>INSERT INTO tblQuestionBank VALUES (seqQuestionBank.nextval, q'[Python에서 제너레이터(generator)의 특징은 무엇인가?]', 1);</v>
      </c>
    </row>
    <row r="203">
      <c r="A203" s="1">
        <v>198.0</v>
      </c>
      <c r="B203" s="1" t="s">
        <v>283</v>
      </c>
      <c r="C203" s="39" t="s">
        <v>301</v>
      </c>
      <c r="D203" s="2">
        <f t="shared" si="1"/>
        <v>5</v>
      </c>
      <c r="F203" s="1" t="str">
        <f t="shared" si="2"/>
        <v>INSERT INTO tblQuestionBank VALUES (seqQuestionBank.nextval, q'[REST API의 주요 원칙 중 하나가 아닌 것은 무엇인가?]', 5);</v>
      </c>
    </row>
    <row r="204">
      <c r="A204" s="1">
        <v>199.0</v>
      </c>
      <c r="B204" s="1" t="s">
        <v>283</v>
      </c>
      <c r="C204" s="39" t="s">
        <v>302</v>
      </c>
      <c r="D204" s="2">
        <f t="shared" si="1"/>
        <v>1</v>
      </c>
      <c r="F204" s="1" t="str">
        <f t="shared" si="2"/>
        <v>INSERT INTO tblQuestionBank VALUES (seqQuestionBank.nextval, q'[Java에서 예외(Exception) 처리 방법으로 올바른 것을 고르시오.]', 1);</v>
      </c>
    </row>
    <row r="205">
      <c r="A205" s="1">
        <v>200.0</v>
      </c>
      <c r="B205" s="1" t="s">
        <v>283</v>
      </c>
      <c r="C205" s="39" t="s">
        <v>303</v>
      </c>
      <c r="D205" s="2">
        <f t="shared" si="1"/>
        <v>4</v>
      </c>
      <c r="F205" s="1" t="str">
        <f t="shared" si="2"/>
        <v>INSERT INTO tblQuestionBank VALUES (seqQuestionBank.nextval, q'[프로그래밍 언어에서 타입 캐스팅(type casting)이란 무엇인가?]', 4);</v>
      </c>
    </row>
    <row r="206">
      <c r="A206" s="1">
        <v>201.0</v>
      </c>
      <c r="B206" s="1" t="s">
        <v>283</v>
      </c>
      <c r="C206" s="39" t="s">
        <v>284</v>
      </c>
      <c r="D206" s="2">
        <f t="shared" si="1"/>
        <v>2</v>
      </c>
      <c r="F206" s="1" t="str">
        <f t="shared" si="2"/>
        <v>INSERT INTO tblQuestionBank VALUES (seqQuestionBank.nextval, q'[변수의 스코프(scope)란 무엇인가에 대한 설명으로 올바른 것을 고르시오.]', 2);</v>
      </c>
    </row>
    <row r="207">
      <c r="A207" s="1">
        <v>202.0</v>
      </c>
      <c r="B207" s="1" t="s">
        <v>283</v>
      </c>
      <c r="C207" s="39" t="s">
        <v>285</v>
      </c>
      <c r="D207" s="2">
        <f t="shared" si="1"/>
        <v>2</v>
      </c>
      <c r="F207" s="1" t="str">
        <f t="shared" si="2"/>
        <v>INSERT INTO tblQuestionBank VALUES (seqQuestionBank.nextval, q'[재귀 함수와 반복문 중 메모리 사용량이 더 많은 것은 무엇인가?]', 2);</v>
      </c>
    </row>
    <row r="208">
      <c r="A208" s="1">
        <v>203.0</v>
      </c>
      <c r="B208" s="1" t="s">
        <v>283</v>
      </c>
      <c r="C208" s="39" t="s">
        <v>286</v>
      </c>
      <c r="D208" s="2">
        <f t="shared" si="1"/>
        <v>4</v>
      </c>
      <c r="F208" s="1" t="str">
        <f t="shared" si="2"/>
        <v>INSERT INTO tblQuestionBank VALUES (seqQuestionBank.nextval, q'[HTML에서 'a' 태그의 주요 기능은 무엇인가?]', 4);</v>
      </c>
    </row>
    <row r="209">
      <c r="A209" s="1">
        <v>204.0</v>
      </c>
      <c r="B209" s="1" t="s">
        <v>283</v>
      </c>
      <c r="C209" s="39" t="s">
        <v>287</v>
      </c>
      <c r="D209" s="2">
        <f t="shared" si="1"/>
        <v>1</v>
      </c>
      <c r="F209" s="1" t="str">
        <f t="shared" si="2"/>
        <v>INSERT INTO tblQuestionBank VALUES (seqQuestionBank.nextval, q'[Java에서 클래스와 객체의 차이점은 무엇인가?]', 1);</v>
      </c>
    </row>
    <row r="210">
      <c r="A210" s="1">
        <v>205.0</v>
      </c>
      <c r="B210" s="1" t="s">
        <v>283</v>
      </c>
      <c r="C210" s="39" t="s">
        <v>288</v>
      </c>
      <c r="D210" s="2">
        <f t="shared" si="1"/>
        <v>4</v>
      </c>
      <c r="F210" s="1" t="str">
        <f t="shared" si="2"/>
        <v>INSERT INTO tblQuestionBank VALUES (seqQuestionBank.nextval, q'[Python의 리스트와 튜플의 차이점은 무엇인가?]', 4);</v>
      </c>
    </row>
    <row r="211">
      <c r="A211" s="1">
        <v>206.0</v>
      </c>
      <c r="B211" s="1" t="s">
        <v>283</v>
      </c>
      <c r="C211" s="39" t="s">
        <v>289</v>
      </c>
      <c r="D211" s="2">
        <f t="shared" si="1"/>
        <v>5</v>
      </c>
      <c r="F211" s="1" t="str">
        <f t="shared" si="2"/>
        <v>INSERT INTO tblQuestionBank VALUES (seqQuestionBank.nextval, q'[C언어에서 포인터를 사용하는 주된 이유는 무엇인가?]', 5);</v>
      </c>
    </row>
    <row r="212">
      <c r="A212" s="1">
        <v>207.0</v>
      </c>
      <c r="B212" s="1" t="s">
        <v>283</v>
      </c>
      <c r="C212" s="39" t="s">
        <v>290</v>
      </c>
      <c r="D212" s="2">
        <f t="shared" si="1"/>
        <v>4</v>
      </c>
      <c r="F212" s="1" t="str">
        <f t="shared" si="2"/>
        <v>INSERT INTO tblQuestionBank VALUES (seqQuestionBank.nextval, q'[컴파일러와 인터프리터의 차이점은 무엇인가?]', 4);</v>
      </c>
    </row>
    <row r="213">
      <c r="A213" s="1">
        <v>208.0</v>
      </c>
      <c r="B213" s="1" t="s">
        <v>283</v>
      </c>
      <c r="C213" s="39" t="s">
        <v>291</v>
      </c>
      <c r="D213" s="2">
        <f t="shared" si="1"/>
        <v>4</v>
      </c>
      <c r="F213" s="1" t="str">
        <f t="shared" si="2"/>
        <v>INSERT INTO tblQuestionBank VALUES (seqQuestionBank.nextval, q'[JavaScript에서 클로저(closure)의 정의는 무엇인가?]', 4);</v>
      </c>
    </row>
    <row r="214">
      <c r="A214" s="1">
        <v>209.0</v>
      </c>
      <c r="B214" s="1" t="s">
        <v>283</v>
      </c>
      <c r="C214" s="39" t="s">
        <v>292</v>
      </c>
      <c r="D214" s="2">
        <f t="shared" si="1"/>
        <v>4</v>
      </c>
      <c r="F214" s="1" t="str">
        <f t="shared" si="2"/>
        <v>INSERT INTO tblQuestionBank VALUES (seqQuestionBank.nextval, q'[객체 지향 프로그래밍의 4대 특징 중 하나가 아닌 것은 무엇인가?]', 4);</v>
      </c>
    </row>
    <row r="215">
      <c r="A215" s="1">
        <v>210.0</v>
      </c>
      <c r="B215" s="1" t="s">
        <v>283</v>
      </c>
      <c r="C215" s="39" t="s">
        <v>293</v>
      </c>
      <c r="D215" s="2">
        <f t="shared" si="1"/>
        <v>1</v>
      </c>
      <c r="F215" s="1" t="str">
        <f t="shared" si="2"/>
        <v>INSERT INTO tblQuestionBank VALUES (seqQuestionBank.nextval, q'[SQL에서 'JOIN'의 기능은 무엇인가?]', 1);</v>
      </c>
    </row>
    <row r="216">
      <c r="A216" s="1">
        <v>211.0</v>
      </c>
      <c r="B216" s="1" t="s">
        <v>283</v>
      </c>
      <c r="C216" s="39" t="s">
        <v>294</v>
      </c>
      <c r="D216" s="2">
        <f t="shared" si="1"/>
        <v>5</v>
      </c>
      <c r="F216" s="1" t="str">
        <f t="shared" si="2"/>
        <v>INSERT INTO tblQuestionBank VALUES (seqQuestionBank.nextval, q'[Python에서 'with open()' 구문의 주요 목적은 무엇인가?]', 5);</v>
      </c>
    </row>
    <row r="217">
      <c r="A217" s="1">
        <v>212.0</v>
      </c>
      <c r="B217" s="1" t="s">
        <v>283</v>
      </c>
      <c r="C217" s="39" t="s">
        <v>295</v>
      </c>
      <c r="D217" s="2">
        <f t="shared" si="1"/>
        <v>1</v>
      </c>
      <c r="F217" s="1" t="str">
        <f t="shared" si="2"/>
        <v>INSERT INTO tblQuestionBank VALUES (seqQuestionBank.nextval, q'[데이터베이스에서 정규화의 목적은 무엇인가?]', 1);</v>
      </c>
    </row>
    <row r="218">
      <c r="A218" s="1">
        <v>213.0</v>
      </c>
      <c r="B218" s="1" t="s">
        <v>283</v>
      </c>
      <c r="C218" s="39" t="s">
        <v>296</v>
      </c>
      <c r="D218" s="2">
        <f t="shared" si="1"/>
        <v>5</v>
      </c>
      <c r="F218" s="1" t="str">
        <f t="shared" si="2"/>
        <v>INSERT INTO tblQuestionBank VALUES (seqQuestionBank.nextval, q'[CSS에서 'flexbox'의 주요 사용 목적은 무엇인가?]', 5);</v>
      </c>
    </row>
    <row r="219">
      <c r="A219" s="1">
        <v>214.0</v>
      </c>
      <c r="B219" s="1" t="s">
        <v>283</v>
      </c>
      <c r="C219" s="39" t="s">
        <v>297</v>
      </c>
      <c r="D219" s="2">
        <f t="shared" si="1"/>
        <v>1</v>
      </c>
      <c r="F219" s="1" t="str">
        <f t="shared" si="2"/>
        <v>INSERT INTO tblQuestionBank VALUES (seqQuestionBank.nextval, q'[Git에서 'merge'와 'rebase'의 차이점은 무엇인가?]', 1);</v>
      </c>
    </row>
    <row r="220">
      <c r="A220" s="1">
        <v>215.0</v>
      </c>
      <c r="B220" s="1" t="s">
        <v>283</v>
      </c>
      <c r="C220" s="39" t="s">
        <v>298</v>
      </c>
      <c r="D220" s="2">
        <f t="shared" si="1"/>
        <v>1</v>
      </c>
      <c r="F220" s="1" t="str">
        <f t="shared" si="2"/>
        <v>INSERT INTO tblQuestionBank VALUES (seqQuestionBank.nextval, q'[C++에서 참조자(reference)와 포인터(pointer)의 차이는 무엇인가?]', 1);</v>
      </c>
    </row>
    <row r="221">
      <c r="A221" s="1">
        <v>216.0</v>
      </c>
      <c r="B221" s="1" t="s">
        <v>283</v>
      </c>
      <c r="C221" s="39" t="s">
        <v>299</v>
      </c>
      <c r="D221" s="2">
        <f t="shared" si="1"/>
        <v>3</v>
      </c>
      <c r="F221" s="1" t="str">
        <f t="shared" si="2"/>
        <v>INSERT INTO tblQuestionBank VALUES (seqQuestionBank.nextval, q'[네트워크에서 TCP와 UDP의 차이점은 무엇인가?]', 3);</v>
      </c>
    </row>
    <row r="222">
      <c r="A222" s="1">
        <v>217.0</v>
      </c>
      <c r="B222" s="1" t="s">
        <v>283</v>
      </c>
      <c r="C222" s="39" t="s">
        <v>300</v>
      </c>
      <c r="D222" s="2">
        <f t="shared" si="1"/>
        <v>2</v>
      </c>
      <c r="F222" s="1" t="str">
        <f t="shared" si="2"/>
        <v>INSERT INTO tblQuestionBank VALUES (seqQuestionBank.nextval, q'[Python에서 제너레이터(generator)의 특징은 무엇인가?]', 2);</v>
      </c>
    </row>
    <row r="223">
      <c r="A223" s="1">
        <v>218.0</v>
      </c>
      <c r="B223" s="1" t="s">
        <v>283</v>
      </c>
      <c r="C223" s="39" t="s">
        <v>301</v>
      </c>
      <c r="D223" s="2">
        <f t="shared" si="1"/>
        <v>1</v>
      </c>
      <c r="F223" s="1" t="str">
        <f t="shared" si="2"/>
        <v>INSERT INTO tblQuestionBank VALUES (seqQuestionBank.nextval, q'[REST API의 주요 원칙 중 하나가 아닌 것은 무엇인가?]', 1);</v>
      </c>
    </row>
    <row r="224">
      <c r="A224" s="1">
        <v>219.0</v>
      </c>
      <c r="B224" s="1" t="s">
        <v>283</v>
      </c>
      <c r="C224" s="39" t="s">
        <v>302</v>
      </c>
      <c r="D224" s="2">
        <f t="shared" si="1"/>
        <v>4</v>
      </c>
      <c r="F224" s="1" t="str">
        <f t="shared" si="2"/>
        <v>INSERT INTO tblQuestionBank VALUES (seqQuestionBank.nextval, q'[Java에서 예외(Exception) 처리 방법으로 올바른 것을 고르시오.]', 4);</v>
      </c>
    </row>
    <row r="225">
      <c r="A225" s="1">
        <v>220.0</v>
      </c>
      <c r="B225" s="1" t="s">
        <v>283</v>
      </c>
      <c r="C225" s="39" t="s">
        <v>303</v>
      </c>
      <c r="D225" s="2">
        <f t="shared" si="1"/>
        <v>3</v>
      </c>
      <c r="F225" s="1" t="str">
        <f t="shared" si="2"/>
        <v>INSERT INTO tblQuestionBank VALUES (seqQuestionBank.nextval, q'[프로그래밍 언어에서 타입 캐스팅(type casting)이란 무엇인가?]', 3);</v>
      </c>
    </row>
    <row r="226">
      <c r="A226" s="1">
        <v>221.0</v>
      </c>
      <c r="B226" s="1" t="s">
        <v>283</v>
      </c>
      <c r="C226" s="39" t="s">
        <v>284</v>
      </c>
      <c r="D226" s="2">
        <f t="shared" si="1"/>
        <v>4</v>
      </c>
      <c r="F226" s="1" t="str">
        <f t="shared" si="2"/>
        <v>INSERT INTO tblQuestionBank VALUES (seqQuestionBank.nextval, q'[변수의 스코프(scope)란 무엇인가에 대한 설명으로 올바른 것을 고르시오.]', 4);</v>
      </c>
    </row>
    <row r="227">
      <c r="A227" s="1">
        <v>222.0</v>
      </c>
      <c r="B227" s="1" t="s">
        <v>283</v>
      </c>
      <c r="C227" s="39" t="s">
        <v>285</v>
      </c>
      <c r="D227" s="2">
        <f t="shared" si="1"/>
        <v>2</v>
      </c>
      <c r="F227" s="1" t="str">
        <f t="shared" si="2"/>
        <v>INSERT INTO tblQuestionBank VALUES (seqQuestionBank.nextval, q'[재귀 함수와 반복문 중 메모리 사용량이 더 많은 것은 무엇인가?]', 2);</v>
      </c>
    </row>
    <row r="228">
      <c r="A228" s="1">
        <v>223.0</v>
      </c>
      <c r="B228" s="1" t="s">
        <v>283</v>
      </c>
      <c r="C228" s="39" t="s">
        <v>286</v>
      </c>
      <c r="D228" s="2">
        <f t="shared" si="1"/>
        <v>3</v>
      </c>
      <c r="F228" s="1" t="str">
        <f t="shared" si="2"/>
        <v>INSERT INTO tblQuestionBank VALUES (seqQuestionBank.nextval, q'[HTML에서 'a' 태그의 주요 기능은 무엇인가?]', 3);</v>
      </c>
    </row>
    <row r="229">
      <c r="A229" s="1">
        <v>224.0</v>
      </c>
      <c r="B229" s="1" t="s">
        <v>283</v>
      </c>
      <c r="C229" s="39" t="s">
        <v>287</v>
      </c>
      <c r="D229" s="2">
        <f t="shared" si="1"/>
        <v>4</v>
      </c>
      <c r="F229" s="1" t="str">
        <f t="shared" si="2"/>
        <v>INSERT INTO tblQuestionBank VALUES (seqQuestionBank.nextval, q'[Java에서 클래스와 객체의 차이점은 무엇인가?]', 4);</v>
      </c>
    </row>
    <row r="230">
      <c r="A230" s="1">
        <v>225.0</v>
      </c>
      <c r="B230" s="1" t="s">
        <v>283</v>
      </c>
      <c r="C230" s="39" t="s">
        <v>288</v>
      </c>
      <c r="D230" s="2">
        <f t="shared" si="1"/>
        <v>5</v>
      </c>
      <c r="F230" s="1" t="str">
        <f t="shared" si="2"/>
        <v>INSERT INTO tblQuestionBank VALUES (seqQuestionBank.nextval, q'[Python의 리스트와 튜플의 차이점은 무엇인가?]', 5);</v>
      </c>
    </row>
    <row r="231">
      <c r="A231" s="1">
        <v>226.0</v>
      </c>
      <c r="B231" s="1" t="s">
        <v>283</v>
      </c>
      <c r="C231" s="39" t="s">
        <v>289</v>
      </c>
      <c r="D231" s="2">
        <f t="shared" si="1"/>
        <v>4</v>
      </c>
      <c r="F231" s="1" t="str">
        <f t="shared" si="2"/>
        <v>INSERT INTO tblQuestionBank VALUES (seqQuestionBank.nextval, q'[C언어에서 포인터를 사용하는 주된 이유는 무엇인가?]', 4);</v>
      </c>
    </row>
    <row r="232">
      <c r="A232" s="1">
        <v>227.0</v>
      </c>
      <c r="B232" s="1" t="s">
        <v>283</v>
      </c>
      <c r="C232" s="39" t="s">
        <v>290</v>
      </c>
      <c r="D232" s="2">
        <f t="shared" si="1"/>
        <v>1</v>
      </c>
      <c r="F232" s="1" t="str">
        <f t="shared" si="2"/>
        <v>INSERT INTO tblQuestionBank VALUES (seqQuestionBank.nextval, q'[컴파일러와 인터프리터의 차이점은 무엇인가?]', 1);</v>
      </c>
    </row>
    <row r="233">
      <c r="A233" s="1">
        <v>228.0</v>
      </c>
      <c r="B233" s="1" t="s">
        <v>283</v>
      </c>
      <c r="C233" s="39" t="s">
        <v>291</v>
      </c>
      <c r="D233" s="2">
        <f t="shared" si="1"/>
        <v>3</v>
      </c>
      <c r="F233" s="1" t="str">
        <f t="shared" si="2"/>
        <v>INSERT INTO tblQuestionBank VALUES (seqQuestionBank.nextval, q'[JavaScript에서 클로저(closure)의 정의는 무엇인가?]', 3);</v>
      </c>
    </row>
    <row r="234">
      <c r="A234" s="1">
        <v>229.0</v>
      </c>
      <c r="B234" s="1" t="s">
        <v>283</v>
      </c>
      <c r="C234" s="39" t="s">
        <v>292</v>
      </c>
      <c r="D234" s="2">
        <f t="shared" si="1"/>
        <v>2</v>
      </c>
      <c r="F234" s="1" t="str">
        <f t="shared" si="2"/>
        <v>INSERT INTO tblQuestionBank VALUES (seqQuestionBank.nextval, q'[객체 지향 프로그래밍의 4대 특징 중 하나가 아닌 것은 무엇인가?]', 2);</v>
      </c>
    </row>
    <row r="235">
      <c r="A235" s="1">
        <v>230.0</v>
      </c>
      <c r="B235" s="1" t="s">
        <v>283</v>
      </c>
      <c r="C235" s="39" t="s">
        <v>293</v>
      </c>
      <c r="D235" s="2">
        <f t="shared" si="1"/>
        <v>1</v>
      </c>
      <c r="F235" s="1" t="str">
        <f t="shared" si="2"/>
        <v>INSERT INTO tblQuestionBank VALUES (seqQuestionBank.nextval, q'[SQL에서 'JOIN'의 기능은 무엇인가?]', 1);</v>
      </c>
    </row>
    <row r="236">
      <c r="A236" s="1">
        <v>231.0</v>
      </c>
      <c r="B236" s="1" t="s">
        <v>283</v>
      </c>
      <c r="C236" s="39" t="s">
        <v>294</v>
      </c>
      <c r="D236" s="2">
        <f t="shared" si="1"/>
        <v>5</v>
      </c>
      <c r="F236" s="1" t="str">
        <f t="shared" si="2"/>
        <v>INSERT INTO tblQuestionBank VALUES (seqQuestionBank.nextval, q'[Python에서 'with open()' 구문의 주요 목적은 무엇인가?]', 5);</v>
      </c>
    </row>
    <row r="237">
      <c r="A237" s="1">
        <v>232.0</v>
      </c>
      <c r="B237" s="1" t="s">
        <v>283</v>
      </c>
      <c r="C237" s="39" t="s">
        <v>295</v>
      </c>
      <c r="D237" s="2">
        <f t="shared" si="1"/>
        <v>2</v>
      </c>
      <c r="F237" s="1" t="str">
        <f t="shared" si="2"/>
        <v>INSERT INTO tblQuestionBank VALUES (seqQuestionBank.nextval, q'[데이터베이스에서 정규화의 목적은 무엇인가?]', 2);</v>
      </c>
    </row>
    <row r="238">
      <c r="A238" s="1">
        <v>233.0</v>
      </c>
      <c r="B238" s="1" t="s">
        <v>283</v>
      </c>
      <c r="C238" s="39" t="s">
        <v>296</v>
      </c>
      <c r="D238" s="2">
        <f t="shared" si="1"/>
        <v>5</v>
      </c>
      <c r="F238" s="1" t="str">
        <f t="shared" si="2"/>
        <v>INSERT INTO tblQuestionBank VALUES (seqQuestionBank.nextval, q'[CSS에서 'flexbox'의 주요 사용 목적은 무엇인가?]', 5);</v>
      </c>
    </row>
    <row r="239">
      <c r="A239" s="1">
        <v>234.0</v>
      </c>
      <c r="B239" s="1" t="s">
        <v>283</v>
      </c>
      <c r="C239" s="39" t="s">
        <v>297</v>
      </c>
      <c r="D239" s="2">
        <f t="shared" si="1"/>
        <v>2</v>
      </c>
      <c r="F239" s="1" t="str">
        <f t="shared" si="2"/>
        <v>INSERT INTO tblQuestionBank VALUES (seqQuestionBank.nextval, q'[Git에서 'merge'와 'rebase'의 차이점은 무엇인가?]', 2);</v>
      </c>
    </row>
    <row r="240">
      <c r="A240" s="1">
        <v>235.0</v>
      </c>
      <c r="B240" s="1" t="s">
        <v>283</v>
      </c>
      <c r="C240" s="39" t="s">
        <v>298</v>
      </c>
      <c r="D240" s="2">
        <f t="shared" si="1"/>
        <v>5</v>
      </c>
      <c r="F240" s="1" t="str">
        <f t="shared" si="2"/>
        <v>INSERT INTO tblQuestionBank VALUES (seqQuestionBank.nextval, q'[C++에서 참조자(reference)와 포인터(pointer)의 차이는 무엇인가?]', 5);</v>
      </c>
    </row>
    <row r="241">
      <c r="A241" s="1">
        <v>236.0</v>
      </c>
      <c r="B241" s="1" t="s">
        <v>283</v>
      </c>
      <c r="C241" s="39" t="s">
        <v>299</v>
      </c>
      <c r="D241" s="2">
        <f t="shared" si="1"/>
        <v>1</v>
      </c>
      <c r="F241" s="1" t="str">
        <f t="shared" si="2"/>
        <v>INSERT INTO tblQuestionBank VALUES (seqQuestionBank.nextval, q'[네트워크에서 TCP와 UDP의 차이점은 무엇인가?]', 1);</v>
      </c>
    </row>
    <row r="242">
      <c r="A242" s="1">
        <v>237.0</v>
      </c>
      <c r="B242" s="1" t="s">
        <v>283</v>
      </c>
      <c r="C242" s="39" t="s">
        <v>300</v>
      </c>
      <c r="D242" s="2">
        <f t="shared" si="1"/>
        <v>3</v>
      </c>
      <c r="F242" s="1" t="str">
        <f t="shared" si="2"/>
        <v>INSERT INTO tblQuestionBank VALUES (seqQuestionBank.nextval, q'[Python에서 제너레이터(generator)의 특징은 무엇인가?]', 3);</v>
      </c>
    </row>
    <row r="243">
      <c r="A243" s="1">
        <v>238.0</v>
      </c>
      <c r="B243" s="1" t="s">
        <v>283</v>
      </c>
      <c r="C243" s="39" t="s">
        <v>301</v>
      </c>
      <c r="D243" s="2">
        <f t="shared" si="1"/>
        <v>5</v>
      </c>
      <c r="F243" s="1" t="str">
        <f t="shared" si="2"/>
        <v>INSERT INTO tblQuestionBank VALUES (seqQuestionBank.nextval, q'[REST API의 주요 원칙 중 하나가 아닌 것은 무엇인가?]', 5);</v>
      </c>
    </row>
    <row r="244">
      <c r="A244" s="1">
        <v>239.0</v>
      </c>
      <c r="B244" s="1" t="s">
        <v>283</v>
      </c>
      <c r="C244" s="39" t="s">
        <v>302</v>
      </c>
      <c r="D244" s="2">
        <f t="shared" si="1"/>
        <v>3</v>
      </c>
      <c r="F244" s="1" t="str">
        <f t="shared" si="2"/>
        <v>INSERT INTO tblQuestionBank VALUES (seqQuestionBank.nextval, q'[Java에서 예외(Exception) 처리 방법으로 올바른 것을 고르시오.]', 3);</v>
      </c>
    </row>
    <row r="245">
      <c r="A245" s="1">
        <v>240.0</v>
      </c>
      <c r="B245" s="1" t="s">
        <v>283</v>
      </c>
      <c r="C245" s="39" t="s">
        <v>303</v>
      </c>
      <c r="D245" s="2">
        <f t="shared" si="1"/>
        <v>4</v>
      </c>
      <c r="F245" s="1" t="str">
        <f t="shared" si="2"/>
        <v>INSERT INTO tblQuestionBank VALUES (seqQuestionBank.nextval, q'[프로그래밍 언어에서 타입 캐스팅(type casting)이란 무엇인가?]', 4);</v>
      </c>
    </row>
    <row r="246">
      <c r="A246" s="1">
        <v>241.0</v>
      </c>
      <c r="B246" s="1" t="s">
        <v>283</v>
      </c>
      <c r="C246" s="39" t="s">
        <v>284</v>
      </c>
      <c r="D246" s="2">
        <f t="shared" si="1"/>
        <v>1</v>
      </c>
      <c r="F246" s="1" t="str">
        <f t="shared" si="2"/>
        <v>INSERT INTO tblQuestionBank VALUES (seqQuestionBank.nextval, q'[변수의 스코프(scope)란 무엇인가에 대한 설명으로 올바른 것을 고르시오.]', 1);</v>
      </c>
    </row>
    <row r="247">
      <c r="A247" s="1">
        <v>242.0</v>
      </c>
      <c r="B247" s="1" t="s">
        <v>283</v>
      </c>
      <c r="C247" s="39" t="s">
        <v>285</v>
      </c>
      <c r="D247" s="2">
        <f t="shared" si="1"/>
        <v>5</v>
      </c>
      <c r="F247" s="1" t="str">
        <f t="shared" si="2"/>
        <v>INSERT INTO tblQuestionBank VALUES (seqQuestionBank.nextval, q'[재귀 함수와 반복문 중 메모리 사용량이 더 많은 것은 무엇인가?]', 5);</v>
      </c>
    </row>
    <row r="248">
      <c r="A248" s="1">
        <v>243.0</v>
      </c>
      <c r="B248" s="1" t="s">
        <v>283</v>
      </c>
      <c r="C248" s="39" t="s">
        <v>286</v>
      </c>
      <c r="D248" s="2">
        <f t="shared" si="1"/>
        <v>2</v>
      </c>
      <c r="F248" s="1" t="str">
        <f t="shared" si="2"/>
        <v>INSERT INTO tblQuestionBank VALUES (seqQuestionBank.nextval, q'[HTML에서 'a' 태그의 주요 기능은 무엇인가?]', 2);</v>
      </c>
    </row>
    <row r="249">
      <c r="A249" s="1">
        <v>244.0</v>
      </c>
      <c r="B249" s="1" t="s">
        <v>283</v>
      </c>
      <c r="C249" s="39" t="s">
        <v>287</v>
      </c>
      <c r="D249" s="2">
        <f t="shared" si="1"/>
        <v>2</v>
      </c>
      <c r="F249" s="1" t="str">
        <f t="shared" si="2"/>
        <v>INSERT INTO tblQuestionBank VALUES (seqQuestionBank.nextval, q'[Java에서 클래스와 객체의 차이점은 무엇인가?]', 2);</v>
      </c>
    </row>
    <row r="250">
      <c r="A250" s="1">
        <v>245.0</v>
      </c>
      <c r="B250" s="1" t="s">
        <v>283</v>
      </c>
      <c r="C250" s="39" t="s">
        <v>288</v>
      </c>
      <c r="D250" s="2">
        <f t="shared" si="1"/>
        <v>5</v>
      </c>
      <c r="F250" s="1" t="str">
        <f t="shared" si="2"/>
        <v>INSERT INTO tblQuestionBank VALUES (seqQuestionBank.nextval, q'[Python의 리스트와 튜플의 차이점은 무엇인가?]', 5);</v>
      </c>
    </row>
    <row r="251">
      <c r="A251" s="1">
        <v>246.0</v>
      </c>
      <c r="B251" s="1" t="s">
        <v>283</v>
      </c>
      <c r="C251" s="39" t="s">
        <v>289</v>
      </c>
      <c r="D251" s="2">
        <f t="shared" si="1"/>
        <v>3</v>
      </c>
      <c r="F251" s="1" t="str">
        <f t="shared" si="2"/>
        <v>INSERT INTO tblQuestionBank VALUES (seqQuestionBank.nextval, q'[C언어에서 포인터를 사용하는 주된 이유는 무엇인가?]', 3);</v>
      </c>
    </row>
    <row r="252">
      <c r="A252" s="1">
        <v>247.0</v>
      </c>
      <c r="B252" s="1" t="s">
        <v>283</v>
      </c>
      <c r="C252" s="39" t="s">
        <v>290</v>
      </c>
      <c r="D252" s="2">
        <f t="shared" si="1"/>
        <v>2</v>
      </c>
      <c r="F252" s="1" t="str">
        <f t="shared" si="2"/>
        <v>INSERT INTO tblQuestionBank VALUES (seqQuestionBank.nextval, q'[컴파일러와 인터프리터의 차이점은 무엇인가?]', 2);</v>
      </c>
    </row>
    <row r="253">
      <c r="A253" s="1">
        <v>248.0</v>
      </c>
      <c r="B253" s="1" t="s">
        <v>283</v>
      </c>
      <c r="C253" s="39" t="s">
        <v>291</v>
      </c>
      <c r="D253" s="2">
        <f t="shared" si="1"/>
        <v>2</v>
      </c>
      <c r="F253" s="1" t="str">
        <f t="shared" si="2"/>
        <v>INSERT INTO tblQuestionBank VALUES (seqQuestionBank.nextval, q'[JavaScript에서 클로저(closure)의 정의는 무엇인가?]', 2);</v>
      </c>
    </row>
    <row r="254">
      <c r="A254" s="1">
        <v>249.0</v>
      </c>
      <c r="B254" s="1" t="s">
        <v>283</v>
      </c>
      <c r="C254" s="39" t="s">
        <v>292</v>
      </c>
      <c r="D254" s="2">
        <f t="shared" si="1"/>
        <v>5</v>
      </c>
      <c r="F254" s="1" t="str">
        <f t="shared" si="2"/>
        <v>INSERT INTO tblQuestionBank VALUES (seqQuestionBank.nextval, q'[객체 지향 프로그래밍의 4대 특징 중 하나가 아닌 것은 무엇인가?]', 5);</v>
      </c>
    </row>
    <row r="255">
      <c r="A255" s="1">
        <v>250.0</v>
      </c>
      <c r="B255" s="1" t="s">
        <v>283</v>
      </c>
      <c r="C255" s="39" t="s">
        <v>293</v>
      </c>
      <c r="D255" s="2">
        <f t="shared" si="1"/>
        <v>1</v>
      </c>
      <c r="F255" s="1" t="str">
        <f t="shared" si="2"/>
        <v>INSERT INTO tblQuestionBank VALUES (seqQuestionBank.nextval, q'[SQL에서 'JOIN'의 기능은 무엇인가?]', 1);</v>
      </c>
    </row>
    <row r="256">
      <c r="A256" s="1">
        <v>251.0</v>
      </c>
      <c r="B256" s="1" t="s">
        <v>283</v>
      </c>
      <c r="C256" s="39" t="s">
        <v>294</v>
      </c>
      <c r="D256" s="2">
        <f t="shared" si="1"/>
        <v>4</v>
      </c>
      <c r="F256" s="1" t="str">
        <f t="shared" si="2"/>
        <v>INSERT INTO tblQuestionBank VALUES (seqQuestionBank.nextval, q'[Python에서 'with open()' 구문의 주요 목적은 무엇인가?]', 4);</v>
      </c>
    </row>
    <row r="257">
      <c r="A257" s="1">
        <v>252.0</v>
      </c>
      <c r="B257" s="1" t="s">
        <v>283</v>
      </c>
      <c r="C257" s="39" t="s">
        <v>295</v>
      </c>
      <c r="D257" s="2">
        <f t="shared" si="1"/>
        <v>2</v>
      </c>
      <c r="F257" s="1" t="str">
        <f t="shared" si="2"/>
        <v>INSERT INTO tblQuestionBank VALUES (seqQuestionBank.nextval, q'[데이터베이스에서 정규화의 목적은 무엇인가?]', 2);</v>
      </c>
    </row>
    <row r="258">
      <c r="A258" s="1">
        <v>253.0</v>
      </c>
      <c r="B258" s="1" t="s">
        <v>283</v>
      </c>
      <c r="C258" s="39" t="s">
        <v>296</v>
      </c>
      <c r="D258" s="2">
        <f t="shared" si="1"/>
        <v>5</v>
      </c>
      <c r="F258" s="1" t="str">
        <f t="shared" si="2"/>
        <v>INSERT INTO tblQuestionBank VALUES (seqQuestionBank.nextval, q'[CSS에서 'flexbox'의 주요 사용 목적은 무엇인가?]', 5);</v>
      </c>
    </row>
    <row r="259">
      <c r="A259" s="1">
        <v>254.0</v>
      </c>
      <c r="B259" s="1" t="s">
        <v>283</v>
      </c>
      <c r="C259" s="39" t="s">
        <v>297</v>
      </c>
      <c r="D259" s="2">
        <f t="shared" si="1"/>
        <v>5</v>
      </c>
      <c r="F259" s="1" t="str">
        <f t="shared" si="2"/>
        <v>INSERT INTO tblQuestionBank VALUES (seqQuestionBank.nextval, q'[Git에서 'merge'와 'rebase'의 차이점은 무엇인가?]', 5);</v>
      </c>
    </row>
    <row r="260">
      <c r="A260" s="1">
        <v>255.0</v>
      </c>
      <c r="B260" s="1" t="s">
        <v>283</v>
      </c>
      <c r="C260" s="39" t="s">
        <v>298</v>
      </c>
      <c r="D260" s="2">
        <f t="shared" si="1"/>
        <v>1</v>
      </c>
      <c r="F260" s="1" t="str">
        <f t="shared" si="2"/>
        <v>INSERT INTO tblQuestionBank VALUES (seqQuestionBank.nextval, q'[C++에서 참조자(reference)와 포인터(pointer)의 차이는 무엇인가?]', 1);</v>
      </c>
    </row>
    <row r="261">
      <c r="A261" s="1">
        <v>256.0</v>
      </c>
      <c r="B261" s="1" t="s">
        <v>283</v>
      </c>
      <c r="C261" s="39" t="s">
        <v>299</v>
      </c>
      <c r="D261" s="2">
        <f t="shared" si="1"/>
        <v>1</v>
      </c>
      <c r="F261" s="1" t="str">
        <f t="shared" si="2"/>
        <v>INSERT INTO tblQuestionBank VALUES (seqQuestionBank.nextval, q'[네트워크에서 TCP와 UDP의 차이점은 무엇인가?]', 1);</v>
      </c>
    </row>
    <row r="262">
      <c r="A262" s="1">
        <v>257.0</v>
      </c>
      <c r="B262" s="1" t="s">
        <v>283</v>
      </c>
      <c r="C262" s="39" t="s">
        <v>300</v>
      </c>
      <c r="D262" s="2">
        <f t="shared" si="1"/>
        <v>3</v>
      </c>
      <c r="F262" s="1" t="str">
        <f t="shared" si="2"/>
        <v>INSERT INTO tblQuestionBank VALUES (seqQuestionBank.nextval, q'[Python에서 제너레이터(generator)의 특징은 무엇인가?]', 3);</v>
      </c>
    </row>
    <row r="263">
      <c r="A263" s="1">
        <v>258.0</v>
      </c>
      <c r="B263" s="1" t="s">
        <v>283</v>
      </c>
      <c r="C263" s="39" t="s">
        <v>301</v>
      </c>
      <c r="D263" s="2">
        <f t="shared" si="1"/>
        <v>1</v>
      </c>
      <c r="F263" s="1" t="str">
        <f t="shared" si="2"/>
        <v>INSERT INTO tblQuestionBank VALUES (seqQuestionBank.nextval, q'[REST API의 주요 원칙 중 하나가 아닌 것은 무엇인가?]', 1);</v>
      </c>
    </row>
    <row r="264">
      <c r="A264" s="1">
        <v>259.0</v>
      </c>
      <c r="B264" s="1" t="s">
        <v>283</v>
      </c>
      <c r="C264" s="39" t="s">
        <v>302</v>
      </c>
      <c r="D264" s="2">
        <f t="shared" si="1"/>
        <v>2</v>
      </c>
      <c r="F264" s="1" t="str">
        <f t="shared" si="2"/>
        <v>INSERT INTO tblQuestionBank VALUES (seqQuestionBank.nextval, q'[Java에서 예외(Exception) 처리 방법으로 올바른 것을 고르시오.]', 2);</v>
      </c>
    </row>
    <row r="265">
      <c r="A265" s="1">
        <v>260.0</v>
      </c>
      <c r="B265" s="1" t="s">
        <v>283</v>
      </c>
      <c r="C265" s="39" t="s">
        <v>303</v>
      </c>
      <c r="D265" s="2">
        <f t="shared" si="1"/>
        <v>3</v>
      </c>
      <c r="F265" s="1" t="str">
        <f t="shared" si="2"/>
        <v>INSERT INTO tblQuestionBank VALUES (seqQuestionBank.nextval, q'[프로그래밍 언어에서 타입 캐스팅(type casting)이란 무엇인가?]', 3);</v>
      </c>
    </row>
    <row r="266">
      <c r="A266" s="1">
        <v>261.0</v>
      </c>
      <c r="B266" s="1" t="s">
        <v>283</v>
      </c>
      <c r="C266" s="39" t="s">
        <v>284</v>
      </c>
      <c r="D266" s="2">
        <f t="shared" si="1"/>
        <v>2</v>
      </c>
      <c r="F266" s="1" t="str">
        <f t="shared" si="2"/>
        <v>INSERT INTO tblQuestionBank VALUES (seqQuestionBank.nextval, q'[변수의 스코프(scope)란 무엇인가에 대한 설명으로 올바른 것을 고르시오.]', 2);</v>
      </c>
    </row>
    <row r="267">
      <c r="A267" s="1">
        <v>262.0</v>
      </c>
      <c r="B267" s="1" t="s">
        <v>283</v>
      </c>
      <c r="C267" s="39" t="s">
        <v>285</v>
      </c>
      <c r="D267" s="2">
        <f t="shared" si="1"/>
        <v>4</v>
      </c>
      <c r="F267" s="1" t="str">
        <f t="shared" si="2"/>
        <v>INSERT INTO tblQuestionBank VALUES (seqQuestionBank.nextval, q'[재귀 함수와 반복문 중 메모리 사용량이 더 많은 것은 무엇인가?]', 4);</v>
      </c>
    </row>
    <row r="268">
      <c r="A268" s="1">
        <v>263.0</v>
      </c>
      <c r="B268" s="1" t="s">
        <v>283</v>
      </c>
      <c r="C268" s="39" t="s">
        <v>286</v>
      </c>
      <c r="D268" s="2">
        <f t="shared" si="1"/>
        <v>3</v>
      </c>
      <c r="F268" s="1" t="str">
        <f t="shared" si="2"/>
        <v>INSERT INTO tblQuestionBank VALUES (seqQuestionBank.nextval, q'[HTML에서 'a' 태그의 주요 기능은 무엇인가?]', 3);</v>
      </c>
    </row>
    <row r="269">
      <c r="A269" s="1">
        <v>264.0</v>
      </c>
      <c r="B269" s="1" t="s">
        <v>283</v>
      </c>
      <c r="C269" s="39" t="s">
        <v>287</v>
      </c>
      <c r="D269" s="2">
        <f t="shared" si="1"/>
        <v>3</v>
      </c>
      <c r="F269" s="1" t="str">
        <f t="shared" si="2"/>
        <v>INSERT INTO tblQuestionBank VALUES (seqQuestionBank.nextval, q'[Java에서 클래스와 객체의 차이점은 무엇인가?]', 3);</v>
      </c>
    </row>
    <row r="270">
      <c r="A270" s="1">
        <v>265.0</v>
      </c>
      <c r="B270" s="1" t="s">
        <v>283</v>
      </c>
      <c r="C270" s="39" t="s">
        <v>288</v>
      </c>
      <c r="D270" s="2">
        <f t="shared" si="1"/>
        <v>4</v>
      </c>
      <c r="F270" s="1" t="str">
        <f t="shared" si="2"/>
        <v>INSERT INTO tblQuestionBank VALUES (seqQuestionBank.nextval, q'[Python의 리스트와 튜플의 차이점은 무엇인가?]', 4);</v>
      </c>
    </row>
    <row r="271">
      <c r="A271" s="1">
        <v>266.0</v>
      </c>
      <c r="B271" s="1" t="s">
        <v>283</v>
      </c>
      <c r="C271" s="39" t="s">
        <v>289</v>
      </c>
      <c r="D271" s="2">
        <f t="shared" si="1"/>
        <v>5</v>
      </c>
      <c r="F271" s="1" t="str">
        <f t="shared" si="2"/>
        <v>INSERT INTO tblQuestionBank VALUES (seqQuestionBank.nextval, q'[C언어에서 포인터를 사용하는 주된 이유는 무엇인가?]', 5);</v>
      </c>
    </row>
    <row r="272">
      <c r="A272" s="1">
        <v>267.0</v>
      </c>
      <c r="B272" s="1" t="s">
        <v>283</v>
      </c>
      <c r="C272" s="39" t="s">
        <v>290</v>
      </c>
      <c r="D272" s="2">
        <f t="shared" si="1"/>
        <v>1</v>
      </c>
      <c r="F272" s="1" t="str">
        <f t="shared" si="2"/>
        <v>INSERT INTO tblQuestionBank VALUES (seqQuestionBank.nextval, q'[컴파일러와 인터프리터의 차이점은 무엇인가?]', 1);</v>
      </c>
    </row>
    <row r="273">
      <c r="A273" s="1">
        <v>268.0</v>
      </c>
      <c r="B273" s="1" t="s">
        <v>283</v>
      </c>
      <c r="C273" s="39" t="s">
        <v>291</v>
      </c>
      <c r="D273" s="2">
        <f t="shared" si="1"/>
        <v>5</v>
      </c>
      <c r="F273" s="1" t="str">
        <f t="shared" si="2"/>
        <v>INSERT INTO tblQuestionBank VALUES (seqQuestionBank.nextval, q'[JavaScript에서 클로저(closure)의 정의는 무엇인가?]', 5);</v>
      </c>
    </row>
    <row r="274">
      <c r="A274" s="1">
        <v>269.0</v>
      </c>
      <c r="B274" s="1" t="s">
        <v>283</v>
      </c>
      <c r="C274" s="39" t="s">
        <v>292</v>
      </c>
      <c r="D274" s="2">
        <f t="shared" si="1"/>
        <v>1</v>
      </c>
      <c r="F274" s="1" t="str">
        <f t="shared" si="2"/>
        <v>INSERT INTO tblQuestionBank VALUES (seqQuestionBank.nextval, q'[객체 지향 프로그래밍의 4대 특징 중 하나가 아닌 것은 무엇인가?]', 1);</v>
      </c>
    </row>
    <row r="275">
      <c r="A275" s="1">
        <v>270.0</v>
      </c>
      <c r="B275" s="1" t="s">
        <v>283</v>
      </c>
      <c r="C275" s="39" t="s">
        <v>293</v>
      </c>
      <c r="D275" s="2">
        <f t="shared" si="1"/>
        <v>1</v>
      </c>
      <c r="F275" s="1" t="str">
        <f t="shared" si="2"/>
        <v>INSERT INTO tblQuestionBank VALUES (seqQuestionBank.nextval, q'[SQL에서 'JOIN'의 기능은 무엇인가?]', 1);</v>
      </c>
    </row>
    <row r="276">
      <c r="A276" s="1">
        <v>271.0</v>
      </c>
      <c r="B276" s="1" t="s">
        <v>283</v>
      </c>
      <c r="C276" s="39" t="s">
        <v>294</v>
      </c>
      <c r="D276" s="2">
        <f t="shared" si="1"/>
        <v>1</v>
      </c>
      <c r="F276" s="1" t="str">
        <f t="shared" si="2"/>
        <v>INSERT INTO tblQuestionBank VALUES (seqQuestionBank.nextval, q'[Python에서 'with open()' 구문의 주요 목적은 무엇인가?]', 1);</v>
      </c>
    </row>
    <row r="277">
      <c r="A277" s="1">
        <v>272.0</v>
      </c>
      <c r="B277" s="1" t="s">
        <v>283</v>
      </c>
      <c r="C277" s="39" t="s">
        <v>295</v>
      </c>
      <c r="D277" s="2">
        <f t="shared" si="1"/>
        <v>2</v>
      </c>
      <c r="F277" s="1" t="str">
        <f t="shared" si="2"/>
        <v>INSERT INTO tblQuestionBank VALUES (seqQuestionBank.nextval, q'[데이터베이스에서 정규화의 목적은 무엇인가?]', 2);</v>
      </c>
    </row>
    <row r="278">
      <c r="A278" s="1">
        <v>273.0</v>
      </c>
      <c r="B278" s="1" t="s">
        <v>283</v>
      </c>
      <c r="C278" s="39" t="s">
        <v>296</v>
      </c>
      <c r="D278" s="2">
        <f t="shared" si="1"/>
        <v>4</v>
      </c>
      <c r="F278" s="1" t="str">
        <f t="shared" si="2"/>
        <v>INSERT INTO tblQuestionBank VALUES (seqQuestionBank.nextval, q'[CSS에서 'flexbox'의 주요 사용 목적은 무엇인가?]', 4);</v>
      </c>
    </row>
    <row r="279">
      <c r="A279" s="1">
        <v>274.0</v>
      </c>
      <c r="B279" s="1" t="s">
        <v>283</v>
      </c>
      <c r="C279" s="39" t="s">
        <v>297</v>
      </c>
      <c r="D279" s="2">
        <f t="shared" si="1"/>
        <v>2</v>
      </c>
      <c r="F279" s="1" t="str">
        <f t="shared" si="2"/>
        <v>INSERT INTO tblQuestionBank VALUES (seqQuestionBank.nextval, q'[Git에서 'merge'와 'rebase'의 차이점은 무엇인가?]', 2);</v>
      </c>
    </row>
    <row r="280">
      <c r="A280" s="1">
        <v>275.0</v>
      </c>
      <c r="B280" s="1" t="s">
        <v>283</v>
      </c>
      <c r="C280" s="39" t="s">
        <v>298</v>
      </c>
      <c r="D280" s="2">
        <f t="shared" si="1"/>
        <v>2</v>
      </c>
      <c r="F280" s="1" t="str">
        <f t="shared" si="2"/>
        <v>INSERT INTO tblQuestionBank VALUES (seqQuestionBank.nextval, q'[C++에서 참조자(reference)와 포인터(pointer)의 차이는 무엇인가?]', 2);</v>
      </c>
    </row>
    <row r="281">
      <c r="A281" s="1">
        <v>276.0</v>
      </c>
      <c r="B281" s="1" t="s">
        <v>283</v>
      </c>
      <c r="C281" s="39" t="s">
        <v>299</v>
      </c>
      <c r="D281" s="2">
        <f t="shared" si="1"/>
        <v>3</v>
      </c>
      <c r="F281" s="1" t="str">
        <f t="shared" si="2"/>
        <v>INSERT INTO tblQuestionBank VALUES (seqQuestionBank.nextval, q'[네트워크에서 TCP와 UDP의 차이점은 무엇인가?]', 3);</v>
      </c>
    </row>
    <row r="282">
      <c r="A282" s="1">
        <v>277.0</v>
      </c>
      <c r="B282" s="1" t="s">
        <v>283</v>
      </c>
      <c r="C282" s="39" t="s">
        <v>300</v>
      </c>
      <c r="D282" s="2">
        <f t="shared" si="1"/>
        <v>5</v>
      </c>
      <c r="F282" s="1" t="str">
        <f t="shared" si="2"/>
        <v>INSERT INTO tblQuestionBank VALUES (seqQuestionBank.nextval, q'[Python에서 제너레이터(generator)의 특징은 무엇인가?]', 5);</v>
      </c>
    </row>
    <row r="283">
      <c r="A283" s="1">
        <v>278.0</v>
      </c>
      <c r="B283" s="1" t="s">
        <v>283</v>
      </c>
      <c r="C283" s="39" t="s">
        <v>301</v>
      </c>
      <c r="D283" s="2">
        <f t="shared" si="1"/>
        <v>4</v>
      </c>
      <c r="F283" s="1" t="str">
        <f t="shared" si="2"/>
        <v>INSERT INTO tblQuestionBank VALUES (seqQuestionBank.nextval, q'[REST API의 주요 원칙 중 하나가 아닌 것은 무엇인가?]', 4);</v>
      </c>
    </row>
    <row r="284">
      <c r="A284" s="1">
        <v>279.0</v>
      </c>
      <c r="B284" s="1" t="s">
        <v>283</v>
      </c>
      <c r="C284" s="39" t="s">
        <v>302</v>
      </c>
      <c r="D284" s="2">
        <f t="shared" si="1"/>
        <v>5</v>
      </c>
      <c r="F284" s="1" t="str">
        <f t="shared" si="2"/>
        <v>INSERT INTO tblQuestionBank VALUES (seqQuestionBank.nextval, q'[Java에서 예외(Exception) 처리 방법으로 올바른 것을 고르시오.]', 5);</v>
      </c>
    </row>
    <row r="285">
      <c r="A285" s="1">
        <v>280.0</v>
      </c>
      <c r="B285" s="1" t="s">
        <v>283</v>
      </c>
      <c r="C285" s="39" t="s">
        <v>303</v>
      </c>
      <c r="D285" s="2">
        <f t="shared" si="1"/>
        <v>3</v>
      </c>
      <c r="F285" s="1" t="str">
        <f t="shared" si="2"/>
        <v>INSERT INTO tblQuestionBank VALUES (seqQuestionBank.nextval, q'[프로그래밍 언어에서 타입 캐스팅(type casting)이란 무엇인가?]', 3);</v>
      </c>
    </row>
    <row r="286">
      <c r="A286" s="1">
        <v>281.0</v>
      </c>
      <c r="B286" s="1" t="s">
        <v>283</v>
      </c>
      <c r="C286" s="39" t="s">
        <v>284</v>
      </c>
      <c r="D286" s="2">
        <f t="shared" si="1"/>
        <v>4</v>
      </c>
      <c r="F286" s="1" t="str">
        <f t="shared" si="2"/>
        <v>INSERT INTO tblQuestionBank VALUES (seqQuestionBank.nextval, q'[변수의 스코프(scope)란 무엇인가에 대한 설명으로 올바른 것을 고르시오.]', 4);</v>
      </c>
    </row>
    <row r="287">
      <c r="A287" s="1">
        <v>282.0</v>
      </c>
      <c r="B287" s="1" t="s">
        <v>283</v>
      </c>
      <c r="C287" s="39" t="s">
        <v>285</v>
      </c>
      <c r="D287" s="2">
        <f t="shared" si="1"/>
        <v>5</v>
      </c>
      <c r="F287" s="1" t="str">
        <f t="shared" si="2"/>
        <v>INSERT INTO tblQuestionBank VALUES (seqQuestionBank.nextval, q'[재귀 함수와 반복문 중 메모리 사용량이 더 많은 것은 무엇인가?]', 5);</v>
      </c>
    </row>
    <row r="288">
      <c r="A288" s="1">
        <v>283.0</v>
      </c>
      <c r="B288" s="1" t="s">
        <v>283</v>
      </c>
      <c r="C288" s="39" t="s">
        <v>286</v>
      </c>
      <c r="D288" s="2">
        <f t="shared" si="1"/>
        <v>5</v>
      </c>
      <c r="F288" s="1" t="str">
        <f t="shared" si="2"/>
        <v>INSERT INTO tblQuestionBank VALUES (seqQuestionBank.nextval, q'[HTML에서 'a' 태그의 주요 기능은 무엇인가?]', 5);</v>
      </c>
    </row>
    <row r="289">
      <c r="A289" s="1">
        <v>284.0</v>
      </c>
      <c r="B289" s="1" t="s">
        <v>283</v>
      </c>
      <c r="C289" s="39" t="s">
        <v>287</v>
      </c>
      <c r="D289" s="2">
        <f t="shared" si="1"/>
        <v>5</v>
      </c>
      <c r="F289" s="1" t="str">
        <f t="shared" si="2"/>
        <v>INSERT INTO tblQuestionBank VALUES (seqQuestionBank.nextval, q'[Java에서 클래스와 객체의 차이점은 무엇인가?]', 5);</v>
      </c>
    </row>
    <row r="290">
      <c r="A290" s="1">
        <v>285.0</v>
      </c>
      <c r="B290" s="1" t="s">
        <v>283</v>
      </c>
      <c r="C290" s="39" t="s">
        <v>288</v>
      </c>
      <c r="D290" s="2">
        <f t="shared" si="1"/>
        <v>4</v>
      </c>
      <c r="F290" s="1" t="str">
        <f t="shared" si="2"/>
        <v>INSERT INTO tblQuestionBank VALUES (seqQuestionBank.nextval, q'[Python의 리스트와 튜플의 차이점은 무엇인가?]', 4);</v>
      </c>
    </row>
    <row r="291">
      <c r="A291" s="1">
        <v>286.0</v>
      </c>
      <c r="B291" s="1" t="s">
        <v>283</v>
      </c>
      <c r="C291" s="39" t="s">
        <v>289</v>
      </c>
      <c r="D291" s="2">
        <f t="shared" si="1"/>
        <v>3</v>
      </c>
      <c r="F291" s="1" t="str">
        <f t="shared" si="2"/>
        <v>INSERT INTO tblQuestionBank VALUES (seqQuestionBank.nextval, q'[C언어에서 포인터를 사용하는 주된 이유는 무엇인가?]', 3);</v>
      </c>
    </row>
    <row r="292">
      <c r="A292" s="1">
        <v>287.0</v>
      </c>
      <c r="B292" s="1" t="s">
        <v>283</v>
      </c>
      <c r="C292" s="39" t="s">
        <v>290</v>
      </c>
      <c r="D292" s="2">
        <f t="shared" si="1"/>
        <v>2</v>
      </c>
      <c r="F292" s="1" t="str">
        <f t="shared" si="2"/>
        <v>INSERT INTO tblQuestionBank VALUES (seqQuestionBank.nextval, q'[컴파일러와 인터프리터의 차이점은 무엇인가?]', 2);</v>
      </c>
    </row>
    <row r="293">
      <c r="A293" s="1">
        <v>288.0</v>
      </c>
      <c r="B293" s="1" t="s">
        <v>283</v>
      </c>
      <c r="C293" s="39" t="s">
        <v>291</v>
      </c>
      <c r="D293" s="2">
        <f t="shared" si="1"/>
        <v>2</v>
      </c>
      <c r="F293" s="1" t="str">
        <f t="shared" si="2"/>
        <v>INSERT INTO tblQuestionBank VALUES (seqQuestionBank.nextval, q'[JavaScript에서 클로저(closure)의 정의는 무엇인가?]', 2);</v>
      </c>
    </row>
    <row r="294">
      <c r="A294" s="1">
        <v>289.0</v>
      </c>
      <c r="B294" s="1" t="s">
        <v>283</v>
      </c>
      <c r="C294" s="39" t="s">
        <v>292</v>
      </c>
      <c r="D294" s="2">
        <f t="shared" si="1"/>
        <v>2</v>
      </c>
      <c r="F294" s="1" t="str">
        <f t="shared" si="2"/>
        <v>INSERT INTO tblQuestionBank VALUES (seqQuestionBank.nextval, q'[객체 지향 프로그래밍의 4대 특징 중 하나가 아닌 것은 무엇인가?]', 2);</v>
      </c>
    </row>
    <row r="295">
      <c r="A295" s="1">
        <v>290.0</v>
      </c>
      <c r="B295" s="1" t="s">
        <v>283</v>
      </c>
      <c r="C295" s="39" t="s">
        <v>293</v>
      </c>
      <c r="D295" s="2">
        <f t="shared" si="1"/>
        <v>2</v>
      </c>
      <c r="F295" s="1" t="str">
        <f t="shared" si="2"/>
        <v>INSERT INTO tblQuestionBank VALUES (seqQuestionBank.nextval, q'[SQL에서 'JOIN'의 기능은 무엇인가?]', 2);</v>
      </c>
    </row>
    <row r="296">
      <c r="A296" s="1">
        <v>291.0</v>
      </c>
      <c r="B296" s="1" t="s">
        <v>283</v>
      </c>
      <c r="C296" s="39" t="s">
        <v>294</v>
      </c>
      <c r="D296" s="2">
        <f t="shared" si="1"/>
        <v>3</v>
      </c>
      <c r="F296" s="1" t="str">
        <f t="shared" si="2"/>
        <v>INSERT INTO tblQuestionBank VALUES (seqQuestionBank.nextval, q'[Python에서 'with open()' 구문의 주요 목적은 무엇인가?]', 3);</v>
      </c>
    </row>
    <row r="297">
      <c r="A297" s="1">
        <v>292.0</v>
      </c>
      <c r="B297" s="1" t="s">
        <v>283</v>
      </c>
      <c r="C297" s="39" t="s">
        <v>295</v>
      </c>
      <c r="D297" s="2">
        <f t="shared" si="1"/>
        <v>4</v>
      </c>
      <c r="F297" s="1" t="str">
        <f t="shared" si="2"/>
        <v>INSERT INTO tblQuestionBank VALUES (seqQuestionBank.nextval, q'[데이터베이스에서 정규화의 목적은 무엇인가?]', 4);</v>
      </c>
    </row>
    <row r="298">
      <c r="A298" s="1">
        <v>293.0</v>
      </c>
      <c r="B298" s="1" t="s">
        <v>283</v>
      </c>
      <c r="C298" s="39" t="s">
        <v>296</v>
      </c>
      <c r="D298" s="2">
        <f t="shared" si="1"/>
        <v>2</v>
      </c>
      <c r="F298" s="1" t="str">
        <f t="shared" si="2"/>
        <v>INSERT INTO tblQuestionBank VALUES (seqQuestionBank.nextval, q'[CSS에서 'flexbox'의 주요 사용 목적은 무엇인가?]', 2);</v>
      </c>
    </row>
    <row r="299">
      <c r="A299" s="1">
        <v>294.0</v>
      </c>
      <c r="B299" s="1" t="s">
        <v>283</v>
      </c>
      <c r="C299" s="39" t="s">
        <v>297</v>
      </c>
      <c r="D299" s="2">
        <f t="shared" si="1"/>
        <v>3</v>
      </c>
      <c r="F299" s="1" t="str">
        <f t="shared" si="2"/>
        <v>INSERT INTO tblQuestionBank VALUES (seqQuestionBank.nextval, q'[Git에서 'merge'와 'rebase'의 차이점은 무엇인가?]', 3);</v>
      </c>
    </row>
    <row r="300">
      <c r="A300" s="1">
        <v>295.0</v>
      </c>
      <c r="B300" s="1" t="s">
        <v>283</v>
      </c>
      <c r="C300" s="39" t="s">
        <v>298</v>
      </c>
      <c r="D300" s="2">
        <f t="shared" si="1"/>
        <v>2</v>
      </c>
      <c r="F300" s="1" t="str">
        <f t="shared" si="2"/>
        <v>INSERT INTO tblQuestionBank VALUES (seqQuestionBank.nextval, q'[C++에서 참조자(reference)와 포인터(pointer)의 차이는 무엇인가?]', 2);</v>
      </c>
    </row>
    <row r="301">
      <c r="A301" s="1">
        <v>296.0</v>
      </c>
      <c r="B301" s="1" t="s">
        <v>283</v>
      </c>
      <c r="C301" s="39" t="s">
        <v>299</v>
      </c>
      <c r="D301" s="2">
        <f t="shared" si="1"/>
        <v>4</v>
      </c>
      <c r="F301" s="1" t="str">
        <f t="shared" si="2"/>
        <v>INSERT INTO tblQuestionBank VALUES (seqQuestionBank.nextval, q'[네트워크에서 TCP와 UDP의 차이점은 무엇인가?]', 4);</v>
      </c>
    </row>
    <row r="302">
      <c r="A302" s="1">
        <v>297.0</v>
      </c>
      <c r="B302" s="1" t="s">
        <v>283</v>
      </c>
      <c r="C302" s="39" t="s">
        <v>300</v>
      </c>
      <c r="D302" s="2">
        <f t="shared" si="1"/>
        <v>1</v>
      </c>
      <c r="F302" s="1" t="str">
        <f t="shared" si="2"/>
        <v>INSERT INTO tblQuestionBank VALUES (seqQuestionBank.nextval, q'[Python에서 제너레이터(generator)의 특징은 무엇인가?]', 1);</v>
      </c>
    </row>
    <row r="303">
      <c r="A303" s="1">
        <v>298.0</v>
      </c>
      <c r="B303" s="1" t="s">
        <v>283</v>
      </c>
      <c r="C303" s="39" t="s">
        <v>301</v>
      </c>
      <c r="D303" s="2">
        <f t="shared" si="1"/>
        <v>3</v>
      </c>
      <c r="F303" s="1" t="str">
        <f t="shared" si="2"/>
        <v>INSERT INTO tblQuestionBank VALUES (seqQuestionBank.nextval, q'[REST API의 주요 원칙 중 하나가 아닌 것은 무엇인가?]', 3);</v>
      </c>
    </row>
    <row r="304">
      <c r="A304" s="1">
        <v>299.0</v>
      </c>
      <c r="B304" s="1" t="s">
        <v>283</v>
      </c>
      <c r="C304" s="39" t="s">
        <v>302</v>
      </c>
      <c r="D304" s="2">
        <f t="shared" si="1"/>
        <v>5</v>
      </c>
      <c r="F304" s="1" t="str">
        <f t="shared" si="2"/>
        <v>INSERT INTO tblQuestionBank VALUES (seqQuestionBank.nextval, q'[Java에서 예외(Exception) 처리 방법으로 올바른 것을 고르시오.]', 5);</v>
      </c>
    </row>
    <row r="305">
      <c r="A305" s="1">
        <v>300.0</v>
      </c>
      <c r="B305" s="1" t="s">
        <v>283</v>
      </c>
      <c r="C305" s="39" t="s">
        <v>303</v>
      </c>
      <c r="D305" s="2">
        <f t="shared" si="1"/>
        <v>4</v>
      </c>
      <c r="F305" s="1" t="str">
        <f t="shared" si="2"/>
        <v>INSERT INTO tblQuestionBank VALUES (seqQuestionBank.nextval, q'[프로그래밍 언어에서 타입 캐스팅(type casting)이란 무엇인가?]', 4);</v>
      </c>
    </row>
    <row r="306">
      <c r="A306" s="1">
        <v>301.0</v>
      </c>
      <c r="B306" s="1" t="s">
        <v>283</v>
      </c>
      <c r="C306" s="39" t="s">
        <v>284</v>
      </c>
      <c r="D306" s="2">
        <f t="shared" si="1"/>
        <v>1</v>
      </c>
      <c r="F306" s="1" t="str">
        <f t="shared" si="2"/>
        <v>INSERT INTO tblQuestionBank VALUES (seqQuestionBank.nextval, q'[변수의 스코프(scope)란 무엇인가에 대한 설명으로 올바른 것을 고르시오.]', 1);</v>
      </c>
    </row>
    <row r="307">
      <c r="A307" s="1">
        <v>302.0</v>
      </c>
      <c r="B307" s="1" t="s">
        <v>283</v>
      </c>
      <c r="C307" s="39" t="s">
        <v>285</v>
      </c>
      <c r="D307" s="2">
        <f t="shared" si="1"/>
        <v>1</v>
      </c>
      <c r="F307" s="1" t="str">
        <f t="shared" si="2"/>
        <v>INSERT INTO tblQuestionBank VALUES (seqQuestionBank.nextval, q'[재귀 함수와 반복문 중 메모리 사용량이 더 많은 것은 무엇인가?]', 1);</v>
      </c>
    </row>
    <row r="308">
      <c r="A308" s="1">
        <v>303.0</v>
      </c>
      <c r="B308" s="1" t="s">
        <v>283</v>
      </c>
      <c r="C308" s="39" t="s">
        <v>286</v>
      </c>
      <c r="D308" s="2">
        <f t="shared" si="1"/>
        <v>5</v>
      </c>
      <c r="F308" s="1" t="str">
        <f t="shared" si="2"/>
        <v>INSERT INTO tblQuestionBank VALUES (seqQuestionBank.nextval, q'[HTML에서 'a' 태그의 주요 기능은 무엇인가?]', 5);</v>
      </c>
    </row>
    <row r="309">
      <c r="A309" s="1">
        <v>304.0</v>
      </c>
      <c r="B309" s="1" t="s">
        <v>283</v>
      </c>
      <c r="C309" s="39" t="s">
        <v>287</v>
      </c>
      <c r="D309" s="2">
        <f t="shared" si="1"/>
        <v>1</v>
      </c>
      <c r="F309" s="1" t="str">
        <f t="shared" si="2"/>
        <v>INSERT INTO tblQuestionBank VALUES (seqQuestionBank.nextval, q'[Java에서 클래스와 객체의 차이점은 무엇인가?]', 1);</v>
      </c>
    </row>
    <row r="310">
      <c r="A310" s="1">
        <v>305.0</v>
      </c>
      <c r="B310" s="1" t="s">
        <v>283</v>
      </c>
      <c r="C310" s="39" t="s">
        <v>288</v>
      </c>
      <c r="D310" s="2">
        <f t="shared" si="1"/>
        <v>5</v>
      </c>
      <c r="F310" s="1" t="str">
        <f t="shared" si="2"/>
        <v>INSERT INTO tblQuestionBank VALUES (seqQuestionBank.nextval, q'[Python의 리스트와 튜플의 차이점은 무엇인가?]', 5);</v>
      </c>
    </row>
    <row r="311">
      <c r="A311" s="1">
        <v>306.0</v>
      </c>
      <c r="B311" s="1" t="s">
        <v>283</v>
      </c>
      <c r="C311" s="39" t="s">
        <v>289</v>
      </c>
      <c r="D311" s="2">
        <f t="shared" si="1"/>
        <v>1</v>
      </c>
      <c r="F311" s="1" t="str">
        <f t="shared" si="2"/>
        <v>INSERT INTO tblQuestionBank VALUES (seqQuestionBank.nextval, q'[C언어에서 포인터를 사용하는 주된 이유는 무엇인가?]', 1);</v>
      </c>
    </row>
    <row r="312">
      <c r="A312" s="1">
        <v>307.0</v>
      </c>
      <c r="B312" s="1" t="s">
        <v>283</v>
      </c>
      <c r="C312" s="39" t="s">
        <v>290</v>
      </c>
      <c r="D312" s="2">
        <f t="shared" si="1"/>
        <v>3</v>
      </c>
      <c r="F312" s="1" t="str">
        <f t="shared" si="2"/>
        <v>INSERT INTO tblQuestionBank VALUES (seqQuestionBank.nextval, q'[컴파일러와 인터프리터의 차이점은 무엇인가?]', 3);</v>
      </c>
    </row>
    <row r="313">
      <c r="A313" s="1">
        <v>308.0</v>
      </c>
      <c r="B313" s="1" t="s">
        <v>283</v>
      </c>
      <c r="C313" s="39" t="s">
        <v>291</v>
      </c>
      <c r="D313" s="2">
        <f t="shared" si="1"/>
        <v>5</v>
      </c>
      <c r="F313" s="1" t="str">
        <f t="shared" si="2"/>
        <v>INSERT INTO tblQuestionBank VALUES (seqQuestionBank.nextval, q'[JavaScript에서 클로저(closure)의 정의는 무엇인가?]', 5);</v>
      </c>
    </row>
    <row r="314">
      <c r="A314" s="1">
        <v>309.0</v>
      </c>
      <c r="B314" s="1" t="s">
        <v>283</v>
      </c>
      <c r="C314" s="39" t="s">
        <v>292</v>
      </c>
      <c r="D314" s="2">
        <f t="shared" si="1"/>
        <v>2</v>
      </c>
      <c r="F314" s="1" t="str">
        <f t="shared" si="2"/>
        <v>INSERT INTO tblQuestionBank VALUES (seqQuestionBank.nextval, q'[객체 지향 프로그래밍의 4대 특징 중 하나가 아닌 것은 무엇인가?]', 2);</v>
      </c>
    </row>
    <row r="315">
      <c r="A315" s="1">
        <v>310.0</v>
      </c>
      <c r="B315" s="1" t="s">
        <v>283</v>
      </c>
      <c r="C315" s="39" t="s">
        <v>293</v>
      </c>
      <c r="D315" s="2">
        <f t="shared" si="1"/>
        <v>2</v>
      </c>
      <c r="F315" s="1" t="str">
        <f t="shared" si="2"/>
        <v>INSERT INTO tblQuestionBank VALUES (seqQuestionBank.nextval, q'[SQL에서 'JOIN'의 기능은 무엇인가?]', 2);</v>
      </c>
    </row>
    <row r="316">
      <c r="A316" s="1">
        <v>311.0</v>
      </c>
      <c r="B316" s="1" t="s">
        <v>283</v>
      </c>
      <c r="C316" s="39" t="s">
        <v>294</v>
      </c>
      <c r="D316" s="2">
        <f t="shared" si="1"/>
        <v>1</v>
      </c>
      <c r="F316" s="1" t="str">
        <f t="shared" si="2"/>
        <v>INSERT INTO tblQuestionBank VALUES (seqQuestionBank.nextval, q'[Python에서 'with open()' 구문의 주요 목적은 무엇인가?]', 1);</v>
      </c>
    </row>
    <row r="317">
      <c r="A317" s="1">
        <v>312.0</v>
      </c>
      <c r="B317" s="1" t="s">
        <v>283</v>
      </c>
      <c r="C317" s="39" t="s">
        <v>295</v>
      </c>
      <c r="D317" s="2">
        <f t="shared" si="1"/>
        <v>4</v>
      </c>
      <c r="F317" s="1" t="str">
        <f t="shared" si="2"/>
        <v>INSERT INTO tblQuestionBank VALUES (seqQuestionBank.nextval, q'[데이터베이스에서 정규화의 목적은 무엇인가?]', 4);</v>
      </c>
    </row>
    <row r="318">
      <c r="A318" s="1">
        <v>313.0</v>
      </c>
      <c r="B318" s="1" t="s">
        <v>283</v>
      </c>
      <c r="C318" s="39" t="s">
        <v>296</v>
      </c>
      <c r="D318" s="2">
        <f t="shared" si="1"/>
        <v>3</v>
      </c>
      <c r="F318" s="1" t="str">
        <f t="shared" si="2"/>
        <v>INSERT INTO tblQuestionBank VALUES (seqQuestionBank.nextval, q'[CSS에서 'flexbox'의 주요 사용 목적은 무엇인가?]', 3);</v>
      </c>
    </row>
    <row r="319">
      <c r="A319" s="1">
        <v>314.0</v>
      </c>
      <c r="B319" s="1" t="s">
        <v>283</v>
      </c>
      <c r="C319" s="39" t="s">
        <v>297</v>
      </c>
      <c r="D319" s="2">
        <f t="shared" si="1"/>
        <v>4</v>
      </c>
      <c r="F319" s="1" t="str">
        <f t="shared" si="2"/>
        <v>INSERT INTO tblQuestionBank VALUES (seqQuestionBank.nextval, q'[Git에서 'merge'와 'rebase'의 차이점은 무엇인가?]', 4);</v>
      </c>
    </row>
    <row r="320">
      <c r="A320" s="1">
        <v>315.0</v>
      </c>
      <c r="B320" s="1" t="s">
        <v>283</v>
      </c>
      <c r="C320" s="39" t="s">
        <v>298</v>
      </c>
      <c r="D320" s="2">
        <f t="shared" si="1"/>
        <v>2</v>
      </c>
      <c r="F320" s="1" t="str">
        <f t="shared" si="2"/>
        <v>INSERT INTO tblQuestionBank VALUES (seqQuestionBank.nextval, q'[C++에서 참조자(reference)와 포인터(pointer)의 차이는 무엇인가?]', 2);</v>
      </c>
    </row>
    <row r="321">
      <c r="A321" s="1">
        <v>316.0</v>
      </c>
      <c r="B321" s="1" t="s">
        <v>283</v>
      </c>
      <c r="C321" s="39" t="s">
        <v>299</v>
      </c>
      <c r="D321" s="2">
        <f t="shared" si="1"/>
        <v>4</v>
      </c>
      <c r="F321" s="1" t="str">
        <f t="shared" si="2"/>
        <v>INSERT INTO tblQuestionBank VALUES (seqQuestionBank.nextval, q'[네트워크에서 TCP와 UDP의 차이점은 무엇인가?]', 4);</v>
      </c>
    </row>
    <row r="322">
      <c r="A322" s="1">
        <v>317.0</v>
      </c>
      <c r="B322" s="1" t="s">
        <v>283</v>
      </c>
      <c r="C322" s="39" t="s">
        <v>300</v>
      </c>
      <c r="D322" s="2">
        <f t="shared" si="1"/>
        <v>5</v>
      </c>
      <c r="F322" s="1" t="str">
        <f t="shared" si="2"/>
        <v>INSERT INTO tblQuestionBank VALUES (seqQuestionBank.nextval, q'[Python에서 제너레이터(generator)의 특징은 무엇인가?]', 5);</v>
      </c>
    </row>
    <row r="323">
      <c r="A323" s="1">
        <v>318.0</v>
      </c>
      <c r="B323" s="1" t="s">
        <v>283</v>
      </c>
      <c r="C323" s="39" t="s">
        <v>301</v>
      </c>
      <c r="D323" s="2">
        <f t="shared" si="1"/>
        <v>4</v>
      </c>
      <c r="F323" s="1" t="str">
        <f t="shared" si="2"/>
        <v>INSERT INTO tblQuestionBank VALUES (seqQuestionBank.nextval, q'[REST API의 주요 원칙 중 하나가 아닌 것은 무엇인가?]', 4);</v>
      </c>
    </row>
    <row r="324">
      <c r="A324" s="1">
        <v>319.0</v>
      </c>
      <c r="B324" s="1" t="s">
        <v>283</v>
      </c>
      <c r="C324" s="39" t="s">
        <v>302</v>
      </c>
      <c r="D324" s="2">
        <f t="shared" si="1"/>
        <v>5</v>
      </c>
      <c r="F324" s="1" t="str">
        <f t="shared" si="2"/>
        <v>INSERT INTO tblQuestionBank VALUES (seqQuestionBank.nextval, q'[Java에서 예외(Exception) 처리 방법으로 올바른 것을 고르시오.]', 5);</v>
      </c>
    </row>
    <row r="325">
      <c r="A325" s="1">
        <v>320.0</v>
      </c>
      <c r="B325" s="1" t="s">
        <v>283</v>
      </c>
      <c r="C325" s="39" t="s">
        <v>303</v>
      </c>
      <c r="D325" s="2">
        <f t="shared" si="1"/>
        <v>5</v>
      </c>
      <c r="F325" s="1" t="str">
        <f t="shared" si="2"/>
        <v>INSERT INTO tblQuestionBank VALUES (seqQuestionBank.nextval, q'[프로그래밍 언어에서 타입 캐스팅(type casting)이란 무엇인가?]', 5);</v>
      </c>
    </row>
    <row r="326">
      <c r="A326" s="1">
        <v>321.0</v>
      </c>
      <c r="B326" s="1" t="s">
        <v>283</v>
      </c>
      <c r="C326" s="39" t="s">
        <v>284</v>
      </c>
      <c r="D326" s="2">
        <f t="shared" si="1"/>
        <v>4</v>
      </c>
      <c r="F326" s="1" t="str">
        <f t="shared" si="2"/>
        <v>INSERT INTO tblQuestionBank VALUES (seqQuestionBank.nextval, q'[변수의 스코프(scope)란 무엇인가에 대한 설명으로 올바른 것을 고르시오.]', 4);</v>
      </c>
    </row>
    <row r="327">
      <c r="A327" s="1">
        <v>322.0</v>
      </c>
      <c r="B327" s="1" t="s">
        <v>283</v>
      </c>
      <c r="C327" s="39" t="s">
        <v>285</v>
      </c>
      <c r="D327" s="2">
        <f t="shared" si="1"/>
        <v>4</v>
      </c>
      <c r="F327" s="1" t="str">
        <f t="shared" si="2"/>
        <v>INSERT INTO tblQuestionBank VALUES (seqQuestionBank.nextval, q'[재귀 함수와 반복문 중 메모리 사용량이 더 많은 것은 무엇인가?]', 4);</v>
      </c>
    </row>
    <row r="328">
      <c r="A328" s="1">
        <v>323.0</v>
      </c>
      <c r="B328" s="1" t="s">
        <v>283</v>
      </c>
      <c r="C328" s="39" t="s">
        <v>286</v>
      </c>
      <c r="D328" s="2">
        <f t="shared" si="1"/>
        <v>1</v>
      </c>
      <c r="F328" s="1" t="str">
        <f t="shared" si="2"/>
        <v>INSERT INTO tblQuestionBank VALUES (seqQuestionBank.nextval, q'[HTML에서 'a' 태그의 주요 기능은 무엇인가?]', 1);</v>
      </c>
    </row>
    <row r="329">
      <c r="A329" s="1">
        <v>324.0</v>
      </c>
      <c r="B329" s="1" t="s">
        <v>283</v>
      </c>
      <c r="C329" s="39" t="s">
        <v>287</v>
      </c>
      <c r="D329" s="2">
        <f t="shared" si="1"/>
        <v>1</v>
      </c>
      <c r="F329" s="1" t="str">
        <f t="shared" si="2"/>
        <v>INSERT INTO tblQuestionBank VALUES (seqQuestionBank.nextval, q'[Java에서 클래스와 객체의 차이점은 무엇인가?]', 1);</v>
      </c>
    </row>
    <row r="330">
      <c r="A330" s="1">
        <v>325.0</v>
      </c>
      <c r="B330" s="1" t="s">
        <v>283</v>
      </c>
      <c r="C330" s="39" t="s">
        <v>288</v>
      </c>
      <c r="D330" s="2">
        <f t="shared" si="1"/>
        <v>5</v>
      </c>
      <c r="F330" s="1" t="str">
        <f t="shared" si="2"/>
        <v>INSERT INTO tblQuestionBank VALUES (seqQuestionBank.nextval, q'[Python의 리스트와 튜플의 차이점은 무엇인가?]', 5);</v>
      </c>
    </row>
    <row r="331">
      <c r="A331" s="1">
        <v>326.0</v>
      </c>
      <c r="B331" s="1" t="s">
        <v>283</v>
      </c>
      <c r="C331" s="39" t="s">
        <v>289</v>
      </c>
      <c r="D331" s="2">
        <f t="shared" si="1"/>
        <v>2</v>
      </c>
      <c r="F331" s="1" t="str">
        <f t="shared" si="2"/>
        <v>INSERT INTO tblQuestionBank VALUES (seqQuestionBank.nextval, q'[C언어에서 포인터를 사용하는 주된 이유는 무엇인가?]', 2);</v>
      </c>
    </row>
    <row r="332">
      <c r="A332" s="1">
        <v>327.0</v>
      </c>
      <c r="B332" s="1" t="s">
        <v>283</v>
      </c>
      <c r="C332" s="39" t="s">
        <v>290</v>
      </c>
      <c r="D332" s="2">
        <f t="shared" si="1"/>
        <v>1</v>
      </c>
      <c r="F332" s="1" t="str">
        <f t="shared" si="2"/>
        <v>INSERT INTO tblQuestionBank VALUES (seqQuestionBank.nextval, q'[컴파일러와 인터프리터의 차이점은 무엇인가?]', 1);</v>
      </c>
    </row>
    <row r="333">
      <c r="A333" s="1">
        <v>328.0</v>
      </c>
      <c r="B333" s="1" t="s">
        <v>283</v>
      </c>
      <c r="C333" s="39" t="s">
        <v>291</v>
      </c>
      <c r="D333" s="2">
        <f t="shared" si="1"/>
        <v>1</v>
      </c>
      <c r="F333" s="1" t="str">
        <f t="shared" si="2"/>
        <v>INSERT INTO tblQuestionBank VALUES (seqQuestionBank.nextval, q'[JavaScript에서 클로저(closure)의 정의는 무엇인가?]', 1);</v>
      </c>
    </row>
    <row r="334">
      <c r="A334" s="1">
        <v>329.0</v>
      </c>
      <c r="B334" s="1" t="s">
        <v>283</v>
      </c>
      <c r="C334" s="39" t="s">
        <v>292</v>
      </c>
      <c r="D334" s="2">
        <f t="shared" si="1"/>
        <v>3</v>
      </c>
      <c r="F334" s="1" t="str">
        <f t="shared" si="2"/>
        <v>INSERT INTO tblQuestionBank VALUES (seqQuestionBank.nextval, q'[객체 지향 프로그래밍의 4대 특징 중 하나가 아닌 것은 무엇인가?]', 3);</v>
      </c>
    </row>
    <row r="335">
      <c r="A335" s="1">
        <v>330.0</v>
      </c>
      <c r="B335" s="1" t="s">
        <v>283</v>
      </c>
      <c r="C335" s="39" t="s">
        <v>293</v>
      </c>
      <c r="D335" s="2">
        <f t="shared" si="1"/>
        <v>2</v>
      </c>
      <c r="F335" s="1" t="str">
        <f t="shared" si="2"/>
        <v>INSERT INTO tblQuestionBank VALUES (seqQuestionBank.nextval, q'[SQL에서 'JOIN'의 기능은 무엇인가?]', 2);</v>
      </c>
    </row>
    <row r="336">
      <c r="A336" s="1">
        <v>331.0</v>
      </c>
      <c r="B336" s="1" t="s">
        <v>283</v>
      </c>
      <c r="C336" s="39" t="s">
        <v>294</v>
      </c>
      <c r="D336" s="2">
        <f t="shared" si="1"/>
        <v>3</v>
      </c>
      <c r="F336" s="1" t="str">
        <f t="shared" si="2"/>
        <v>INSERT INTO tblQuestionBank VALUES (seqQuestionBank.nextval, q'[Python에서 'with open()' 구문의 주요 목적은 무엇인가?]', 3);</v>
      </c>
    </row>
    <row r="337">
      <c r="A337" s="1">
        <v>332.0</v>
      </c>
      <c r="B337" s="1" t="s">
        <v>283</v>
      </c>
      <c r="C337" s="39" t="s">
        <v>295</v>
      </c>
      <c r="D337" s="2">
        <f t="shared" si="1"/>
        <v>2</v>
      </c>
      <c r="F337" s="1" t="str">
        <f t="shared" si="2"/>
        <v>INSERT INTO tblQuestionBank VALUES (seqQuestionBank.nextval, q'[데이터베이스에서 정규화의 목적은 무엇인가?]', 2);</v>
      </c>
    </row>
    <row r="338">
      <c r="A338" s="1">
        <v>333.0</v>
      </c>
      <c r="B338" s="1" t="s">
        <v>283</v>
      </c>
      <c r="C338" s="39" t="s">
        <v>296</v>
      </c>
      <c r="D338" s="2">
        <f t="shared" si="1"/>
        <v>4</v>
      </c>
      <c r="F338" s="1" t="str">
        <f t="shared" si="2"/>
        <v>INSERT INTO tblQuestionBank VALUES (seqQuestionBank.nextval, q'[CSS에서 'flexbox'의 주요 사용 목적은 무엇인가?]', 4);</v>
      </c>
    </row>
    <row r="339">
      <c r="A339" s="1">
        <v>334.0</v>
      </c>
      <c r="B339" s="1" t="s">
        <v>283</v>
      </c>
      <c r="C339" s="39" t="s">
        <v>297</v>
      </c>
      <c r="D339" s="2">
        <f t="shared" si="1"/>
        <v>3</v>
      </c>
      <c r="F339" s="1" t="str">
        <f t="shared" si="2"/>
        <v>INSERT INTO tblQuestionBank VALUES (seqQuestionBank.nextval, q'[Git에서 'merge'와 'rebase'의 차이점은 무엇인가?]', 3);</v>
      </c>
    </row>
    <row r="340">
      <c r="A340" s="1">
        <v>335.0</v>
      </c>
      <c r="B340" s="1" t="s">
        <v>283</v>
      </c>
      <c r="C340" s="39" t="s">
        <v>298</v>
      </c>
      <c r="D340" s="2">
        <f t="shared" si="1"/>
        <v>2</v>
      </c>
      <c r="F340" s="1" t="str">
        <f t="shared" si="2"/>
        <v>INSERT INTO tblQuestionBank VALUES (seqQuestionBank.nextval, q'[C++에서 참조자(reference)와 포인터(pointer)의 차이는 무엇인가?]', 2);</v>
      </c>
    </row>
    <row r="341">
      <c r="A341" s="1">
        <v>336.0</v>
      </c>
      <c r="B341" s="1" t="s">
        <v>283</v>
      </c>
      <c r="C341" s="39" t="s">
        <v>299</v>
      </c>
      <c r="D341" s="2">
        <f t="shared" si="1"/>
        <v>5</v>
      </c>
      <c r="F341" s="1" t="str">
        <f t="shared" si="2"/>
        <v>INSERT INTO tblQuestionBank VALUES (seqQuestionBank.nextval, q'[네트워크에서 TCP와 UDP의 차이점은 무엇인가?]', 5);</v>
      </c>
    </row>
    <row r="342">
      <c r="A342" s="1">
        <v>337.0</v>
      </c>
      <c r="B342" s="1" t="s">
        <v>283</v>
      </c>
      <c r="C342" s="39" t="s">
        <v>300</v>
      </c>
      <c r="D342" s="2">
        <f t="shared" si="1"/>
        <v>3</v>
      </c>
      <c r="F342" s="1" t="str">
        <f t="shared" si="2"/>
        <v>INSERT INTO tblQuestionBank VALUES (seqQuestionBank.nextval, q'[Python에서 제너레이터(generator)의 특징은 무엇인가?]', 3);</v>
      </c>
    </row>
    <row r="343">
      <c r="A343" s="1">
        <v>338.0</v>
      </c>
      <c r="B343" s="1" t="s">
        <v>283</v>
      </c>
      <c r="C343" s="39" t="s">
        <v>301</v>
      </c>
      <c r="D343" s="2">
        <f t="shared" si="1"/>
        <v>1</v>
      </c>
      <c r="F343" s="1" t="str">
        <f t="shared" si="2"/>
        <v>INSERT INTO tblQuestionBank VALUES (seqQuestionBank.nextval, q'[REST API의 주요 원칙 중 하나가 아닌 것은 무엇인가?]', 1);</v>
      </c>
    </row>
    <row r="344">
      <c r="A344" s="1">
        <v>339.0</v>
      </c>
      <c r="B344" s="1" t="s">
        <v>283</v>
      </c>
      <c r="C344" s="39" t="s">
        <v>302</v>
      </c>
      <c r="D344" s="2">
        <f t="shared" si="1"/>
        <v>2</v>
      </c>
      <c r="F344" s="1" t="str">
        <f t="shared" si="2"/>
        <v>INSERT INTO tblQuestionBank VALUES (seqQuestionBank.nextval, q'[Java에서 예외(Exception) 처리 방법으로 올바른 것을 고르시오.]', 2);</v>
      </c>
    </row>
    <row r="345">
      <c r="A345" s="1">
        <v>340.0</v>
      </c>
      <c r="B345" s="1" t="s">
        <v>283</v>
      </c>
      <c r="C345" s="39" t="s">
        <v>303</v>
      </c>
      <c r="D345" s="2">
        <f t="shared" si="1"/>
        <v>2</v>
      </c>
      <c r="F345" s="1" t="str">
        <f t="shared" si="2"/>
        <v>INSERT INTO tblQuestionBank VALUES (seqQuestionBank.nextval, q'[프로그래밍 언어에서 타입 캐스팅(type casting)이란 무엇인가?]', 2);</v>
      </c>
    </row>
    <row r="346">
      <c r="A346" s="1">
        <v>341.0</v>
      </c>
      <c r="B346" s="1" t="s">
        <v>283</v>
      </c>
      <c r="C346" s="39" t="s">
        <v>284</v>
      </c>
      <c r="D346" s="2">
        <f t="shared" si="1"/>
        <v>2</v>
      </c>
      <c r="F346" s="1" t="str">
        <f t="shared" si="2"/>
        <v>INSERT INTO tblQuestionBank VALUES (seqQuestionBank.nextval, q'[변수의 스코프(scope)란 무엇인가에 대한 설명으로 올바른 것을 고르시오.]', 2);</v>
      </c>
    </row>
    <row r="347">
      <c r="A347" s="1">
        <v>342.0</v>
      </c>
      <c r="B347" s="1" t="s">
        <v>283</v>
      </c>
      <c r="C347" s="39" t="s">
        <v>285</v>
      </c>
      <c r="D347" s="2">
        <f t="shared" si="1"/>
        <v>1</v>
      </c>
      <c r="F347" s="1" t="str">
        <f t="shared" si="2"/>
        <v>INSERT INTO tblQuestionBank VALUES (seqQuestionBank.nextval, q'[재귀 함수와 반복문 중 메모리 사용량이 더 많은 것은 무엇인가?]', 1);</v>
      </c>
    </row>
    <row r="348">
      <c r="A348" s="1">
        <v>343.0</v>
      </c>
      <c r="B348" s="1" t="s">
        <v>283</v>
      </c>
      <c r="C348" s="39" t="s">
        <v>286</v>
      </c>
      <c r="D348" s="2">
        <f t="shared" si="1"/>
        <v>2</v>
      </c>
      <c r="F348" s="1" t="str">
        <f t="shared" si="2"/>
        <v>INSERT INTO tblQuestionBank VALUES (seqQuestionBank.nextval, q'[HTML에서 'a' 태그의 주요 기능은 무엇인가?]', 2);</v>
      </c>
    </row>
    <row r="349">
      <c r="A349" s="1">
        <v>344.0</v>
      </c>
      <c r="B349" s="1" t="s">
        <v>283</v>
      </c>
      <c r="C349" s="39" t="s">
        <v>287</v>
      </c>
      <c r="D349" s="2">
        <f t="shared" si="1"/>
        <v>4</v>
      </c>
      <c r="F349" s="1" t="str">
        <f t="shared" si="2"/>
        <v>INSERT INTO tblQuestionBank VALUES (seqQuestionBank.nextval, q'[Java에서 클래스와 객체의 차이점은 무엇인가?]', 4);</v>
      </c>
    </row>
    <row r="350">
      <c r="A350" s="1">
        <v>345.0</v>
      </c>
      <c r="B350" s="1" t="s">
        <v>283</v>
      </c>
      <c r="C350" s="39" t="s">
        <v>288</v>
      </c>
      <c r="D350" s="2">
        <f t="shared" si="1"/>
        <v>2</v>
      </c>
      <c r="F350" s="1" t="str">
        <f t="shared" si="2"/>
        <v>INSERT INTO tblQuestionBank VALUES (seqQuestionBank.nextval, q'[Python의 리스트와 튜플의 차이점은 무엇인가?]', 2);</v>
      </c>
    </row>
    <row r="351">
      <c r="A351" s="1">
        <v>346.0</v>
      </c>
      <c r="B351" s="1" t="s">
        <v>283</v>
      </c>
      <c r="C351" s="39" t="s">
        <v>289</v>
      </c>
      <c r="D351" s="2">
        <f t="shared" si="1"/>
        <v>4</v>
      </c>
      <c r="F351" s="1" t="str">
        <f t="shared" si="2"/>
        <v>INSERT INTO tblQuestionBank VALUES (seqQuestionBank.nextval, q'[C언어에서 포인터를 사용하는 주된 이유는 무엇인가?]', 4);</v>
      </c>
    </row>
    <row r="352">
      <c r="A352" s="1">
        <v>347.0</v>
      </c>
      <c r="B352" s="1" t="s">
        <v>283</v>
      </c>
      <c r="C352" s="39" t="s">
        <v>290</v>
      </c>
      <c r="D352" s="2">
        <f t="shared" si="1"/>
        <v>1</v>
      </c>
      <c r="F352" s="1" t="str">
        <f t="shared" si="2"/>
        <v>INSERT INTO tblQuestionBank VALUES (seqQuestionBank.nextval, q'[컴파일러와 인터프리터의 차이점은 무엇인가?]', 1);</v>
      </c>
    </row>
    <row r="353">
      <c r="A353" s="1">
        <v>348.0</v>
      </c>
      <c r="B353" s="1" t="s">
        <v>283</v>
      </c>
      <c r="C353" s="39" t="s">
        <v>291</v>
      </c>
      <c r="D353" s="2">
        <f t="shared" si="1"/>
        <v>2</v>
      </c>
      <c r="F353" s="1" t="str">
        <f t="shared" si="2"/>
        <v>INSERT INTO tblQuestionBank VALUES (seqQuestionBank.nextval, q'[JavaScript에서 클로저(closure)의 정의는 무엇인가?]', 2);</v>
      </c>
    </row>
    <row r="354">
      <c r="A354" s="1">
        <v>349.0</v>
      </c>
      <c r="B354" s="1" t="s">
        <v>283</v>
      </c>
      <c r="C354" s="39" t="s">
        <v>292</v>
      </c>
      <c r="D354" s="2">
        <f t="shared" si="1"/>
        <v>5</v>
      </c>
      <c r="F354" s="1" t="str">
        <f t="shared" si="2"/>
        <v>INSERT INTO tblQuestionBank VALUES (seqQuestionBank.nextval, q'[객체 지향 프로그래밍의 4대 특징 중 하나가 아닌 것은 무엇인가?]', 5);</v>
      </c>
    </row>
    <row r="355">
      <c r="A355" s="1">
        <v>350.0</v>
      </c>
      <c r="B355" s="1" t="s">
        <v>283</v>
      </c>
      <c r="C355" s="39" t="s">
        <v>293</v>
      </c>
      <c r="D355" s="2">
        <f t="shared" si="1"/>
        <v>4</v>
      </c>
      <c r="F355" s="1" t="str">
        <f t="shared" si="2"/>
        <v>INSERT INTO tblQuestionBank VALUES (seqQuestionBank.nextval, q'[SQL에서 'JOIN'의 기능은 무엇인가?]', 4);</v>
      </c>
    </row>
    <row r="356">
      <c r="A356" s="1">
        <v>351.0</v>
      </c>
      <c r="B356" s="1" t="s">
        <v>283</v>
      </c>
      <c r="C356" s="39" t="s">
        <v>294</v>
      </c>
      <c r="D356" s="2">
        <f t="shared" si="1"/>
        <v>4</v>
      </c>
      <c r="F356" s="1" t="str">
        <f t="shared" si="2"/>
        <v>INSERT INTO tblQuestionBank VALUES (seqQuestionBank.nextval, q'[Python에서 'with open()' 구문의 주요 목적은 무엇인가?]', 4);</v>
      </c>
    </row>
    <row r="357">
      <c r="A357" s="1">
        <v>352.0</v>
      </c>
      <c r="B357" s="1" t="s">
        <v>283</v>
      </c>
      <c r="C357" s="39" t="s">
        <v>295</v>
      </c>
      <c r="D357" s="2">
        <f t="shared" si="1"/>
        <v>4</v>
      </c>
      <c r="F357" s="1" t="str">
        <f t="shared" si="2"/>
        <v>INSERT INTO tblQuestionBank VALUES (seqQuestionBank.nextval, q'[데이터베이스에서 정규화의 목적은 무엇인가?]', 4);</v>
      </c>
    </row>
    <row r="358">
      <c r="A358" s="1">
        <v>353.0</v>
      </c>
      <c r="B358" s="1" t="s">
        <v>283</v>
      </c>
      <c r="C358" s="39" t="s">
        <v>296</v>
      </c>
      <c r="D358" s="2">
        <f t="shared" si="1"/>
        <v>5</v>
      </c>
      <c r="F358" s="1" t="str">
        <f t="shared" si="2"/>
        <v>INSERT INTO tblQuestionBank VALUES (seqQuestionBank.nextval, q'[CSS에서 'flexbox'의 주요 사용 목적은 무엇인가?]', 5);</v>
      </c>
    </row>
    <row r="359">
      <c r="A359" s="1">
        <v>354.0</v>
      </c>
      <c r="B359" s="1" t="s">
        <v>283</v>
      </c>
      <c r="C359" s="39" t="s">
        <v>297</v>
      </c>
      <c r="D359" s="2">
        <f t="shared" si="1"/>
        <v>5</v>
      </c>
      <c r="F359" s="1" t="str">
        <f t="shared" si="2"/>
        <v>INSERT INTO tblQuestionBank VALUES (seqQuestionBank.nextval, q'[Git에서 'merge'와 'rebase'의 차이점은 무엇인가?]', 5);</v>
      </c>
    </row>
    <row r="360">
      <c r="A360" s="1">
        <v>355.0</v>
      </c>
      <c r="B360" s="1" t="s">
        <v>283</v>
      </c>
      <c r="C360" s="39" t="s">
        <v>298</v>
      </c>
      <c r="D360" s="2">
        <f t="shared" si="1"/>
        <v>1</v>
      </c>
      <c r="F360" s="1" t="str">
        <f t="shared" si="2"/>
        <v>INSERT INTO tblQuestionBank VALUES (seqQuestionBank.nextval, q'[C++에서 참조자(reference)와 포인터(pointer)의 차이는 무엇인가?]', 1);</v>
      </c>
    </row>
    <row r="361">
      <c r="A361" s="1">
        <v>356.0</v>
      </c>
      <c r="B361" s="1" t="s">
        <v>283</v>
      </c>
      <c r="C361" s="39" t="s">
        <v>299</v>
      </c>
      <c r="D361" s="2">
        <f t="shared" si="1"/>
        <v>1</v>
      </c>
      <c r="F361" s="1" t="str">
        <f t="shared" si="2"/>
        <v>INSERT INTO tblQuestionBank VALUES (seqQuestionBank.nextval, q'[네트워크에서 TCP와 UDP의 차이점은 무엇인가?]', 1);</v>
      </c>
    </row>
    <row r="362">
      <c r="A362" s="1">
        <v>357.0</v>
      </c>
      <c r="B362" s="1" t="s">
        <v>283</v>
      </c>
      <c r="C362" s="39" t="s">
        <v>300</v>
      </c>
      <c r="D362" s="2">
        <f t="shared" si="1"/>
        <v>1</v>
      </c>
      <c r="F362" s="1" t="str">
        <f t="shared" si="2"/>
        <v>INSERT INTO tblQuestionBank VALUES (seqQuestionBank.nextval, q'[Python에서 제너레이터(generator)의 특징은 무엇인가?]', 1);</v>
      </c>
    </row>
    <row r="363">
      <c r="A363" s="1">
        <v>358.0</v>
      </c>
      <c r="B363" s="1" t="s">
        <v>283</v>
      </c>
      <c r="C363" s="39" t="s">
        <v>301</v>
      </c>
      <c r="D363" s="2">
        <f t="shared" si="1"/>
        <v>1</v>
      </c>
      <c r="F363" s="1" t="str">
        <f t="shared" si="2"/>
        <v>INSERT INTO tblQuestionBank VALUES (seqQuestionBank.nextval, q'[REST API의 주요 원칙 중 하나가 아닌 것은 무엇인가?]', 1);</v>
      </c>
    </row>
    <row r="364">
      <c r="A364" s="1">
        <v>359.0</v>
      </c>
      <c r="B364" s="1" t="s">
        <v>283</v>
      </c>
      <c r="C364" s="39" t="s">
        <v>302</v>
      </c>
      <c r="D364" s="2">
        <f t="shared" si="1"/>
        <v>3</v>
      </c>
      <c r="F364" s="1" t="str">
        <f t="shared" si="2"/>
        <v>INSERT INTO tblQuestionBank VALUES (seqQuestionBank.nextval, q'[Java에서 예외(Exception) 처리 방법으로 올바른 것을 고르시오.]', 3);</v>
      </c>
    </row>
    <row r="365">
      <c r="A365" s="1">
        <v>360.0</v>
      </c>
      <c r="B365" s="1" t="s">
        <v>283</v>
      </c>
      <c r="C365" s="39" t="s">
        <v>303</v>
      </c>
      <c r="D365" s="2">
        <f t="shared" si="1"/>
        <v>2</v>
      </c>
      <c r="F365" s="1" t="str">
        <f t="shared" si="2"/>
        <v>INSERT INTO tblQuestionBank VALUES (seqQuestionBank.nextval, q'[프로그래밍 언어에서 타입 캐스팅(type casting)이란 무엇인가?]', 2);</v>
      </c>
    </row>
    <row r="366">
      <c r="A366" s="1">
        <v>361.0</v>
      </c>
      <c r="B366" s="1" t="s">
        <v>283</v>
      </c>
      <c r="C366" s="39" t="s">
        <v>284</v>
      </c>
      <c r="D366" s="2">
        <f t="shared" si="1"/>
        <v>1</v>
      </c>
      <c r="F366" s="1" t="str">
        <f t="shared" si="2"/>
        <v>INSERT INTO tblQuestionBank VALUES (seqQuestionBank.nextval, q'[변수의 스코프(scope)란 무엇인가에 대한 설명으로 올바른 것을 고르시오.]', 1);</v>
      </c>
    </row>
    <row r="367">
      <c r="A367" s="1">
        <v>362.0</v>
      </c>
      <c r="B367" s="1" t="s">
        <v>283</v>
      </c>
      <c r="C367" s="39" t="s">
        <v>285</v>
      </c>
      <c r="D367" s="2">
        <f t="shared" si="1"/>
        <v>2</v>
      </c>
      <c r="F367" s="1" t="str">
        <f t="shared" si="2"/>
        <v>INSERT INTO tblQuestionBank VALUES (seqQuestionBank.nextval, q'[재귀 함수와 반복문 중 메모리 사용량이 더 많은 것은 무엇인가?]', 2);</v>
      </c>
    </row>
    <row r="368">
      <c r="A368" s="1">
        <v>363.0</v>
      </c>
      <c r="B368" s="1" t="s">
        <v>283</v>
      </c>
      <c r="C368" s="39" t="s">
        <v>286</v>
      </c>
      <c r="D368" s="2">
        <f t="shared" si="1"/>
        <v>3</v>
      </c>
      <c r="F368" s="1" t="str">
        <f t="shared" si="2"/>
        <v>INSERT INTO tblQuestionBank VALUES (seqQuestionBank.nextval, q'[HTML에서 'a' 태그의 주요 기능은 무엇인가?]', 3);</v>
      </c>
    </row>
    <row r="369">
      <c r="A369" s="1">
        <v>364.0</v>
      </c>
      <c r="B369" s="1" t="s">
        <v>283</v>
      </c>
      <c r="C369" s="39" t="s">
        <v>287</v>
      </c>
      <c r="D369" s="2">
        <f t="shared" si="1"/>
        <v>4</v>
      </c>
      <c r="F369" s="1" t="str">
        <f t="shared" si="2"/>
        <v>INSERT INTO tblQuestionBank VALUES (seqQuestionBank.nextval, q'[Java에서 클래스와 객체의 차이점은 무엇인가?]', 4);</v>
      </c>
    </row>
    <row r="370">
      <c r="A370" s="1">
        <v>365.0</v>
      </c>
      <c r="B370" s="1" t="s">
        <v>283</v>
      </c>
      <c r="C370" s="39" t="s">
        <v>288</v>
      </c>
      <c r="D370" s="2">
        <f t="shared" si="1"/>
        <v>3</v>
      </c>
      <c r="F370" s="1" t="str">
        <f t="shared" si="2"/>
        <v>INSERT INTO tblQuestionBank VALUES (seqQuestionBank.nextval, q'[Python의 리스트와 튜플의 차이점은 무엇인가?]', 3);</v>
      </c>
    </row>
    <row r="371">
      <c r="A371" s="1">
        <v>366.0</v>
      </c>
      <c r="B371" s="1" t="s">
        <v>283</v>
      </c>
      <c r="C371" s="39" t="s">
        <v>289</v>
      </c>
      <c r="D371" s="2">
        <f t="shared" si="1"/>
        <v>4</v>
      </c>
      <c r="F371" s="1" t="str">
        <f t="shared" si="2"/>
        <v>INSERT INTO tblQuestionBank VALUES (seqQuestionBank.nextval, q'[C언어에서 포인터를 사용하는 주된 이유는 무엇인가?]', 4);</v>
      </c>
    </row>
    <row r="372">
      <c r="A372" s="1">
        <v>367.0</v>
      </c>
      <c r="B372" s="1" t="s">
        <v>283</v>
      </c>
      <c r="C372" s="39" t="s">
        <v>290</v>
      </c>
      <c r="D372" s="2">
        <f t="shared" si="1"/>
        <v>2</v>
      </c>
      <c r="F372" s="1" t="str">
        <f t="shared" si="2"/>
        <v>INSERT INTO tblQuestionBank VALUES (seqQuestionBank.nextval, q'[컴파일러와 인터프리터의 차이점은 무엇인가?]', 2);</v>
      </c>
    </row>
    <row r="373">
      <c r="A373" s="1">
        <v>368.0</v>
      </c>
      <c r="B373" s="1" t="s">
        <v>283</v>
      </c>
      <c r="C373" s="39" t="s">
        <v>291</v>
      </c>
      <c r="D373" s="2">
        <f t="shared" si="1"/>
        <v>5</v>
      </c>
      <c r="F373" s="1" t="str">
        <f t="shared" si="2"/>
        <v>INSERT INTO tblQuestionBank VALUES (seqQuestionBank.nextval, q'[JavaScript에서 클로저(closure)의 정의는 무엇인가?]', 5);</v>
      </c>
    </row>
    <row r="374">
      <c r="A374" s="1">
        <v>369.0</v>
      </c>
      <c r="B374" s="1" t="s">
        <v>283</v>
      </c>
      <c r="C374" s="39" t="s">
        <v>292</v>
      </c>
      <c r="D374" s="2">
        <f t="shared" si="1"/>
        <v>5</v>
      </c>
      <c r="F374" s="1" t="str">
        <f t="shared" si="2"/>
        <v>INSERT INTO tblQuestionBank VALUES (seqQuestionBank.nextval, q'[객체 지향 프로그래밍의 4대 특징 중 하나가 아닌 것은 무엇인가?]', 5);</v>
      </c>
    </row>
    <row r="375">
      <c r="A375" s="1">
        <v>370.0</v>
      </c>
      <c r="B375" s="1" t="s">
        <v>283</v>
      </c>
      <c r="C375" s="39" t="s">
        <v>293</v>
      </c>
      <c r="D375" s="2">
        <f t="shared" si="1"/>
        <v>1</v>
      </c>
      <c r="F375" s="1" t="str">
        <f t="shared" si="2"/>
        <v>INSERT INTO tblQuestionBank VALUES (seqQuestionBank.nextval, q'[SQL에서 'JOIN'의 기능은 무엇인가?]', 1);</v>
      </c>
    </row>
    <row r="376">
      <c r="A376" s="1">
        <v>371.0</v>
      </c>
      <c r="B376" s="1" t="s">
        <v>283</v>
      </c>
      <c r="C376" s="39" t="s">
        <v>294</v>
      </c>
      <c r="D376" s="2">
        <f t="shared" si="1"/>
        <v>5</v>
      </c>
      <c r="F376" s="1" t="str">
        <f t="shared" si="2"/>
        <v>INSERT INTO tblQuestionBank VALUES (seqQuestionBank.nextval, q'[Python에서 'with open()' 구문의 주요 목적은 무엇인가?]', 5);</v>
      </c>
    </row>
    <row r="377">
      <c r="A377" s="1">
        <v>372.0</v>
      </c>
      <c r="B377" s="1" t="s">
        <v>283</v>
      </c>
      <c r="C377" s="39" t="s">
        <v>295</v>
      </c>
      <c r="D377" s="2">
        <f t="shared" si="1"/>
        <v>4</v>
      </c>
      <c r="F377" s="1" t="str">
        <f t="shared" si="2"/>
        <v>INSERT INTO tblQuestionBank VALUES (seqQuestionBank.nextval, q'[데이터베이스에서 정규화의 목적은 무엇인가?]', 4);</v>
      </c>
    </row>
    <row r="378">
      <c r="A378" s="1">
        <v>373.0</v>
      </c>
      <c r="B378" s="1" t="s">
        <v>283</v>
      </c>
      <c r="C378" s="39" t="s">
        <v>296</v>
      </c>
      <c r="D378" s="2">
        <f t="shared" si="1"/>
        <v>5</v>
      </c>
      <c r="F378" s="1" t="str">
        <f t="shared" si="2"/>
        <v>INSERT INTO tblQuestionBank VALUES (seqQuestionBank.nextval, q'[CSS에서 'flexbox'의 주요 사용 목적은 무엇인가?]', 5);</v>
      </c>
    </row>
    <row r="379">
      <c r="A379" s="1">
        <v>374.0</v>
      </c>
      <c r="B379" s="1" t="s">
        <v>283</v>
      </c>
      <c r="C379" s="39" t="s">
        <v>297</v>
      </c>
      <c r="D379" s="2">
        <f t="shared" si="1"/>
        <v>4</v>
      </c>
      <c r="F379" s="1" t="str">
        <f t="shared" si="2"/>
        <v>INSERT INTO tblQuestionBank VALUES (seqQuestionBank.nextval, q'[Git에서 'merge'와 'rebase'의 차이점은 무엇인가?]', 4);</v>
      </c>
    </row>
    <row r="380">
      <c r="A380" s="1">
        <v>375.0</v>
      </c>
      <c r="B380" s="1" t="s">
        <v>283</v>
      </c>
      <c r="C380" s="39" t="s">
        <v>298</v>
      </c>
      <c r="D380" s="2">
        <f t="shared" si="1"/>
        <v>5</v>
      </c>
      <c r="F380" s="1" t="str">
        <f t="shared" si="2"/>
        <v>INSERT INTO tblQuestionBank VALUES (seqQuestionBank.nextval, q'[C++에서 참조자(reference)와 포인터(pointer)의 차이는 무엇인가?]', 5);</v>
      </c>
    </row>
    <row r="381">
      <c r="A381" s="1">
        <v>376.0</v>
      </c>
      <c r="B381" s="1" t="s">
        <v>283</v>
      </c>
      <c r="C381" s="39" t="s">
        <v>299</v>
      </c>
      <c r="D381" s="2">
        <f t="shared" si="1"/>
        <v>1</v>
      </c>
      <c r="F381" s="1" t="str">
        <f t="shared" si="2"/>
        <v>INSERT INTO tblQuestionBank VALUES (seqQuestionBank.nextval, q'[네트워크에서 TCP와 UDP의 차이점은 무엇인가?]', 1);</v>
      </c>
    </row>
    <row r="382">
      <c r="A382" s="1">
        <v>377.0</v>
      </c>
      <c r="B382" s="1" t="s">
        <v>283</v>
      </c>
      <c r="C382" s="39" t="s">
        <v>300</v>
      </c>
      <c r="D382" s="2">
        <f t="shared" si="1"/>
        <v>4</v>
      </c>
      <c r="F382" s="1" t="str">
        <f t="shared" si="2"/>
        <v>INSERT INTO tblQuestionBank VALUES (seqQuestionBank.nextval, q'[Python에서 제너레이터(generator)의 특징은 무엇인가?]', 4);</v>
      </c>
    </row>
    <row r="383">
      <c r="A383" s="1">
        <v>378.0</v>
      </c>
      <c r="B383" s="1" t="s">
        <v>283</v>
      </c>
      <c r="C383" s="39" t="s">
        <v>301</v>
      </c>
      <c r="D383" s="2">
        <f t="shared" si="1"/>
        <v>1</v>
      </c>
      <c r="F383" s="1" t="str">
        <f t="shared" si="2"/>
        <v>INSERT INTO tblQuestionBank VALUES (seqQuestionBank.nextval, q'[REST API의 주요 원칙 중 하나가 아닌 것은 무엇인가?]', 1);</v>
      </c>
    </row>
    <row r="384">
      <c r="A384" s="1">
        <v>379.0</v>
      </c>
      <c r="B384" s="1" t="s">
        <v>283</v>
      </c>
      <c r="C384" s="39" t="s">
        <v>302</v>
      </c>
      <c r="D384" s="2">
        <f t="shared" si="1"/>
        <v>2</v>
      </c>
      <c r="F384" s="1" t="str">
        <f t="shared" si="2"/>
        <v>INSERT INTO tblQuestionBank VALUES (seqQuestionBank.nextval, q'[Java에서 예외(Exception) 처리 방법으로 올바른 것을 고르시오.]', 2);</v>
      </c>
    </row>
    <row r="385">
      <c r="A385" s="1">
        <v>380.0</v>
      </c>
      <c r="B385" s="1" t="s">
        <v>283</v>
      </c>
      <c r="C385" s="39" t="s">
        <v>303</v>
      </c>
      <c r="D385" s="2">
        <f t="shared" si="1"/>
        <v>1</v>
      </c>
      <c r="F385" s="1" t="str">
        <f t="shared" si="2"/>
        <v>INSERT INTO tblQuestionBank VALUES (seqQuestionBank.nextval, q'[프로그래밍 언어에서 타입 캐스팅(type casting)이란 무엇인가?]', 1);</v>
      </c>
    </row>
    <row r="386">
      <c r="A386" s="1">
        <v>381.0</v>
      </c>
      <c r="B386" s="1" t="s">
        <v>283</v>
      </c>
      <c r="C386" s="39" t="s">
        <v>284</v>
      </c>
      <c r="D386" s="2">
        <f t="shared" si="1"/>
        <v>3</v>
      </c>
      <c r="F386" s="1" t="str">
        <f t="shared" si="2"/>
        <v>INSERT INTO tblQuestionBank VALUES (seqQuestionBank.nextval, q'[변수의 스코프(scope)란 무엇인가에 대한 설명으로 올바른 것을 고르시오.]', 3);</v>
      </c>
    </row>
    <row r="387">
      <c r="A387" s="1">
        <v>382.0</v>
      </c>
      <c r="B387" s="1" t="s">
        <v>283</v>
      </c>
      <c r="C387" s="39" t="s">
        <v>285</v>
      </c>
      <c r="D387" s="2">
        <f t="shared" si="1"/>
        <v>1</v>
      </c>
      <c r="F387" s="1" t="str">
        <f t="shared" si="2"/>
        <v>INSERT INTO tblQuestionBank VALUES (seqQuestionBank.nextval, q'[재귀 함수와 반복문 중 메모리 사용량이 더 많은 것은 무엇인가?]', 1);</v>
      </c>
    </row>
    <row r="388">
      <c r="A388" s="1">
        <v>383.0</v>
      </c>
      <c r="B388" s="1" t="s">
        <v>283</v>
      </c>
      <c r="C388" s="39" t="s">
        <v>286</v>
      </c>
      <c r="D388" s="2">
        <f t="shared" si="1"/>
        <v>4</v>
      </c>
      <c r="F388" s="1" t="str">
        <f t="shared" si="2"/>
        <v>INSERT INTO tblQuestionBank VALUES (seqQuestionBank.nextval, q'[HTML에서 'a' 태그의 주요 기능은 무엇인가?]', 4);</v>
      </c>
    </row>
    <row r="389">
      <c r="A389" s="1">
        <v>384.0</v>
      </c>
      <c r="B389" s="1" t="s">
        <v>283</v>
      </c>
      <c r="C389" s="39" t="s">
        <v>287</v>
      </c>
      <c r="D389" s="2">
        <f t="shared" si="1"/>
        <v>2</v>
      </c>
      <c r="F389" s="1" t="str">
        <f t="shared" si="2"/>
        <v>INSERT INTO tblQuestionBank VALUES (seqQuestionBank.nextval, q'[Java에서 클래스와 객체의 차이점은 무엇인가?]', 2);</v>
      </c>
    </row>
    <row r="390">
      <c r="A390" s="1">
        <v>385.0</v>
      </c>
      <c r="B390" s="1" t="s">
        <v>283</v>
      </c>
      <c r="C390" s="39" t="s">
        <v>288</v>
      </c>
      <c r="D390" s="2">
        <f t="shared" si="1"/>
        <v>3</v>
      </c>
      <c r="F390" s="1" t="str">
        <f t="shared" si="2"/>
        <v>INSERT INTO tblQuestionBank VALUES (seqQuestionBank.nextval, q'[Python의 리스트와 튜플의 차이점은 무엇인가?]', 3);</v>
      </c>
    </row>
    <row r="391">
      <c r="A391" s="1">
        <v>386.0</v>
      </c>
      <c r="B391" s="1" t="s">
        <v>283</v>
      </c>
      <c r="C391" s="39" t="s">
        <v>289</v>
      </c>
      <c r="D391" s="2">
        <f t="shared" si="1"/>
        <v>4</v>
      </c>
      <c r="F391" s="1" t="str">
        <f t="shared" si="2"/>
        <v>INSERT INTO tblQuestionBank VALUES (seqQuestionBank.nextval, q'[C언어에서 포인터를 사용하는 주된 이유는 무엇인가?]', 4);</v>
      </c>
    </row>
    <row r="392">
      <c r="A392" s="1">
        <v>387.0</v>
      </c>
      <c r="B392" s="1" t="s">
        <v>283</v>
      </c>
      <c r="C392" s="39" t="s">
        <v>290</v>
      </c>
      <c r="D392" s="2">
        <f t="shared" si="1"/>
        <v>5</v>
      </c>
      <c r="F392" s="1" t="str">
        <f t="shared" si="2"/>
        <v>INSERT INTO tblQuestionBank VALUES (seqQuestionBank.nextval, q'[컴파일러와 인터프리터의 차이점은 무엇인가?]', 5);</v>
      </c>
    </row>
    <row r="393">
      <c r="A393" s="1">
        <v>388.0</v>
      </c>
      <c r="B393" s="1" t="s">
        <v>283</v>
      </c>
      <c r="C393" s="39" t="s">
        <v>291</v>
      </c>
      <c r="D393" s="2">
        <f t="shared" si="1"/>
        <v>4</v>
      </c>
      <c r="F393" s="1" t="str">
        <f t="shared" si="2"/>
        <v>INSERT INTO tblQuestionBank VALUES (seqQuestionBank.nextval, q'[JavaScript에서 클로저(closure)의 정의는 무엇인가?]', 4);</v>
      </c>
    </row>
    <row r="394">
      <c r="A394" s="1">
        <v>389.0</v>
      </c>
      <c r="B394" s="1" t="s">
        <v>283</v>
      </c>
      <c r="C394" s="39" t="s">
        <v>292</v>
      </c>
      <c r="D394" s="2">
        <f t="shared" si="1"/>
        <v>3</v>
      </c>
      <c r="F394" s="1" t="str">
        <f t="shared" si="2"/>
        <v>INSERT INTO tblQuestionBank VALUES (seqQuestionBank.nextval, q'[객체 지향 프로그래밍의 4대 특징 중 하나가 아닌 것은 무엇인가?]', 3);</v>
      </c>
    </row>
    <row r="395">
      <c r="A395" s="1">
        <v>390.0</v>
      </c>
      <c r="B395" s="1" t="s">
        <v>283</v>
      </c>
      <c r="C395" s="39" t="s">
        <v>293</v>
      </c>
      <c r="D395" s="2">
        <f t="shared" si="1"/>
        <v>5</v>
      </c>
      <c r="F395" s="1" t="str">
        <f t="shared" si="2"/>
        <v>INSERT INTO tblQuestionBank VALUES (seqQuestionBank.nextval, q'[SQL에서 'JOIN'의 기능은 무엇인가?]', 5);</v>
      </c>
    </row>
    <row r="396">
      <c r="A396" s="1">
        <v>391.0</v>
      </c>
      <c r="B396" s="1" t="s">
        <v>283</v>
      </c>
      <c r="C396" s="39" t="s">
        <v>294</v>
      </c>
      <c r="D396" s="2">
        <f t="shared" si="1"/>
        <v>5</v>
      </c>
      <c r="F396" s="1" t="str">
        <f t="shared" si="2"/>
        <v>INSERT INTO tblQuestionBank VALUES (seqQuestionBank.nextval, q'[Python에서 'with open()' 구문의 주요 목적은 무엇인가?]', 5);</v>
      </c>
    </row>
    <row r="397">
      <c r="A397" s="1">
        <v>392.0</v>
      </c>
      <c r="B397" s="1" t="s">
        <v>283</v>
      </c>
      <c r="C397" s="39" t="s">
        <v>295</v>
      </c>
      <c r="D397" s="2">
        <f t="shared" si="1"/>
        <v>3</v>
      </c>
      <c r="F397" s="1" t="str">
        <f t="shared" si="2"/>
        <v>INSERT INTO tblQuestionBank VALUES (seqQuestionBank.nextval, q'[데이터베이스에서 정규화의 목적은 무엇인가?]', 3);</v>
      </c>
    </row>
    <row r="398">
      <c r="A398" s="1">
        <v>393.0</v>
      </c>
      <c r="B398" s="1" t="s">
        <v>283</v>
      </c>
      <c r="C398" s="39" t="s">
        <v>296</v>
      </c>
      <c r="D398" s="2">
        <f t="shared" si="1"/>
        <v>1</v>
      </c>
      <c r="F398" s="1" t="str">
        <f t="shared" si="2"/>
        <v>INSERT INTO tblQuestionBank VALUES (seqQuestionBank.nextval, q'[CSS에서 'flexbox'의 주요 사용 목적은 무엇인가?]', 1);</v>
      </c>
    </row>
    <row r="399">
      <c r="A399" s="1">
        <v>394.0</v>
      </c>
      <c r="B399" s="1" t="s">
        <v>283</v>
      </c>
      <c r="C399" s="39" t="s">
        <v>297</v>
      </c>
      <c r="D399" s="2">
        <f t="shared" si="1"/>
        <v>4</v>
      </c>
      <c r="F399" s="1" t="str">
        <f t="shared" si="2"/>
        <v>INSERT INTO tblQuestionBank VALUES (seqQuestionBank.nextval, q'[Git에서 'merge'와 'rebase'의 차이점은 무엇인가?]', 4);</v>
      </c>
    </row>
    <row r="400">
      <c r="A400" s="1">
        <v>395.0</v>
      </c>
      <c r="B400" s="1" t="s">
        <v>283</v>
      </c>
      <c r="C400" s="39" t="s">
        <v>298</v>
      </c>
      <c r="D400" s="2">
        <f t="shared" si="1"/>
        <v>5</v>
      </c>
      <c r="F400" s="1" t="str">
        <f t="shared" si="2"/>
        <v>INSERT INTO tblQuestionBank VALUES (seqQuestionBank.nextval, q'[C++에서 참조자(reference)와 포인터(pointer)의 차이는 무엇인가?]', 5);</v>
      </c>
    </row>
    <row r="401">
      <c r="A401" s="1">
        <v>396.0</v>
      </c>
      <c r="B401" s="1" t="s">
        <v>283</v>
      </c>
      <c r="C401" s="39" t="s">
        <v>299</v>
      </c>
      <c r="D401" s="2">
        <f t="shared" si="1"/>
        <v>3</v>
      </c>
      <c r="F401" s="1" t="str">
        <f t="shared" si="2"/>
        <v>INSERT INTO tblQuestionBank VALUES (seqQuestionBank.nextval, q'[네트워크에서 TCP와 UDP의 차이점은 무엇인가?]', 3);</v>
      </c>
    </row>
    <row r="402">
      <c r="A402" s="1">
        <v>397.0</v>
      </c>
      <c r="B402" s="1" t="s">
        <v>283</v>
      </c>
      <c r="C402" s="39" t="s">
        <v>300</v>
      </c>
      <c r="D402" s="2">
        <f t="shared" si="1"/>
        <v>3</v>
      </c>
      <c r="F402" s="1" t="str">
        <f t="shared" si="2"/>
        <v>INSERT INTO tblQuestionBank VALUES (seqQuestionBank.nextval, q'[Python에서 제너레이터(generator)의 특징은 무엇인가?]', 3);</v>
      </c>
    </row>
    <row r="403">
      <c r="A403" s="1">
        <v>398.0</v>
      </c>
      <c r="B403" s="1" t="s">
        <v>283</v>
      </c>
      <c r="C403" s="39" t="s">
        <v>301</v>
      </c>
      <c r="D403" s="2">
        <f t="shared" si="1"/>
        <v>2</v>
      </c>
      <c r="F403" s="1" t="str">
        <f t="shared" si="2"/>
        <v>INSERT INTO tblQuestionBank VALUES (seqQuestionBank.nextval, q'[REST API의 주요 원칙 중 하나가 아닌 것은 무엇인가?]', 2);</v>
      </c>
    </row>
    <row r="404">
      <c r="A404" s="1">
        <v>399.0</v>
      </c>
      <c r="B404" s="1" t="s">
        <v>283</v>
      </c>
      <c r="C404" s="39" t="s">
        <v>302</v>
      </c>
      <c r="D404" s="2">
        <f t="shared" si="1"/>
        <v>1</v>
      </c>
      <c r="F404" s="1" t="str">
        <f t="shared" si="2"/>
        <v>INSERT INTO tblQuestionBank VALUES (seqQuestionBank.nextval, q'[Java에서 예외(Exception) 처리 방법으로 올바른 것을 고르시오.]', 1);</v>
      </c>
    </row>
    <row r="405">
      <c r="A405" s="1">
        <v>400.0</v>
      </c>
      <c r="B405" s="1" t="s">
        <v>283</v>
      </c>
      <c r="C405" s="39" t="s">
        <v>303</v>
      </c>
      <c r="D405" s="2">
        <f t="shared" si="1"/>
        <v>1</v>
      </c>
      <c r="F405" s="1" t="str">
        <f t="shared" si="2"/>
        <v>INSERT INTO tblQuestionBank VALUES (seqQuestionBank.nextval, q'[프로그래밍 언어에서 타입 캐스팅(type casting)이란 무엇인가?]', 1);</v>
      </c>
    </row>
    <row r="406">
      <c r="A406" s="1">
        <v>401.0</v>
      </c>
      <c r="B406" s="1" t="s">
        <v>283</v>
      </c>
      <c r="C406" s="39" t="s">
        <v>284</v>
      </c>
      <c r="D406" s="2">
        <f t="shared" si="1"/>
        <v>3</v>
      </c>
      <c r="F406" s="1" t="str">
        <f t="shared" si="2"/>
        <v>INSERT INTO tblQuestionBank VALUES (seqQuestionBank.nextval, q'[변수의 스코프(scope)란 무엇인가에 대한 설명으로 올바른 것을 고르시오.]', 3);</v>
      </c>
    </row>
    <row r="407">
      <c r="A407" s="1">
        <v>402.0</v>
      </c>
      <c r="B407" s="1" t="s">
        <v>283</v>
      </c>
      <c r="C407" s="39" t="s">
        <v>285</v>
      </c>
      <c r="D407" s="2">
        <f t="shared" si="1"/>
        <v>5</v>
      </c>
      <c r="F407" s="1" t="str">
        <f t="shared" si="2"/>
        <v>INSERT INTO tblQuestionBank VALUES (seqQuestionBank.nextval, q'[재귀 함수와 반복문 중 메모리 사용량이 더 많은 것은 무엇인가?]', 5);</v>
      </c>
    </row>
    <row r="408">
      <c r="A408" s="1">
        <v>403.0</v>
      </c>
      <c r="B408" s="1" t="s">
        <v>283</v>
      </c>
      <c r="C408" s="39" t="s">
        <v>286</v>
      </c>
      <c r="D408" s="2">
        <f t="shared" si="1"/>
        <v>4</v>
      </c>
      <c r="F408" s="1" t="str">
        <f t="shared" si="2"/>
        <v>INSERT INTO tblQuestionBank VALUES (seqQuestionBank.nextval, q'[HTML에서 'a' 태그의 주요 기능은 무엇인가?]', 4);</v>
      </c>
    </row>
    <row r="409">
      <c r="A409" s="1">
        <v>404.0</v>
      </c>
      <c r="B409" s="1" t="s">
        <v>283</v>
      </c>
      <c r="C409" s="39" t="s">
        <v>287</v>
      </c>
      <c r="D409" s="2">
        <f t="shared" si="1"/>
        <v>2</v>
      </c>
      <c r="F409" s="1" t="str">
        <f t="shared" si="2"/>
        <v>INSERT INTO tblQuestionBank VALUES (seqQuestionBank.nextval, q'[Java에서 클래스와 객체의 차이점은 무엇인가?]', 2);</v>
      </c>
    </row>
    <row r="410">
      <c r="A410" s="1">
        <v>405.0</v>
      </c>
      <c r="B410" s="1" t="s">
        <v>283</v>
      </c>
      <c r="C410" s="39" t="s">
        <v>288</v>
      </c>
      <c r="D410" s="2">
        <f t="shared" si="1"/>
        <v>2</v>
      </c>
      <c r="F410" s="1" t="str">
        <f t="shared" si="2"/>
        <v>INSERT INTO tblQuestionBank VALUES (seqQuestionBank.nextval, q'[Python의 리스트와 튜플의 차이점은 무엇인가?]', 2);</v>
      </c>
    </row>
    <row r="411">
      <c r="A411" s="1">
        <v>406.0</v>
      </c>
      <c r="B411" s="1" t="s">
        <v>283</v>
      </c>
      <c r="C411" s="39" t="s">
        <v>289</v>
      </c>
      <c r="D411" s="2">
        <f t="shared" si="1"/>
        <v>5</v>
      </c>
      <c r="F411" s="1" t="str">
        <f t="shared" si="2"/>
        <v>INSERT INTO tblQuestionBank VALUES (seqQuestionBank.nextval, q'[C언어에서 포인터를 사용하는 주된 이유는 무엇인가?]', 5);</v>
      </c>
    </row>
    <row r="412">
      <c r="A412" s="1">
        <v>407.0</v>
      </c>
      <c r="B412" s="1" t="s">
        <v>283</v>
      </c>
      <c r="C412" s="39" t="s">
        <v>290</v>
      </c>
      <c r="D412" s="2">
        <f t="shared" si="1"/>
        <v>4</v>
      </c>
      <c r="F412" s="1" t="str">
        <f t="shared" si="2"/>
        <v>INSERT INTO tblQuestionBank VALUES (seqQuestionBank.nextval, q'[컴파일러와 인터프리터의 차이점은 무엇인가?]', 4);</v>
      </c>
    </row>
    <row r="413">
      <c r="A413" s="1">
        <v>408.0</v>
      </c>
      <c r="B413" s="1" t="s">
        <v>283</v>
      </c>
      <c r="C413" s="39" t="s">
        <v>291</v>
      </c>
      <c r="D413" s="2">
        <f t="shared" si="1"/>
        <v>5</v>
      </c>
      <c r="F413" s="1" t="str">
        <f t="shared" si="2"/>
        <v>INSERT INTO tblQuestionBank VALUES (seqQuestionBank.nextval, q'[JavaScript에서 클로저(closure)의 정의는 무엇인가?]', 5);</v>
      </c>
    </row>
    <row r="414">
      <c r="A414" s="1">
        <v>409.0</v>
      </c>
      <c r="B414" s="1" t="s">
        <v>283</v>
      </c>
      <c r="C414" s="39" t="s">
        <v>292</v>
      </c>
      <c r="D414" s="2">
        <f t="shared" si="1"/>
        <v>1</v>
      </c>
      <c r="F414" s="1" t="str">
        <f t="shared" si="2"/>
        <v>INSERT INTO tblQuestionBank VALUES (seqQuestionBank.nextval, q'[객체 지향 프로그래밍의 4대 특징 중 하나가 아닌 것은 무엇인가?]', 1);</v>
      </c>
    </row>
    <row r="415">
      <c r="A415" s="1">
        <v>410.0</v>
      </c>
      <c r="B415" s="1" t="s">
        <v>283</v>
      </c>
      <c r="C415" s="39" t="s">
        <v>293</v>
      </c>
      <c r="D415" s="2">
        <f t="shared" si="1"/>
        <v>5</v>
      </c>
      <c r="F415" s="1" t="str">
        <f t="shared" si="2"/>
        <v>INSERT INTO tblQuestionBank VALUES (seqQuestionBank.nextval, q'[SQL에서 'JOIN'의 기능은 무엇인가?]', 5);</v>
      </c>
    </row>
    <row r="416">
      <c r="A416" s="1">
        <v>411.0</v>
      </c>
      <c r="B416" s="1" t="s">
        <v>283</v>
      </c>
      <c r="C416" s="39" t="s">
        <v>294</v>
      </c>
      <c r="D416" s="2">
        <f t="shared" si="1"/>
        <v>2</v>
      </c>
      <c r="F416" s="1" t="str">
        <f t="shared" si="2"/>
        <v>INSERT INTO tblQuestionBank VALUES (seqQuestionBank.nextval, q'[Python에서 'with open()' 구문의 주요 목적은 무엇인가?]', 2);</v>
      </c>
    </row>
    <row r="417">
      <c r="A417" s="1">
        <v>412.0</v>
      </c>
      <c r="B417" s="1" t="s">
        <v>283</v>
      </c>
      <c r="C417" s="39" t="s">
        <v>295</v>
      </c>
      <c r="D417" s="2">
        <f t="shared" si="1"/>
        <v>1</v>
      </c>
      <c r="F417" s="1" t="str">
        <f t="shared" si="2"/>
        <v>INSERT INTO tblQuestionBank VALUES (seqQuestionBank.nextval, q'[데이터베이스에서 정규화의 목적은 무엇인가?]', 1);</v>
      </c>
    </row>
    <row r="418">
      <c r="A418" s="1">
        <v>413.0</v>
      </c>
      <c r="B418" s="1" t="s">
        <v>283</v>
      </c>
      <c r="C418" s="39" t="s">
        <v>296</v>
      </c>
      <c r="D418" s="2">
        <f t="shared" si="1"/>
        <v>1</v>
      </c>
      <c r="F418" s="1" t="str">
        <f t="shared" si="2"/>
        <v>INSERT INTO tblQuestionBank VALUES (seqQuestionBank.nextval, q'[CSS에서 'flexbox'의 주요 사용 목적은 무엇인가?]', 1);</v>
      </c>
    </row>
    <row r="419">
      <c r="A419" s="1">
        <v>414.0</v>
      </c>
      <c r="B419" s="1" t="s">
        <v>283</v>
      </c>
      <c r="C419" s="39" t="s">
        <v>297</v>
      </c>
      <c r="D419" s="2">
        <f t="shared" si="1"/>
        <v>1</v>
      </c>
      <c r="F419" s="1" t="str">
        <f t="shared" si="2"/>
        <v>INSERT INTO tblQuestionBank VALUES (seqQuestionBank.nextval, q'[Git에서 'merge'와 'rebase'의 차이점은 무엇인가?]', 1);</v>
      </c>
    </row>
    <row r="420">
      <c r="A420" s="1">
        <v>415.0</v>
      </c>
      <c r="B420" s="1" t="s">
        <v>283</v>
      </c>
      <c r="C420" s="39" t="s">
        <v>298</v>
      </c>
      <c r="D420" s="2">
        <f t="shared" si="1"/>
        <v>5</v>
      </c>
      <c r="F420" s="1" t="str">
        <f t="shared" si="2"/>
        <v>INSERT INTO tblQuestionBank VALUES (seqQuestionBank.nextval, q'[C++에서 참조자(reference)와 포인터(pointer)의 차이는 무엇인가?]', 5);</v>
      </c>
    </row>
    <row r="421">
      <c r="A421" s="1">
        <v>416.0</v>
      </c>
      <c r="B421" s="1" t="s">
        <v>283</v>
      </c>
      <c r="C421" s="39" t="s">
        <v>299</v>
      </c>
      <c r="D421" s="2">
        <f t="shared" si="1"/>
        <v>4</v>
      </c>
      <c r="F421" s="1" t="str">
        <f t="shared" si="2"/>
        <v>INSERT INTO tblQuestionBank VALUES (seqQuestionBank.nextval, q'[네트워크에서 TCP와 UDP의 차이점은 무엇인가?]', 4);</v>
      </c>
    </row>
    <row r="422">
      <c r="A422" s="1">
        <v>417.0</v>
      </c>
      <c r="B422" s="1" t="s">
        <v>283</v>
      </c>
      <c r="C422" s="39" t="s">
        <v>300</v>
      </c>
      <c r="D422" s="2">
        <f t="shared" si="1"/>
        <v>2</v>
      </c>
      <c r="F422" s="1" t="str">
        <f t="shared" si="2"/>
        <v>INSERT INTO tblQuestionBank VALUES (seqQuestionBank.nextval, q'[Python에서 제너레이터(generator)의 특징은 무엇인가?]', 2);</v>
      </c>
    </row>
    <row r="423">
      <c r="A423" s="1">
        <v>418.0</v>
      </c>
      <c r="B423" s="1" t="s">
        <v>283</v>
      </c>
      <c r="C423" s="39" t="s">
        <v>301</v>
      </c>
      <c r="D423" s="2">
        <f t="shared" si="1"/>
        <v>2</v>
      </c>
      <c r="F423" s="1" t="str">
        <f t="shared" si="2"/>
        <v>INSERT INTO tblQuestionBank VALUES (seqQuestionBank.nextval, q'[REST API의 주요 원칙 중 하나가 아닌 것은 무엇인가?]', 2);</v>
      </c>
    </row>
    <row r="424">
      <c r="A424" s="1">
        <v>419.0</v>
      </c>
      <c r="B424" s="1" t="s">
        <v>283</v>
      </c>
      <c r="C424" s="39" t="s">
        <v>302</v>
      </c>
      <c r="D424" s="2">
        <f t="shared" si="1"/>
        <v>2</v>
      </c>
      <c r="F424" s="1" t="str">
        <f t="shared" si="2"/>
        <v>INSERT INTO tblQuestionBank VALUES (seqQuestionBank.nextval, q'[Java에서 예외(Exception) 처리 방법으로 올바른 것을 고르시오.]', 2);</v>
      </c>
    </row>
    <row r="425">
      <c r="A425" s="1">
        <v>420.0</v>
      </c>
      <c r="B425" s="1" t="s">
        <v>283</v>
      </c>
      <c r="C425" s="39" t="s">
        <v>303</v>
      </c>
      <c r="D425" s="2">
        <f t="shared" si="1"/>
        <v>3</v>
      </c>
      <c r="F425" s="1" t="str">
        <f t="shared" si="2"/>
        <v>INSERT INTO tblQuestionBank VALUES (seqQuestionBank.nextval, q'[프로그래밍 언어에서 타입 캐스팅(type casting)이란 무엇인가?]', 3);</v>
      </c>
    </row>
    <row r="426">
      <c r="A426" s="1">
        <v>421.0</v>
      </c>
      <c r="B426" s="1" t="s">
        <v>283</v>
      </c>
      <c r="C426" s="39" t="s">
        <v>284</v>
      </c>
      <c r="D426" s="2">
        <f t="shared" si="1"/>
        <v>4</v>
      </c>
      <c r="F426" s="1" t="str">
        <f t="shared" si="2"/>
        <v>INSERT INTO tblQuestionBank VALUES (seqQuestionBank.nextval, q'[변수의 스코프(scope)란 무엇인가에 대한 설명으로 올바른 것을 고르시오.]', 4);</v>
      </c>
    </row>
    <row r="427">
      <c r="A427" s="1">
        <v>422.0</v>
      </c>
      <c r="B427" s="1" t="s">
        <v>283</v>
      </c>
      <c r="C427" s="39" t="s">
        <v>285</v>
      </c>
      <c r="D427" s="2">
        <f t="shared" si="1"/>
        <v>5</v>
      </c>
      <c r="F427" s="1" t="str">
        <f t="shared" si="2"/>
        <v>INSERT INTO tblQuestionBank VALUES (seqQuestionBank.nextval, q'[재귀 함수와 반복문 중 메모리 사용량이 더 많은 것은 무엇인가?]', 5);</v>
      </c>
    </row>
    <row r="428">
      <c r="A428" s="1">
        <v>423.0</v>
      </c>
      <c r="B428" s="1" t="s">
        <v>283</v>
      </c>
      <c r="C428" s="39" t="s">
        <v>286</v>
      </c>
      <c r="D428" s="2">
        <f t="shared" si="1"/>
        <v>4</v>
      </c>
      <c r="F428" s="1" t="str">
        <f t="shared" si="2"/>
        <v>INSERT INTO tblQuestionBank VALUES (seqQuestionBank.nextval, q'[HTML에서 'a' 태그의 주요 기능은 무엇인가?]', 4);</v>
      </c>
    </row>
    <row r="429">
      <c r="A429" s="1">
        <v>424.0</v>
      </c>
      <c r="B429" s="1" t="s">
        <v>283</v>
      </c>
      <c r="C429" s="39" t="s">
        <v>287</v>
      </c>
      <c r="D429" s="2">
        <f t="shared" si="1"/>
        <v>4</v>
      </c>
      <c r="F429" s="1" t="str">
        <f t="shared" si="2"/>
        <v>INSERT INTO tblQuestionBank VALUES (seqQuestionBank.nextval, q'[Java에서 클래스와 객체의 차이점은 무엇인가?]', 4);</v>
      </c>
    </row>
    <row r="430">
      <c r="A430" s="1">
        <v>425.0</v>
      </c>
      <c r="B430" s="1" t="s">
        <v>283</v>
      </c>
      <c r="C430" s="39" t="s">
        <v>288</v>
      </c>
      <c r="D430" s="2">
        <f t="shared" si="1"/>
        <v>5</v>
      </c>
      <c r="F430" s="1" t="str">
        <f t="shared" si="2"/>
        <v>INSERT INTO tblQuestionBank VALUES (seqQuestionBank.nextval, q'[Python의 리스트와 튜플의 차이점은 무엇인가?]', 5);</v>
      </c>
    </row>
    <row r="431">
      <c r="A431" s="1">
        <v>426.0</v>
      </c>
      <c r="B431" s="1" t="s">
        <v>283</v>
      </c>
      <c r="C431" s="39" t="s">
        <v>289</v>
      </c>
      <c r="D431" s="2">
        <f t="shared" si="1"/>
        <v>5</v>
      </c>
      <c r="F431" s="1" t="str">
        <f t="shared" si="2"/>
        <v>INSERT INTO tblQuestionBank VALUES (seqQuestionBank.nextval, q'[C언어에서 포인터를 사용하는 주된 이유는 무엇인가?]', 5);</v>
      </c>
    </row>
    <row r="432">
      <c r="A432" s="1">
        <v>427.0</v>
      </c>
      <c r="B432" s="1" t="s">
        <v>283</v>
      </c>
      <c r="C432" s="39" t="s">
        <v>290</v>
      </c>
      <c r="D432" s="2">
        <f t="shared" si="1"/>
        <v>5</v>
      </c>
      <c r="F432" s="1" t="str">
        <f t="shared" si="2"/>
        <v>INSERT INTO tblQuestionBank VALUES (seqQuestionBank.nextval, q'[컴파일러와 인터프리터의 차이점은 무엇인가?]', 5);</v>
      </c>
    </row>
    <row r="433">
      <c r="A433" s="1">
        <v>428.0</v>
      </c>
      <c r="B433" s="1" t="s">
        <v>283</v>
      </c>
      <c r="C433" s="39" t="s">
        <v>291</v>
      </c>
      <c r="D433" s="2">
        <f t="shared" si="1"/>
        <v>5</v>
      </c>
      <c r="F433" s="1" t="str">
        <f t="shared" si="2"/>
        <v>INSERT INTO tblQuestionBank VALUES (seqQuestionBank.nextval, q'[JavaScript에서 클로저(closure)의 정의는 무엇인가?]', 5);</v>
      </c>
    </row>
    <row r="434">
      <c r="A434" s="1">
        <v>429.0</v>
      </c>
      <c r="B434" s="1" t="s">
        <v>283</v>
      </c>
      <c r="C434" s="39" t="s">
        <v>292</v>
      </c>
      <c r="D434" s="2">
        <f t="shared" si="1"/>
        <v>1</v>
      </c>
      <c r="F434" s="1" t="str">
        <f t="shared" si="2"/>
        <v>INSERT INTO tblQuestionBank VALUES (seqQuestionBank.nextval, q'[객체 지향 프로그래밍의 4대 특징 중 하나가 아닌 것은 무엇인가?]', 1);</v>
      </c>
    </row>
    <row r="435">
      <c r="A435" s="1">
        <v>430.0</v>
      </c>
      <c r="B435" s="1" t="s">
        <v>283</v>
      </c>
      <c r="C435" s="39" t="s">
        <v>293</v>
      </c>
      <c r="D435" s="2">
        <f t="shared" si="1"/>
        <v>2</v>
      </c>
      <c r="F435" s="1" t="str">
        <f t="shared" si="2"/>
        <v>INSERT INTO tblQuestionBank VALUES (seqQuestionBank.nextval, q'[SQL에서 'JOIN'의 기능은 무엇인가?]', 2);</v>
      </c>
    </row>
    <row r="436">
      <c r="A436" s="1">
        <v>431.0</v>
      </c>
      <c r="B436" s="1" t="s">
        <v>283</v>
      </c>
      <c r="C436" s="39" t="s">
        <v>294</v>
      </c>
      <c r="D436" s="2">
        <f t="shared" si="1"/>
        <v>2</v>
      </c>
      <c r="F436" s="1" t="str">
        <f t="shared" si="2"/>
        <v>INSERT INTO tblQuestionBank VALUES (seqQuestionBank.nextval, q'[Python에서 'with open()' 구문의 주요 목적은 무엇인가?]', 2);</v>
      </c>
    </row>
    <row r="437">
      <c r="A437" s="1">
        <v>432.0</v>
      </c>
      <c r="B437" s="1" t="s">
        <v>283</v>
      </c>
      <c r="C437" s="39" t="s">
        <v>295</v>
      </c>
      <c r="D437" s="2">
        <f t="shared" si="1"/>
        <v>2</v>
      </c>
      <c r="F437" s="1" t="str">
        <f t="shared" si="2"/>
        <v>INSERT INTO tblQuestionBank VALUES (seqQuestionBank.nextval, q'[데이터베이스에서 정규화의 목적은 무엇인가?]', 2);</v>
      </c>
    </row>
    <row r="438">
      <c r="A438" s="1">
        <v>433.0</v>
      </c>
      <c r="B438" s="1" t="s">
        <v>283</v>
      </c>
      <c r="C438" s="39" t="s">
        <v>296</v>
      </c>
      <c r="D438" s="2">
        <f t="shared" si="1"/>
        <v>2</v>
      </c>
      <c r="F438" s="1" t="str">
        <f t="shared" si="2"/>
        <v>INSERT INTO tblQuestionBank VALUES (seqQuestionBank.nextval, q'[CSS에서 'flexbox'의 주요 사용 목적은 무엇인가?]', 2);</v>
      </c>
    </row>
    <row r="439">
      <c r="A439" s="1">
        <v>434.0</v>
      </c>
      <c r="B439" s="1" t="s">
        <v>283</v>
      </c>
      <c r="C439" s="39" t="s">
        <v>297</v>
      </c>
      <c r="D439" s="2">
        <f t="shared" si="1"/>
        <v>1</v>
      </c>
      <c r="F439" s="1" t="str">
        <f t="shared" si="2"/>
        <v>INSERT INTO tblQuestionBank VALUES (seqQuestionBank.nextval, q'[Git에서 'merge'와 'rebase'의 차이점은 무엇인가?]', 1);</v>
      </c>
    </row>
    <row r="440">
      <c r="A440" s="1">
        <v>435.0</v>
      </c>
      <c r="B440" s="1" t="s">
        <v>283</v>
      </c>
      <c r="C440" s="39" t="s">
        <v>298</v>
      </c>
      <c r="D440" s="2">
        <f t="shared" si="1"/>
        <v>4</v>
      </c>
      <c r="F440" s="1" t="str">
        <f t="shared" si="2"/>
        <v>INSERT INTO tblQuestionBank VALUES (seqQuestionBank.nextval, q'[C++에서 참조자(reference)와 포인터(pointer)의 차이는 무엇인가?]', 4);</v>
      </c>
    </row>
    <row r="441">
      <c r="A441" s="1">
        <v>436.0</v>
      </c>
      <c r="B441" s="1" t="s">
        <v>283</v>
      </c>
      <c r="C441" s="39" t="s">
        <v>299</v>
      </c>
      <c r="D441" s="2">
        <f t="shared" si="1"/>
        <v>3</v>
      </c>
      <c r="F441" s="1" t="str">
        <f t="shared" si="2"/>
        <v>INSERT INTO tblQuestionBank VALUES (seqQuestionBank.nextval, q'[네트워크에서 TCP와 UDP의 차이점은 무엇인가?]', 3);</v>
      </c>
    </row>
    <row r="442">
      <c r="A442" s="1">
        <v>437.0</v>
      </c>
      <c r="B442" s="1" t="s">
        <v>283</v>
      </c>
      <c r="C442" s="39" t="s">
        <v>300</v>
      </c>
      <c r="D442" s="2">
        <f t="shared" si="1"/>
        <v>3</v>
      </c>
      <c r="F442" s="1" t="str">
        <f t="shared" si="2"/>
        <v>INSERT INTO tblQuestionBank VALUES (seqQuestionBank.nextval, q'[Python에서 제너레이터(generator)의 특징은 무엇인가?]', 3);</v>
      </c>
    </row>
    <row r="443">
      <c r="A443" s="1">
        <v>438.0</v>
      </c>
      <c r="B443" s="1" t="s">
        <v>283</v>
      </c>
      <c r="C443" s="39" t="s">
        <v>301</v>
      </c>
      <c r="D443" s="2">
        <f t="shared" si="1"/>
        <v>2</v>
      </c>
      <c r="F443" s="1" t="str">
        <f t="shared" si="2"/>
        <v>INSERT INTO tblQuestionBank VALUES (seqQuestionBank.nextval, q'[REST API의 주요 원칙 중 하나가 아닌 것은 무엇인가?]', 2);</v>
      </c>
    </row>
    <row r="444">
      <c r="A444" s="1">
        <v>439.0</v>
      </c>
      <c r="B444" s="1" t="s">
        <v>283</v>
      </c>
      <c r="C444" s="39" t="s">
        <v>302</v>
      </c>
      <c r="D444" s="2">
        <f t="shared" si="1"/>
        <v>2</v>
      </c>
      <c r="F444" s="1" t="str">
        <f t="shared" si="2"/>
        <v>INSERT INTO tblQuestionBank VALUES (seqQuestionBank.nextval, q'[Java에서 예외(Exception) 처리 방법으로 올바른 것을 고르시오.]', 2);</v>
      </c>
    </row>
    <row r="445">
      <c r="A445" s="1">
        <v>440.0</v>
      </c>
      <c r="B445" s="1" t="s">
        <v>283</v>
      </c>
      <c r="C445" s="39" t="s">
        <v>303</v>
      </c>
      <c r="D445" s="2">
        <f t="shared" si="1"/>
        <v>1</v>
      </c>
      <c r="F445" s="1" t="str">
        <f t="shared" si="2"/>
        <v>INSERT INTO tblQuestionBank VALUES (seqQuestionBank.nextval, q'[프로그래밍 언어에서 타입 캐스팅(type casting)이란 무엇인가?]', 1);</v>
      </c>
    </row>
    <row r="446">
      <c r="A446" s="1">
        <v>441.0</v>
      </c>
      <c r="B446" s="1" t="s">
        <v>283</v>
      </c>
      <c r="C446" s="39" t="s">
        <v>284</v>
      </c>
      <c r="D446" s="2">
        <f t="shared" si="1"/>
        <v>4</v>
      </c>
      <c r="F446" s="1" t="str">
        <f t="shared" si="2"/>
        <v>INSERT INTO tblQuestionBank VALUES (seqQuestionBank.nextval, q'[변수의 스코프(scope)란 무엇인가에 대한 설명으로 올바른 것을 고르시오.]', 4);</v>
      </c>
    </row>
    <row r="447">
      <c r="A447" s="1">
        <v>442.0</v>
      </c>
      <c r="B447" s="1" t="s">
        <v>283</v>
      </c>
      <c r="C447" s="39" t="s">
        <v>285</v>
      </c>
      <c r="D447" s="2">
        <f t="shared" si="1"/>
        <v>3</v>
      </c>
      <c r="F447" s="1" t="str">
        <f t="shared" si="2"/>
        <v>INSERT INTO tblQuestionBank VALUES (seqQuestionBank.nextval, q'[재귀 함수와 반복문 중 메모리 사용량이 더 많은 것은 무엇인가?]', 3);</v>
      </c>
    </row>
    <row r="448">
      <c r="A448" s="1">
        <v>443.0</v>
      </c>
      <c r="B448" s="1" t="s">
        <v>283</v>
      </c>
      <c r="C448" s="39" t="s">
        <v>286</v>
      </c>
      <c r="D448" s="2">
        <f t="shared" si="1"/>
        <v>4</v>
      </c>
      <c r="F448" s="1" t="str">
        <f t="shared" si="2"/>
        <v>INSERT INTO tblQuestionBank VALUES (seqQuestionBank.nextval, q'[HTML에서 'a' 태그의 주요 기능은 무엇인가?]', 4);</v>
      </c>
    </row>
    <row r="449">
      <c r="A449" s="1">
        <v>444.0</v>
      </c>
      <c r="B449" s="1" t="s">
        <v>283</v>
      </c>
      <c r="C449" s="39" t="s">
        <v>287</v>
      </c>
      <c r="D449" s="2">
        <f t="shared" si="1"/>
        <v>1</v>
      </c>
      <c r="F449" s="1" t="str">
        <f t="shared" si="2"/>
        <v>INSERT INTO tblQuestionBank VALUES (seqQuestionBank.nextval, q'[Java에서 클래스와 객체의 차이점은 무엇인가?]', 1);</v>
      </c>
    </row>
    <row r="450">
      <c r="A450" s="1">
        <v>445.0</v>
      </c>
      <c r="B450" s="1" t="s">
        <v>283</v>
      </c>
      <c r="C450" s="39" t="s">
        <v>288</v>
      </c>
      <c r="D450" s="2">
        <f t="shared" si="1"/>
        <v>3</v>
      </c>
      <c r="F450" s="1" t="str">
        <f t="shared" si="2"/>
        <v>INSERT INTO tblQuestionBank VALUES (seqQuestionBank.nextval, q'[Python의 리스트와 튜플의 차이점은 무엇인가?]', 3);</v>
      </c>
    </row>
    <row r="451">
      <c r="A451" s="1">
        <v>446.0</v>
      </c>
      <c r="B451" s="1" t="s">
        <v>283</v>
      </c>
      <c r="C451" s="39" t="s">
        <v>289</v>
      </c>
      <c r="D451" s="2">
        <f t="shared" si="1"/>
        <v>4</v>
      </c>
      <c r="F451" s="1" t="str">
        <f t="shared" si="2"/>
        <v>INSERT INTO tblQuestionBank VALUES (seqQuestionBank.nextval, q'[C언어에서 포인터를 사용하는 주된 이유는 무엇인가?]', 4);</v>
      </c>
    </row>
    <row r="452">
      <c r="A452" s="1">
        <v>447.0</v>
      </c>
      <c r="B452" s="1" t="s">
        <v>283</v>
      </c>
      <c r="C452" s="39" t="s">
        <v>290</v>
      </c>
      <c r="D452" s="2">
        <f t="shared" si="1"/>
        <v>3</v>
      </c>
      <c r="F452" s="1" t="str">
        <f t="shared" si="2"/>
        <v>INSERT INTO tblQuestionBank VALUES (seqQuestionBank.nextval, q'[컴파일러와 인터프리터의 차이점은 무엇인가?]', 3);</v>
      </c>
    </row>
    <row r="453">
      <c r="A453" s="1">
        <v>448.0</v>
      </c>
      <c r="B453" s="1" t="s">
        <v>283</v>
      </c>
      <c r="C453" s="39" t="s">
        <v>291</v>
      </c>
      <c r="D453" s="2">
        <f t="shared" si="1"/>
        <v>1</v>
      </c>
      <c r="F453" s="1" t="str">
        <f t="shared" si="2"/>
        <v>INSERT INTO tblQuestionBank VALUES (seqQuestionBank.nextval, q'[JavaScript에서 클로저(closure)의 정의는 무엇인가?]', 1);</v>
      </c>
    </row>
    <row r="454">
      <c r="A454" s="1">
        <v>449.0</v>
      </c>
      <c r="B454" s="1" t="s">
        <v>283</v>
      </c>
      <c r="C454" s="39" t="s">
        <v>292</v>
      </c>
      <c r="D454" s="2">
        <f t="shared" si="1"/>
        <v>3</v>
      </c>
      <c r="F454" s="1" t="str">
        <f t="shared" si="2"/>
        <v>INSERT INTO tblQuestionBank VALUES (seqQuestionBank.nextval, q'[객체 지향 프로그래밍의 4대 특징 중 하나가 아닌 것은 무엇인가?]', 3);</v>
      </c>
    </row>
    <row r="455">
      <c r="A455" s="1">
        <v>450.0</v>
      </c>
      <c r="B455" s="1" t="s">
        <v>283</v>
      </c>
      <c r="C455" s="39" t="s">
        <v>293</v>
      </c>
      <c r="D455" s="2">
        <f t="shared" si="1"/>
        <v>1</v>
      </c>
      <c r="F455" s="1" t="str">
        <f t="shared" si="2"/>
        <v>INSERT INTO tblQuestionBank VALUES (seqQuestionBank.nextval, q'[SQL에서 'JOIN'의 기능은 무엇인가?]', 1);</v>
      </c>
    </row>
    <row r="456">
      <c r="A456" s="1">
        <v>451.0</v>
      </c>
      <c r="B456" s="1" t="s">
        <v>283</v>
      </c>
      <c r="C456" s="39" t="s">
        <v>294</v>
      </c>
      <c r="D456" s="2">
        <f t="shared" si="1"/>
        <v>4</v>
      </c>
      <c r="F456" s="1" t="str">
        <f t="shared" si="2"/>
        <v>INSERT INTO tblQuestionBank VALUES (seqQuestionBank.nextval, q'[Python에서 'with open()' 구문의 주요 목적은 무엇인가?]', 4);</v>
      </c>
    </row>
    <row r="457">
      <c r="A457" s="1">
        <v>452.0</v>
      </c>
      <c r="B457" s="1" t="s">
        <v>283</v>
      </c>
      <c r="C457" s="39" t="s">
        <v>295</v>
      </c>
      <c r="D457" s="2">
        <f t="shared" si="1"/>
        <v>4</v>
      </c>
      <c r="F457" s="1" t="str">
        <f t="shared" si="2"/>
        <v>INSERT INTO tblQuestionBank VALUES (seqQuestionBank.nextval, q'[데이터베이스에서 정규화의 목적은 무엇인가?]', 4);</v>
      </c>
    </row>
    <row r="458">
      <c r="A458" s="1">
        <v>453.0</v>
      </c>
      <c r="B458" s="1" t="s">
        <v>283</v>
      </c>
      <c r="C458" s="39" t="s">
        <v>296</v>
      </c>
      <c r="D458" s="2">
        <f t="shared" si="1"/>
        <v>3</v>
      </c>
      <c r="F458" s="1" t="str">
        <f t="shared" si="2"/>
        <v>INSERT INTO tblQuestionBank VALUES (seqQuestionBank.nextval, q'[CSS에서 'flexbox'의 주요 사용 목적은 무엇인가?]', 3);</v>
      </c>
    </row>
    <row r="459">
      <c r="A459" s="1">
        <v>454.0</v>
      </c>
      <c r="B459" s="1" t="s">
        <v>283</v>
      </c>
      <c r="C459" s="39" t="s">
        <v>297</v>
      </c>
      <c r="D459" s="2">
        <f t="shared" si="1"/>
        <v>3</v>
      </c>
      <c r="F459" s="1" t="str">
        <f t="shared" si="2"/>
        <v>INSERT INTO tblQuestionBank VALUES (seqQuestionBank.nextval, q'[Git에서 'merge'와 'rebase'의 차이점은 무엇인가?]', 3);</v>
      </c>
    </row>
    <row r="460">
      <c r="A460" s="1">
        <v>455.0</v>
      </c>
      <c r="B460" s="1" t="s">
        <v>283</v>
      </c>
      <c r="C460" s="39" t="s">
        <v>298</v>
      </c>
      <c r="D460" s="2">
        <f t="shared" si="1"/>
        <v>2</v>
      </c>
      <c r="F460" s="1" t="str">
        <f t="shared" si="2"/>
        <v>INSERT INTO tblQuestionBank VALUES (seqQuestionBank.nextval, q'[C++에서 참조자(reference)와 포인터(pointer)의 차이는 무엇인가?]', 2);</v>
      </c>
    </row>
    <row r="461">
      <c r="A461" s="1">
        <v>456.0</v>
      </c>
      <c r="B461" s="1" t="s">
        <v>283</v>
      </c>
      <c r="C461" s="39" t="s">
        <v>299</v>
      </c>
      <c r="D461" s="2">
        <f t="shared" si="1"/>
        <v>1</v>
      </c>
      <c r="F461" s="1" t="str">
        <f t="shared" si="2"/>
        <v>INSERT INTO tblQuestionBank VALUES (seqQuestionBank.nextval, q'[네트워크에서 TCP와 UDP의 차이점은 무엇인가?]', 1);</v>
      </c>
    </row>
    <row r="462">
      <c r="A462" s="1">
        <v>457.0</v>
      </c>
      <c r="B462" s="1" t="s">
        <v>283</v>
      </c>
      <c r="C462" s="39" t="s">
        <v>300</v>
      </c>
      <c r="D462" s="2">
        <f t="shared" si="1"/>
        <v>5</v>
      </c>
      <c r="F462" s="1" t="str">
        <f t="shared" si="2"/>
        <v>INSERT INTO tblQuestionBank VALUES (seqQuestionBank.nextval, q'[Python에서 제너레이터(generator)의 특징은 무엇인가?]', 5);</v>
      </c>
    </row>
    <row r="463">
      <c r="A463" s="1">
        <v>458.0</v>
      </c>
      <c r="B463" s="1" t="s">
        <v>283</v>
      </c>
      <c r="C463" s="39" t="s">
        <v>301</v>
      </c>
      <c r="D463" s="2">
        <f t="shared" si="1"/>
        <v>3</v>
      </c>
      <c r="F463" s="1" t="str">
        <f t="shared" si="2"/>
        <v>INSERT INTO tblQuestionBank VALUES (seqQuestionBank.nextval, q'[REST API의 주요 원칙 중 하나가 아닌 것은 무엇인가?]', 3);</v>
      </c>
    </row>
    <row r="464">
      <c r="A464" s="1">
        <v>459.0</v>
      </c>
      <c r="B464" s="1" t="s">
        <v>283</v>
      </c>
      <c r="C464" s="39" t="s">
        <v>302</v>
      </c>
      <c r="D464" s="2">
        <f t="shared" si="1"/>
        <v>1</v>
      </c>
      <c r="F464" s="1" t="str">
        <f t="shared" si="2"/>
        <v>INSERT INTO tblQuestionBank VALUES (seqQuestionBank.nextval, q'[Java에서 예외(Exception) 처리 방법으로 올바른 것을 고르시오.]', 1);</v>
      </c>
    </row>
    <row r="465">
      <c r="A465" s="1">
        <v>460.0</v>
      </c>
      <c r="B465" s="1" t="s">
        <v>283</v>
      </c>
      <c r="C465" s="39" t="s">
        <v>303</v>
      </c>
      <c r="D465" s="2">
        <f t="shared" si="1"/>
        <v>3</v>
      </c>
      <c r="F465" s="1" t="str">
        <f t="shared" si="2"/>
        <v>INSERT INTO tblQuestionBank VALUES (seqQuestionBank.nextval, q'[프로그래밍 언어에서 타입 캐스팅(type casting)이란 무엇인가?]', 3);</v>
      </c>
    </row>
    <row r="466">
      <c r="A466" s="1">
        <v>461.0</v>
      </c>
      <c r="B466" s="1" t="s">
        <v>283</v>
      </c>
      <c r="C466" s="39" t="s">
        <v>284</v>
      </c>
      <c r="D466" s="2">
        <f t="shared" si="1"/>
        <v>3</v>
      </c>
      <c r="F466" s="1" t="str">
        <f t="shared" si="2"/>
        <v>INSERT INTO tblQuestionBank VALUES (seqQuestionBank.nextval, q'[변수의 스코프(scope)란 무엇인가에 대한 설명으로 올바른 것을 고르시오.]', 3);</v>
      </c>
    </row>
    <row r="467">
      <c r="A467" s="1">
        <v>462.0</v>
      </c>
      <c r="B467" s="1" t="s">
        <v>283</v>
      </c>
      <c r="C467" s="39" t="s">
        <v>285</v>
      </c>
      <c r="D467" s="2">
        <f t="shared" si="1"/>
        <v>2</v>
      </c>
      <c r="F467" s="1" t="str">
        <f t="shared" si="2"/>
        <v>INSERT INTO tblQuestionBank VALUES (seqQuestionBank.nextval, q'[재귀 함수와 반복문 중 메모리 사용량이 더 많은 것은 무엇인가?]', 2);</v>
      </c>
    </row>
    <row r="468">
      <c r="A468" s="1">
        <v>463.0</v>
      </c>
      <c r="B468" s="1" t="s">
        <v>283</v>
      </c>
      <c r="C468" s="39" t="s">
        <v>286</v>
      </c>
      <c r="D468" s="2">
        <f t="shared" si="1"/>
        <v>5</v>
      </c>
      <c r="F468" s="1" t="str">
        <f t="shared" si="2"/>
        <v>INSERT INTO tblQuestionBank VALUES (seqQuestionBank.nextval, q'[HTML에서 'a' 태그의 주요 기능은 무엇인가?]', 5);</v>
      </c>
    </row>
    <row r="469">
      <c r="A469" s="1">
        <v>464.0</v>
      </c>
      <c r="B469" s="1" t="s">
        <v>283</v>
      </c>
      <c r="C469" s="39" t="s">
        <v>287</v>
      </c>
      <c r="D469" s="2">
        <f t="shared" si="1"/>
        <v>1</v>
      </c>
      <c r="F469" s="1" t="str">
        <f t="shared" si="2"/>
        <v>INSERT INTO tblQuestionBank VALUES (seqQuestionBank.nextval, q'[Java에서 클래스와 객체의 차이점은 무엇인가?]', 1);</v>
      </c>
    </row>
    <row r="470">
      <c r="A470" s="1">
        <v>465.0</v>
      </c>
      <c r="B470" s="1" t="s">
        <v>283</v>
      </c>
      <c r="C470" s="39" t="s">
        <v>288</v>
      </c>
      <c r="D470" s="2">
        <f t="shared" si="1"/>
        <v>3</v>
      </c>
      <c r="F470" s="1" t="str">
        <f t="shared" si="2"/>
        <v>INSERT INTO tblQuestionBank VALUES (seqQuestionBank.nextval, q'[Python의 리스트와 튜플의 차이점은 무엇인가?]', 3);</v>
      </c>
    </row>
    <row r="471">
      <c r="A471" s="1">
        <v>466.0</v>
      </c>
      <c r="B471" s="1" t="s">
        <v>283</v>
      </c>
      <c r="C471" s="39" t="s">
        <v>289</v>
      </c>
      <c r="D471" s="2">
        <f t="shared" si="1"/>
        <v>5</v>
      </c>
      <c r="F471" s="1" t="str">
        <f t="shared" si="2"/>
        <v>INSERT INTO tblQuestionBank VALUES (seqQuestionBank.nextval, q'[C언어에서 포인터를 사용하는 주된 이유는 무엇인가?]', 5);</v>
      </c>
    </row>
    <row r="472">
      <c r="A472" s="1">
        <v>467.0</v>
      </c>
      <c r="B472" s="1" t="s">
        <v>283</v>
      </c>
      <c r="C472" s="39" t="s">
        <v>290</v>
      </c>
      <c r="D472" s="2">
        <f t="shared" si="1"/>
        <v>3</v>
      </c>
      <c r="F472" s="1" t="str">
        <f t="shared" si="2"/>
        <v>INSERT INTO tblQuestionBank VALUES (seqQuestionBank.nextval, q'[컴파일러와 인터프리터의 차이점은 무엇인가?]', 3);</v>
      </c>
    </row>
    <row r="473">
      <c r="A473" s="1">
        <v>468.0</v>
      </c>
      <c r="B473" s="1" t="s">
        <v>283</v>
      </c>
      <c r="C473" s="39" t="s">
        <v>291</v>
      </c>
      <c r="D473" s="2">
        <f t="shared" si="1"/>
        <v>1</v>
      </c>
      <c r="F473" s="1" t="str">
        <f t="shared" si="2"/>
        <v>INSERT INTO tblQuestionBank VALUES (seqQuestionBank.nextval, q'[JavaScript에서 클로저(closure)의 정의는 무엇인가?]', 1);</v>
      </c>
    </row>
    <row r="474">
      <c r="A474" s="1">
        <v>469.0</v>
      </c>
      <c r="B474" s="1" t="s">
        <v>283</v>
      </c>
      <c r="C474" s="39" t="s">
        <v>292</v>
      </c>
      <c r="D474" s="2">
        <f t="shared" si="1"/>
        <v>4</v>
      </c>
      <c r="F474" s="1" t="str">
        <f t="shared" si="2"/>
        <v>INSERT INTO tblQuestionBank VALUES (seqQuestionBank.nextval, q'[객체 지향 프로그래밍의 4대 특징 중 하나가 아닌 것은 무엇인가?]', 4);</v>
      </c>
    </row>
    <row r="475">
      <c r="A475" s="1">
        <v>470.0</v>
      </c>
      <c r="B475" s="1" t="s">
        <v>283</v>
      </c>
      <c r="C475" s="39" t="s">
        <v>293</v>
      </c>
      <c r="D475" s="2">
        <f t="shared" si="1"/>
        <v>1</v>
      </c>
      <c r="F475" s="1" t="str">
        <f t="shared" si="2"/>
        <v>INSERT INTO tblQuestionBank VALUES (seqQuestionBank.nextval, q'[SQL에서 'JOIN'의 기능은 무엇인가?]', 1);</v>
      </c>
    </row>
    <row r="476">
      <c r="A476" s="1">
        <v>471.0</v>
      </c>
      <c r="B476" s="1" t="s">
        <v>283</v>
      </c>
      <c r="C476" s="39" t="s">
        <v>294</v>
      </c>
      <c r="D476" s="2">
        <f t="shared" si="1"/>
        <v>5</v>
      </c>
      <c r="F476" s="1" t="str">
        <f t="shared" si="2"/>
        <v>INSERT INTO tblQuestionBank VALUES (seqQuestionBank.nextval, q'[Python에서 'with open()' 구문의 주요 목적은 무엇인가?]', 5);</v>
      </c>
    </row>
    <row r="477">
      <c r="A477" s="1">
        <v>472.0</v>
      </c>
      <c r="B477" s="1" t="s">
        <v>283</v>
      </c>
      <c r="C477" s="39" t="s">
        <v>295</v>
      </c>
      <c r="D477" s="2">
        <f t="shared" si="1"/>
        <v>5</v>
      </c>
      <c r="F477" s="1" t="str">
        <f t="shared" si="2"/>
        <v>INSERT INTO tblQuestionBank VALUES (seqQuestionBank.nextval, q'[데이터베이스에서 정규화의 목적은 무엇인가?]', 5);</v>
      </c>
    </row>
    <row r="478">
      <c r="A478" s="1">
        <v>473.0</v>
      </c>
      <c r="B478" s="1" t="s">
        <v>283</v>
      </c>
      <c r="C478" s="39" t="s">
        <v>296</v>
      </c>
      <c r="D478" s="2">
        <f t="shared" si="1"/>
        <v>2</v>
      </c>
      <c r="F478" s="1" t="str">
        <f t="shared" si="2"/>
        <v>INSERT INTO tblQuestionBank VALUES (seqQuestionBank.nextval, q'[CSS에서 'flexbox'의 주요 사용 목적은 무엇인가?]', 2);</v>
      </c>
    </row>
    <row r="479">
      <c r="A479" s="1">
        <v>474.0</v>
      </c>
      <c r="B479" s="1" t="s">
        <v>283</v>
      </c>
      <c r="C479" s="39" t="s">
        <v>297</v>
      </c>
      <c r="D479" s="2">
        <f t="shared" si="1"/>
        <v>2</v>
      </c>
      <c r="F479" s="1" t="str">
        <f t="shared" si="2"/>
        <v>INSERT INTO tblQuestionBank VALUES (seqQuestionBank.nextval, q'[Git에서 'merge'와 'rebase'의 차이점은 무엇인가?]', 2);</v>
      </c>
    </row>
    <row r="480">
      <c r="A480" s="1">
        <v>475.0</v>
      </c>
      <c r="B480" s="1" t="s">
        <v>283</v>
      </c>
      <c r="C480" s="39" t="s">
        <v>298</v>
      </c>
      <c r="D480" s="2">
        <f t="shared" si="1"/>
        <v>1</v>
      </c>
      <c r="F480" s="1" t="str">
        <f t="shared" si="2"/>
        <v>INSERT INTO tblQuestionBank VALUES (seqQuestionBank.nextval, q'[C++에서 참조자(reference)와 포인터(pointer)의 차이는 무엇인가?]', 1);</v>
      </c>
    </row>
    <row r="481">
      <c r="A481" s="1">
        <v>476.0</v>
      </c>
      <c r="B481" s="1" t="s">
        <v>283</v>
      </c>
      <c r="C481" s="39" t="s">
        <v>299</v>
      </c>
      <c r="D481" s="2">
        <f t="shared" si="1"/>
        <v>4</v>
      </c>
      <c r="F481" s="1" t="str">
        <f t="shared" si="2"/>
        <v>INSERT INTO tblQuestionBank VALUES (seqQuestionBank.nextval, q'[네트워크에서 TCP와 UDP의 차이점은 무엇인가?]', 4);</v>
      </c>
    </row>
    <row r="482">
      <c r="A482" s="1">
        <v>477.0</v>
      </c>
      <c r="B482" s="1" t="s">
        <v>283</v>
      </c>
      <c r="C482" s="39" t="s">
        <v>300</v>
      </c>
      <c r="D482" s="2">
        <f t="shared" si="1"/>
        <v>1</v>
      </c>
      <c r="F482" s="1" t="str">
        <f t="shared" si="2"/>
        <v>INSERT INTO tblQuestionBank VALUES (seqQuestionBank.nextval, q'[Python에서 제너레이터(generator)의 특징은 무엇인가?]', 1);</v>
      </c>
    </row>
    <row r="483">
      <c r="A483" s="1">
        <v>478.0</v>
      </c>
      <c r="B483" s="1" t="s">
        <v>283</v>
      </c>
      <c r="C483" s="39" t="s">
        <v>301</v>
      </c>
      <c r="D483" s="2">
        <f t="shared" si="1"/>
        <v>4</v>
      </c>
      <c r="F483" s="1" t="str">
        <f t="shared" si="2"/>
        <v>INSERT INTO tblQuestionBank VALUES (seqQuestionBank.nextval, q'[REST API의 주요 원칙 중 하나가 아닌 것은 무엇인가?]', 4);</v>
      </c>
    </row>
    <row r="484">
      <c r="A484" s="1">
        <v>479.0</v>
      </c>
      <c r="B484" s="1" t="s">
        <v>283</v>
      </c>
      <c r="C484" s="39" t="s">
        <v>302</v>
      </c>
      <c r="D484" s="2">
        <f t="shared" si="1"/>
        <v>5</v>
      </c>
      <c r="F484" s="1" t="str">
        <f t="shared" si="2"/>
        <v>INSERT INTO tblQuestionBank VALUES (seqQuestionBank.nextval, q'[Java에서 예외(Exception) 처리 방법으로 올바른 것을 고르시오.]', 5);</v>
      </c>
    </row>
    <row r="485">
      <c r="A485" s="1">
        <v>480.0</v>
      </c>
      <c r="B485" s="1" t="s">
        <v>283</v>
      </c>
      <c r="C485" s="39" t="s">
        <v>303</v>
      </c>
      <c r="D485" s="2">
        <f t="shared" si="1"/>
        <v>4</v>
      </c>
      <c r="F485" s="1" t="str">
        <f t="shared" si="2"/>
        <v>INSERT INTO tblQuestionBank VALUES (seqQuestionBank.nextval, q'[프로그래밍 언어에서 타입 캐스팅(type casting)이란 무엇인가?]', 4);</v>
      </c>
    </row>
    <row r="486">
      <c r="A486" s="1">
        <v>481.0</v>
      </c>
      <c r="B486" s="1" t="s">
        <v>283</v>
      </c>
      <c r="C486" s="39" t="s">
        <v>284</v>
      </c>
      <c r="D486" s="2">
        <f t="shared" si="1"/>
        <v>4</v>
      </c>
      <c r="F486" s="1" t="str">
        <f t="shared" si="2"/>
        <v>INSERT INTO tblQuestionBank VALUES (seqQuestionBank.nextval, q'[변수의 스코프(scope)란 무엇인가에 대한 설명으로 올바른 것을 고르시오.]', 4);</v>
      </c>
    </row>
    <row r="487">
      <c r="A487" s="1">
        <v>482.0</v>
      </c>
      <c r="B487" s="1" t="s">
        <v>283</v>
      </c>
      <c r="C487" s="39" t="s">
        <v>285</v>
      </c>
      <c r="D487" s="2">
        <f t="shared" si="1"/>
        <v>4</v>
      </c>
      <c r="F487" s="1" t="str">
        <f t="shared" si="2"/>
        <v>INSERT INTO tblQuestionBank VALUES (seqQuestionBank.nextval, q'[재귀 함수와 반복문 중 메모리 사용량이 더 많은 것은 무엇인가?]', 4);</v>
      </c>
    </row>
    <row r="488">
      <c r="A488" s="1">
        <v>483.0</v>
      </c>
      <c r="B488" s="1" t="s">
        <v>283</v>
      </c>
      <c r="C488" s="39" t="s">
        <v>286</v>
      </c>
      <c r="D488" s="2">
        <f t="shared" si="1"/>
        <v>1</v>
      </c>
      <c r="F488" s="1" t="str">
        <f t="shared" si="2"/>
        <v>INSERT INTO tblQuestionBank VALUES (seqQuestionBank.nextval, q'[HTML에서 'a' 태그의 주요 기능은 무엇인가?]', 1);</v>
      </c>
    </row>
    <row r="489">
      <c r="A489" s="1">
        <v>484.0</v>
      </c>
      <c r="B489" s="1" t="s">
        <v>283</v>
      </c>
      <c r="C489" s="39" t="s">
        <v>287</v>
      </c>
      <c r="D489" s="2">
        <f t="shared" si="1"/>
        <v>5</v>
      </c>
      <c r="F489" s="1" t="str">
        <f t="shared" si="2"/>
        <v>INSERT INTO tblQuestionBank VALUES (seqQuestionBank.nextval, q'[Java에서 클래스와 객체의 차이점은 무엇인가?]', 5);</v>
      </c>
    </row>
    <row r="490">
      <c r="A490" s="1">
        <v>485.0</v>
      </c>
      <c r="B490" s="1" t="s">
        <v>283</v>
      </c>
      <c r="C490" s="39" t="s">
        <v>288</v>
      </c>
      <c r="D490" s="2">
        <f t="shared" si="1"/>
        <v>5</v>
      </c>
      <c r="F490" s="1" t="str">
        <f t="shared" si="2"/>
        <v>INSERT INTO tblQuestionBank VALUES (seqQuestionBank.nextval, q'[Python의 리스트와 튜플의 차이점은 무엇인가?]', 5);</v>
      </c>
    </row>
    <row r="491">
      <c r="A491" s="1">
        <v>486.0</v>
      </c>
      <c r="B491" s="1" t="s">
        <v>283</v>
      </c>
      <c r="C491" s="39" t="s">
        <v>289</v>
      </c>
      <c r="D491" s="2">
        <f t="shared" si="1"/>
        <v>4</v>
      </c>
      <c r="F491" s="1" t="str">
        <f t="shared" si="2"/>
        <v>INSERT INTO tblQuestionBank VALUES (seqQuestionBank.nextval, q'[C언어에서 포인터를 사용하는 주된 이유는 무엇인가?]', 4);</v>
      </c>
    </row>
    <row r="492">
      <c r="A492" s="1">
        <v>487.0</v>
      </c>
      <c r="B492" s="1" t="s">
        <v>283</v>
      </c>
      <c r="C492" s="39" t="s">
        <v>290</v>
      </c>
      <c r="D492" s="2">
        <f t="shared" si="1"/>
        <v>5</v>
      </c>
      <c r="F492" s="1" t="str">
        <f t="shared" si="2"/>
        <v>INSERT INTO tblQuestionBank VALUES (seqQuestionBank.nextval, q'[컴파일러와 인터프리터의 차이점은 무엇인가?]', 5);</v>
      </c>
    </row>
    <row r="493">
      <c r="A493" s="1">
        <v>488.0</v>
      </c>
      <c r="B493" s="1" t="s">
        <v>283</v>
      </c>
      <c r="C493" s="39" t="s">
        <v>291</v>
      </c>
      <c r="D493" s="2">
        <f t="shared" si="1"/>
        <v>1</v>
      </c>
      <c r="F493" s="1" t="str">
        <f t="shared" si="2"/>
        <v>INSERT INTO tblQuestionBank VALUES (seqQuestionBank.nextval, q'[JavaScript에서 클로저(closure)의 정의는 무엇인가?]', 1);</v>
      </c>
    </row>
    <row r="494">
      <c r="A494" s="1">
        <v>489.0</v>
      </c>
      <c r="B494" s="1" t="s">
        <v>283</v>
      </c>
      <c r="C494" s="39" t="s">
        <v>292</v>
      </c>
      <c r="D494" s="2">
        <f t="shared" si="1"/>
        <v>3</v>
      </c>
      <c r="F494" s="1" t="str">
        <f t="shared" si="2"/>
        <v>INSERT INTO tblQuestionBank VALUES (seqQuestionBank.nextval, q'[객체 지향 프로그래밍의 4대 특징 중 하나가 아닌 것은 무엇인가?]', 3);</v>
      </c>
    </row>
    <row r="495">
      <c r="A495" s="1">
        <v>490.0</v>
      </c>
      <c r="B495" s="1" t="s">
        <v>283</v>
      </c>
      <c r="C495" s="39" t="s">
        <v>293</v>
      </c>
      <c r="D495" s="2">
        <f t="shared" si="1"/>
        <v>1</v>
      </c>
      <c r="F495" s="1" t="str">
        <f t="shared" si="2"/>
        <v>INSERT INTO tblQuestionBank VALUES (seqQuestionBank.nextval, q'[SQL에서 'JOIN'의 기능은 무엇인가?]', 1);</v>
      </c>
    </row>
    <row r="496">
      <c r="A496" s="1">
        <v>491.0</v>
      </c>
      <c r="B496" s="1" t="s">
        <v>283</v>
      </c>
      <c r="C496" s="39" t="s">
        <v>294</v>
      </c>
      <c r="D496" s="2">
        <f t="shared" si="1"/>
        <v>5</v>
      </c>
      <c r="F496" s="1" t="str">
        <f t="shared" si="2"/>
        <v>INSERT INTO tblQuestionBank VALUES (seqQuestionBank.nextval, q'[Python에서 'with open()' 구문의 주요 목적은 무엇인가?]', 5);</v>
      </c>
    </row>
    <row r="497">
      <c r="A497" s="1">
        <v>492.0</v>
      </c>
      <c r="B497" s="1" t="s">
        <v>283</v>
      </c>
      <c r="C497" s="39" t="s">
        <v>295</v>
      </c>
      <c r="D497" s="2">
        <f t="shared" si="1"/>
        <v>4</v>
      </c>
      <c r="F497" s="1" t="str">
        <f t="shared" si="2"/>
        <v>INSERT INTO tblQuestionBank VALUES (seqQuestionBank.nextval, q'[데이터베이스에서 정규화의 목적은 무엇인가?]', 4);</v>
      </c>
    </row>
    <row r="498">
      <c r="A498" s="1">
        <v>493.0</v>
      </c>
      <c r="B498" s="1" t="s">
        <v>283</v>
      </c>
      <c r="C498" s="39" t="s">
        <v>296</v>
      </c>
      <c r="D498" s="2">
        <f t="shared" si="1"/>
        <v>3</v>
      </c>
      <c r="F498" s="1" t="str">
        <f t="shared" si="2"/>
        <v>INSERT INTO tblQuestionBank VALUES (seqQuestionBank.nextval, q'[CSS에서 'flexbox'의 주요 사용 목적은 무엇인가?]', 3);</v>
      </c>
    </row>
    <row r="499">
      <c r="A499" s="1">
        <v>494.0</v>
      </c>
      <c r="B499" s="1" t="s">
        <v>283</v>
      </c>
      <c r="C499" s="39" t="s">
        <v>297</v>
      </c>
      <c r="D499" s="2">
        <f t="shared" si="1"/>
        <v>3</v>
      </c>
      <c r="F499" s="1" t="str">
        <f t="shared" si="2"/>
        <v>INSERT INTO tblQuestionBank VALUES (seqQuestionBank.nextval, q'[Git에서 'merge'와 'rebase'의 차이점은 무엇인가?]', 3);</v>
      </c>
    </row>
    <row r="500">
      <c r="A500" s="1">
        <v>495.0</v>
      </c>
      <c r="B500" s="1" t="s">
        <v>283</v>
      </c>
      <c r="C500" s="39" t="s">
        <v>298</v>
      </c>
      <c r="D500" s="2">
        <f t="shared" si="1"/>
        <v>3</v>
      </c>
      <c r="F500" s="1" t="str">
        <f t="shared" si="2"/>
        <v>INSERT INTO tblQuestionBank VALUES (seqQuestionBank.nextval, q'[C++에서 참조자(reference)와 포인터(pointer)의 차이는 무엇인가?]', 3);</v>
      </c>
    </row>
    <row r="501">
      <c r="A501" s="1">
        <v>496.0</v>
      </c>
      <c r="B501" s="1" t="s">
        <v>283</v>
      </c>
      <c r="C501" s="39" t="s">
        <v>299</v>
      </c>
      <c r="D501" s="2">
        <f t="shared" si="1"/>
        <v>3</v>
      </c>
      <c r="F501" s="1" t="str">
        <f t="shared" si="2"/>
        <v>INSERT INTO tblQuestionBank VALUES (seqQuestionBank.nextval, q'[네트워크에서 TCP와 UDP의 차이점은 무엇인가?]', 3);</v>
      </c>
    </row>
    <row r="502">
      <c r="A502" s="1">
        <v>497.0</v>
      </c>
      <c r="B502" s="1" t="s">
        <v>283</v>
      </c>
      <c r="C502" s="39" t="s">
        <v>300</v>
      </c>
      <c r="D502" s="2">
        <f t="shared" si="1"/>
        <v>4</v>
      </c>
      <c r="F502" s="1" t="str">
        <f t="shared" si="2"/>
        <v>INSERT INTO tblQuestionBank VALUES (seqQuestionBank.nextval, q'[Python에서 제너레이터(generator)의 특징은 무엇인가?]', 4);</v>
      </c>
    </row>
    <row r="503">
      <c r="A503" s="1">
        <v>498.0</v>
      </c>
      <c r="B503" s="1" t="s">
        <v>283</v>
      </c>
      <c r="C503" s="39" t="s">
        <v>301</v>
      </c>
      <c r="D503" s="2">
        <f t="shared" si="1"/>
        <v>5</v>
      </c>
      <c r="F503" s="1" t="str">
        <f t="shared" si="2"/>
        <v>INSERT INTO tblQuestionBank VALUES (seqQuestionBank.nextval, q'[REST API의 주요 원칙 중 하나가 아닌 것은 무엇인가?]', 5);</v>
      </c>
    </row>
    <row r="504">
      <c r="A504" s="1">
        <v>499.0</v>
      </c>
      <c r="B504" s="1" t="s">
        <v>283</v>
      </c>
      <c r="C504" s="39" t="s">
        <v>302</v>
      </c>
      <c r="D504" s="2">
        <f t="shared" si="1"/>
        <v>4</v>
      </c>
      <c r="F504" s="1" t="str">
        <f t="shared" si="2"/>
        <v>INSERT INTO tblQuestionBank VALUES (seqQuestionBank.nextval, q'[Java에서 예외(Exception) 처리 방법으로 올바른 것을 고르시오.]', 4);</v>
      </c>
    </row>
    <row r="505">
      <c r="A505" s="1">
        <v>500.0</v>
      </c>
      <c r="B505" s="1" t="s">
        <v>283</v>
      </c>
      <c r="C505" s="39" t="s">
        <v>303</v>
      </c>
      <c r="D505" s="2">
        <f t="shared" si="1"/>
        <v>1</v>
      </c>
      <c r="F505" s="1" t="str">
        <f t="shared" si="2"/>
        <v>INSERT INTO tblQuestionBank VALUES (seqQuestionBank.nextval, q'[프로그래밍 언어에서 타입 캐스팅(type casting)이란 무엇인가?]', 1);</v>
      </c>
    </row>
    <row r="506">
      <c r="A506" s="1">
        <v>501.0</v>
      </c>
      <c r="B506" s="1" t="s">
        <v>283</v>
      </c>
      <c r="C506" s="39" t="s">
        <v>284</v>
      </c>
      <c r="D506" s="2">
        <f t="shared" si="1"/>
        <v>3</v>
      </c>
      <c r="F506" s="1" t="str">
        <f t="shared" si="2"/>
        <v>INSERT INTO tblQuestionBank VALUES (seqQuestionBank.nextval, q'[변수의 스코프(scope)란 무엇인가에 대한 설명으로 올바른 것을 고르시오.]', 3);</v>
      </c>
    </row>
    <row r="507">
      <c r="A507" s="1">
        <v>502.0</v>
      </c>
      <c r="B507" s="1" t="s">
        <v>283</v>
      </c>
      <c r="C507" s="39" t="s">
        <v>285</v>
      </c>
      <c r="D507" s="2">
        <f t="shared" si="1"/>
        <v>2</v>
      </c>
      <c r="F507" s="1" t="str">
        <f t="shared" si="2"/>
        <v>INSERT INTO tblQuestionBank VALUES (seqQuestionBank.nextval, q'[재귀 함수와 반복문 중 메모리 사용량이 더 많은 것은 무엇인가?]', 2);</v>
      </c>
    </row>
    <row r="508">
      <c r="A508" s="1">
        <v>503.0</v>
      </c>
      <c r="B508" s="1" t="s">
        <v>283</v>
      </c>
      <c r="C508" s="39" t="s">
        <v>286</v>
      </c>
      <c r="D508" s="2">
        <f t="shared" si="1"/>
        <v>5</v>
      </c>
      <c r="F508" s="1" t="str">
        <f t="shared" si="2"/>
        <v>INSERT INTO tblQuestionBank VALUES (seqQuestionBank.nextval, q'[HTML에서 'a' 태그의 주요 기능은 무엇인가?]', 5);</v>
      </c>
    </row>
    <row r="509">
      <c r="A509" s="1">
        <v>504.0</v>
      </c>
      <c r="B509" s="1" t="s">
        <v>283</v>
      </c>
      <c r="C509" s="39" t="s">
        <v>287</v>
      </c>
      <c r="D509" s="2">
        <f t="shared" si="1"/>
        <v>4</v>
      </c>
      <c r="F509" s="1" t="str">
        <f t="shared" si="2"/>
        <v>INSERT INTO tblQuestionBank VALUES (seqQuestionBank.nextval, q'[Java에서 클래스와 객체의 차이점은 무엇인가?]', 4);</v>
      </c>
    </row>
    <row r="510">
      <c r="A510" s="1">
        <v>505.0</v>
      </c>
      <c r="B510" s="1" t="s">
        <v>283</v>
      </c>
      <c r="C510" s="39" t="s">
        <v>288</v>
      </c>
      <c r="D510" s="2">
        <f t="shared" si="1"/>
        <v>1</v>
      </c>
      <c r="F510" s="1" t="str">
        <f t="shared" si="2"/>
        <v>INSERT INTO tblQuestionBank VALUES (seqQuestionBank.nextval, q'[Python의 리스트와 튜플의 차이점은 무엇인가?]', 1);</v>
      </c>
    </row>
    <row r="511">
      <c r="A511" s="1">
        <v>506.0</v>
      </c>
      <c r="B511" s="1" t="s">
        <v>283</v>
      </c>
      <c r="C511" s="39" t="s">
        <v>289</v>
      </c>
      <c r="D511" s="2">
        <f t="shared" si="1"/>
        <v>5</v>
      </c>
      <c r="F511" s="1" t="str">
        <f t="shared" si="2"/>
        <v>INSERT INTO tblQuestionBank VALUES (seqQuestionBank.nextval, q'[C언어에서 포인터를 사용하는 주된 이유는 무엇인가?]', 5);</v>
      </c>
    </row>
    <row r="512">
      <c r="A512" s="1">
        <v>507.0</v>
      </c>
      <c r="B512" s="1" t="s">
        <v>283</v>
      </c>
      <c r="C512" s="39" t="s">
        <v>290</v>
      </c>
      <c r="D512" s="2">
        <f t="shared" si="1"/>
        <v>2</v>
      </c>
      <c r="F512" s="1" t="str">
        <f t="shared" si="2"/>
        <v>INSERT INTO tblQuestionBank VALUES (seqQuestionBank.nextval, q'[컴파일러와 인터프리터의 차이점은 무엇인가?]', 2);</v>
      </c>
    </row>
    <row r="513">
      <c r="A513" s="1">
        <v>508.0</v>
      </c>
      <c r="B513" s="1" t="s">
        <v>283</v>
      </c>
      <c r="C513" s="39" t="s">
        <v>291</v>
      </c>
      <c r="D513" s="2">
        <f t="shared" si="1"/>
        <v>2</v>
      </c>
      <c r="F513" s="1" t="str">
        <f t="shared" si="2"/>
        <v>INSERT INTO tblQuestionBank VALUES (seqQuestionBank.nextval, q'[JavaScript에서 클로저(closure)의 정의는 무엇인가?]', 2);</v>
      </c>
    </row>
    <row r="514">
      <c r="A514" s="1">
        <v>509.0</v>
      </c>
      <c r="B514" s="1" t="s">
        <v>283</v>
      </c>
      <c r="C514" s="39" t="s">
        <v>292</v>
      </c>
      <c r="D514" s="2">
        <f t="shared" si="1"/>
        <v>2</v>
      </c>
      <c r="F514" s="1" t="str">
        <f t="shared" si="2"/>
        <v>INSERT INTO tblQuestionBank VALUES (seqQuestionBank.nextval, q'[객체 지향 프로그래밍의 4대 특징 중 하나가 아닌 것은 무엇인가?]', 2);</v>
      </c>
    </row>
    <row r="515">
      <c r="A515" s="1">
        <v>510.0</v>
      </c>
      <c r="B515" s="1" t="s">
        <v>283</v>
      </c>
      <c r="C515" s="39" t="s">
        <v>293</v>
      </c>
      <c r="D515" s="2">
        <f t="shared" si="1"/>
        <v>4</v>
      </c>
      <c r="F515" s="1" t="str">
        <f t="shared" si="2"/>
        <v>INSERT INTO tblQuestionBank VALUES (seqQuestionBank.nextval, q'[SQL에서 'JOIN'의 기능은 무엇인가?]', 4);</v>
      </c>
    </row>
    <row r="516">
      <c r="A516" s="1">
        <v>511.0</v>
      </c>
      <c r="B516" s="1" t="s">
        <v>283</v>
      </c>
      <c r="C516" s="39" t="s">
        <v>294</v>
      </c>
      <c r="D516" s="2">
        <f t="shared" si="1"/>
        <v>5</v>
      </c>
      <c r="F516" s="1" t="str">
        <f t="shared" si="2"/>
        <v>INSERT INTO tblQuestionBank VALUES (seqQuestionBank.nextval, q'[Python에서 'with open()' 구문의 주요 목적은 무엇인가?]', 5);</v>
      </c>
    </row>
    <row r="517">
      <c r="A517" s="1">
        <v>512.0</v>
      </c>
      <c r="B517" s="1" t="s">
        <v>283</v>
      </c>
      <c r="C517" s="39" t="s">
        <v>295</v>
      </c>
      <c r="D517" s="2">
        <f t="shared" si="1"/>
        <v>1</v>
      </c>
      <c r="F517" s="1" t="str">
        <f t="shared" si="2"/>
        <v>INSERT INTO tblQuestionBank VALUES (seqQuestionBank.nextval, q'[데이터베이스에서 정규화의 목적은 무엇인가?]', 1);</v>
      </c>
    </row>
    <row r="518">
      <c r="A518" s="1">
        <v>513.0</v>
      </c>
      <c r="B518" s="1" t="s">
        <v>283</v>
      </c>
      <c r="C518" s="39" t="s">
        <v>296</v>
      </c>
      <c r="D518" s="2">
        <f t="shared" si="1"/>
        <v>4</v>
      </c>
      <c r="F518" s="1" t="str">
        <f t="shared" si="2"/>
        <v>INSERT INTO tblQuestionBank VALUES (seqQuestionBank.nextval, q'[CSS에서 'flexbox'의 주요 사용 목적은 무엇인가?]', 4);</v>
      </c>
    </row>
    <row r="519">
      <c r="A519" s="1">
        <v>514.0</v>
      </c>
      <c r="B519" s="1" t="s">
        <v>283</v>
      </c>
      <c r="C519" s="39" t="s">
        <v>297</v>
      </c>
      <c r="D519" s="2">
        <f t="shared" si="1"/>
        <v>1</v>
      </c>
      <c r="F519" s="1" t="str">
        <f t="shared" si="2"/>
        <v>INSERT INTO tblQuestionBank VALUES (seqQuestionBank.nextval, q'[Git에서 'merge'와 'rebase'의 차이점은 무엇인가?]', 1);</v>
      </c>
    </row>
    <row r="520">
      <c r="A520" s="1">
        <v>515.0</v>
      </c>
      <c r="B520" s="1" t="s">
        <v>283</v>
      </c>
      <c r="C520" s="39" t="s">
        <v>298</v>
      </c>
      <c r="D520" s="2">
        <f t="shared" si="1"/>
        <v>5</v>
      </c>
      <c r="F520" s="1" t="str">
        <f t="shared" si="2"/>
        <v>INSERT INTO tblQuestionBank VALUES (seqQuestionBank.nextval, q'[C++에서 참조자(reference)와 포인터(pointer)의 차이는 무엇인가?]', 5);</v>
      </c>
    </row>
    <row r="521">
      <c r="A521" s="1">
        <v>516.0</v>
      </c>
      <c r="B521" s="1" t="s">
        <v>283</v>
      </c>
      <c r="C521" s="39" t="s">
        <v>299</v>
      </c>
      <c r="D521" s="2">
        <f t="shared" si="1"/>
        <v>1</v>
      </c>
      <c r="F521" s="1" t="str">
        <f t="shared" si="2"/>
        <v>INSERT INTO tblQuestionBank VALUES (seqQuestionBank.nextval, q'[네트워크에서 TCP와 UDP의 차이점은 무엇인가?]', 1);</v>
      </c>
    </row>
    <row r="522">
      <c r="A522" s="1">
        <v>517.0</v>
      </c>
      <c r="B522" s="1" t="s">
        <v>283</v>
      </c>
      <c r="C522" s="39" t="s">
        <v>300</v>
      </c>
      <c r="D522" s="2">
        <f t="shared" si="1"/>
        <v>2</v>
      </c>
      <c r="F522" s="1" t="str">
        <f t="shared" si="2"/>
        <v>INSERT INTO tblQuestionBank VALUES (seqQuestionBank.nextval, q'[Python에서 제너레이터(generator)의 특징은 무엇인가?]', 2);</v>
      </c>
    </row>
    <row r="523">
      <c r="A523" s="1">
        <v>518.0</v>
      </c>
      <c r="B523" s="1" t="s">
        <v>283</v>
      </c>
      <c r="C523" s="39" t="s">
        <v>301</v>
      </c>
      <c r="D523" s="2">
        <f t="shared" si="1"/>
        <v>4</v>
      </c>
      <c r="F523" s="1" t="str">
        <f t="shared" si="2"/>
        <v>INSERT INTO tblQuestionBank VALUES (seqQuestionBank.nextval, q'[REST API의 주요 원칙 중 하나가 아닌 것은 무엇인가?]', 4);</v>
      </c>
    </row>
    <row r="524">
      <c r="A524" s="1">
        <v>519.0</v>
      </c>
      <c r="B524" s="1" t="s">
        <v>283</v>
      </c>
      <c r="C524" s="39" t="s">
        <v>302</v>
      </c>
      <c r="D524" s="2">
        <f t="shared" si="1"/>
        <v>3</v>
      </c>
      <c r="F524" s="1" t="str">
        <f t="shared" si="2"/>
        <v>INSERT INTO tblQuestionBank VALUES (seqQuestionBank.nextval, q'[Java에서 예외(Exception) 처리 방법으로 올바른 것을 고르시오.]', 3);</v>
      </c>
    </row>
    <row r="525">
      <c r="A525" s="1">
        <v>520.0</v>
      </c>
      <c r="B525" s="1" t="s">
        <v>283</v>
      </c>
      <c r="C525" s="39" t="s">
        <v>303</v>
      </c>
      <c r="D525" s="2">
        <f t="shared" si="1"/>
        <v>2</v>
      </c>
      <c r="F525" s="1" t="str">
        <f t="shared" si="2"/>
        <v>INSERT INTO tblQuestionBank VALUES (seqQuestionBank.nextval, q'[프로그래밍 언어에서 타입 캐스팅(type casting)이란 무엇인가?]', 2);</v>
      </c>
    </row>
    <row r="526">
      <c r="A526" s="1">
        <v>521.0</v>
      </c>
      <c r="B526" s="1" t="s">
        <v>283</v>
      </c>
      <c r="C526" s="39" t="s">
        <v>284</v>
      </c>
      <c r="D526" s="2">
        <f t="shared" si="1"/>
        <v>2</v>
      </c>
      <c r="F526" s="1" t="str">
        <f t="shared" si="2"/>
        <v>INSERT INTO tblQuestionBank VALUES (seqQuestionBank.nextval, q'[변수의 스코프(scope)란 무엇인가에 대한 설명으로 올바른 것을 고르시오.]', 2);</v>
      </c>
    </row>
    <row r="527">
      <c r="A527" s="1">
        <v>522.0</v>
      </c>
      <c r="B527" s="1" t="s">
        <v>283</v>
      </c>
      <c r="C527" s="39" t="s">
        <v>285</v>
      </c>
      <c r="D527" s="2">
        <f t="shared" si="1"/>
        <v>5</v>
      </c>
      <c r="F527" s="1" t="str">
        <f t="shared" si="2"/>
        <v>INSERT INTO tblQuestionBank VALUES (seqQuestionBank.nextval, q'[재귀 함수와 반복문 중 메모리 사용량이 더 많은 것은 무엇인가?]', 5);</v>
      </c>
    </row>
    <row r="528">
      <c r="A528" s="1">
        <v>523.0</v>
      </c>
      <c r="B528" s="1" t="s">
        <v>283</v>
      </c>
      <c r="C528" s="39" t="s">
        <v>286</v>
      </c>
      <c r="D528" s="2">
        <f t="shared" si="1"/>
        <v>5</v>
      </c>
      <c r="F528" s="1" t="str">
        <f t="shared" si="2"/>
        <v>INSERT INTO tblQuestionBank VALUES (seqQuestionBank.nextval, q'[HTML에서 'a' 태그의 주요 기능은 무엇인가?]', 5);</v>
      </c>
    </row>
    <row r="529">
      <c r="A529" s="1">
        <v>524.0</v>
      </c>
      <c r="B529" s="1" t="s">
        <v>283</v>
      </c>
      <c r="C529" s="39" t="s">
        <v>287</v>
      </c>
      <c r="D529" s="2">
        <f t="shared" si="1"/>
        <v>4</v>
      </c>
      <c r="F529" s="1" t="str">
        <f t="shared" si="2"/>
        <v>INSERT INTO tblQuestionBank VALUES (seqQuestionBank.nextval, q'[Java에서 클래스와 객체의 차이점은 무엇인가?]', 4);</v>
      </c>
    </row>
    <row r="530">
      <c r="A530" s="1">
        <v>525.0</v>
      </c>
      <c r="B530" s="1" t="s">
        <v>283</v>
      </c>
      <c r="C530" s="39" t="s">
        <v>288</v>
      </c>
      <c r="D530" s="2">
        <f t="shared" si="1"/>
        <v>1</v>
      </c>
      <c r="F530" s="1" t="str">
        <f t="shared" si="2"/>
        <v>INSERT INTO tblQuestionBank VALUES (seqQuestionBank.nextval, q'[Python의 리스트와 튜플의 차이점은 무엇인가?]', 1);</v>
      </c>
    </row>
    <row r="531">
      <c r="A531" s="1">
        <v>526.0</v>
      </c>
      <c r="B531" s="1" t="s">
        <v>283</v>
      </c>
      <c r="C531" s="39" t="s">
        <v>289</v>
      </c>
      <c r="D531" s="2">
        <f t="shared" si="1"/>
        <v>5</v>
      </c>
      <c r="F531" s="1" t="str">
        <f t="shared" si="2"/>
        <v>INSERT INTO tblQuestionBank VALUES (seqQuestionBank.nextval, q'[C언어에서 포인터를 사용하는 주된 이유는 무엇인가?]', 5);</v>
      </c>
    </row>
    <row r="532">
      <c r="A532" s="1">
        <v>527.0</v>
      </c>
      <c r="B532" s="1" t="s">
        <v>283</v>
      </c>
      <c r="C532" s="39" t="s">
        <v>290</v>
      </c>
      <c r="D532" s="2">
        <f t="shared" si="1"/>
        <v>5</v>
      </c>
      <c r="F532" s="1" t="str">
        <f t="shared" si="2"/>
        <v>INSERT INTO tblQuestionBank VALUES (seqQuestionBank.nextval, q'[컴파일러와 인터프리터의 차이점은 무엇인가?]', 5);</v>
      </c>
    </row>
    <row r="533">
      <c r="A533" s="1">
        <v>528.0</v>
      </c>
      <c r="B533" s="1" t="s">
        <v>283</v>
      </c>
      <c r="C533" s="39" t="s">
        <v>291</v>
      </c>
      <c r="D533" s="2">
        <f t="shared" si="1"/>
        <v>1</v>
      </c>
      <c r="F533" s="1" t="str">
        <f t="shared" si="2"/>
        <v>INSERT INTO tblQuestionBank VALUES (seqQuestionBank.nextval, q'[JavaScript에서 클로저(closure)의 정의는 무엇인가?]', 1);</v>
      </c>
    </row>
    <row r="534">
      <c r="A534" s="1">
        <v>529.0</v>
      </c>
      <c r="B534" s="1" t="s">
        <v>283</v>
      </c>
      <c r="C534" s="39" t="s">
        <v>292</v>
      </c>
      <c r="D534" s="2">
        <f t="shared" si="1"/>
        <v>5</v>
      </c>
      <c r="F534" s="1" t="str">
        <f t="shared" si="2"/>
        <v>INSERT INTO tblQuestionBank VALUES (seqQuestionBank.nextval, q'[객체 지향 프로그래밍의 4대 특징 중 하나가 아닌 것은 무엇인가?]', 5);</v>
      </c>
    </row>
    <row r="535">
      <c r="A535" s="1">
        <v>530.0</v>
      </c>
      <c r="B535" s="1" t="s">
        <v>283</v>
      </c>
      <c r="C535" s="39" t="s">
        <v>293</v>
      </c>
      <c r="D535" s="2">
        <f t="shared" si="1"/>
        <v>3</v>
      </c>
      <c r="F535" s="1" t="str">
        <f t="shared" si="2"/>
        <v>INSERT INTO tblQuestionBank VALUES (seqQuestionBank.nextval, q'[SQL에서 'JOIN'의 기능은 무엇인가?]', 3);</v>
      </c>
    </row>
    <row r="536">
      <c r="A536" s="1">
        <v>531.0</v>
      </c>
      <c r="B536" s="1" t="s">
        <v>283</v>
      </c>
      <c r="C536" s="39" t="s">
        <v>294</v>
      </c>
      <c r="D536" s="2">
        <f t="shared" si="1"/>
        <v>1</v>
      </c>
      <c r="F536" s="1" t="str">
        <f t="shared" si="2"/>
        <v>INSERT INTO tblQuestionBank VALUES (seqQuestionBank.nextval, q'[Python에서 'with open()' 구문의 주요 목적은 무엇인가?]', 1);</v>
      </c>
    </row>
    <row r="537">
      <c r="A537" s="1">
        <v>532.0</v>
      </c>
      <c r="B537" s="1" t="s">
        <v>283</v>
      </c>
      <c r="C537" s="39" t="s">
        <v>295</v>
      </c>
      <c r="D537" s="2">
        <f t="shared" si="1"/>
        <v>2</v>
      </c>
      <c r="F537" s="1" t="str">
        <f t="shared" si="2"/>
        <v>INSERT INTO tblQuestionBank VALUES (seqQuestionBank.nextval, q'[데이터베이스에서 정규화의 목적은 무엇인가?]', 2);</v>
      </c>
    </row>
    <row r="538">
      <c r="A538" s="1">
        <v>533.0</v>
      </c>
      <c r="B538" s="1" t="s">
        <v>283</v>
      </c>
      <c r="C538" s="39" t="s">
        <v>296</v>
      </c>
      <c r="D538" s="2">
        <f t="shared" si="1"/>
        <v>3</v>
      </c>
      <c r="F538" s="1" t="str">
        <f t="shared" si="2"/>
        <v>INSERT INTO tblQuestionBank VALUES (seqQuestionBank.nextval, q'[CSS에서 'flexbox'의 주요 사용 목적은 무엇인가?]', 3);</v>
      </c>
    </row>
    <row r="539">
      <c r="A539" s="1">
        <v>534.0</v>
      </c>
      <c r="B539" s="1" t="s">
        <v>283</v>
      </c>
      <c r="C539" s="39" t="s">
        <v>297</v>
      </c>
      <c r="D539" s="2">
        <f t="shared" si="1"/>
        <v>2</v>
      </c>
      <c r="F539" s="1" t="str">
        <f t="shared" si="2"/>
        <v>INSERT INTO tblQuestionBank VALUES (seqQuestionBank.nextval, q'[Git에서 'merge'와 'rebase'의 차이점은 무엇인가?]', 2);</v>
      </c>
    </row>
    <row r="540">
      <c r="A540" s="1">
        <v>535.0</v>
      </c>
      <c r="B540" s="1" t="s">
        <v>283</v>
      </c>
      <c r="C540" s="39" t="s">
        <v>298</v>
      </c>
      <c r="D540" s="2">
        <f t="shared" si="1"/>
        <v>4</v>
      </c>
      <c r="F540" s="1" t="str">
        <f t="shared" si="2"/>
        <v>INSERT INTO tblQuestionBank VALUES (seqQuestionBank.nextval, q'[C++에서 참조자(reference)와 포인터(pointer)의 차이는 무엇인가?]', 4);</v>
      </c>
    </row>
    <row r="541">
      <c r="A541" s="1">
        <v>536.0</v>
      </c>
      <c r="B541" s="1" t="s">
        <v>283</v>
      </c>
      <c r="C541" s="39" t="s">
        <v>299</v>
      </c>
      <c r="D541" s="2">
        <f t="shared" si="1"/>
        <v>2</v>
      </c>
      <c r="F541" s="1" t="str">
        <f t="shared" si="2"/>
        <v>INSERT INTO tblQuestionBank VALUES (seqQuestionBank.nextval, q'[네트워크에서 TCP와 UDP의 차이점은 무엇인가?]', 2);</v>
      </c>
    </row>
    <row r="542">
      <c r="A542" s="1">
        <v>537.0</v>
      </c>
      <c r="B542" s="1" t="s">
        <v>283</v>
      </c>
      <c r="C542" s="39" t="s">
        <v>300</v>
      </c>
      <c r="D542" s="2">
        <f t="shared" si="1"/>
        <v>3</v>
      </c>
      <c r="F542" s="1" t="str">
        <f t="shared" si="2"/>
        <v>INSERT INTO tblQuestionBank VALUES (seqQuestionBank.nextval, q'[Python에서 제너레이터(generator)의 특징은 무엇인가?]', 3);</v>
      </c>
    </row>
    <row r="543">
      <c r="A543" s="1">
        <v>538.0</v>
      </c>
      <c r="B543" s="1" t="s">
        <v>283</v>
      </c>
      <c r="C543" s="39" t="s">
        <v>301</v>
      </c>
      <c r="D543" s="2">
        <f t="shared" si="1"/>
        <v>2</v>
      </c>
      <c r="F543" s="1" t="str">
        <f t="shared" si="2"/>
        <v>INSERT INTO tblQuestionBank VALUES (seqQuestionBank.nextval, q'[REST API의 주요 원칙 중 하나가 아닌 것은 무엇인가?]', 2);</v>
      </c>
    </row>
    <row r="544">
      <c r="A544" s="1">
        <v>539.0</v>
      </c>
      <c r="B544" s="1" t="s">
        <v>283</v>
      </c>
      <c r="C544" s="39" t="s">
        <v>302</v>
      </c>
      <c r="D544" s="2">
        <f t="shared" si="1"/>
        <v>4</v>
      </c>
      <c r="F544" s="1" t="str">
        <f t="shared" si="2"/>
        <v>INSERT INTO tblQuestionBank VALUES (seqQuestionBank.nextval, q'[Java에서 예외(Exception) 처리 방법으로 올바른 것을 고르시오.]', 4);</v>
      </c>
    </row>
    <row r="545">
      <c r="A545" s="1">
        <v>540.0</v>
      </c>
      <c r="B545" s="1" t="s">
        <v>283</v>
      </c>
      <c r="C545" s="39" t="s">
        <v>303</v>
      </c>
      <c r="D545" s="2">
        <f t="shared" si="1"/>
        <v>5</v>
      </c>
      <c r="F545" s="1" t="str">
        <f t="shared" si="2"/>
        <v>INSERT INTO tblQuestionBank VALUES (seqQuestionBank.nextval, q'[프로그래밍 언어에서 타입 캐스팅(type casting)이란 무엇인가?]', 5);</v>
      </c>
    </row>
    <row r="546">
      <c r="A546" s="1">
        <v>541.0</v>
      </c>
      <c r="B546" s="1" t="s">
        <v>283</v>
      </c>
      <c r="C546" s="39" t="s">
        <v>284</v>
      </c>
      <c r="D546" s="2">
        <f t="shared" si="1"/>
        <v>5</v>
      </c>
      <c r="F546" s="1" t="str">
        <f t="shared" si="2"/>
        <v>INSERT INTO tblQuestionBank VALUES (seqQuestionBank.nextval, q'[변수의 스코프(scope)란 무엇인가에 대한 설명으로 올바른 것을 고르시오.]', 5);</v>
      </c>
    </row>
    <row r="547">
      <c r="A547" s="1">
        <v>542.0</v>
      </c>
      <c r="B547" s="1" t="s">
        <v>283</v>
      </c>
      <c r="C547" s="39" t="s">
        <v>285</v>
      </c>
      <c r="D547" s="2">
        <f t="shared" si="1"/>
        <v>5</v>
      </c>
      <c r="F547" s="1" t="str">
        <f t="shared" si="2"/>
        <v>INSERT INTO tblQuestionBank VALUES (seqQuestionBank.nextval, q'[재귀 함수와 반복문 중 메모리 사용량이 더 많은 것은 무엇인가?]', 5);</v>
      </c>
    </row>
    <row r="548">
      <c r="A548" s="1">
        <v>543.0</v>
      </c>
      <c r="B548" s="1" t="s">
        <v>283</v>
      </c>
      <c r="C548" s="39" t="s">
        <v>286</v>
      </c>
      <c r="D548" s="2">
        <f t="shared" si="1"/>
        <v>5</v>
      </c>
      <c r="F548" s="1" t="str">
        <f t="shared" si="2"/>
        <v>INSERT INTO tblQuestionBank VALUES (seqQuestionBank.nextval, q'[HTML에서 'a' 태그의 주요 기능은 무엇인가?]', 5);</v>
      </c>
    </row>
    <row r="549">
      <c r="A549" s="1">
        <v>544.0</v>
      </c>
      <c r="B549" s="1" t="s">
        <v>283</v>
      </c>
      <c r="C549" s="39" t="s">
        <v>287</v>
      </c>
      <c r="D549" s="2">
        <f t="shared" si="1"/>
        <v>5</v>
      </c>
      <c r="F549" s="1" t="str">
        <f t="shared" si="2"/>
        <v>INSERT INTO tblQuestionBank VALUES (seqQuestionBank.nextval, q'[Java에서 클래스와 객체의 차이점은 무엇인가?]', 5);</v>
      </c>
    </row>
    <row r="550">
      <c r="A550" s="1">
        <v>545.0</v>
      </c>
      <c r="B550" s="1" t="s">
        <v>283</v>
      </c>
      <c r="C550" s="39" t="s">
        <v>288</v>
      </c>
      <c r="D550" s="2">
        <f t="shared" si="1"/>
        <v>1</v>
      </c>
      <c r="F550" s="1" t="str">
        <f t="shared" si="2"/>
        <v>INSERT INTO tblQuestionBank VALUES (seqQuestionBank.nextval, q'[Python의 리스트와 튜플의 차이점은 무엇인가?]', 1);</v>
      </c>
    </row>
    <row r="551">
      <c r="A551" s="1">
        <v>546.0</v>
      </c>
      <c r="B551" s="1" t="s">
        <v>283</v>
      </c>
      <c r="C551" s="39" t="s">
        <v>289</v>
      </c>
      <c r="D551" s="2">
        <f t="shared" si="1"/>
        <v>3</v>
      </c>
      <c r="F551" s="1" t="str">
        <f t="shared" si="2"/>
        <v>INSERT INTO tblQuestionBank VALUES (seqQuestionBank.nextval, q'[C언어에서 포인터를 사용하는 주된 이유는 무엇인가?]', 3);</v>
      </c>
    </row>
    <row r="552">
      <c r="A552" s="1">
        <v>547.0</v>
      </c>
      <c r="B552" s="1" t="s">
        <v>283</v>
      </c>
      <c r="C552" s="39" t="s">
        <v>290</v>
      </c>
      <c r="D552" s="2">
        <f t="shared" si="1"/>
        <v>2</v>
      </c>
      <c r="F552" s="1" t="str">
        <f t="shared" si="2"/>
        <v>INSERT INTO tblQuestionBank VALUES (seqQuestionBank.nextval, q'[컴파일러와 인터프리터의 차이점은 무엇인가?]', 2);</v>
      </c>
    </row>
    <row r="553">
      <c r="A553" s="1">
        <v>548.0</v>
      </c>
      <c r="B553" s="1" t="s">
        <v>283</v>
      </c>
      <c r="C553" s="39" t="s">
        <v>291</v>
      </c>
      <c r="D553" s="2">
        <f t="shared" si="1"/>
        <v>2</v>
      </c>
      <c r="F553" s="1" t="str">
        <f t="shared" si="2"/>
        <v>INSERT INTO tblQuestionBank VALUES (seqQuestionBank.nextval, q'[JavaScript에서 클로저(closure)의 정의는 무엇인가?]', 2);</v>
      </c>
    </row>
    <row r="554">
      <c r="A554" s="1">
        <v>549.0</v>
      </c>
      <c r="B554" s="1" t="s">
        <v>283</v>
      </c>
      <c r="C554" s="39" t="s">
        <v>292</v>
      </c>
      <c r="D554" s="2">
        <f t="shared" si="1"/>
        <v>2</v>
      </c>
      <c r="F554" s="1" t="str">
        <f t="shared" si="2"/>
        <v>INSERT INTO tblQuestionBank VALUES (seqQuestionBank.nextval, q'[객체 지향 프로그래밍의 4대 특징 중 하나가 아닌 것은 무엇인가?]', 2);</v>
      </c>
    </row>
    <row r="555">
      <c r="A555" s="1">
        <v>550.0</v>
      </c>
      <c r="B555" s="1" t="s">
        <v>283</v>
      </c>
      <c r="C555" s="39" t="s">
        <v>293</v>
      </c>
      <c r="D555" s="2">
        <f t="shared" si="1"/>
        <v>5</v>
      </c>
      <c r="F555" s="1" t="str">
        <f t="shared" si="2"/>
        <v>INSERT INTO tblQuestionBank VALUES (seqQuestionBank.nextval, q'[SQL에서 'JOIN'의 기능은 무엇인가?]', 5);</v>
      </c>
    </row>
    <row r="556">
      <c r="A556" s="1">
        <v>551.0</v>
      </c>
      <c r="B556" s="1" t="s">
        <v>283</v>
      </c>
      <c r="C556" s="39" t="s">
        <v>294</v>
      </c>
      <c r="D556" s="2">
        <f t="shared" si="1"/>
        <v>3</v>
      </c>
      <c r="F556" s="1" t="str">
        <f t="shared" si="2"/>
        <v>INSERT INTO tblQuestionBank VALUES (seqQuestionBank.nextval, q'[Python에서 'with open()' 구문의 주요 목적은 무엇인가?]', 3);</v>
      </c>
    </row>
    <row r="557">
      <c r="A557" s="1">
        <v>552.0</v>
      </c>
      <c r="B557" s="1" t="s">
        <v>283</v>
      </c>
      <c r="C557" s="39" t="s">
        <v>295</v>
      </c>
      <c r="D557" s="2">
        <f t="shared" si="1"/>
        <v>5</v>
      </c>
      <c r="F557" s="1" t="str">
        <f t="shared" si="2"/>
        <v>INSERT INTO tblQuestionBank VALUES (seqQuestionBank.nextval, q'[데이터베이스에서 정규화의 목적은 무엇인가?]', 5);</v>
      </c>
    </row>
    <row r="558">
      <c r="A558" s="1">
        <v>553.0</v>
      </c>
      <c r="B558" s="1" t="s">
        <v>283</v>
      </c>
      <c r="C558" s="39" t="s">
        <v>296</v>
      </c>
      <c r="D558" s="2">
        <f t="shared" si="1"/>
        <v>3</v>
      </c>
      <c r="F558" s="1" t="str">
        <f t="shared" si="2"/>
        <v>INSERT INTO tblQuestionBank VALUES (seqQuestionBank.nextval, q'[CSS에서 'flexbox'의 주요 사용 목적은 무엇인가?]', 3);</v>
      </c>
    </row>
    <row r="559">
      <c r="A559" s="1">
        <v>554.0</v>
      </c>
      <c r="B559" s="1" t="s">
        <v>283</v>
      </c>
      <c r="C559" s="39" t="s">
        <v>297</v>
      </c>
      <c r="D559" s="2">
        <f t="shared" si="1"/>
        <v>4</v>
      </c>
      <c r="F559" s="1" t="str">
        <f t="shared" si="2"/>
        <v>INSERT INTO tblQuestionBank VALUES (seqQuestionBank.nextval, q'[Git에서 'merge'와 'rebase'의 차이점은 무엇인가?]', 4);</v>
      </c>
    </row>
    <row r="560">
      <c r="A560" s="1">
        <v>555.0</v>
      </c>
      <c r="B560" s="1" t="s">
        <v>283</v>
      </c>
      <c r="C560" s="39" t="s">
        <v>298</v>
      </c>
      <c r="D560" s="2">
        <f t="shared" si="1"/>
        <v>5</v>
      </c>
      <c r="F560" s="1" t="str">
        <f t="shared" si="2"/>
        <v>INSERT INTO tblQuestionBank VALUES (seqQuestionBank.nextval, q'[C++에서 참조자(reference)와 포인터(pointer)의 차이는 무엇인가?]', 5);</v>
      </c>
    </row>
    <row r="561">
      <c r="A561" s="1">
        <v>556.0</v>
      </c>
      <c r="B561" s="1" t="s">
        <v>283</v>
      </c>
      <c r="C561" s="39" t="s">
        <v>299</v>
      </c>
      <c r="D561" s="2">
        <f t="shared" si="1"/>
        <v>5</v>
      </c>
      <c r="F561" s="1" t="str">
        <f t="shared" si="2"/>
        <v>INSERT INTO tblQuestionBank VALUES (seqQuestionBank.nextval, q'[네트워크에서 TCP와 UDP의 차이점은 무엇인가?]', 5);</v>
      </c>
    </row>
    <row r="562">
      <c r="A562" s="1">
        <v>557.0</v>
      </c>
      <c r="B562" s="1" t="s">
        <v>283</v>
      </c>
      <c r="C562" s="39" t="s">
        <v>300</v>
      </c>
      <c r="D562" s="2">
        <f t="shared" si="1"/>
        <v>5</v>
      </c>
      <c r="F562" s="1" t="str">
        <f t="shared" si="2"/>
        <v>INSERT INTO tblQuestionBank VALUES (seqQuestionBank.nextval, q'[Python에서 제너레이터(generator)의 특징은 무엇인가?]', 5);</v>
      </c>
    </row>
    <row r="563">
      <c r="A563" s="1">
        <v>558.0</v>
      </c>
      <c r="B563" s="1" t="s">
        <v>283</v>
      </c>
      <c r="C563" s="39" t="s">
        <v>301</v>
      </c>
      <c r="D563" s="2">
        <f t="shared" si="1"/>
        <v>4</v>
      </c>
      <c r="F563" s="1" t="str">
        <f t="shared" si="2"/>
        <v>INSERT INTO tblQuestionBank VALUES (seqQuestionBank.nextval, q'[REST API의 주요 원칙 중 하나가 아닌 것은 무엇인가?]', 4);</v>
      </c>
    </row>
    <row r="564">
      <c r="A564" s="1">
        <v>559.0</v>
      </c>
      <c r="B564" s="1" t="s">
        <v>283</v>
      </c>
      <c r="C564" s="39" t="s">
        <v>302</v>
      </c>
      <c r="D564" s="2">
        <f t="shared" si="1"/>
        <v>2</v>
      </c>
      <c r="F564" s="1" t="str">
        <f t="shared" si="2"/>
        <v>INSERT INTO tblQuestionBank VALUES (seqQuestionBank.nextval, q'[Java에서 예외(Exception) 처리 방법으로 올바른 것을 고르시오.]', 2);</v>
      </c>
    </row>
    <row r="565">
      <c r="A565" s="1">
        <v>560.0</v>
      </c>
      <c r="B565" s="1" t="s">
        <v>283</v>
      </c>
      <c r="C565" s="39" t="s">
        <v>303</v>
      </c>
      <c r="D565" s="2">
        <f t="shared" si="1"/>
        <v>2</v>
      </c>
      <c r="F565" s="1" t="str">
        <f t="shared" si="2"/>
        <v>INSERT INTO tblQuestionBank VALUES (seqQuestionBank.nextval, q'[프로그래밍 언어에서 타입 캐스팅(type casting)이란 무엇인가?]', 2);</v>
      </c>
    </row>
    <row r="566">
      <c r="A566" s="1">
        <v>561.0</v>
      </c>
      <c r="B566" s="1" t="s">
        <v>283</v>
      </c>
      <c r="C566" s="39" t="s">
        <v>284</v>
      </c>
      <c r="D566" s="2">
        <f t="shared" si="1"/>
        <v>1</v>
      </c>
      <c r="F566" s="1" t="str">
        <f t="shared" si="2"/>
        <v>INSERT INTO tblQuestionBank VALUES (seqQuestionBank.nextval, q'[변수의 스코프(scope)란 무엇인가에 대한 설명으로 올바른 것을 고르시오.]', 1);</v>
      </c>
    </row>
    <row r="567">
      <c r="A567" s="1">
        <v>562.0</v>
      </c>
      <c r="B567" s="1" t="s">
        <v>283</v>
      </c>
      <c r="C567" s="39" t="s">
        <v>285</v>
      </c>
      <c r="D567" s="2">
        <f t="shared" si="1"/>
        <v>1</v>
      </c>
      <c r="F567" s="1" t="str">
        <f t="shared" si="2"/>
        <v>INSERT INTO tblQuestionBank VALUES (seqQuestionBank.nextval, q'[재귀 함수와 반복문 중 메모리 사용량이 더 많은 것은 무엇인가?]', 1);</v>
      </c>
    </row>
    <row r="568">
      <c r="A568" s="1">
        <v>563.0</v>
      </c>
      <c r="B568" s="1" t="s">
        <v>283</v>
      </c>
      <c r="C568" s="39" t="s">
        <v>286</v>
      </c>
      <c r="D568" s="2">
        <f t="shared" si="1"/>
        <v>2</v>
      </c>
      <c r="F568" s="1" t="str">
        <f t="shared" si="2"/>
        <v>INSERT INTO tblQuestionBank VALUES (seqQuestionBank.nextval, q'[HTML에서 'a' 태그의 주요 기능은 무엇인가?]', 2);</v>
      </c>
    </row>
    <row r="569">
      <c r="A569" s="1">
        <v>564.0</v>
      </c>
      <c r="B569" s="1" t="s">
        <v>283</v>
      </c>
      <c r="C569" s="39" t="s">
        <v>287</v>
      </c>
      <c r="D569" s="2">
        <f t="shared" si="1"/>
        <v>2</v>
      </c>
      <c r="F569" s="1" t="str">
        <f t="shared" si="2"/>
        <v>INSERT INTO tblQuestionBank VALUES (seqQuestionBank.nextval, q'[Java에서 클래스와 객체의 차이점은 무엇인가?]', 2);</v>
      </c>
    </row>
    <row r="570">
      <c r="A570" s="1">
        <v>565.0</v>
      </c>
      <c r="B570" s="1" t="s">
        <v>283</v>
      </c>
      <c r="C570" s="39" t="s">
        <v>288</v>
      </c>
      <c r="D570" s="2">
        <f t="shared" si="1"/>
        <v>4</v>
      </c>
      <c r="F570" s="1" t="str">
        <f t="shared" si="2"/>
        <v>INSERT INTO tblQuestionBank VALUES (seqQuestionBank.nextval, q'[Python의 리스트와 튜플의 차이점은 무엇인가?]', 4);</v>
      </c>
    </row>
    <row r="571">
      <c r="A571" s="1">
        <v>566.0</v>
      </c>
      <c r="B571" s="1" t="s">
        <v>283</v>
      </c>
      <c r="C571" s="39" t="s">
        <v>289</v>
      </c>
      <c r="D571" s="2">
        <f t="shared" si="1"/>
        <v>2</v>
      </c>
      <c r="F571" s="1" t="str">
        <f t="shared" si="2"/>
        <v>INSERT INTO tblQuestionBank VALUES (seqQuestionBank.nextval, q'[C언어에서 포인터를 사용하는 주된 이유는 무엇인가?]', 2);</v>
      </c>
    </row>
    <row r="572">
      <c r="A572" s="1">
        <v>567.0</v>
      </c>
      <c r="B572" s="1" t="s">
        <v>283</v>
      </c>
      <c r="C572" s="39" t="s">
        <v>290</v>
      </c>
      <c r="D572" s="2">
        <f t="shared" si="1"/>
        <v>3</v>
      </c>
      <c r="F572" s="1" t="str">
        <f t="shared" si="2"/>
        <v>INSERT INTO tblQuestionBank VALUES (seqQuestionBank.nextval, q'[컴파일러와 인터프리터의 차이점은 무엇인가?]', 3);</v>
      </c>
    </row>
    <row r="573">
      <c r="A573" s="1">
        <v>568.0</v>
      </c>
      <c r="B573" s="1" t="s">
        <v>283</v>
      </c>
      <c r="C573" s="39" t="s">
        <v>291</v>
      </c>
      <c r="D573" s="2">
        <f t="shared" si="1"/>
        <v>1</v>
      </c>
      <c r="F573" s="1" t="str">
        <f t="shared" si="2"/>
        <v>INSERT INTO tblQuestionBank VALUES (seqQuestionBank.nextval, q'[JavaScript에서 클로저(closure)의 정의는 무엇인가?]', 1);</v>
      </c>
    </row>
    <row r="574">
      <c r="A574" s="1">
        <v>569.0</v>
      </c>
      <c r="B574" s="1" t="s">
        <v>283</v>
      </c>
      <c r="C574" s="39" t="s">
        <v>292</v>
      </c>
      <c r="D574" s="2">
        <f t="shared" si="1"/>
        <v>4</v>
      </c>
      <c r="F574" s="1" t="str">
        <f t="shared" si="2"/>
        <v>INSERT INTO tblQuestionBank VALUES (seqQuestionBank.nextval, q'[객체 지향 프로그래밍의 4대 특징 중 하나가 아닌 것은 무엇인가?]', 4);</v>
      </c>
    </row>
    <row r="575">
      <c r="A575" s="1">
        <v>570.0</v>
      </c>
      <c r="B575" s="1" t="s">
        <v>283</v>
      </c>
      <c r="C575" s="39" t="s">
        <v>293</v>
      </c>
      <c r="D575" s="2">
        <f t="shared" si="1"/>
        <v>1</v>
      </c>
      <c r="F575" s="1" t="str">
        <f t="shared" si="2"/>
        <v>INSERT INTO tblQuestionBank VALUES (seqQuestionBank.nextval, q'[SQL에서 'JOIN'의 기능은 무엇인가?]', 1);</v>
      </c>
    </row>
    <row r="576">
      <c r="A576" s="1">
        <v>571.0</v>
      </c>
      <c r="B576" s="1" t="s">
        <v>283</v>
      </c>
      <c r="C576" s="39" t="s">
        <v>294</v>
      </c>
      <c r="D576" s="2">
        <f t="shared" si="1"/>
        <v>3</v>
      </c>
      <c r="F576" s="1" t="str">
        <f t="shared" si="2"/>
        <v>INSERT INTO tblQuestionBank VALUES (seqQuestionBank.nextval, q'[Python에서 'with open()' 구문의 주요 목적은 무엇인가?]', 3);</v>
      </c>
    </row>
    <row r="577">
      <c r="A577" s="1">
        <v>572.0</v>
      </c>
      <c r="B577" s="1" t="s">
        <v>283</v>
      </c>
      <c r="C577" s="39" t="s">
        <v>295</v>
      </c>
      <c r="D577" s="2">
        <f t="shared" si="1"/>
        <v>5</v>
      </c>
      <c r="F577" s="1" t="str">
        <f t="shared" si="2"/>
        <v>INSERT INTO tblQuestionBank VALUES (seqQuestionBank.nextval, q'[데이터베이스에서 정규화의 목적은 무엇인가?]', 5);</v>
      </c>
    </row>
    <row r="578">
      <c r="A578" s="1">
        <v>573.0</v>
      </c>
      <c r="B578" s="1" t="s">
        <v>283</v>
      </c>
      <c r="C578" s="39" t="s">
        <v>296</v>
      </c>
      <c r="D578" s="2">
        <f t="shared" si="1"/>
        <v>4</v>
      </c>
      <c r="F578" s="1" t="str">
        <f t="shared" si="2"/>
        <v>INSERT INTO tblQuestionBank VALUES (seqQuestionBank.nextval, q'[CSS에서 'flexbox'의 주요 사용 목적은 무엇인가?]', 4);</v>
      </c>
    </row>
    <row r="579">
      <c r="A579" s="1">
        <v>574.0</v>
      </c>
      <c r="B579" s="1" t="s">
        <v>283</v>
      </c>
      <c r="C579" s="39" t="s">
        <v>297</v>
      </c>
      <c r="D579" s="2">
        <f t="shared" si="1"/>
        <v>5</v>
      </c>
      <c r="F579" s="1" t="str">
        <f t="shared" si="2"/>
        <v>INSERT INTO tblQuestionBank VALUES (seqQuestionBank.nextval, q'[Git에서 'merge'와 'rebase'의 차이점은 무엇인가?]', 5);</v>
      </c>
    </row>
    <row r="580">
      <c r="A580" s="1">
        <v>575.0</v>
      </c>
      <c r="B580" s="1" t="s">
        <v>283</v>
      </c>
      <c r="C580" s="39" t="s">
        <v>298</v>
      </c>
      <c r="D580" s="2">
        <f t="shared" si="1"/>
        <v>1</v>
      </c>
      <c r="F580" s="1" t="str">
        <f t="shared" si="2"/>
        <v>INSERT INTO tblQuestionBank VALUES (seqQuestionBank.nextval, q'[C++에서 참조자(reference)와 포인터(pointer)의 차이는 무엇인가?]', 1);</v>
      </c>
    </row>
    <row r="581">
      <c r="A581" s="1">
        <v>576.0</v>
      </c>
      <c r="B581" s="1" t="s">
        <v>283</v>
      </c>
      <c r="C581" s="39" t="s">
        <v>299</v>
      </c>
      <c r="D581" s="2">
        <f t="shared" si="1"/>
        <v>1</v>
      </c>
      <c r="F581" s="1" t="str">
        <f t="shared" si="2"/>
        <v>INSERT INTO tblQuestionBank VALUES (seqQuestionBank.nextval, q'[네트워크에서 TCP와 UDP의 차이점은 무엇인가?]', 1);</v>
      </c>
    </row>
    <row r="582">
      <c r="A582" s="1">
        <v>577.0</v>
      </c>
      <c r="B582" s="1" t="s">
        <v>283</v>
      </c>
      <c r="C582" s="39" t="s">
        <v>300</v>
      </c>
      <c r="D582" s="2">
        <f t="shared" si="1"/>
        <v>1</v>
      </c>
      <c r="F582" s="1" t="str">
        <f t="shared" si="2"/>
        <v>INSERT INTO tblQuestionBank VALUES (seqQuestionBank.nextval, q'[Python에서 제너레이터(generator)의 특징은 무엇인가?]', 1);</v>
      </c>
    </row>
    <row r="583">
      <c r="A583" s="1">
        <v>578.0</v>
      </c>
      <c r="B583" s="1" t="s">
        <v>283</v>
      </c>
      <c r="C583" s="39" t="s">
        <v>301</v>
      </c>
      <c r="D583" s="2">
        <f t="shared" si="1"/>
        <v>5</v>
      </c>
      <c r="F583" s="1" t="str">
        <f t="shared" si="2"/>
        <v>INSERT INTO tblQuestionBank VALUES (seqQuestionBank.nextval, q'[REST API의 주요 원칙 중 하나가 아닌 것은 무엇인가?]', 5);</v>
      </c>
    </row>
    <row r="584">
      <c r="A584" s="1">
        <v>579.0</v>
      </c>
      <c r="B584" s="1" t="s">
        <v>283</v>
      </c>
      <c r="C584" s="39" t="s">
        <v>302</v>
      </c>
      <c r="D584" s="2">
        <f t="shared" si="1"/>
        <v>1</v>
      </c>
      <c r="F584" s="1" t="str">
        <f t="shared" si="2"/>
        <v>INSERT INTO tblQuestionBank VALUES (seqQuestionBank.nextval, q'[Java에서 예외(Exception) 처리 방법으로 올바른 것을 고르시오.]', 1);</v>
      </c>
    </row>
    <row r="585">
      <c r="A585" s="1">
        <v>580.0</v>
      </c>
      <c r="B585" s="1" t="s">
        <v>283</v>
      </c>
      <c r="C585" s="39" t="s">
        <v>303</v>
      </c>
      <c r="D585" s="2">
        <f t="shared" si="1"/>
        <v>3</v>
      </c>
      <c r="F585" s="1" t="str">
        <f t="shared" si="2"/>
        <v>INSERT INTO tblQuestionBank VALUES (seqQuestionBank.nextval, q'[프로그래밍 언어에서 타입 캐스팅(type casting)이란 무엇인가?]', 3);</v>
      </c>
    </row>
    <row r="586">
      <c r="A586" s="1">
        <v>581.0</v>
      </c>
      <c r="B586" s="1" t="s">
        <v>283</v>
      </c>
      <c r="C586" s="39" t="s">
        <v>284</v>
      </c>
      <c r="D586" s="2">
        <f t="shared" si="1"/>
        <v>5</v>
      </c>
      <c r="F586" s="1" t="str">
        <f t="shared" si="2"/>
        <v>INSERT INTO tblQuestionBank VALUES (seqQuestionBank.nextval, q'[변수의 스코프(scope)란 무엇인가에 대한 설명으로 올바른 것을 고르시오.]', 5);</v>
      </c>
    </row>
    <row r="587">
      <c r="A587" s="1">
        <v>582.0</v>
      </c>
      <c r="B587" s="1" t="s">
        <v>283</v>
      </c>
      <c r="C587" s="39" t="s">
        <v>285</v>
      </c>
      <c r="D587" s="2">
        <f t="shared" si="1"/>
        <v>2</v>
      </c>
      <c r="F587" s="1" t="str">
        <f t="shared" si="2"/>
        <v>INSERT INTO tblQuestionBank VALUES (seqQuestionBank.nextval, q'[재귀 함수와 반복문 중 메모리 사용량이 더 많은 것은 무엇인가?]', 2);</v>
      </c>
    </row>
    <row r="588">
      <c r="A588" s="1">
        <v>583.0</v>
      </c>
      <c r="B588" s="1" t="s">
        <v>283</v>
      </c>
      <c r="C588" s="39" t="s">
        <v>286</v>
      </c>
      <c r="D588" s="2">
        <f t="shared" si="1"/>
        <v>2</v>
      </c>
      <c r="F588" s="1" t="str">
        <f t="shared" si="2"/>
        <v>INSERT INTO tblQuestionBank VALUES (seqQuestionBank.nextval, q'[HTML에서 'a' 태그의 주요 기능은 무엇인가?]', 2);</v>
      </c>
    </row>
    <row r="589">
      <c r="A589" s="1">
        <v>584.0</v>
      </c>
      <c r="B589" s="1" t="s">
        <v>283</v>
      </c>
      <c r="C589" s="39" t="s">
        <v>287</v>
      </c>
      <c r="D589" s="2">
        <f t="shared" si="1"/>
        <v>1</v>
      </c>
      <c r="F589" s="1" t="str">
        <f t="shared" si="2"/>
        <v>INSERT INTO tblQuestionBank VALUES (seqQuestionBank.nextval, q'[Java에서 클래스와 객체의 차이점은 무엇인가?]', 1);</v>
      </c>
    </row>
    <row r="590">
      <c r="A590" s="1">
        <v>585.0</v>
      </c>
      <c r="B590" s="1" t="s">
        <v>283</v>
      </c>
      <c r="C590" s="39" t="s">
        <v>288</v>
      </c>
      <c r="D590" s="2">
        <f t="shared" si="1"/>
        <v>3</v>
      </c>
      <c r="F590" s="1" t="str">
        <f t="shared" si="2"/>
        <v>INSERT INTO tblQuestionBank VALUES (seqQuestionBank.nextval, q'[Python의 리스트와 튜플의 차이점은 무엇인가?]', 3);</v>
      </c>
    </row>
    <row r="591">
      <c r="A591" s="1">
        <v>586.0</v>
      </c>
      <c r="B591" s="1" t="s">
        <v>283</v>
      </c>
      <c r="C591" s="39" t="s">
        <v>289</v>
      </c>
      <c r="D591" s="2">
        <f t="shared" si="1"/>
        <v>2</v>
      </c>
      <c r="F591" s="1" t="str">
        <f t="shared" si="2"/>
        <v>INSERT INTO tblQuestionBank VALUES (seqQuestionBank.nextval, q'[C언어에서 포인터를 사용하는 주된 이유는 무엇인가?]', 2);</v>
      </c>
    </row>
    <row r="592">
      <c r="A592" s="1">
        <v>587.0</v>
      </c>
      <c r="B592" s="1" t="s">
        <v>283</v>
      </c>
      <c r="C592" s="39" t="s">
        <v>290</v>
      </c>
      <c r="D592" s="2">
        <f t="shared" si="1"/>
        <v>4</v>
      </c>
      <c r="F592" s="1" t="str">
        <f t="shared" si="2"/>
        <v>INSERT INTO tblQuestionBank VALUES (seqQuestionBank.nextval, q'[컴파일러와 인터프리터의 차이점은 무엇인가?]', 4);</v>
      </c>
    </row>
    <row r="593">
      <c r="A593" s="1">
        <v>588.0</v>
      </c>
      <c r="B593" s="1" t="s">
        <v>283</v>
      </c>
      <c r="C593" s="39" t="s">
        <v>291</v>
      </c>
      <c r="D593" s="2">
        <f t="shared" si="1"/>
        <v>2</v>
      </c>
      <c r="F593" s="1" t="str">
        <f t="shared" si="2"/>
        <v>INSERT INTO tblQuestionBank VALUES (seqQuestionBank.nextval, q'[JavaScript에서 클로저(closure)의 정의는 무엇인가?]', 2);</v>
      </c>
    </row>
    <row r="594">
      <c r="A594" s="1">
        <v>589.0</v>
      </c>
      <c r="B594" s="1" t="s">
        <v>283</v>
      </c>
      <c r="C594" s="39" t="s">
        <v>292</v>
      </c>
      <c r="D594" s="2">
        <f t="shared" si="1"/>
        <v>4</v>
      </c>
      <c r="F594" s="1" t="str">
        <f t="shared" si="2"/>
        <v>INSERT INTO tblQuestionBank VALUES (seqQuestionBank.nextval, q'[객체 지향 프로그래밍의 4대 특징 중 하나가 아닌 것은 무엇인가?]', 4);</v>
      </c>
    </row>
    <row r="595">
      <c r="A595" s="1">
        <v>590.0</v>
      </c>
      <c r="B595" s="1" t="s">
        <v>283</v>
      </c>
      <c r="C595" s="39" t="s">
        <v>293</v>
      </c>
      <c r="D595" s="2">
        <f t="shared" si="1"/>
        <v>4</v>
      </c>
      <c r="F595" s="1" t="str">
        <f t="shared" si="2"/>
        <v>INSERT INTO tblQuestionBank VALUES (seqQuestionBank.nextval, q'[SQL에서 'JOIN'의 기능은 무엇인가?]', 4);</v>
      </c>
    </row>
    <row r="596">
      <c r="A596" s="1">
        <v>591.0</v>
      </c>
      <c r="B596" s="1" t="s">
        <v>283</v>
      </c>
      <c r="C596" s="39" t="s">
        <v>294</v>
      </c>
      <c r="D596" s="2">
        <f t="shared" si="1"/>
        <v>4</v>
      </c>
      <c r="F596" s="1" t="str">
        <f t="shared" si="2"/>
        <v>INSERT INTO tblQuestionBank VALUES (seqQuestionBank.nextval, q'[Python에서 'with open()' 구문의 주요 목적은 무엇인가?]', 4);</v>
      </c>
    </row>
    <row r="597">
      <c r="A597" s="1">
        <v>592.0</v>
      </c>
      <c r="B597" s="1" t="s">
        <v>283</v>
      </c>
      <c r="C597" s="39" t="s">
        <v>295</v>
      </c>
      <c r="D597" s="2">
        <f t="shared" si="1"/>
        <v>5</v>
      </c>
      <c r="F597" s="1" t="str">
        <f t="shared" si="2"/>
        <v>INSERT INTO tblQuestionBank VALUES (seqQuestionBank.nextval, q'[데이터베이스에서 정규화의 목적은 무엇인가?]', 5);</v>
      </c>
    </row>
    <row r="598">
      <c r="A598" s="1">
        <v>593.0</v>
      </c>
      <c r="B598" s="1" t="s">
        <v>283</v>
      </c>
      <c r="C598" s="39" t="s">
        <v>296</v>
      </c>
      <c r="D598" s="2">
        <f t="shared" si="1"/>
        <v>4</v>
      </c>
      <c r="F598" s="1" t="str">
        <f t="shared" si="2"/>
        <v>INSERT INTO tblQuestionBank VALUES (seqQuestionBank.nextval, q'[CSS에서 'flexbox'의 주요 사용 목적은 무엇인가?]', 4);</v>
      </c>
    </row>
    <row r="599">
      <c r="A599" s="1">
        <v>594.0</v>
      </c>
      <c r="B599" s="1" t="s">
        <v>283</v>
      </c>
      <c r="C599" s="39" t="s">
        <v>297</v>
      </c>
      <c r="D599" s="2">
        <f t="shared" si="1"/>
        <v>4</v>
      </c>
      <c r="F599" s="1" t="str">
        <f t="shared" si="2"/>
        <v>INSERT INTO tblQuestionBank VALUES (seqQuestionBank.nextval, q'[Git에서 'merge'와 'rebase'의 차이점은 무엇인가?]', 4);</v>
      </c>
    </row>
    <row r="600">
      <c r="A600" s="1">
        <v>595.0</v>
      </c>
      <c r="B600" s="1" t="s">
        <v>283</v>
      </c>
      <c r="C600" s="39" t="s">
        <v>298</v>
      </c>
      <c r="D600" s="2">
        <f t="shared" si="1"/>
        <v>4</v>
      </c>
      <c r="F600" s="1" t="str">
        <f t="shared" si="2"/>
        <v>INSERT INTO tblQuestionBank VALUES (seqQuestionBank.nextval, q'[C++에서 참조자(reference)와 포인터(pointer)의 차이는 무엇인가?]', 4);</v>
      </c>
    </row>
    <row r="601">
      <c r="A601" s="1">
        <v>596.0</v>
      </c>
      <c r="B601" s="1" t="s">
        <v>283</v>
      </c>
      <c r="C601" s="39" t="s">
        <v>299</v>
      </c>
      <c r="D601" s="2">
        <f t="shared" si="1"/>
        <v>1</v>
      </c>
      <c r="F601" s="1" t="str">
        <f t="shared" si="2"/>
        <v>INSERT INTO tblQuestionBank VALUES (seqQuestionBank.nextval, q'[네트워크에서 TCP와 UDP의 차이점은 무엇인가?]', 1);</v>
      </c>
    </row>
    <row r="602">
      <c r="A602" s="1">
        <v>597.0</v>
      </c>
      <c r="B602" s="1" t="s">
        <v>283</v>
      </c>
      <c r="C602" s="39" t="s">
        <v>300</v>
      </c>
      <c r="D602" s="2">
        <f t="shared" si="1"/>
        <v>5</v>
      </c>
      <c r="F602" s="1" t="str">
        <f t="shared" si="2"/>
        <v>INSERT INTO tblQuestionBank VALUES (seqQuestionBank.nextval, q'[Python에서 제너레이터(generator)의 특징은 무엇인가?]', 5);</v>
      </c>
    </row>
    <row r="603">
      <c r="A603" s="1">
        <v>598.0</v>
      </c>
      <c r="B603" s="1" t="s">
        <v>283</v>
      </c>
      <c r="C603" s="39" t="s">
        <v>301</v>
      </c>
      <c r="D603" s="2">
        <f t="shared" si="1"/>
        <v>5</v>
      </c>
      <c r="F603" s="1" t="str">
        <f t="shared" si="2"/>
        <v>INSERT INTO tblQuestionBank VALUES (seqQuestionBank.nextval, q'[REST API의 주요 원칙 중 하나가 아닌 것은 무엇인가?]', 5);</v>
      </c>
    </row>
    <row r="604">
      <c r="A604" s="1">
        <v>599.0</v>
      </c>
      <c r="B604" s="1" t="s">
        <v>283</v>
      </c>
      <c r="C604" s="39" t="s">
        <v>302</v>
      </c>
      <c r="D604" s="2">
        <f t="shared" si="1"/>
        <v>1</v>
      </c>
      <c r="F604" s="1" t="str">
        <f t="shared" si="2"/>
        <v>INSERT INTO tblQuestionBank VALUES (seqQuestionBank.nextval, q'[Java에서 예외(Exception) 처리 방법으로 올바른 것을 고르시오.]', 1);</v>
      </c>
    </row>
    <row r="605">
      <c r="A605" s="1">
        <v>600.0</v>
      </c>
      <c r="B605" s="1" t="s">
        <v>283</v>
      </c>
      <c r="C605" s="39" t="s">
        <v>303</v>
      </c>
      <c r="D605" s="2">
        <f t="shared" si="1"/>
        <v>5</v>
      </c>
      <c r="F605" s="1" t="str">
        <f t="shared" si="2"/>
        <v>INSERT INTO tblQuestionBank VALUES (seqQuestionBank.nextval, q'[프로그래밍 언어에서 타입 캐스팅(type casting)이란 무엇인가?]', 5);</v>
      </c>
    </row>
    <row r="606">
      <c r="A606" s="1">
        <v>601.0</v>
      </c>
      <c r="B606" s="1" t="s">
        <v>283</v>
      </c>
      <c r="C606" s="39" t="s">
        <v>284</v>
      </c>
      <c r="D606" s="2">
        <f t="shared" si="1"/>
        <v>1</v>
      </c>
      <c r="F606" s="1" t="str">
        <f t="shared" si="2"/>
        <v>INSERT INTO tblQuestionBank VALUES (seqQuestionBank.nextval, q'[변수의 스코프(scope)란 무엇인가에 대한 설명으로 올바른 것을 고르시오.]', 1);</v>
      </c>
    </row>
    <row r="607">
      <c r="A607" s="1">
        <v>602.0</v>
      </c>
      <c r="B607" s="1" t="s">
        <v>283</v>
      </c>
      <c r="C607" s="39" t="s">
        <v>285</v>
      </c>
      <c r="D607" s="2">
        <f t="shared" si="1"/>
        <v>3</v>
      </c>
      <c r="F607" s="1" t="str">
        <f t="shared" si="2"/>
        <v>INSERT INTO tblQuestionBank VALUES (seqQuestionBank.nextval, q'[재귀 함수와 반복문 중 메모리 사용량이 더 많은 것은 무엇인가?]', 3);</v>
      </c>
    </row>
    <row r="608">
      <c r="A608" s="1">
        <v>603.0</v>
      </c>
      <c r="B608" s="1" t="s">
        <v>283</v>
      </c>
      <c r="C608" s="39" t="s">
        <v>286</v>
      </c>
      <c r="D608" s="2">
        <f t="shared" si="1"/>
        <v>1</v>
      </c>
      <c r="F608" s="1" t="str">
        <f t="shared" si="2"/>
        <v>INSERT INTO tblQuestionBank VALUES (seqQuestionBank.nextval, q'[HTML에서 'a' 태그의 주요 기능은 무엇인가?]', 1);</v>
      </c>
    </row>
    <row r="609">
      <c r="A609" s="1">
        <v>604.0</v>
      </c>
      <c r="B609" s="1" t="s">
        <v>283</v>
      </c>
      <c r="C609" s="39" t="s">
        <v>287</v>
      </c>
      <c r="D609" s="2">
        <f t="shared" si="1"/>
        <v>3</v>
      </c>
      <c r="F609" s="1" t="str">
        <f t="shared" si="2"/>
        <v>INSERT INTO tblQuestionBank VALUES (seqQuestionBank.nextval, q'[Java에서 클래스와 객체의 차이점은 무엇인가?]', 3);</v>
      </c>
    </row>
    <row r="610">
      <c r="A610" s="1">
        <v>605.0</v>
      </c>
      <c r="B610" s="1" t="s">
        <v>283</v>
      </c>
      <c r="C610" s="39" t="s">
        <v>288</v>
      </c>
      <c r="D610" s="2">
        <f t="shared" si="1"/>
        <v>2</v>
      </c>
      <c r="F610" s="1" t="str">
        <f t="shared" si="2"/>
        <v>INSERT INTO tblQuestionBank VALUES (seqQuestionBank.nextval, q'[Python의 리스트와 튜플의 차이점은 무엇인가?]', 2);</v>
      </c>
    </row>
    <row r="611">
      <c r="A611" s="1">
        <v>606.0</v>
      </c>
      <c r="B611" s="1" t="s">
        <v>283</v>
      </c>
      <c r="C611" s="39" t="s">
        <v>289</v>
      </c>
      <c r="D611" s="2">
        <f t="shared" si="1"/>
        <v>3</v>
      </c>
      <c r="F611" s="1" t="str">
        <f t="shared" si="2"/>
        <v>INSERT INTO tblQuestionBank VALUES (seqQuestionBank.nextval, q'[C언어에서 포인터를 사용하는 주된 이유는 무엇인가?]', 3);</v>
      </c>
    </row>
    <row r="612">
      <c r="A612" s="1">
        <v>607.0</v>
      </c>
      <c r="B612" s="1" t="s">
        <v>283</v>
      </c>
      <c r="C612" s="39" t="s">
        <v>290</v>
      </c>
      <c r="D612" s="2">
        <f t="shared" si="1"/>
        <v>3</v>
      </c>
      <c r="F612" s="1" t="str">
        <f t="shared" si="2"/>
        <v>INSERT INTO tblQuestionBank VALUES (seqQuestionBank.nextval, q'[컴파일러와 인터프리터의 차이점은 무엇인가?]', 3);</v>
      </c>
    </row>
    <row r="613">
      <c r="A613" s="1">
        <v>608.0</v>
      </c>
      <c r="B613" s="1" t="s">
        <v>283</v>
      </c>
      <c r="C613" s="39" t="s">
        <v>291</v>
      </c>
      <c r="D613" s="2">
        <f t="shared" si="1"/>
        <v>3</v>
      </c>
      <c r="F613" s="1" t="str">
        <f t="shared" si="2"/>
        <v>INSERT INTO tblQuestionBank VALUES (seqQuestionBank.nextval, q'[JavaScript에서 클로저(closure)의 정의는 무엇인가?]', 3);</v>
      </c>
    </row>
    <row r="614">
      <c r="A614" s="1">
        <v>609.0</v>
      </c>
      <c r="B614" s="1" t="s">
        <v>283</v>
      </c>
      <c r="C614" s="39" t="s">
        <v>292</v>
      </c>
      <c r="D614" s="2">
        <f t="shared" si="1"/>
        <v>5</v>
      </c>
      <c r="F614" s="1" t="str">
        <f t="shared" si="2"/>
        <v>INSERT INTO tblQuestionBank VALUES (seqQuestionBank.nextval, q'[객체 지향 프로그래밍의 4대 특징 중 하나가 아닌 것은 무엇인가?]', 5);</v>
      </c>
    </row>
    <row r="615">
      <c r="A615" s="1">
        <v>610.0</v>
      </c>
      <c r="B615" s="1" t="s">
        <v>283</v>
      </c>
      <c r="C615" s="39" t="s">
        <v>293</v>
      </c>
      <c r="D615" s="2">
        <f t="shared" si="1"/>
        <v>3</v>
      </c>
      <c r="F615" s="1" t="str">
        <f t="shared" si="2"/>
        <v>INSERT INTO tblQuestionBank VALUES (seqQuestionBank.nextval, q'[SQL에서 'JOIN'의 기능은 무엇인가?]', 3);</v>
      </c>
    </row>
    <row r="616">
      <c r="A616" s="1">
        <v>611.0</v>
      </c>
      <c r="B616" s="1" t="s">
        <v>283</v>
      </c>
      <c r="C616" s="39" t="s">
        <v>294</v>
      </c>
      <c r="D616" s="2">
        <f t="shared" si="1"/>
        <v>4</v>
      </c>
      <c r="F616" s="1" t="str">
        <f t="shared" si="2"/>
        <v>INSERT INTO tblQuestionBank VALUES (seqQuestionBank.nextval, q'[Python에서 'with open()' 구문의 주요 목적은 무엇인가?]', 4);</v>
      </c>
    </row>
    <row r="617">
      <c r="A617" s="1">
        <v>612.0</v>
      </c>
      <c r="B617" s="1" t="s">
        <v>283</v>
      </c>
      <c r="C617" s="39" t="s">
        <v>295</v>
      </c>
      <c r="D617" s="2">
        <f t="shared" si="1"/>
        <v>1</v>
      </c>
      <c r="F617" s="1" t="str">
        <f t="shared" si="2"/>
        <v>INSERT INTO tblQuestionBank VALUES (seqQuestionBank.nextval, q'[데이터베이스에서 정규화의 목적은 무엇인가?]', 1);</v>
      </c>
    </row>
    <row r="618">
      <c r="A618" s="1">
        <v>613.0</v>
      </c>
      <c r="B618" s="1" t="s">
        <v>283</v>
      </c>
      <c r="C618" s="39" t="s">
        <v>296</v>
      </c>
      <c r="D618" s="2">
        <f t="shared" si="1"/>
        <v>1</v>
      </c>
      <c r="F618" s="1" t="str">
        <f t="shared" si="2"/>
        <v>INSERT INTO tblQuestionBank VALUES (seqQuestionBank.nextval, q'[CSS에서 'flexbox'의 주요 사용 목적은 무엇인가?]', 1);</v>
      </c>
    </row>
    <row r="619">
      <c r="A619" s="1">
        <v>614.0</v>
      </c>
      <c r="B619" s="1" t="s">
        <v>283</v>
      </c>
      <c r="C619" s="39" t="s">
        <v>297</v>
      </c>
      <c r="D619" s="2">
        <f t="shared" si="1"/>
        <v>5</v>
      </c>
      <c r="F619" s="1" t="str">
        <f t="shared" si="2"/>
        <v>INSERT INTO tblQuestionBank VALUES (seqQuestionBank.nextval, q'[Git에서 'merge'와 'rebase'의 차이점은 무엇인가?]', 5);</v>
      </c>
    </row>
    <row r="620">
      <c r="A620" s="1">
        <v>615.0</v>
      </c>
      <c r="B620" s="1" t="s">
        <v>283</v>
      </c>
      <c r="C620" s="39" t="s">
        <v>298</v>
      </c>
      <c r="D620" s="2">
        <f t="shared" si="1"/>
        <v>1</v>
      </c>
      <c r="F620" s="1" t="str">
        <f t="shared" si="2"/>
        <v>INSERT INTO tblQuestionBank VALUES (seqQuestionBank.nextval, q'[C++에서 참조자(reference)와 포인터(pointer)의 차이는 무엇인가?]', 1);</v>
      </c>
    </row>
    <row r="621">
      <c r="A621" s="1">
        <v>616.0</v>
      </c>
      <c r="B621" s="1" t="s">
        <v>283</v>
      </c>
      <c r="C621" s="39" t="s">
        <v>299</v>
      </c>
      <c r="D621" s="2">
        <f t="shared" si="1"/>
        <v>1</v>
      </c>
      <c r="F621" s="1" t="str">
        <f t="shared" si="2"/>
        <v>INSERT INTO tblQuestionBank VALUES (seqQuestionBank.nextval, q'[네트워크에서 TCP와 UDP의 차이점은 무엇인가?]', 1);</v>
      </c>
    </row>
    <row r="622">
      <c r="A622" s="1">
        <v>617.0</v>
      </c>
      <c r="B622" s="1" t="s">
        <v>283</v>
      </c>
      <c r="C622" s="39" t="s">
        <v>300</v>
      </c>
      <c r="D622" s="2">
        <f t="shared" si="1"/>
        <v>3</v>
      </c>
      <c r="F622" s="1" t="str">
        <f t="shared" si="2"/>
        <v>INSERT INTO tblQuestionBank VALUES (seqQuestionBank.nextval, q'[Python에서 제너레이터(generator)의 특징은 무엇인가?]', 3);</v>
      </c>
    </row>
    <row r="623">
      <c r="A623" s="1">
        <v>618.0</v>
      </c>
      <c r="B623" s="1" t="s">
        <v>283</v>
      </c>
      <c r="C623" s="39" t="s">
        <v>301</v>
      </c>
      <c r="D623" s="2">
        <f t="shared" si="1"/>
        <v>2</v>
      </c>
      <c r="F623" s="1" t="str">
        <f t="shared" si="2"/>
        <v>INSERT INTO tblQuestionBank VALUES (seqQuestionBank.nextval, q'[REST API의 주요 원칙 중 하나가 아닌 것은 무엇인가?]', 2);</v>
      </c>
    </row>
    <row r="624">
      <c r="A624" s="1">
        <v>619.0</v>
      </c>
      <c r="B624" s="1" t="s">
        <v>283</v>
      </c>
      <c r="C624" s="39" t="s">
        <v>302</v>
      </c>
      <c r="D624" s="2">
        <f t="shared" si="1"/>
        <v>4</v>
      </c>
      <c r="F624" s="1" t="str">
        <f t="shared" si="2"/>
        <v>INSERT INTO tblQuestionBank VALUES (seqQuestionBank.nextval, q'[Java에서 예외(Exception) 처리 방법으로 올바른 것을 고르시오.]', 4);</v>
      </c>
    </row>
    <row r="625">
      <c r="A625" s="1">
        <v>620.0</v>
      </c>
      <c r="B625" s="1" t="s">
        <v>283</v>
      </c>
      <c r="C625" s="39" t="s">
        <v>303</v>
      </c>
      <c r="D625" s="2">
        <f t="shared" si="1"/>
        <v>1</v>
      </c>
      <c r="F625" s="1" t="str">
        <f t="shared" si="2"/>
        <v>INSERT INTO tblQuestionBank VALUES (seqQuestionBank.nextval, q'[프로그래밍 언어에서 타입 캐스팅(type casting)이란 무엇인가?]', 1);</v>
      </c>
    </row>
    <row r="626">
      <c r="A626" s="1">
        <v>621.0</v>
      </c>
      <c r="B626" s="1" t="s">
        <v>283</v>
      </c>
      <c r="C626" s="39" t="s">
        <v>284</v>
      </c>
      <c r="D626" s="2">
        <f t="shared" si="1"/>
        <v>2</v>
      </c>
      <c r="F626" s="1" t="str">
        <f t="shared" si="2"/>
        <v>INSERT INTO tblQuestionBank VALUES (seqQuestionBank.nextval, q'[변수의 스코프(scope)란 무엇인가에 대한 설명으로 올바른 것을 고르시오.]', 2);</v>
      </c>
    </row>
    <row r="627">
      <c r="A627" s="1">
        <v>622.0</v>
      </c>
      <c r="B627" s="1" t="s">
        <v>283</v>
      </c>
      <c r="C627" s="39" t="s">
        <v>285</v>
      </c>
      <c r="D627" s="2">
        <f t="shared" si="1"/>
        <v>5</v>
      </c>
      <c r="F627" s="1" t="str">
        <f t="shared" si="2"/>
        <v>INSERT INTO tblQuestionBank VALUES (seqQuestionBank.nextval, q'[재귀 함수와 반복문 중 메모리 사용량이 더 많은 것은 무엇인가?]', 5);</v>
      </c>
    </row>
    <row r="628">
      <c r="A628" s="1">
        <v>623.0</v>
      </c>
      <c r="B628" s="1" t="s">
        <v>283</v>
      </c>
      <c r="C628" s="39" t="s">
        <v>286</v>
      </c>
      <c r="D628" s="2">
        <f t="shared" si="1"/>
        <v>4</v>
      </c>
      <c r="F628" s="1" t="str">
        <f t="shared" si="2"/>
        <v>INSERT INTO tblQuestionBank VALUES (seqQuestionBank.nextval, q'[HTML에서 'a' 태그의 주요 기능은 무엇인가?]', 4);</v>
      </c>
    </row>
    <row r="629">
      <c r="A629" s="1">
        <v>624.0</v>
      </c>
      <c r="B629" s="1" t="s">
        <v>283</v>
      </c>
      <c r="C629" s="39" t="s">
        <v>287</v>
      </c>
      <c r="D629" s="2">
        <f t="shared" si="1"/>
        <v>4</v>
      </c>
      <c r="F629" s="1" t="str">
        <f t="shared" si="2"/>
        <v>INSERT INTO tblQuestionBank VALUES (seqQuestionBank.nextval, q'[Java에서 클래스와 객체의 차이점은 무엇인가?]', 4);</v>
      </c>
    </row>
    <row r="630">
      <c r="A630" s="1">
        <v>625.0</v>
      </c>
      <c r="B630" s="1" t="s">
        <v>283</v>
      </c>
      <c r="C630" s="39" t="s">
        <v>288</v>
      </c>
      <c r="D630" s="2">
        <f t="shared" si="1"/>
        <v>4</v>
      </c>
      <c r="F630" s="1" t="str">
        <f t="shared" si="2"/>
        <v>INSERT INTO tblQuestionBank VALUES (seqQuestionBank.nextval, q'[Python의 리스트와 튜플의 차이점은 무엇인가?]', 4);</v>
      </c>
    </row>
    <row r="631">
      <c r="A631" s="1">
        <v>626.0</v>
      </c>
      <c r="B631" s="1" t="s">
        <v>283</v>
      </c>
      <c r="C631" s="39" t="s">
        <v>289</v>
      </c>
      <c r="D631" s="2">
        <f t="shared" si="1"/>
        <v>1</v>
      </c>
      <c r="F631" s="1" t="str">
        <f t="shared" si="2"/>
        <v>INSERT INTO tblQuestionBank VALUES (seqQuestionBank.nextval, q'[C언어에서 포인터를 사용하는 주된 이유는 무엇인가?]', 1);</v>
      </c>
    </row>
    <row r="632">
      <c r="A632" s="1">
        <v>627.0</v>
      </c>
      <c r="B632" s="1" t="s">
        <v>283</v>
      </c>
      <c r="C632" s="39" t="s">
        <v>290</v>
      </c>
      <c r="D632" s="2">
        <f t="shared" si="1"/>
        <v>5</v>
      </c>
      <c r="F632" s="1" t="str">
        <f t="shared" si="2"/>
        <v>INSERT INTO tblQuestionBank VALUES (seqQuestionBank.nextval, q'[컴파일러와 인터프리터의 차이점은 무엇인가?]', 5);</v>
      </c>
    </row>
    <row r="633">
      <c r="A633" s="1">
        <v>628.0</v>
      </c>
      <c r="B633" s="1" t="s">
        <v>283</v>
      </c>
      <c r="C633" s="39" t="s">
        <v>291</v>
      </c>
      <c r="D633" s="2">
        <f t="shared" si="1"/>
        <v>5</v>
      </c>
      <c r="F633" s="1" t="str">
        <f t="shared" si="2"/>
        <v>INSERT INTO tblQuestionBank VALUES (seqQuestionBank.nextval, q'[JavaScript에서 클로저(closure)의 정의는 무엇인가?]', 5);</v>
      </c>
    </row>
    <row r="634">
      <c r="A634" s="1">
        <v>629.0</v>
      </c>
      <c r="B634" s="1" t="s">
        <v>283</v>
      </c>
      <c r="C634" s="39" t="s">
        <v>292</v>
      </c>
      <c r="D634" s="2">
        <f t="shared" si="1"/>
        <v>5</v>
      </c>
      <c r="F634" s="1" t="str">
        <f t="shared" si="2"/>
        <v>INSERT INTO tblQuestionBank VALUES (seqQuestionBank.nextval, q'[객체 지향 프로그래밍의 4대 특징 중 하나가 아닌 것은 무엇인가?]', 5);</v>
      </c>
    </row>
    <row r="635">
      <c r="A635" s="1">
        <v>630.0</v>
      </c>
      <c r="B635" s="1" t="s">
        <v>283</v>
      </c>
      <c r="C635" s="39" t="s">
        <v>293</v>
      </c>
      <c r="D635" s="2">
        <f t="shared" si="1"/>
        <v>5</v>
      </c>
      <c r="F635" s="1" t="str">
        <f t="shared" si="2"/>
        <v>INSERT INTO tblQuestionBank VALUES (seqQuestionBank.nextval, q'[SQL에서 'JOIN'의 기능은 무엇인가?]', 5);</v>
      </c>
    </row>
    <row r="636">
      <c r="A636" s="1">
        <v>631.0</v>
      </c>
      <c r="B636" s="1" t="s">
        <v>283</v>
      </c>
      <c r="C636" s="39" t="s">
        <v>294</v>
      </c>
      <c r="D636" s="2">
        <f t="shared" si="1"/>
        <v>1</v>
      </c>
      <c r="F636" s="1" t="str">
        <f t="shared" si="2"/>
        <v>INSERT INTO tblQuestionBank VALUES (seqQuestionBank.nextval, q'[Python에서 'with open()' 구문의 주요 목적은 무엇인가?]', 1);</v>
      </c>
    </row>
    <row r="637">
      <c r="A637" s="1">
        <v>632.0</v>
      </c>
      <c r="B637" s="1" t="s">
        <v>283</v>
      </c>
      <c r="C637" s="39" t="s">
        <v>295</v>
      </c>
      <c r="D637" s="2">
        <f t="shared" si="1"/>
        <v>3</v>
      </c>
      <c r="F637" s="1" t="str">
        <f t="shared" si="2"/>
        <v>INSERT INTO tblQuestionBank VALUES (seqQuestionBank.nextval, q'[데이터베이스에서 정규화의 목적은 무엇인가?]', 3);</v>
      </c>
    </row>
    <row r="638">
      <c r="A638" s="1">
        <v>633.0</v>
      </c>
      <c r="B638" s="1" t="s">
        <v>283</v>
      </c>
      <c r="C638" s="39" t="s">
        <v>296</v>
      </c>
      <c r="D638" s="2">
        <f t="shared" si="1"/>
        <v>2</v>
      </c>
      <c r="F638" s="1" t="str">
        <f t="shared" si="2"/>
        <v>INSERT INTO tblQuestionBank VALUES (seqQuestionBank.nextval, q'[CSS에서 'flexbox'의 주요 사용 목적은 무엇인가?]', 2);</v>
      </c>
    </row>
    <row r="639">
      <c r="A639" s="1">
        <v>634.0</v>
      </c>
      <c r="B639" s="1" t="s">
        <v>283</v>
      </c>
      <c r="C639" s="39" t="s">
        <v>297</v>
      </c>
      <c r="D639" s="2">
        <f t="shared" si="1"/>
        <v>1</v>
      </c>
      <c r="F639" s="1" t="str">
        <f t="shared" si="2"/>
        <v>INSERT INTO tblQuestionBank VALUES (seqQuestionBank.nextval, q'[Git에서 'merge'와 'rebase'의 차이점은 무엇인가?]', 1);</v>
      </c>
    </row>
    <row r="640">
      <c r="A640" s="1">
        <v>635.0</v>
      </c>
      <c r="B640" s="1" t="s">
        <v>283</v>
      </c>
      <c r="C640" s="39" t="s">
        <v>298</v>
      </c>
      <c r="D640" s="2">
        <f t="shared" si="1"/>
        <v>2</v>
      </c>
      <c r="F640" s="1" t="str">
        <f t="shared" si="2"/>
        <v>INSERT INTO tblQuestionBank VALUES (seqQuestionBank.nextval, q'[C++에서 참조자(reference)와 포인터(pointer)의 차이는 무엇인가?]', 2);</v>
      </c>
    </row>
    <row r="641">
      <c r="A641" s="1">
        <v>636.0</v>
      </c>
      <c r="B641" s="1" t="s">
        <v>283</v>
      </c>
      <c r="C641" s="39" t="s">
        <v>299</v>
      </c>
      <c r="D641" s="2">
        <f t="shared" si="1"/>
        <v>3</v>
      </c>
      <c r="F641" s="1" t="str">
        <f t="shared" si="2"/>
        <v>INSERT INTO tblQuestionBank VALUES (seqQuestionBank.nextval, q'[네트워크에서 TCP와 UDP의 차이점은 무엇인가?]', 3);</v>
      </c>
    </row>
    <row r="642">
      <c r="A642" s="1">
        <v>637.0</v>
      </c>
      <c r="B642" s="1" t="s">
        <v>283</v>
      </c>
      <c r="C642" s="39" t="s">
        <v>300</v>
      </c>
      <c r="D642" s="2">
        <f t="shared" si="1"/>
        <v>4</v>
      </c>
      <c r="F642" s="1" t="str">
        <f t="shared" si="2"/>
        <v>INSERT INTO tblQuestionBank VALUES (seqQuestionBank.nextval, q'[Python에서 제너레이터(generator)의 특징은 무엇인가?]', 4);</v>
      </c>
    </row>
    <row r="643">
      <c r="A643" s="1">
        <v>638.0</v>
      </c>
      <c r="B643" s="1" t="s">
        <v>283</v>
      </c>
      <c r="C643" s="39" t="s">
        <v>301</v>
      </c>
      <c r="D643" s="2">
        <f t="shared" si="1"/>
        <v>3</v>
      </c>
      <c r="F643" s="1" t="str">
        <f t="shared" si="2"/>
        <v>INSERT INTO tblQuestionBank VALUES (seqQuestionBank.nextval, q'[REST API의 주요 원칙 중 하나가 아닌 것은 무엇인가?]', 3);</v>
      </c>
    </row>
    <row r="644">
      <c r="A644" s="1">
        <v>639.0</v>
      </c>
      <c r="B644" s="1" t="s">
        <v>283</v>
      </c>
      <c r="C644" s="39" t="s">
        <v>302</v>
      </c>
      <c r="D644" s="2">
        <f t="shared" si="1"/>
        <v>3</v>
      </c>
      <c r="F644" s="1" t="str">
        <f t="shared" si="2"/>
        <v>INSERT INTO tblQuestionBank VALUES (seqQuestionBank.nextval, q'[Java에서 예외(Exception) 처리 방법으로 올바른 것을 고르시오.]', 3);</v>
      </c>
    </row>
    <row r="645">
      <c r="A645" s="1">
        <v>640.0</v>
      </c>
      <c r="B645" s="1" t="s">
        <v>283</v>
      </c>
      <c r="C645" s="39" t="s">
        <v>303</v>
      </c>
      <c r="D645" s="2">
        <f t="shared" si="1"/>
        <v>2</v>
      </c>
      <c r="F645" s="1" t="str">
        <f t="shared" si="2"/>
        <v>INSERT INTO tblQuestionBank VALUES (seqQuestionBank.nextval, q'[프로그래밍 언어에서 타입 캐스팅(type casting)이란 무엇인가?]', 2);</v>
      </c>
    </row>
    <row r="646">
      <c r="A646" s="1">
        <v>641.0</v>
      </c>
      <c r="B646" s="1" t="s">
        <v>283</v>
      </c>
      <c r="C646" s="39" t="s">
        <v>284</v>
      </c>
      <c r="D646" s="2">
        <f t="shared" si="1"/>
        <v>4</v>
      </c>
      <c r="F646" s="1" t="str">
        <f t="shared" si="2"/>
        <v>INSERT INTO tblQuestionBank VALUES (seqQuestionBank.nextval, q'[변수의 스코프(scope)란 무엇인가에 대한 설명으로 올바른 것을 고르시오.]', 4);</v>
      </c>
    </row>
    <row r="647">
      <c r="A647" s="1">
        <v>642.0</v>
      </c>
      <c r="B647" s="1" t="s">
        <v>283</v>
      </c>
      <c r="C647" s="39" t="s">
        <v>285</v>
      </c>
      <c r="D647" s="2">
        <f t="shared" si="1"/>
        <v>4</v>
      </c>
      <c r="F647" s="1" t="str">
        <f t="shared" si="2"/>
        <v>INSERT INTO tblQuestionBank VALUES (seqQuestionBank.nextval, q'[재귀 함수와 반복문 중 메모리 사용량이 더 많은 것은 무엇인가?]', 4);</v>
      </c>
    </row>
    <row r="648">
      <c r="A648" s="1">
        <v>643.0</v>
      </c>
      <c r="B648" s="1" t="s">
        <v>283</v>
      </c>
      <c r="C648" s="39" t="s">
        <v>286</v>
      </c>
      <c r="D648" s="2">
        <f t="shared" si="1"/>
        <v>5</v>
      </c>
      <c r="F648" s="1" t="str">
        <f t="shared" si="2"/>
        <v>INSERT INTO tblQuestionBank VALUES (seqQuestionBank.nextval, q'[HTML에서 'a' 태그의 주요 기능은 무엇인가?]', 5);</v>
      </c>
    </row>
    <row r="649">
      <c r="A649" s="1">
        <v>644.0</v>
      </c>
      <c r="B649" s="1" t="s">
        <v>283</v>
      </c>
      <c r="C649" s="39" t="s">
        <v>287</v>
      </c>
      <c r="D649" s="2">
        <f t="shared" si="1"/>
        <v>5</v>
      </c>
      <c r="F649" s="1" t="str">
        <f t="shared" si="2"/>
        <v>INSERT INTO tblQuestionBank VALUES (seqQuestionBank.nextval, q'[Java에서 클래스와 객체의 차이점은 무엇인가?]', 5);</v>
      </c>
    </row>
    <row r="650">
      <c r="A650" s="1">
        <v>645.0</v>
      </c>
      <c r="B650" s="1" t="s">
        <v>283</v>
      </c>
      <c r="C650" s="39" t="s">
        <v>288</v>
      </c>
      <c r="D650" s="2">
        <f t="shared" si="1"/>
        <v>5</v>
      </c>
      <c r="F650" s="1" t="str">
        <f t="shared" si="2"/>
        <v>INSERT INTO tblQuestionBank VALUES (seqQuestionBank.nextval, q'[Python의 리스트와 튜플의 차이점은 무엇인가?]', 5);</v>
      </c>
    </row>
    <row r="651">
      <c r="A651" s="1">
        <v>646.0</v>
      </c>
      <c r="B651" s="1" t="s">
        <v>283</v>
      </c>
      <c r="C651" s="39" t="s">
        <v>289</v>
      </c>
      <c r="D651" s="2">
        <f t="shared" si="1"/>
        <v>1</v>
      </c>
      <c r="F651" s="1" t="str">
        <f t="shared" si="2"/>
        <v>INSERT INTO tblQuestionBank VALUES (seqQuestionBank.nextval, q'[C언어에서 포인터를 사용하는 주된 이유는 무엇인가?]', 1);</v>
      </c>
    </row>
    <row r="652">
      <c r="A652" s="1">
        <v>647.0</v>
      </c>
      <c r="B652" s="1" t="s">
        <v>283</v>
      </c>
      <c r="C652" s="39" t="s">
        <v>290</v>
      </c>
      <c r="D652" s="2">
        <f t="shared" si="1"/>
        <v>5</v>
      </c>
      <c r="F652" s="1" t="str">
        <f t="shared" si="2"/>
        <v>INSERT INTO tblQuestionBank VALUES (seqQuestionBank.nextval, q'[컴파일러와 인터프리터의 차이점은 무엇인가?]', 5);</v>
      </c>
    </row>
    <row r="653">
      <c r="A653" s="1">
        <v>648.0</v>
      </c>
      <c r="B653" s="1" t="s">
        <v>283</v>
      </c>
      <c r="C653" s="39" t="s">
        <v>291</v>
      </c>
      <c r="D653" s="2">
        <f t="shared" si="1"/>
        <v>1</v>
      </c>
      <c r="F653" s="1" t="str">
        <f t="shared" si="2"/>
        <v>INSERT INTO tblQuestionBank VALUES (seqQuestionBank.nextval, q'[JavaScript에서 클로저(closure)의 정의는 무엇인가?]', 1);</v>
      </c>
    </row>
    <row r="654">
      <c r="A654" s="1">
        <v>649.0</v>
      </c>
      <c r="B654" s="1" t="s">
        <v>283</v>
      </c>
      <c r="C654" s="39" t="s">
        <v>292</v>
      </c>
      <c r="D654" s="2">
        <f t="shared" si="1"/>
        <v>2</v>
      </c>
      <c r="F654" s="1" t="str">
        <f t="shared" si="2"/>
        <v>INSERT INTO tblQuestionBank VALUES (seqQuestionBank.nextval, q'[객체 지향 프로그래밍의 4대 특징 중 하나가 아닌 것은 무엇인가?]', 2);</v>
      </c>
    </row>
    <row r="655">
      <c r="A655" s="1">
        <v>650.0</v>
      </c>
      <c r="B655" s="1" t="s">
        <v>283</v>
      </c>
      <c r="C655" s="39" t="s">
        <v>293</v>
      </c>
      <c r="D655" s="2">
        <f t="shared" si="1"/>
        <v>4</v>
      </c>
      <c r="F655" s="1" t="str">
        <f t="shared" si="2"/>
        <v>INSERT INTO tblQuestionBank VALUES (seqQuestionBank.nextval, q'[SQL에서 'JOIN'의 기능은 무엇인가?]', 4);</v>
      </c>
    </row>
    <row r="656">
      <c r="A656" s="1">
        <v>651.0</v>
      </c>
      <c r="B656" s="1" t="s">
        <v>283</v>
      </c>
      <c r="C656" s="39" t="s">
        <v>294</v>
      </c>
      <c r="D656" s="2">
        <f t="shared" si="1"/>
        <v>1</v>
      </c>
      <c r="F656" s="1" t="str">
        <f t="shared" si="2"/>
        <v>INSERT INTO tblQuestionBank VALUES (seqQuestionBank.nextval, q'[Python에서 'with open()' 구문의 주요 목적은 무엇인가?]', 1);</v>
      </c>
    </row>
    <row r="657">
      <c r="A657" s="1">
        <v>652.0</v>
      </c>
      <c r="B657" s="1" t="s">
        <v>283</v>
      </c>
      <c r="C657" s="39" t="s">
        <v>295</v>
      </c>
      <c r="D657" s="2">
        <f t="shared" si="1"/>
        <v>1</v>
      </c>
      <c r="F657" s="1" t="str">
        <f t="shared" si="2"/>
        <v>INSERT INTO tblQuestionBank VALUES (seqQuestionBank.nextval, q'[데이터베이스에서 정규화의 목적은 무엇인가?]', 1);</v>
      </c>
    </row>
    <row r="658">
      <c r="A658" s="1">
        <v>653.0</v>
      </c>
      <c r="B658" s="1" t="s">
        <v>283</v>
      </c>
      <c r="C658" s="39" t="s">
        <v>296</v>
      </c>
      <c r="D658" s="2">
        <f t="shared" si="1"/>
        <v>1</v>
      </c>
      <c r="F658" s="1" t="str">
        <f t="shared" si="2"/>
        <v>INSERT INTO tblQuestionBank VALUES (seqQuestionBank.nextval, q'[CSS에서 'flexbox'의 주요 사용 목적은 무엇인가?]', 1);</v>
      </c>
    </row>
    <row r="659">
      <c r="A659" s="1">
        <v>654.0</v>
      </c>
      <c r="B659" s="1" t="s">
        <v>283</v>
      </c>
      <c r="C659" s="39" t="s">
        <v>297</v>
      </c>
      <c r="D659" s="2">
        <f t="shared" si="1"/>
        <v>2</v>
      </c>
      <c r="F659" s="1" t="str">
        <f t="shared" si="2"/>
        <v>INSERT INTO tblQuestionBank VALUES (seqQuestionBank.nextval, q'[Git에서 'merge'와 'rebase'의 차이점은 무엇인가?]', 2);</v>
      </c>
    </row>
    <row r="660">
      <c r="A660" s="1">
        <v>655.0</v>
      </c>
      <c r="B660" s="1" t="s">
        <v>283</v>
      </c>
      <c r="C660" s="39" t="s">
        <v>298</v>
      </c>
      <c r="D660" s="2">
        <f t="shared" si="1"/>
        <v>4</v>
      </c>
      <c r="F660" s="1" t="str">
        <f t="shared" si="2"/>
        <v>INSERT INTO tblQuestionBank VALUES (seqQuestionBank.nextval, q'[C++에서 참조자(reference)와 포인터(pointer)의 차이는 무엇인가?]', 4);</v>
      </c>
    </row>
    <row r="661">
      <c r="A661" s="1">
        <v>656.0</v>
      </c>
      <c r="B661" s="1" t="s">
        <v>283</v>
      </c>
      <c r="C661" s="39" t="s">
        <v>299</v>
      </c>
      <c r="D661" s="2">
        <f t="shared" si="1"/>
        <v>3</v>
      </c>
      <c r="F661" s="1" t="str">
        <f t="shared" si="2"/>
        <v>INSERT INTO tblQuestionBank VALUES (seqQuestionBank.nextval, q'[네트워크에서 TCP와 UDP의 차이점은 무엇인가?]', 3);</v>
      </c>
    </row>
    <row r="662">
      <c r="A662" s="1">
        <v>657.0</v>
      </c>
      <c r="B662" s="1" t="s">
        <v>283</v>
      </c>
      <c r="C662" s="39" t="s">
        <v>300</v>
      </c>
      <c r="D662" s="2">
        <f t="shared" si="1"/>
        <v>1</v>
      </c>
      <c r="F662" s="1" t="str">
        <f t="shared" si="2"/>
        <v>INSERT INTO tblQuestionBank VALUES (seqQuestionBank.nextval, q'[Python에서 제너레이터(generator)의 특징은 무엇인가?]', 1);</v>
      </c>
    </row>
    <row r="663">
      <c r="A663" s="1">
        <v>658.0</v>
      </c>
      <c r="B663" s="1" t="s">
        <v>283</v>
      </c>
      <c r="C663" s="39" t="s">
        <v>301</v>
      </c>
      <c r="D663" s="2">
        <f t="shared" si="1"/>
        <v>2</v>
      </c>
      <c r="F663" s="1" t="str">
        <f t="shared" si="2"/>
        <v>INSERT INTO tblQuestionBank VALUES (seqQuestionBank.nextval, q'[REST API의 주요 원칙 중 하나가 아닌 것은 무엇인가?]', 2);</v>
      </c>
    </row>
    <row r="664">
      <c r="A664" s="1">
        <v>659.0</v>
      </c>
      <c r="B664" s="1" t="s">
        <v>283</v>
      </c>
      <c r="C664" s="39" t="s">
        <v>302</v>
      </c>
      <c r="D664" s="2">
        <f t="shared" si="1"/>
        <v>4</v>
      </c>
      <c r="F664" s="1" t="str">
        <f t="shared" si="2"/>
        <v>INSERT INTO tblQuestionBank VALUES (seqQuestionBank.nextval, q'[Java에서 예외(Exception) 처리 방법으로 올바른 것을 고르시오.]', 4);</v>
      </c>
    </row>
    <row r="665">
      <c r="A665" s="1">
        <v>660.0</v>
      </c>
      <c r="B665" s="1" t="s">
        <v>283</v>
      </c>
      <c r="C665" s="39" t="s">
        <v>303</v>
      </c>
      <c r="D665" s="2">
        <f t="shared" si="1"/>
        <v>5</v>
      </c>
      <c r="F665" s="1" t="str">
        <f t="shared" si="2"/>
        <v>INSERT INTO tblQuestionBank VALUES (seqQuestionBank.nextval, q'[프로그래밍 언어에서 타입 캐스팅(type casting)이란 무엇인가?]', 5);</v>
      </c>
    </row>
    <row r="666">
      <c r="A666" s="1">
        <v>661.0</v>
      </c>
      <c r="B666" s="1" t="s">
        <v>283</v>
      </c>
      <c r="C666" s="39" t="s">
        <v>284</v>
      </c>
      <c r="D666" s="2">
        <f t="shared" si="1"/>
        <v>4</v>
      </c>
      <c r="F666" s="1" t="str">
        <f t="shared" si="2"/>
        <v>INSERT INTO tblQuestionBank VALUES (seqQuestionBank.nextval, q'[변수의 스코프(scope)란 무엇인가에 대한 설명으로 올바른 것을 고르시오.]', 4);</v>
      </c>
    </row>
    <row r="667">
      <c r="A667" s="1">
        <v>662.0</v>
      </c>
      <c r="B667" s="1" t="s">
        <v>283</v>
      </c>
      <c r="C667" s="39" t="s">
        <v>285</v>
      </c>
      <c r="D667" s="2">
        <f t="shared" si="1"/>
        <v>3</v>
      </c>
      <c r="F667" s="1" t="str">
        <f t="shared" si="2"/>
        <v>INSERT INTO tblQuestionBank VALUES (seqQuestionBank.nextval, q'[재귀 함수와 반복문 중 메모리 사용량이 더 많은 것은 무엇인가?]', 3);</v>
      </c>
    </row>
    <row r="668">
      <c r="A668" s="1">
        <v>663.0</v>
      </c>
      <c r="B668" s="1" t="s">
        <v>283</v>
      </c>
      <c r="C668" s="39" t="s">
        <v>286</v>
      </c>
      <c r="D668" s="2">
        <f t="shared" si="1"/>
        <v>5</v>
      </c>
      <c r="F668" s="1" t="str">
        <f t="shared" si="2"/>
        <v>INSERT INTO tblQuestionBank VALUES (seqQuestionBank.nextval, q'[HTML에서 'a' 태그의 주요 기능은 무엇인가?]', 5);</v>
      </c>
    </row>
    <row r="669">
      <c r="A669" s="1">
        <v>664.0</v>
      </c>
      <c r="B669" s="1" t="s">
        <v>283</v>
      </c>
      <c r="C669" s="39" t="s">
        <v>287</v>
      </c>
      <c r="D669" s="2">
        <f t="shared" si="1"/>
        <v>5</v>
      </c>
      <c r="F669" s="1" t="str">
        <f t="shared" si="2"/>
        <v>INSERT INTO tblQuestionBank VALUES (seqQuestionBank.nextval, q'[Java에서 클래스와 객체의 차이점은 무엇인가?]', 5);</v>
      </c>
    </row>
    <row r="670">
      <c r="A670" s="1">
        <v>665.0</v>
      </c>
      <c r="B670" s="1" t="s">
        <v>283</v>
      </c>
      <c r="C670" s="39" t="s">
        <v>288</v>
      </c>
      <c r="D670" s="2">
        <f t="shared" si="1"/>
        <v>3</v>
      </c>
      <c r="F670" s="1" t="str">
        <f t="shared" si="2"/>
        <v>INSERT INTO tblQuestionBank VALUES (seqQuestionBank.nextval, q'[Python의 리스트와 튜플의 차이점은 무엇인가?]', 3);</v>
      </c>
    </row>
    <row r="671">
      <c r="A671" s="1">
        <v>666.0</v>
      </c>
      <c r="B671" s="1" t="s">
        <v>283</v>
      </c>
      <c r="C671" s="39" t="s">
        <v>289</v>
      </c>
      <c r="D671" s="2">
        <f t="shared" si="1"/>
        <v>5</v>
      </c>
      <c r="F671" s="1" t="str">
        <f t="shared" si="2"/>
        <v>INSERT INTO tblQuestionBank VALUES (seqQuestionBank.nextval, q'[C언어에서 포인터를 사용하는 주된 이유는 무엇인가?]', 5);</v>
      </c>
    </row>
    <row r="672">
      <c r="A672" s="1">
        <v>667.0</v>
      </c>
      <c r="B672" s="1" t="s">
        <v>283</v>
      </c>
      <c r="C672" s="39" t="s">
        <v>290</v>
      </c>
      <c r="D672" s="2">
        <f t="shared" si="1"/>
        <v>4</v>
      </c>
      <c r="F672" s="1" t="str">
        <f t="shared" si="2"/>
        <v>INSERT INTO tblQuestionBank VALUES (seqQuestionBank.nextval, q'[컴파일러와 인터프리터의 차이점은 무엇인가?]', 4);</v>
      </c>
    </row>
    <row r="673">
      <c r="A673" s="1">
        <v>668.0</v>
      </c>
      <c r="B673" s="1" t="s">
        <v>283</v>
      </c>
      <c r="C673" s="39" t="s">
        <v>291</v>
      </c>
      <c r="D673" s="2">
        <f t="shared" si="1"/>
        <v>4</v>
      </c>
      <c r="F673" s="1" t="str">
        <f t="shared" si="2"/>
        <v>INSERT INTO tblQuestionBank VALUES (seqQuestionBank.nextval, q'[JavaScript에서 클로저(closure)의 정의는 무엇인가?]', 4);</v>
      </c>
    </row>
    <row r="674">
      <c r="A674" s="1">
        <v>669.0</v>
      </c>
      <c r="B674" s="1" t="s">
        <v>283</v>
      </c>
      <c r="C674" s="39" t="s">
        <v>292</v>
      </c>
      <c r="D674" s="2">
        <f t="shared" si="1"/>
        <v>2</v>
      </c>
      <c r="F674" s="1" t="str">
        <f t="shared" si="2"/>
        <v>INSERT INTO tblQuestionBank VALUES (seqQuestionBank.nextval, q'[객체 지향 프로그래밍의 4대 특징 중 하나가 아닌 것은 무엇인가?]', 2);</v>
      </c>
    </row>
    <row r="675">
      <c r="A675" s="1">
        <v>670.0</v>
      </c>
      <c r="B675" s="1" t="s">
        <v>283</v>
      </c>
      <c r="C675" s="39" t="s">
        <v>293</v>
      </c>
      <c r="D675" s="2">
        <f t="shared" si="1"/>
        <v>3</v>
      </c>
      <c r="F675" s="1" t="str">
        <f t="shared" si="2"/>
        <v>INSERT INTO tblQuestionBank VALUES (seqQuestionBank.nextval, q'[SQL에서 'JOIN'의 기능은 무엇인가?]', 3);</v>
      </c>
    </row>
    <row r="676">
      <c r="A676" s="1">
        <v>671.0</v>
      </c>
      <c r="B676" s="1" t="s">
        <v>283</v>
      </c>
      <c r="C676" s="39" t="s">
        <v>294</v>
      </c>
      <c r="D676" s="2">
        <f t="shared" si="1"/>
        <v>1</v>
      </c>
      <c r="F676" s="1" t="str">
        <f t="shared" si="2"/>
        <v>INSERT INTO tblQuestionBank VALUES (seqQuestionBank.nextval, q'[Python에서 'with open()' 구문의 주요 목적은 무엇인가?]', 1);</v>
      </c>
    </row>
    <row r="677">
      <c r="A677" s="1">
        <v>672.0</v>
      </c>
      <c r="B677" s="1" t="s">
        <v>283</v>
      </c>
      <c r="C677" s="39" t="s">
        <v>295</v>
      </c>
      <c r="D677" s="2">
        <f t="shared" si="1"/>
        <v>1</v>
      </c>
      <c r="F677" s="1" t="str">
        <f t="shared" si="2"/>
        <v>INSERT INTO tblQuestionBank VALUES (seqQuestionBank.nextval, q'[데이터베이스에서 정규화의 목적은 무엇인가?]', 1);</v>
      </c>
    </row>
    <row r="678">
      <c r="A678" s="1">
        <v>673.0</v>
      </c>
      <c r="B678" s="1" t="s">
        <v>283</v>
      </c>
      <c r="C678" s="39" t="s">
        <v>296</v>
      </c>
      <c r="D678" s="2">
        <f t="shared" si="1"/>
        <v>5</v>
      </c>
      <c r="F678" s="1" t="str">
        <f t="shared" si="2"/>
        <v>INSERT INTO tblQuestionBank VALUES (seqQuestionBank.nextval, q'[CSS에서 'flexbox'의 주요 사용 목적은 무엇인가?]', 5);</v>
      </c>
    </row>
    <row r="679">
      <c r="A679" s="1">
        <v>674.0</v>
      </c>
      <c r="B679" s="1" t="s">
        <v>283</v>
      </c>
      <c r="C679" s="39" t="s">
        <v>297</v>
      </c>
      <c r="D679" s="2">
        <f t="shared" si="1"/>
        <v>3</v>
      </c>
      <c r="F679" s="1" t="str">
        <f t="shared" si="2"/>
        <v>INSERT INTO tblQuestionBank VALUES (seqQuestionBank.nextval, q'[Git에서 'merge'와 'rebase'의 차이점은 무엇인가?]', 3);</v>
      </c>
    </row>
    <row r="680">
      <c r="A680" s="1">
        <v>675.0</v>
      </c>
      <c r="B680" s="1" t="s">
        <v>283</v>
      </c>
      <c r="C680" s="39" t="s">
        <v>298</v>
      </c>
      <c r="D680" s="2">
        <f t="shared" si="1"/>
        <v>5</v>
      </c>
      <c r="F680" s="1" t="str">
        <f t="shared" si="2"/>
        <v>INSERT INTO tblQuestionBank VALUES (seqQuestionBank.nextval, q'[C++에서 참조자(reference)와 포인터(pointer)의 차이는 무엇인가?]', 5);</v>
      </c>
    </row>
    <row r="681">
      <c r="A681" s="1">
        <v>676.0</v>
      </c>
      <c r="B681" s="1" t="s">
        <v>283</v>
      </c>
      <c r="C681" s="39" t="s">
        <v>299</v>
      </c>
      <c r="D681" s="2">
        <f t="shared" si="1"/>
        <v>4</v>
      </c>
      <c r="F681" s="1" t="str">
        <f t="shared" si="2"/>
        <v>INSERT INTO tblQuestionBank VALUES (seqQuestionBank.nextval, q'[네트워크에서 TCP와 UDP의 차이점은 무엇인가?]', 4);</v>
      </c>
    </row>
    <row r="682">
      <c r="A682" s="1">
        <v>677.0</v>
      </c>
      <c r="B682" s="1" t="s">
        <v>283</v>
      </c>
      <c r="C682" s="39" t="s">
        <v>300</v>
      </c>
      <c r="D682" s="2">
        <f t="shared" si="1"/>
        <v>2</v>
      </c>
      <c r="F682" s="1" t="str">
        <f t="shared" si="2"/>
        <v>INSERT INTO tblQuestionBank VALUES (seqQuestionBank.nextval, q'[Python에서 제너레이터(generator)의 특징은 무엇인가?]', 2);</v>
      </c>
    </row>
    <row r="683">
      <c r="A683" s="1">
        <v>678.0</v>
      </c>
      <c r="B683" s="1" t="s">
        <v>283</v>
      </c>
      <c r="C683" s="39" t="s">
        <v>301</v>
      </c>
      <c r="D683" s="2">
        <f t="shared" si="1"/>
        <v>2</v>
      </c>
      <c r="F683" s="1" t="str">
        <f t="shared" si="2"/>
        <v>INSERT INTO tblQuestionBank VALUES (seqQuestionBank.nextval, q'[REST API의 주요 원칙 중 하나가 아닌 것은 무엇인가?]', 2);</v>
      </c>
    </row>
    <row r="684">
      <c r="A684" s="1">
        <v>679.0</v>
      </c>
      <c r="B684" s="1" t="s">
        <v>283</v>
      </c>
      <c r="C684" s="39" t="s">
        <v>302</v>
      </c>
      <c r="D684" s="2">
        <f t="shared" si="1"/>
        <v>5</v>
      </c>
      <c r="F684" s="1" t="str">
        <f t="shared" si="2"/>
        <v>INSERT INTO tblQuestionBank VALUES (seqQuestionBank.nextval, q'[Java에서 예외(Exception) 처리 방법으로 올바른 것을 고르시오.]', 5);</v>
      </c>
    </row>
    <row r="685">
      <c r="A685" s="1">
        <v>680.0</v>
      </c>
      <c r="B685" s="1" t="s">
        <v>283</v>
      </c>
      <c r="C685" s="39" t="s">
        <v>303</v>
      </c>
      <c r="D685" s="2">
        <f t="shared" si="1"/>
        <v>3</v>
      </c>
      <c r="F685" s="1" t="str">
        <f t="shared" si="2"/>
        <v>INSERT INTO tblQuestionBank VALUES (seqQuestionBank.nextval, q'[프로그래밍 언어에서 타입 캐스팅(type casting)이란 무엇인가?]', 3);</v>
      </c>
    </row>
    <row r="686">
      <c r="A686" s="1">
        <v>681.0</v>
      </c>
      <c r="B686" s="1" t="s">
        <v>283</v>
      </c>
      <c r="C686" s="39" t="s">
        <v>284</v>
      </c>
      <c r="D686" s="2">
        <f t="shared" si="1"/>
        <v>3</v>
      </c>
      <c r="F686" s="1" t="str">
        <f t="shared" si="2"/>
        <v>INSERT INTO tblQuestionBank VALUES (seqQuestionBank.nextval, q'[변수의 스코프(scope)란 무엇인가에 대한 설명으로 올바른 것을 고르시오.]', 3);</v>
      </c>
    </row>
    <row r="687">
      <c r="A687" s="1">
        <v>682.0</v>
      </c>
      <c r="B687" s="1" t="s">
        <v>283</v>
      </c>
      <c r="C687" s="39" t="s">
        <v>285</v>
      </c>
      <c r="D687" s="2">
        <f t="shared" si="1"/>
        <v>4</v>
      </c>
      <c r="F687" s="1" t="str">
        <f t="shared" si="2"/>
        <v>INSERT INTO tblQuestionBank VALUES (seqQuestionBank.nextval, q'[재귀 함수와 반복문 중 메모리 사용량이 더 많은 것은 무엇인가?]', 4);</v>
      </c>
    </row>
    <row r="688">
      <c r="A688" s="1">
        <v>683.0</v>
      </c>
      <c r="B688" s="1" t="s">
        <v>283</v>
      </c>
      <c r="C688" s="39" t="s">
        <v>286</v>
      </c>
      <c r="D688" s="2">
        <f t="shared" si="1"/>
        <v>3</v>
      </c>
      <c r="F688" s="1" t="str">
        <f t="shared" si="2"/>
        <v>INSERT INTO tblQuestionBank VALUES (seqQuestionBank.nextval, q'[HTML에서 'a' 태그의 주요 기능은 무엇인가?]', 3);</v>
      </c>
    </row>
    <row r="689">
      <c r="A689" s="1">
        <v>684.0</v>
      </c>
      <c r="B689" s="1" t="s">
        <v>283</v>
      </c>
      <c r="C689" s="39" t="s">
        <v>287</v>
      </c>
      <c r="D689" s="2">
        <f t="shared" si="1"/>
        <v>2</v>
      </c>
      <c r="F689" s="1" t="str">
        <f t="shared" si="2"/>
        <v>INSERT INTO tblQuestionBank VALUES (seqQuestionBank.nextval, q'[Java에서 클래스와 객체의 차이점은 무엇인가?]', 2);</v>
      </c>
    </row>
    <row r="690">
      <c r="A690" s="1">
        <v>685.0</v>
      </c>
      <c r="B690" s="1" t="s">
        <v>283</v>
      </c>
      <c r="C690" s="39" t="s">
        <v>288</v>
      </c>
      <c r="D690" s="2">
        <f t="shared" si="1"/>
        <v>1</v>
      </c>
      <c r="F690" s="1" t="str">
        <f t="shared" si="2"/>
        <v>INSERT INTO tblQuestionBank VALUES (seqQuestionBank.nextval, q'[Python의 리스트와 튜플의 차이점은 무엇인가?]', 1);</v>
      </c>
    </row>
    <row r="691">
      <c r="A691" s="1">
        <v>686.0</v>
      </c>
      <c r="B691" s="1" t="s">
        <v>283</v>
      </c>
      <c r="C691" s="39" t="s">
        <v>289</v>
      </c>
      <c r="D691" s="2">
        <f t="shared" si="1"/>
        <v>1</v>
      </c>
      <c r="F691" s="1" t="str">
        <f t="shared" si="2"/>
        <v>INSERT INTO tblQuestionBank VALUES (seqQuestionBank.nextval, q'[C언어에서 포인터를 사용하는 주된 이유는 무엇인가?]', 1);</v>
      </c>
    </row>
    <row r="692">
      <c r="A692" s="1">
        <v>687.0</v>
      </c>
      <c r="B692" s="1" t="s">
        <v>283</v>
      </c>
      <c r="C692" s="39" t="s">
        <v>290</v>
      </c>
      <c r="D692" s="2">
        <f t="shared" si="1"/>
        <v>1</v>
      </c>
      <c r="F692" s="1" t="str">
        <f t="shared" si="2"/>
        <v>INSERT INTO tblQuestionBank VALUES (seqQuestionBank.nextval, q'[컴파일러와 인터프리터의 차이점은 무엇인가?]', 1);</v>
      </c>
    </row>
    <row r="693">
      <c r="A693" s="1">
        <v>688.0</v>
      </c>
      <c r="B693" s="1" t="s">
        <v>283</v>
      </c>
      <c r="C693" s="39" t="s">
        <v>291</v>
      </c>
      <c r="D693" s="2">
        <f t="shared" si="1"/>
        <v>5</v>
      </c>
      <c r="F693" s="1" t="str">
        <f t="shared" si="2"/>
        <v>INSERT INTO tblQuestionBank VALUES (seqQuestionBank.nextval, q'[JavaScript에서 클로저(closure)의 정의는 무엇인가?]', 5);</v>
      </c>
    </row>
    <row r="694">
      <c r="A694" s="1">
        <v>689.0</v>
      </c>
      <c r="B694" s="1" t="s">
        <v>283</v>
      </c>
      <c r="C694" s="39" t="s">
        <v>292</v>
      </c>
      <c r="D694" s="2">
        <f t="shared" si="1"/>
        <v>4</v>
      </c>
      <c r="F694" s="1" t="str">
        <f t="shared" si="2"/>
        <v>INSERT INTO tblQuestionBank VALUES (seqQuestionBank.nextval, q'[객체 지향 프로그래밍의 4대 특징 중 하나가 아닌 것은 무엇인가?]', 4);</v>
      </c>
    </row>
    <row r="695">
      <c r="A695" s="1">
        <v>690.0</v>
      </c>
      <c r="B695" s="1" t="s">
        <v>283</v>
      </c>
      <c r="C695" s="39" t="s">
        <v>293</v>
      </c>
      <c r="D695" s="2">
        <f t="shared" si="1"/>
        <v>2</v>
      </c>
      <c r="F695" s="1" t="str">
        <f t="shared" si="2"/>
        <v>INSERT INTO tblQuestionBank VALUES (seqQuestionBank.nextval, q'[SQL에서 'JOIN'의 기능은 무엇인가?]', 2);</v>
      </c>
    </row>
    <row r="696">
      <c r="A696" s="1">
        <v>691.0</v>
      </c>
      <c r="B696" s="1" t="s">
        <v>283</v>
      </c>
      <c r="C696" s="39" t="s">
        <v>294</v>
      </c>
      <c r="D696" s="2">
        <f t="shared" si="1"/>
        <v>2</v>
      </c>
      <c r="F696" s="1" t="str">
        <f t="shared" si="2"/>
        <v>INSERT INTO tblQuestionBank VALUES (seqQuestionBank.nextval, q'[Python에서 'with open()' 구문의 주요 목적은 무엇인가?]', 2);</v>
      </c>
    </row>
    <row r="697">
      <c r="A697" s="1">
        <v>692.0</v>
      </c>
      <c r="B697" s="1" t="s">
        <v>283</v>
      </c>
      <c r="C697" s="39" t="s">
        <v>295</v>
      </c>
      <c r="D697" s="2">
        <f t="shared" si="1"/>
        <v>2</v>
      </c>
      <c r="F697" s="1" t="str">
        <f t="shared" si="2"/>
        <v>INSERT INTO tblQuestionBank VALUES (seqQuestionBank.nextval, q'[데이터베이스에서 정규화의 목적은 무엇인가?]', 2);</v>
      </c>
    </row>
    <row r="698">
      <c r="A698" s="1">
        <v>693.0</v>
      </c>
      <c r="B698" s="1" t="s">
        <v>283</v>
      </c>
      <c r="C698" s="39" t="s">
        <v>296</v>
      </c>
      <c r="D698" s="2">
        <f t="shared" si="1"/>
        <v>5</v>
      </c>
      <c r="F698" s="1" t="str">
        <f t="shared" si="2"/>
        <v>INSERT INTO tblQuestionBank VALUES (seqQuestionBank.nextval, q'[CSS에서 'flexbox'의 주요 사용 목적은 무엇인가?]', 5);</v>
      </c>
    </row>
    <row r="699">
      <c r="A699" s="1">
        <v>694.0</v>
      </c>
      <c r="B699" s="1" t="s">
        <v>283</v>
      </c>
      <c r="C699" s="39" t="s">
        <v>297</v>
      </c>
      <c r="D699" s="2">
        <f t="shared" si="1"/>
        <v>3</v>
      </c>
      <c r="F699" s="1" t="str">
        <f t="shared" si="2"/>
        <v>INSERT INTO tblQuestionBank VALUES (seqQuestionBank.nextval, q'[Git에서 'merge'와 'rebase'의 차이점은 무엇인가?]', 3);</v>
      </c>
    </row>
    <row r="700">
      <c r="A700" s="1">
        <v>695.0</v>
      </c>
      <c r="B700" s="1" t="s">
        <v>283</v>
      </c>
      <c r="C700" s="39" t="s">
        <v>298</v>
      </c>
      <c r="D700" s="2">
        <f t="shared" si="1"/>
        <v>5</v>
      </c>
      <c r="F700" s="1" t="str">
        <f t="shared" si="2"/>
        <v>INSERT INTO tblQuestionBank VALUES (seqQuestionBank.nextval, q'[C++에서 참조자(reference)와 포인터(pointer)의 차이는 무엇인가?]', 5);</v>
      </c>
    </row>
    <row r="701">
      <c r="A701" s="1">
        <v>696.0</v>
      </c>
      <c r="B701" s="1" t="s">
        <v>283</v>
      </c>
      <c r="C701" s="39" t="s">
        <v>299</v>
      </c>
      <c r="D701" s="2">
        <f t="shared" si="1"/>
        <v>3</v>
      </c>
      <c r="F701" s="1" t="str">
        <f t="shared" si="2"/>
        <v>INSERT INTO tblQuestionBank VALUES (seqQuestionBank.nextval, q'[네트워크에서 TCP와 UDP의 차이점은 무엇인가?]', 3);</v>
      </c>
    </row>
    <row r="702">
      <c r="A702" s="1">
        <v>697.0</v>
      </c>
      <c r="B702" s="1" t="s">
        <v>283</v>
      </c>
      <c r="C702" s="39" t="s">
        <v>300</v>
      </c>
      <c r="D702" s="2">
        <f t="shared" si="1"/>
        <v>4</v>
      </c>
      <c r="F702" s="1" t="str">
        <f t="shared" si="2"/>
        <v>INSERT INTO tblQuestionBank VALUES (seqQuestionBank.nextval, q'[Python에서 제너레이터(generator)의 특징은 무엇인가?]', 4);</v>
      </c>
    </row>
    <row r="703">
      <c r="A703" s="1">
        <v>698.0</v>
      </c>
      <c r="B703" s="1" t="s">
        <v>283</v>
      </c>
      <c r="C703" s="39" t="s">
        <v>301</v>
      </c>
      <c r="D703" s="2">
        <f t="shared" si="1"/>
        <v>5</v>
      </c>
      <c r="F703" s="1" t="str">
        <f t="shared" si="2"/>
        <v>INSERT INTO tblQuestionBank VALUES (seqQuestionBank.nextval, q'[REST API의 주요 원칙 중 하나가 아닌 것은 무엇인가?]', 5);</v>
      </c>
    </row>
    <row r="704">
      <c r="A704" s="1">
        <v>699.0</v>
      </c>
      <c r="B704" s="1" t="s">
        <v>283</v>
      </c>
      <c r="C704" s="39" t="s">
        <v>302</v>
      </c>
      <c r="D704" s="2">
        <f t="shared" si="1"/>
        <v>5</v>
      </c>
      <c r="F704" s="1" t="str">
        <f t="shared" si="2"/>
        <v>INSERT INTO tblQuestionBank VALUES (seqQuestionBank.nextval, q'[Java에서 예외(Exception) 처리 방법으로 올바른 것을 고르시오.]', 5);</v>
      </c>
    </row>
    <row r="705">
      <c r="A705" s="1">
        <v>700.0</v>
      </c>
      <c r="B705" s="1" t="s">
        <v>283</v>
      </c>
      <c r="C705" s="39" t="s">
        <v>303</v>
      </c>
      <c r="D705" s="2">
        <f t="shared" si="1"/>
        <v>5</v>
      </c>
      <c r="F705" s="1" t="str">
        <f t="shared" si="2"/>
        <v>INSERT INTO tblQuestionBank VALUES (seqQuestionBank.nextval, q'[프로그래밍 언어에서 타입 캐스팅(type casting)이란 무엇인가?]', 5);</v>
      </c>
    </row>
    <row r="706">
      <c r="A706" s="1">
        <v>701.0</v>
      </c>
      <c r="B706" s="1" t="s">
        <v>283</v>
      </c>
      <c r="C706" s="39" t="s">
        <v>284</v>
      </c>
      <c r="D706" s="2">
        <f t="shared" si="1"/>
        <v>4</v>
      </c>
      <c r="F706" s="1" t="str">
        <f t="shared" si="2"/>
        <v>INSERT INTO tblQuestionBank VALUES (seqQuestionBank.nextval, q'[변수의 스코프(scope)란 무엇인가에 대한 설명으로 올바른 것을 고르시오.]', 4);</v>
      </c>
    </row>
    <row r="707">
      <c r="A707" s="1">
        <v>702.0</v>
      </c>
      <c r="B707" s="1" t="s">
        <v>283</v>
      </c>
      <c r="C707" s="39" t="s">
        <v>285</v>
      </c>
      <c r="D707" s="2">
        <f t="shared" si="1"/>
        <v>1</v>
      </c>
      <c r="F707" s="1" t="str">
        <f t="shared" si="2"/>
        <v>INSERT INTO tblQuestionBank VALUES (seqQuestionBank.nextval, q'[재귀 함수와 반복문 중 메모리 사용량이 더 많은 것은 무엇인가?]', 1);</v>
      </c>
    </row>
    <row r="708">
      <c r="A708" s="1">
        <v>703.0</v>
      </c>
      <c r="B708" s="1" t="s">
        <v>283</v>
      </c>
      <c r="C708" s="39" t="s">
        <v>286</v>
      </c>
      <c r="D708" s="2">
        <f t="shared" si="1"/>
        <v>2</v>
      </c>
      <c r="F708" s="1" t="str">
        <f t="shared" si="2"/>
        <v>INSERT INTO tblQuestionBank VALUES (seqQuestionBank.nextval, q'[HTML에서 'a' 태그의 주요 기능은 무엇인가?]', 2);</v>
      </c>
    </row>
    <row r="709">
      <c r="A709" s="1">
        <v>704.0</v>
      </c>
      <c r="B709" s="1" t="s">
        <v>283</v>
      </c>
      <c r="C709" s="39" t="s">
        <v>287</v>
      </c>
      <c r="D709" s="2">
        <f t="shared" si="1"/>
        <v>2</v>
      </c>
      <c r="F709" s="1" t="str">
        <f t="shared" si="2"/>
        <v>INSERT INTO tblQuestionBank VALUES (seqQuestionBank.nextval, q'[Java에서 클래스와 객체의 차이점은 무엇인가?]', 2);</v>
      </c>
    </row>
    <row r="710">
      <c r="A710" s="1">
        <v>705.0</v>
      </c>
      <c r="B710" s="1" t="s">
        <v>283</v>
      </c>
      <c r="C710" s="39" t="s">
        <v>288</v>
      </c>
      <c r="D710" s="2">
        <f t="shared" si="1"/>
        <v>1</v>
      </c>
      <c r="F710" s="1" t="str">
        <f t="shared" si="2"/>
        <v>INSERT INTO tblQuestionBank VALUES (seqQuestionBank.nextval, q'[Python의 리스트와 튜플의 차이점은 무엇인가?]', 1);</v>
      </c>
    </row>
    <row r="711">
      <c r="A711" s="1">
        <v>706.0</v>
      </c>
      <c r="B711" s="1" t="s">
        <v>283</v>
      </c>
      <c r="C711" s="39" t="s">
        <v>289</v>
      </c>
      <c r="D711" s="2">
        <f t="shared" si="1"/>
        <v>2</v>
      </c>
      <c r="F711" s="1" t="str">
        <f t="shared" si="2"/>
        <v>INSERT INTO tblQuestionBank VALUES (seqQuestionBank.nextval, q'[C언어에서 포인터를 사용하는 주된 이유는 무엇인가?]', 2);</v>
      </c>
    </row>
    <row r="712">
      <c r="A712" s="1">
        <v>707.0</v>
      </c>
      <c r="B712" s="1" t="s">
        <v>283</v>
      </c>
      <c r="C712" s="39" t="s">
        <v>290</v>
      </c>
      <c r="D712" s="2">
        <f t="shared" si="1"/>
        <v>5</v>
      </c>
      <c r="F712" s="1" t="str">
        <f t="shared" si="2"/>
        <v>INSERT INTO tblQuestionBank VALUES (seqQuestionBank.nextval, q'[컴파일러와 인터프리터의 차이점은 무엇인가?]', 5);</v>
      </c>
    </row>
    <row r="713">
      <c r="A713" s="1">
        <v>708.0</v>
      </c>
      <c r="B713" s="1" t="s">
        <v>283</v>
      </c>
      <c r="C713" s="39" t="s">
        <v>291</v>
      </c>
      <c r="D713" s="2">
        <f t="shared" si="1"/>
        <v>4</v>
      </c>
      <c r="F713" s="1" t="str">
        <f t="shared" si="2"/>
        <v>INSERT INTO tblQuestionBank VALUES (seqQuestionBank.nextval, q'[JavaScript에서 클로저(closure)의 정의는 무엇인가?]', 4);</v>
      </c>
    </row>
    <row r="714">
      <c r="A714" s="1">
        <v>709.0</v>
      </c>
      <c r="B714" s="1" t="s">
        <v>283</v>
      </c>
      <c r="C714" s="39" t="s">
        <v>292</v>
      </c>
      <c r="D714" s="2">
        <f t="shared" si="1"/>
        <v>2</v>
      </c>
      <c r="F714" s="1" t="str">
        <f t="shared" si="2"/>
        <v>INSERT INTO tblQuestionBank VALUES (seqQuestionBank.nextval, q'[객체 지향 프로그래밍의 4대 특징 중 하나가 아닌 것은 무엇인가?]', 2);</v>
      </c>
    </row>
    <row r="715">
      <c r="A715" s="1">
        <v>710.0</v>
      </c>
      <c r="B715" s="1" t="s">
        <v>283</v>
      </c>
      <c r="C715" s="39" t="s">
        <v>293</v>
      </c>
      <c r="D715" s="2">
        <f t="shared" si="1"/>
        <v>3</v>
      </c>
      <c r="F715" s="1" t="str">
        <f t="shared" si="2"/>
        <v>INSERT INTO tblQuestionBank VALUES (seqQuestionBank.nextval, q'[SQL에서 'JOIN'의 기능은 무엇인가?]', 3);</v>
      </c>
    </row>
    <row r="716">
      <c r="A716" s="1">
        <v>711.0</v>
      </c>
      <c r="B716" s="1" t="s">
        <v>283</v>
      </c>
      <c r="C716" s="39" t="s">
        <v>294</v>
      </c>
      <c r="D716" s="2">
        <f t="shared" si="1"/>
        <v>4</v>
      </c>
      <c r="F716" s="1" t="str">
        <f t="shared" si="2"/>
        <v>INSERT INTO tblQuestionBank VALUES (seqQuestionBank.nextval, q'[Python에서 'with open()' 구문의 주요 목적은 무엇인가?]', 4);</v>
      </c>
    </row>
    <row r="717">
      <c r="A717" s="1">
        <v>712.0</v>
      </c>
      <c r="B717" s="1" t="s">
        <v>283</v>
      </c>
      <c r="C717" s="39" t="s">
        <v>295</v>
      </c>
      <c r="D717" s="2">
        <f t="shared" si="1"/>
        <v>2</v>
      </c>
      <c r="F717" s="1" t="str">
        <f t="shared" si="2"/>
        <v>INSERT INTO tblQuestionBank VALUES (seqQuestionBank.nextval, q'[데이터베이스에서 정규화의 목적은 무엇인가?]', 2);</v>
      </c>
    </row>
    <row r="718">
      <c r="A718" s="1">
        <v>713.0</v>
      </c>
      <c r="B718" s="1" t="s">
        <v>283</v>
      </c>
      <c r="C718" s="39" t="s">
        <v>296</v>
      </c>
      <c r="D718" s="2">
        <f t="shared" si="1"/>
        <v>1</v>
      </c>
      <c r="F718" s="1" t="str">
        <f t="shared" si="2"/>
        <v>INSERT INTO tblQuestionBank VALUES (seqQuestionBank.nextval, q'[CSS에서 'flexbox'의 주요 사용 목적은 무엇인가?]', 1);</v>
      </c>
    </row>
    <row r="719">
      <c r="A719" s="1">
        <v>714.0</v>
      </c>
      <c r="B719" s="1" t="s">
        <v>283</v>
      </c>
      <c r="C719" s="39" t="s">
        <v>297</v>
      </c>
      <c r="D719" s="2">
        <f t="shared" si="1"/>
        <v>3</v>
      </c>
      <c r="F719" s="1" t="str">
        <f t="shared" si="2"/>
        <v>INSERT INTO tblQuestionBank VALUES (seqQuestionBank.nextval, q'[Git에서 'merge'와 'rebase'의 차이점은 무엇인가?]', 3);</v>
      </c>
    </row>
    <row r="720">
      <c r="A720" s="1">
        <v>715.0</v>
      </c>
      <c r="B720" s="1" t="s">
        <v>283</v>
      </c>
      <c r="C720" s="39" t="s">
        <v>298</v>
      </c>
      <c r="D720" s="2">
        <f t="shared" si="1"/>
        <v>5</v>
      </c>
      <c r="F720" s="1" t="str">
        <f t="shared" si="2"/>
        <v>INSERT INTO tblQuestionBank VALUES (seqQuestionBank.nextval, q'[C++에서 참조자(reference)와 포인터(pointer)의 차이는 무엇인가?]', 5);</v>
      </c>
    </row>
    <row r="721">
      <c r="A721" s="1">
        <v>716.0</v>
      </c>
      <c r="B721" s="1" t="s">
        <v>283</v>
      </c>
      <c r="C721" s="39" t="s">
        <v>299</v>
      </c>
      <c r="D721" s="2">
        <f t="shared" si="1"/>
        <v>1</v>
      </c>
      <c r="F721" s="1" t="str">
        <f t="shared" si="2"/>
        <v>INSERT INTO tblQuestionBank VALUES (seqQuestionBank.nextval, q'[네트워크에서 TCP와 UDP의 차이점은 무엇인가?]', 1);</v>
      </c>
    </row>
    <row r="722">
      <c r="A722" s="1">
        <v>717.0</v>
      </c>
      <c r="B722" s="1" t="s">
        <v>283</v>
      </c>
      <c r="C722" s="39" t="s">
        <v>300</v>
      </c>
      <c r="D722" s="2">
        <f t="shared" si="1"/>
        <v>3</v>
      </c>
      <c r="F722" s="1" t="str">
        <f t="shared" si="2"/>
        <v>INSERT INTO tblQuestionBank VALUES (seqQuestionBank.nextval, q'[Python에서 제너레이터(generator)의 특징은 무엇인가?]', 3);</v>
      </c>
    </row>
    <row r="723">
      <c r="A723" s="1">
        <v>718.0</v>
      </c>
      <c r="B723" s="1" t="s">
        <v>283</v>
      </c>
      <c r="C723" s="39" t="s">
        <v>301</v>
      </c>
      <c r="D723" s="2">
        <f t="shared" si="1"/>
        <v>5</v>
      </c>
      <c r="F723" s="1" t="str">
        <f t="shared" si="2"/>
        <v>INSERT INTO tblQuestionBank VALUES (seqQuestionBank.nextval, q'[REST API의 주요 원칙 중 하나가 아닌 것은 무엇인가?]', 5);</v>
      </c>
    </row>
    <row r="724">
      <c r="A724" s="1">
        <v>719.0</v>
      </c>
      <c r="B724" s="1" t="s">
        <v>283</v>
      </c>
      <c r="C724" s="39" t="s">
        <v>302</v>
      </c>
      <c r="D724" s="2">
        <f t="shared" si="1"/>
        <v>4</v>
      </c>
      <c r="F724" s="1" t="str">
        <f t="shared" si="2"/>
        <v>INSERT INTO tblQuestionBank VALUES (seqQuestionBank.nextval, q'[Java에서 예외(Exception) 처리 방법으로 올바른 것을 고르시오.]', 4);</v>
      </c>
    </row>
    <row r="725">
      <c r="A725" s="1">
        <v>720.0</v>
      </c>
      <c r="B725" s="1" t="s">
        <v>283</v>
      </c>
      <c r="C725" s="39" t="s">
        <v>303</v>
      </c>
      <c r="D725" s="2">
        <f t="shared" si="1"/>
        <v>2</v>
      </c>
      <c r="F725" s="1" t="str">
        <f t="shared" si="2"/>
        <v>INSERT INTO tblQuestionBank VALUES (seqQuestionBank.nextval, q'[프로그래밍 언어에서 타입 캐스팅(type casting)이란 무엇인가?]', 2);</v>
      </c>
    </row>
    <row r="726">
      <c r="A726" s="1">
        <v>721.0</v>
      </c>
      <c r="B726" s="1" t="s">
        <v>283</v>
      </c>
      <c r="C726" s="39" t="s">
        <v>284</v>
      </c>
      <c r="D726" s="2">
        <f t="shared" si="1"/>
        <v>1</v>
      </c>
      <c r="F726" s="1" t="str">
        <f t="shared" si="2"/>
        <v>INSERT INTO tblQuestionBank VALUES (seqQuestionBank.nextval, q'[변수의 스코프(scope)란 무엇인가에 대한 설명으로 올바른 것을 고르시오.]', 1);</v>
      </c>
    </row>
    <row r="727">
      <c r="A727" s="1">
        <v>722.0</v>
      </c>
      <c r="B727" s="1" t="s">
        <v>283</v>
      </c>
      <c r="C727" s="39" t="s">
        <v>285</v>
      </c>
      <c r="D727" s="2">
        <f t="shared" si="1"/>
        <v>2</v>
      </c>
      <c r="F727" s="1" t="str">
        <f t="shared" si="2"/>
        <v>INSERT INTO tblQuestionBank VALUES (seqQuestionBank.nextval, q'[재귀 함수와 반복문 중 메모리 사용량이 더 많은 것은 무엇인가?]', 2);</v>
      </c>
    </row>
    <row r="728">
      <c r="A728" s="1">
        <v>723.0</v>
      </c>
      <c r="B728" s="1" t="s">
        <v>283</v>
      </c>
      <c r="C728" s="39" t="s">
        <v>286</v>
      </c>
      <c r="D728" s="2">
        <f t="shared" si="1"/>
        <v>1</v>
      </c>
      <c r="F728" s="1" t="str">
        <f t="shared" si="2"/>
        <v>INSERT INTO tblQuestionBank VALUES (seqQuestionBank.nextval, q'[HTML에서 'a' 태그의 주요 기능은 무엇인가?]', 1);</v>
      </c>
    </row>
    <row r="729">
      <c r="A729" s="1">
        <v>724.0</v>
      </c>
      <c r="B729" s="1" t="s">
        <v>283</v>
      </c>
      <c r="C729" s="39" t="s">
        <v>287</v>
      </c>
      <c r="D729" s="2">
        <f t="shared" si="1"/>
        <v>5</v>
      </c>
      <c r="F729" s="1" t="str">
        <f t="shared" si="2"/>
        <v>INSERT INTO tblQuestionBank VALUES (seqQuestionBank.nextval, q'[Java에서 클래스와 객체의 차이점은 무엇인가?]', 5);</v>
      </c>
    </row>
    <row r="730">
      <c r="A730" s="1">
        <v>725.0</v>
      </c>
      <c r="B730" s="1" t="s">
        <v>283</v>
      </c>
      <c r="C730" s="39" t="s">
        <v>288</v>
      </c>
      <c r="D730" s="2">
        <f t="shared" si="1"/>
        <v>4</v>
      </c>
      <c r="F730" s="1" t="str">
        <f t="shared" si="2"/>
        <v>INSERT INTO tblQuestionBank VALUES (seqQuestionBank.nextval, q'[Python의 리스트와 튜플의 차이점은 무엇인가?]', 4);</v>
      </c>
    </row>
    <row r="731">
      <c r="A731" s="1">
        <v>726.0</v>
      </c>
      <c r="B731" s="1" t="s">
        <v>283</v>
      </c>
      <c r="C731" s="39" t="s">
        <v>289</v>
      </c>
      <c r="D731" s="2">
        <f t="shared" si="1"/>
        <v>3</v>
      </c>
      <c r="F731" s="1" t="str">
        <f t="shared" si="2"/>
        <v>INSERT INTO tblQuestionBank VALUES (seqQuestionBank.nextval, q'[C언어에서 포인터를 사용하는 주된 이유는 무엇인가?]', 3);</v>
      </c>
    </row>
    <row r="732">
      <c r="A732" s="1">
        <v>727.0</v>
      </c>
      <c r="B732" s="1" t="s">
        <v>283</v>
      </c>
      <c r="C732" s="39" t="s">
        <v>290</v>
      </c>
      <c r="D732" s="2">
        <f t="shared" si="1"/>
        <v>3</v>
      </c>
      <c r="F732" s="1" t="str">
        <f t="shared" si="2"/>
        <v>INSERT INTO tblQuestionBank VALUES (seqQuestionBank.nextval, q'[컴파일러와 인터프리터의 차이점은 무엇인가?]', 3);</v>
      </c>
    </row>
    <row r="733">
      <c r="A733" s="1">
        <v>728.0</v>
      </c>
      <c r="B733" s="1" t="s">
        <v>283</v>
      </c>
      <c r="C733" s="39" t="s">
        <v>291</v>
      </c>
      <c r="D733" s="2">
        <f t="shared" si="1"/>
        <v>2</v>
      </c>
      <c r="F733" s="1" t="str">
        <f t="shared" si="2"/>
        <v>INSERT INTO tblQuestionBank VALUES (seqQuestionBank.nextval, q'[JavaScript에서 클로저(closure)의 정의는 무엇인가?]', 2);</v>
      </c>
    </row>
    <row r="734">
      <c r="A734" s="1">
        <v>729.0</v>
      </c>
      <c r="B734" s="1" t="s">
        <v>283</v>
      </c>
      <c r="C734" s="39" t="s">
        <v>292</v>
      </c>
      <c r="D734" s="2">
        <f t="shared" si="1"/>
        <v>1</v>
      </c>
      <c r="F734" s="1" t="str">
        <f t="shared" si="2"/>
        <v>INSERT INTO tblQuestionBank VALUES (seqQuestionBank.nextval, q'[객체 지향 프로그래밍의 4대 특징 중 하나가 아닌 것은 무엇인가?]', 1);</v>
      </c>
    </row>
    <row r="735">
      <c r="A735" s="1">
        <v>730.0</v>
      </c>
      <c r="B735" s="1" t="s">
        <v>283</v>
      </c>
      <c r="C735" s="39" t="s">
        <v>293</v>
      </c>
      <c r="D735" s="2">
        <f t="shared" si="1"/>
        <v>5</v>
      </c>
      <c r="F735" s="1" t="str">
        <f t="shared" si="2"/>
        <v>INSERT INTO tblQuestionBank VALUES (seqQuestionBank.nextval, q'[SQL에서 'JOIN'의 기능은 무엇인가?]', 5);</v>
      </c>
    </row>
    <row r="736">
      <c r="A736" s="1">
        <v>731.0</v>
      </c>
      <c r="B736" s="1" t="s">
        <v>283</v>
      </c>
      <c r="C736" s="39" t="s">
        <v>294</v>
      </c>
      <c r="D736" s="2">
        <f t="shared" si="1"/>
        <v>2</v>
      </c>
      <c r="F736" s="1" t="str">
        <f t="shared" si="2"/>
        <v>INSERT INTO tblQuestionBank VALUES (seqQuestionBank.nextval, q'[Python에서 'with open()' 구문의 주요 목적은 무엇인가?]', 2);</v>
      </c>
    </row>
    <row r="737">
      <c r="A737" s="1">
        <v>732.0</v>
      </c>
      <c r="B737" s="1" t="s">
        <v>283</v>
      </c>
      <c r="C737" s="39" t="s">
        <v>295</v>
      </c>
      <c r="D737" s="2">
        <f t="shared" si="1"/>
        <v>1</v>
      </c>
      <c r="F737" s="1" t="str">
        <f t="shared" si="2"/>
        <v>INSERT INTO tblQuestionBank VALUES (seqQuestionBank.nextval, q'[데이터베이스에서 정규화의 목적은 무엇인가?]', 1);</v>
      </c>
    </row>
    <row r="738">
      <c r="A738" s="1">
        <v>733.0</v>
      </c>
      <c r="B738" s="1" t="s">
        <v>283</v>
      </c>
      <c r="C738" s="39" t="s">
        <v>296</v>
      </c>
      <c r="D738" s="2">
        <f t="shared" si="1"/>
        <v>2</v>
      </c>
      <c r="F738" s="1" t="str">
        <f t="shared" si="2"/>
        <v>INSERT INTO tblQuestionBank VALUES (seqQuestionBank.nextval, q'[CSS에서 'flexbox'의 주요 사용 목적은 무엇인가?]', 2);</v>
      </c>
    </row>
    <row r="739">
      <c r="A739" s="1">
        <v>734.0</v>
      </c>
      <c r="B739" s="1" t="s">
        <v>283</v>
      </c>
      <c r="C739" s="39" t="s">
        <v>297</v>
      </c>
      <c r="D739" s="2">
        <f t="shared" si="1"/>
        <v>2</v>
      </c>
      <c r="F739" s="1" t="str">
        <f t="shared" si="2"/>
        <v>INSERT INTO tblQuestionBank VALUES (seqQuestionBank.nextval, q'[Git에서 'merge'와 'rebase'의 차이점은 무엇인가?]', 2);</v>
      </c>
    </row>
    <row r="740">
      <c r="A740" s="1">
        <v>735.0</v>
      </c>
      <c r="B740" s="1" t="s">
        <v>283</v>
      </c>
      <c r="C740" s="39" t="s">
        <v>298</v>
      </c>
      <c r="D740" s="2">
        <f t="shared" si="1"/>
        <v>2</v>
      </c>
      <c r="F740" s="1" t="str">
        <f t="shared" si="2"/>
        <v>INSERT INTO tblQuestionBank VALUES (seqQuestionBank.nextval, q'[C++에서 참조자(reference)와 포인터(pointer)의 차이는 무엇인가?]', 2);</v>
      </c>
    </row>
    <row r="741">
      <c r="A741" s="1">
        <v>736.0</v>
      </c>
      <c r="B741" s="1" t="s">
        <v>283</v>
      </c>
      <c r="C741" s="39" t="s">
        <v>299</v>
      </c>
      <c r="D741" s="2">
        <f t="shared" si="1"/>
        <v>5</v>
      </c>
      <c r="F741" s="1" t="str">
        <f t="shared" si="2"/>
        <v>INSERT INTO tblQuestionBank VALUES (seqQuestionBank.nextval, q'[네트워크에서 TCP와 UDP의 차이점은 무엇인가?]', 5);</v>
      </c>
    </row>
    <row r="742">
      <c r="A742" s="1">
        <v>737.0</v>
      </c>
      <c r="B742" s="1" t="s">
        <v>283</v>
      </c>
      <c r="C742" s="39" t="s">
        <v>300</v>
      </c>
      <c r="D742" s="2">
        <f t="shared" si="1"/>
        <v>1</v>
      </c>
      <c r="F742" s="1" t="str">
        <f t="shared" si="2"/>
        <v>INSERT INTO tblQuestionBank VALUES (seqQuestionBank.nextval, q'[Python에서 제너레이터(generator)의 특징은 무엇인가?]', 1);</v>
      </c>
    </row>
    <row r="743">
      <c r="A743" s="1">
        <v>738.0</v>
      </c>
      <c r="B743" s="1" t="s">
        <v>283</v>
      </c>
      <c r="C743" s="39" t="s">
        <v>301</v>
      </c>
      <c r="D743" s="2">
        <f t="shared" si="1"/>
        <v>3</v>
      </c>
      <c r="F743" s="1" t="str">
        <f t="shared" si="2"/>
        <v>INSERT INTO tblQuestionBank VALUES (seqQuestionBank.nextval, q'[REST API의 주요 원칙 중 하나가 아닌 것은 무엇인가?]', 3);</v>
      </c>
    </row>
    <row r="744">
      <c r="A744" s="1">
        <v>739.0</v>
      </c>
      <c r="B744" s="1" t="s">
        <v>283</v>
      </c>
      <c r="C744" s="39" t="s">
        <v>302</v>
      </c>
      <c r="D744" s="2">
        <f t="shared" si="1"/>
        <v>4</v>
      </c>
      <c r="F744" s="1" t="str">
        <f t="shared" si="2"/>
        <v>INSERT INTO tblQuestionBank VALUES (seqQuestionBank.nextval, q'[Java에서 예외(Exception) 처리 방법으로 올바른 것을 고르시오.]', 4);</v>
      </c>
    </row>
    <row r="745">
      <c r="A745" s="1">
        <v>740.0</v>
      </c>
      <c r="B745" s="1" t="s">
        <v>283</v>
      </c>
      <c r="C745" s="39" t="s">
        <v>303</v>
      </c>
      <c r="D745" s="2">
        <f t="shared" si="1"/>
        <v>2</v>
      </c>
      <c r="F745" s="1" t="str">
        <f t="shared" si="2"/>
        <v>INSERT INTO tblQuestionBank VALUES (seqQuestionBank.nextval, q'[프로그래밍 언어에서 타입 캐스팅(type casting)이란 무엇인가?]', 2);</v>
      </c>
    </row>
    <row r="746">
      <c r="A746" s="1">
        <v>741.0</v>
      </c>
      <c r="B746" s="1" t="s">
        <v>283</v>
      </c>
      <c r="C746" s="39" t="s">
        <v>284</v>
      </c>
      <c r="D746" s="2">
        <f t="shared" si="1"/>
        <v>1</v>
      </c>
      <c r="F746" s="1" t="str">
        <f t="shared" si="2"/>
        <v>INSERT INTO tblQuestionBank VALUES (seqQuestionBank.nextval, q'[변수의 스코프(scope)란 무엇인가에 대한 설명으로 올바른 것을 고르시오.]', 1);</v>
      </c>
    </row>
    <row r="747">
      <c r="A747" s="1">
        <v>742.0</v>
      </c>
      <c r="B747" s="1" t="s">
        <v>283</v>
      </c>
      <c r="C747" s="39" t="s">
        <v>285</v>
      </c>
      <c r="D747" s="2">
        <f t="shared" si="1"/>
        <v>3</v>
      </c>
      <c r="F747" s="1" t="str">
        <f t="shared" si="2"/>
        <v>INSERT INTO tblQuestionBank VALUES (seqQuestionBank.nextval, q'[재귀 함수와 반복문 중 메모리 사용량이 더 많은 것은 무엇인가?]', 3);</v>
      </c>
    </row>
    <row r="748">
      <c r="A748" s="1">
        <v>743.0</v>
      </c>
      <c r="B748" s="1" t="s">
        <v>283</v>
      </c>
      <c r="C748" s="39" t="s">
        <v>286</v>
      </c>
      <c r="D748" s="2">
        <f t="shared" si="1"/>
        <v>1</v>
      </c>
      <c r="F748" s="1" t="str">
        <f t="shared" si="2"/>
        <v>INSERT INTO tblQuestionBank VALUES (seqQuestionBank.nextval, q'[HTML에서 'a' 태그의 주요 기능은 무엇인가?]', 1);</v>
      </c>
    </row>
    <row r="749">
      <c r="A749" s="1">
        <v>744.0</v>
      </c>
      <c r="B749" s="1" t="s">
        <v>283</v>
      </c>
      <c r="C749" s="39" t="s">
        <v>287</v>
      </c>
      <c r="D749" s="2">
        <f t="shared" si="1"/>
        <v>4</v>
      </c>
      <c r="F749" s="1" t="str">
        <f t="shared" si="2"/>
        <v>INSERT INTO tblQuestionBank VALUES (seqQuestionBank.nextval, q'[Java에서 클래스와 객체의 차이점은 무엇인가?]', 4);</v>
      </c>
    </row>
    <row r="750">
      <c r="A750" s="1">
        <v>745.0</v>
      </c>
      <c r="B750" s="1" t="s">
        <v>283</v>
      </c>
      <c r="C750" s="39" t="s">
        <v>288</v>
      </c>
      <c r="D750" s="2">
        <f t="shared" si="1"/>
        <v>5</v>
      </c>
      <c r="F750" s="1" t="str">
        <f t="shared" si="2"/>
        <v>INSERT INTO tblQuestionBank VALUES (seqQuestionBank.nextval, q'[Python의 리스트와 튜플의 차이점은 무엇인가?]', 5);</v>
      </c>
    </row>
    <row r="751">
      <c r="A751" s="1">
        <v>746.0</v>
      </c>
      <c r="B751" s="1" t="s">
        <v>283</v>
      </c>
      <c r="C751" s="39" t="s">
        <v>289</v>
      </c>
      <c r="D751" s="2">
        <f t="shared" si="1"/>
        <v>1</v>
      </c>
      <c r="F751" s="1" t="str">
        <f t="shared" si="2"/>
        <v>INSERT INTO tblQuestionBank VALUES (seqQuestionBank.nextval, q'[C언어에서 포인터를 사용하는 주된 이유는 무엇인가?]', 1);</v>
      </c>
    </row>
    <row r="752">
      <c r="A752" s="1">
        <v>747.0</v>
      </c>
      <c r="B752" s="1" t="s">
        <v>283</v>
      </c>
      <c r="C752" s="39" t="s">
        <v>290</v>
      </c>
      <c r="D752" s="2">
        <f t="shared" si="1"/>
        <v>1</v>
      </c>
      <c r="F752" s="1" t="str">
        <f t="shared" si="2"/>
        <v>INSERT INTO tblQuestionBank VALUES (seqQuestionBank.nextval, q'[컴파일러와 인터프리터의 차이점은 무엇인가?]', 1);</v>
      </c>
    </row>
    <row r="753">
      <c r="A753" s="1">
        <v>748.0</v>
      </c>
      <c r="B753" s="1" t="s">
        <v>283</v>
      </c>
      <c r="C753" s="39" t="s">
        <v>291</v>
      </c>
      <c r="D753" s="2">
        <f t="shared" si="1"/>
        <v>1</v>
      </c>
      <c r="F753" s="1" t="str">
        <f t="shared" si="2"/>
        <v>INSERT INTO tblQuestionBank VALUES (seqQuestionBank.nextval, q'[JavaScript에서 클로저(closure)의 정의는 무엇인가?]', 1);</v>
      </c>
    </row>
    <row r="754">
      <c r="A754" s="1">
        <v>749.0</v>
      </c>
      <c r="B754" s="1" t="s">
        <v>283</v>
      </c>
      <c r="C754" s="39" t="s">
        <v>292</v>
      </c>
      <c r="D754" s="2">
        <f t="shared" si="1"/>
        <v>2</v>
      </c>
      <c r="F754" s="1" t="str">
        <f t="shared" si="2"/>
        <v>INSERT INTO tblQuestionBank VALUES (seqQuestionBank.nextval, q'[객체 지향 프로그래밍의 4대 특징 중 하나가 아닌 것은 무엇인가?]', 2);</v>
      </c>
    </row>
    <row r="755">
      <c r="A755" s="1">
        <v>750.0</v>
      </c>
      <c r="B755" s="1" t="s">
        <v>283</v>
      </c>
      <c r="C755" s="39" t="s">
        <v>293</v>
      </c>
      <c r="D755" s="2">
        <f t="shared" si="1"/>
        <v>5</v>
      </c>
      <c r="F755" s="1" t="str">
        <f t="shared" si="2"/>
        <v>INSERT INTO tblQuestionBank VALUES (seqQuestionBank.nextval, q'[SQL에서 'JOIN'의 기능은 무엇인가?]', 5);</v>
      </c>
    </row>
    <row r="756">
      <c r="A756" s="1">
        <v>751.0</v>
      </c>
      <c r="B756" s="1" t="s">
        <v>283</v>
      </c>
      <c r="C756" s="39" t="s">
        <v>294</v>
      </c>
      <c r="D756" s="2">
        <f t="shared" si="1"/>
        <v>2</v>
      </c>
      <c r="F756" s="1" t="str">
        <f t="shared" si="2"/>
        <v>INSERT INTO tblQuestionBank VALUES (seqQuestionBank.nextval, q'[Python에서 'with open()' 구문의 주요 목적은 무엇인가?]', 2);</v>
      </c>
    </row>
    <row r="757">
      <c r="A757" s="1">
        <v>752.0</v>
      </c>
      <c r="B757" s="1" t="s">
        <v>283</v>
      </c>
      <c r="C757" s="39" t="s">
        <v>295</v>
      </c>
      <c r="D757" s="2">
        <f t="shared" si="1"/>
        <v>3</v>
      </c>
      <c r="F757" s="1" t="str">
        <f t="shared" si="2"/>
        <v>INSERT INTO tblQuestionBank VALUES (seqQuestionBank.nextval, q'[데이터베이스에서 정규화의 목적은 무엇인가?]', 3);</v>
      </c>
    </row>
    <row r="758">
      <c r="A758" s="1">
        <v>753.0</v>
      </c>
      <c r="B758" s="1" t="s">
        <v>283</v>
      </c>
      <c r="C758" s="39" t="s">
        <v>296</v>
      </c>
      <c r="D758" s="2">
        <f t="shared" si="1"/>
        <v>3</v>
      </c>
      <c r="F758" s="1" t="str">
        <f t="shared" si="2"/>
        <v>INSERT INTO tblQuestionBank VALUES (seqQuestionBank.nextval, q'[CSS에서 'flexbox'의 주요 사용 목적은 무엇인가?]', 3);</v>
      </c>
    </row>
    <row r="759">
      <c r="A759" s="1">
        <v>754.0</v>
      </c>
      <c r="B759" s="1" t="s">
        <v>283</v>
      </c>
      <c r="C759" s="39" t="s">
        <v>297</v>
      </c>
      <c r="D759" s="2">
        <f t="shared" si="1"/>
        <v>4</v>
      </c>
      <c r="F759" s="1" t="str">
        <f t="shared" si="2"/>
        <v>INSERT INTO tblQuestionBank VALUES (seqQuestionBank.nextval, q'[Git에서 'merge'와 'rebase'의 차이점은 무엇인가?]', 4);</v>
      </c>
    </row>
    <row r="760">
      <c r="A760" s="1">
        <v>755.0</v>
      </c>
      <c r="B760" s="1" t="s">
        <v>283</v>
      </c>
      <c r="C760" s="39" t="s">
        <v>298</v>
      </c>
      <c r="D760" s="2">
        <f t="shared" si="1"/>
        <v>4</v>
      </c>
      <c r="F760" s="1" t="str">
        <f t="shared" si="2"/>
        <v>INSERT INTO tblQuestionBank VALUES (seqQuestionBank.nextval, q'[C++에서 참조자(reference)와 포인터(pointer)의 차이는 무엇인가?]', 4);</v>
      </c>
    </row>
    <row r="761">
      <c r="A761" s="1">
        <v>756.0</v>
      </c>
      <c r="B761" s="1" t="s">
        <v>283</v>
      </c>
      <c r="C761" s="39" t="s">
        <v>299</v>
      </c>
      <c r="D761" s="2">
        <f t="shared" si="1"/>
        <v>1</v>
      </c>
      <c r="F761" s="1" t="str">
        <f t="shared" si="2"/>
        <v>INSERT INTO tblQuestionBank VALUES (seqQuestionBank.nextval, q'[네트워크에서 TCP와 UDP의 차이점은 무엇인가?]', 1);</v>
      </c>
    </row>
    <row r="762">
      <c r="A762" s="1">
        <v>757.0</v>
      </c>
      <c r="B762" s="1" t="s">
        <v>283</v>
      </c>
      <c r="C762" s="39" t="s">
        <v>300</v>
      </c>
      <c r="D762" s="2">
        <f t="shared" si="1"/>
        <v>5</v>
      </c>
      <c r="F762" s="1" t="str">
        <f t="shared" si="2"/>
        <v>INSERT INTO tblQuestionBank VALUES (seqQuestionBank.nextval, q'[Python에서 제너레이터(generator)의 특징은 무엇인가?]', 5);</v>
      </c>
    </row>
    <row r="763">
      <c r="A763" s="1">
        <v>758.0</v>
      </c>
      <c r="B763" s="1" t="s">
        <v>283</v>
      </c>
      <c r="C763" s="39" t="s">
        <v>301</v>
      </c>
      <c r="D763" s="2">
        <f t="shared" si="1"/>
        <v>5</v>
      </c>
      <c r="F763" s="1" t="str">
        <f t="shared" si="2"/>
        <v>INSERT INTO tblQuestionBank VALUES (seqQuestionBank.nextval, q'[REST API의 주요 원칙 중 하나가 아닌 것은 무엇인가?]', 5);</v>
      </c>
    </row>
    <row r="764">
      <c r="A764" s="1">
        <v>759.0</v>
      </c>
      <c r="B764" s="1" t="s">
        <v>283</v>
      </c>
      <c r="C764" s="39" t="s">
        <v>302</v>
      </c>
      <c r="D764" s="2">
        <f t="shared" si="1"/>
        <v>4</v>
      </c>
      <c r="F764" s="1" t="str">
        <f t="shared" si="2"/>
        <v>INSERT INTO tblQuestionBank VALUES (seqQuestionBank.nextval, q'[Java에서 예외(Exception) 처리 방법으로 올바른 것을 고르시오.]', 4);</v>
      </c>
    </row>
    <row r="765">
      <c r="A765" s="1">
        <v>760.0</v>
      </c>
      <c r="B765" s="1" t="s">
        <v>283</v>
      </c>
      <c r="C765" s="39" t="s">
        <v>303</v>
      </c>
      <c r="D765" s="2">
        <f t="shared" si="1"/>
        <v>2</v>
      </c>
      <c r="F765" s="1" t="str">
        <f t="shared" si="2"/>
        <v>INSERT INTO tblQuestionBank VALUES (seqQuestionBank.nextval, q'[프로그래밍 언어에서 타입 캐스팅(type casting)이란 무엇인가?]', 2);</v>
      </c>
    </row>
    <row r="766">
      <c r="A766" s="1">
        <v>761.0</v>
      </c>
      <c r="B766" s="1" t="s">
        <v>283</v>
      </c>
      <c r="C766" s="39" t="s">
        <v>284</v>
      </c>
      <c r="D766" s="2">
        <f t="shared" si="1"/>
        <v>1</v>
      </c>
      <c r="F766" s="1" t="str">
        <f t="shared" si="2"/>
        <v>INSERT INTO tblQuestionBank VALUES (seqQuestionBank.nextval, q'[변수의 스코프(scope)란 무엇인가에 대한 설명으로 올바른 것을 고르시오.]', 1);</v>
      </c>
    </row>
    <row r="767">
      <c r="A767" s="1">
        <v>762.0</v>
      </c>
      <c r="B767" s="1" t="s">
        <v>283</v>
      </c>
      <c r="C767" s="39" t="s">
        <v>285</v>
      </c>
      <c r="D767" s="2">
        <f t="shared" si="1"/>
        <v>2</v>
      </c>
      <c r="F767" s="1" t="str">
        <f t="shared" si="2"/>
        <v>INSERT INTO tblQuestionBank VALUES (seqQuestionBank.nextval, q'[재귀 함수와 반복문 중 메모리 사용량이 더 많은 것은 무엇인가?]', 2);</v>
      </c>
    </row>
    <row r="768">
      <c r="A768" s="1">
        <v>763.0</v>
      </c>
      <c r="B768" s="1" t="s">
        <v>283</v>
      </c>
      <c r="C768" s="39" t="s">
        <v>286</v>
      </c>
      <c r="D768" s="2">
        <f t="shared" si="1"/>
        <v>2</v>
      </c>
      <c r="F768" s="1" t="str">
        <f t="shared" si="2"/>
        <v>INSERT INTO tblQuestionBank VALUES (seqQuestionBank.nextval, q'[HTML에서 'a' 태그의 주요 기능은 무엇인가?]', 2);</v>
      </c>
    </row>
    <row r="769">
      <c r="A769" s="1">
        <v>764.0</v>
      </c>
      <c r="B769" s="1" t="s">
        <v>283</v>
      </c>
      <c r="C769" s="39" t="s">
        <v>287</v>
      </c>
      <c r="D769" s="2">
        <f t="shared" si="1"/>
        <v>5</v>
      </c>
      <c r="F769" s="1" t="str">
        <f t="shared" si="2"/>
        <v>INSERT INTO tblQuestionBank VALUES (seqQuestionBank.nextval, q'[Java에서 클래스와 객체의 차이점은 무엇인가?]', 5);</v>
      </c>
    </row>
    <row r="770">
      <c r="A770" s="1">
        <v>765.0</v>
      </c>
      <c r="B770" s="1" t="s">
        <v>283</v>
      </c>
      <c r="C770" s="39" t="s">
        <v>288</v>
      </c>
      <c r="D770" s="2">
        <f t="shared" si="1"/>
        <v>3</v>
      </c>
      <c r="F770" s="1" t="str">
        <f t="shared" si="2"/>
        <v>INSERT INTO tblQuestionBank VALUES (seqQuestionBank.nextval, q'[Python의 리스트와 튜플의 차이점은 무엇인가?]', 3);</v>
      </c>
    </row>
    <row r="771">
      <c r="A771" s="1">
        <v>766.0</v>
      </c>
      <c r="B771" s="1" t="s">
        <v>283</v>
      </c>
      <c r="C771" s="39" t="s">
        <v>289</v>
      </c>
      <c r="D771" s="2">
        <f t="shared" si="1"/>
        <v>3</v>
      </c>
      <c r="F771" s="1" t="str">
        <f t="shared" si="2"/>
        <v>INSERT INTO tblQuestionBank VALUES (seqQuestionBank.nextval, q'[C언어에서 포인터를 사용하는 주된 이유는 무엇인가?]', 3);</v>
      </c>
    </row>
    <row r="772">
      <c r="A772" s="1">
        <v>767.0</v>
      </c>
      <c r="B772" s="1" t="s">
        <v>283</v>
      </c>
      <c r="C772" s="39" t="s">
        <v>290</v>
      </c>
      <c r="D772" s="2">
        <f t="shared" si="1"/>
        <v>3</v>
      </c>
      <c r="F772" s="1" t="str">
        <f t="shared" si="2"/>
        <v>INSERT INTO tblQuestionBank VALUES (seqQuestionBank.nextval, q'[컴파일러와 인터프리터의 차이점은 무엇인가?]', 3);</v>
      </c>
    </row>
    <row r="773">
      <c r="A773" s="1">
        <v>768.0</v>
      </c>
      <c r="B773" s="1" t="s">
        <v>283</v>
      </c>
      <c r="C773" s="39" t="s">
        <v>291</v>
      </c>
      <c r="D773" s="2">
        <f t="shared" si="1"/>
        <v>3</v>
      </c>
      <c r="F773" s="1" t="str">
        <f t="shared" si="2"/>
        <v>INSERT INTO tblQuestionBank VALUES (seqQuestionBank.nextval, q'[JavaScript에서 클로저(closure)의 정의는 무엇인가?]', 3);</v>
      </c>
    </row>
    <row r="774">
      <c r="A774" s="1">
        <v>769.0</v>
      </c>
      <c r="B774" s="1" t="s">
        <v>283</v>
      </c>
      <c r="C774" s="39" t="s">
        <v>292</v>
      </c>
      <c r="D774" s="2">
        <f t="shared" si="1"/>
        <v>2</v>
      </c>
      <c r="F774" s="1" t="str">
        <f t="shared" si="2"/>
        <v>INSERT INTO tblQuestionBank VALUES (seqQuestionBank.nextval, q'[객체 지향 프로그래밍의 4대 특징 중 하나가 아닌 것은 무엇인가?]', 2);</v>
      </c>
    </row>
    <row r="775">
      <c r="A775" s="1">
        <v>770.0</v>
      </c>
      <c r="B775" s="1" t="s">
        <v>283</v>
      </c>
      <c r="C775" s="39" t="s">
        <v>293</v>
      </c>
      <c r="D775" s="2">
        <f t="shared" si="1"/>
        <v>4</v>
      </c>
      <c r="F775" s="1" t="str">
        <f t="shared" si="2"/>
        <v>INSERT INTO tblQuestionBank VALUES (seqQuestionBank.nextval, q'[SQL에서 'JOIN'의 기능은 무엇인가?]', 4);</v>
      </c>
    </row>
    <row r="776">
      <c r="A776" s="1">
        <v>771.0</v>
      </c>
      <c r="B776" s="1" t="s">
        <v>283</v>
      </c>
      <c r="C776" s="39" t="s">
        <v>294</v>
      </c>
      <c r="D776" s="2">
        <f t="shared" si="1"/>
        <v>4</v>
      </c>
      <c r="F776" s="1" t="str">
        <f t="shared" si="2"/>
        <v>INSERT INTO tblQuestionBank VALUES (seqQuestionBank.nextval, q'[Python에서 'with open()' 구문의 주요 목적은 무엇인가?]', 4);</v>
      </c>
    </row>
    <row r="777">
      <c r="A777" s="1">
        <v>772.0</v>
      </c>
      <c r="B777" s="1" t="s">
        <v>283</v>
      </c>
      <c r="C777" s="39" t="s">
        <v>295</v>
      </c>
      <c r="D777" s="2">
        <f t="shared" si="1"/>
        <v>3</v>
      </c>
      <c r="F777" s="1" t="str">
        <f t="shared" si="2"/>
        <v>INSERT INTO tblQuestionBank VALUES (seqQuestionBank.nextval, q'[데이터베이스에서 정규화의 목적은 무엇인가?]', 3);</v>
      </c>
    </row>
    <row r="778">
      <c r="A778" s="1">
        <v>773.0</v>
      </c>
      <c r="B778" s="1" t="s">
        <v>283</v>
      </c>
      <c r="C778" s="39" t="s">
        <v>296</v>
      </c>
      <c r="D778" s="2">
        <f t="shared" si="1"/>
        <v>5</v>
      </c>
      <c r="F778" s="1" t="str">
        <f t="shared" si="2"/>
        <v>INSERT INTO tblQuestionBank VALUES (seqQuestionBank.nextval, q'[CSS에서 'flexbox'의 주요 사용 목적은 무엇인가?]', 5);</v>
      </c>
    </row>
    <row r="779">
      <c r="A779" s="1">
        <v>774.0</v>
      </c>
      <c r="B779" s="1" t="s">
        <v>283</v>
      </c>
      <c r="C779" s="39" t="s">
        <v>297</v>
      </c>
      <c r="D779" s="2">
        <f t="shared" si="1"/>
        <v>2</v>
      </c>
      <c r="F779" s="1" t="str">
        <f t="shared" si="2"/>
        <v>INSERT INTO tblQuestionBank VALUES (seqQuestionBank.nextval, q'[Git에서 'merge'와 'rebase'의 차이점은 무엇인가?]', 2);</v>
      </c>
    </row>
    <row r="780">
      <c r="A780" s="1">
        <v>775.0</v>
      </c>
      <c r="B780" s="1" t="s">
        <v>283</v>
      </c>
      <c r="C780" s="39" t="s">
        <v>298</v>
      </c>
      <c r="D780" s="2">
        <f t="shared" si="1"/>
        <v>1</v>
      </c>
      <c r="F780" s="1" t="str">
        <f t="shared" si="2"/>
        <v>INSERT INTO tblQuestionBank VALUES (seqQuestionBank.nextval, q'[C++에서 참조자(reference)와 포인터(pointer)의 차이는 무엇인가?]', 1);</v>
      </c>
    </row>
    <row r="781">
      <c r="A781" s="1">
        <v>776.0</v>
      </c>
      <c r="B781" s="1" t="s">
        <v>283</v>
      </c>
      <c r="C781" s="39" t="s">
        <v>299</v>
      </c>
      <c r="D781" s="2">
        <f t="shared" si="1"/>
        <v>1</v>
      </c>
      <c r="F781" s="1" t="str">
        <f t="shared" si="2"/>
        <v>INSERT INTO tblQuestionBank VALUES (seqQuestionBank.nextval, q'[네트워크에서 TCP와 UDP의 차이점은 무엇인가?]', 1);</v>
      </c>
    </row>
    <row r="782">
      <c r="A782" s="1">
        <v>777.0</v>
      </c>
      <c r="B782" s="1" t="s">
        <v>283</v>
      </c>
      <c r="C782" s="39" t="s">
        <v>300</v>
      </c>
      <c r="D782" s="2">
        <f t="shared" si="1"/>
        <v>4</v>
      </c>
      <c r="F782" s="1" t="str">
        <f t="shared" si="2"/>
        <v>INSERT INTO tblQuestionBank VALUES (seqQuestionBank.nextval, q'[Python에서 제너레이터(generator)의 특징은 무엇인가?]', 4);</v>
      </c>
    </row>
    <row r="783">
      <c r="A783" s="1">
        <v>778.0</v>
      </c>
      <c r="B783" s="1" t="s">
        <v>283</v>
      </c>
      <c r="C783" s="39" t="s">
        <v>301</v>
      </c>
      <c r="D783" s="2">
        <f t="shared" si="1"/>
        <v>3</v>
      </c>
      <c r="F783" s="1" t="str">
        <f t="shared" si="2"/>
        <v>INSERT INTO tblQuestionBank VALUES (seqQuestionBank.nextval, q'[REST API의 주요 원칙 중 하나가 아닌 것은 무엇인가?]', 3);</v>
      </c>
    </row>
    <row r="784">
      <c r="A784" s="1">
        <v>779.0</v>
      </c>
      <c r="B784" s="1" t="s">
        <v>283</v>
      </c>
      <c r="C784" s="39" t="s">
        <v>302</v>
      </c>
      <c r="D784" s="2">
        <f t="shared" si="1"/>
        <v>4</v>
      </c>
      <c r="F784" s="1" t="str">
        <f t="shared" si="2"/>
        <v>INSERT INTO tblQuestionBank VALUES (seqQuestionBank.nextval, q'[Java에서 예외(Exception) 처리 방법으로 올바른 것을 고르시오.]', 4);</v>
      </c>
    </row>
    <row r="785">
      <c r="A785" s="1">
        <v>780.0</v>
      </c>
      <c r="B785" s="1" t="s">
        <v>283</v>
      </c>
      <c r="C785" s="39" t="s">
        <v>303</v>
      </c>
      <c r="D785" s="2">
        <f t="shared" si="1"/>
        <v>2</v>
      </c>
      <c r="F785" s="1" t="str">
        <f t="shared" si="2"/>
        <v>INSERT INTO tblQuestionBank VALUES (seqQuestionBank.nextval, q'[프로그래밍 언어에서 타입 캐스팅(type casting)이란 무엇인가?]', 2);</v>
      </c>
    </row>
    <row r="786">
      <c r="A786" s="1">
        <v>781.0</v>
      </c>
      <c r="B786" s="1" t="s">
        <v>283</v>
      </c>
      <c r="C786" s="39" t="s">
        <v>284</v>
      </c>
      <c r="D786" s="2">
        <f t="shared" si="1"/>
        <v>2</v>
      </c>
      <c r="F786" s="1" t="str">
        <f t="shared" si="2"/>
        <v>INSERT INTO tblQuestionBank VALUES (seqQuestionBank.nextval, q'[변수의 스코프(scope)란 무엇인가에 대한 설명으로 올바른 것을 고르시오.]', 2);</v>
      </c>
    </row>
    <row r="787">
      <c r="A787" s="1">
        <v>782.0</v>
      </c>
      <c r="B787" s="1" t="s">
        <v>283</v>
      </c>
      <c r="C787" s="39" t="s">
        <v>285</v>
      </c>
      <c r="D787" s="2">
        <f t="shared" si="1"/>
        <v>2</v>
      </c>
      <c r="F787" s="1" t="str">
        <f t="shared" si="2"/>
        <v>INSERT INTO tblQuestionBank VALUES (seqQuestionBank.nextval, q'[재귀 함수와 반복문 중 메모리 사용량이 더 많은 것은 무엇인가?]', 2);</v>
      </c>
    </row>
    <row r="788">
      <c r="A788" s="1">
        <v>783.0</v>
      </c>
      <c r="B788" s="1" t="s">
        <v>283</v>
      </c>
      <c r="C788" s="39" t="s">
        <v>286</v>
      </c>
      <c r="D788" s="2">
        <f t="shared" si="1"/>
        <v>4</v>
      </c>
      <c r="F788" s="1" t="str">
        <f t="shared" si="2"/>
        <v>INSERT INTO tblQuestionBank VALUES (seqQuestionBank.nextval, q'[HTML에서 'a' 태그의 주요 기능은 무엇인가?]', 4);</v>
      </c>
    </row>
    <row r="789">
      <c r="A789" s="1">
        <v>784.0</v>
      </c>
      <c r="B789" s="1" t="s">
        <v>283</v>
      </c>
      <c r="C789" s="39" t="s">
        <v>287</v>
      </c>
      <c r="D789" s="2">
        <f t="shared" si="1"/>
        <v>1</v>
      </c>
      <c r="F789" s="1" t="str">
        <f t="shared" si="2"/>
        <v>INSERT INTO tblQuestionBank VALUES (seqQuestionBank.nextval, q'[Java에서 클래스와 객체의 차이점은 무엇인가?]', 1);</v>
      </c>
    </row>
    <row r="790">
      <c r="A790" s="1">
        <v>785.0</v>
      </c>
      <c r="B790" s="1" t="s">
        <v>283</v>
      </c>
      <c r="C790" s="39" t="s">
        <v>288</v>
      </c>
      <c r="D790" s="2">
        <f t="shared" si="1"/>
        <v>2</v>
      </c>
      <c r="F790" s="1" t="str">
        <f t="shared" si="2"/>
        <v>INSERT INTO tblQuestionBank VALUES (seqQuestionBank.nextval, q'[Python의 리스트와 튜플의 차이점은 무엇인가?]', 2);</v>
      </c>
    </row>
    <row r="791">
      <c r="A791" s="1">
        <v>786.0</v>
      </c>
      <c r="B791" s="1" t="s">
        <v>283</v>
      </c>
      <c r="C791" s="39" t="s">
        <v>289</v>
      </c>
      <c r="D791" s="2">
        <f t="shared" si="1"/>
        <v>4</v>
      </c>
      <c r="F791" s="1" t="str">
        <f t="shared" si="2"/>
        <v>INSERT INTO tblQuestionBank VALUES (seqQuestionBank.nextval, q'[C언어에서 포인터를 사용하는 주된 이유는 무엇인가?]', 4);</v>
      </c>
    </row>
    <row r="792">
      <c r="A792" s="1">
        <v>787.0</v>
      </c>
      <c r="B792" s="1" t="s">
        <v>283</v>
      </c>
      <c r="C792" s="39" t="s">
        <v>290</v>
      </c>
      <c r="D792" s="2">
        <f t="shared" si="1"/>
        <v>1</v>
      </c>
      <c r="F792" s="1" t="str">
        <f t="shared" si="2"/>
        <v>INSERT INTO tblQuestionBank VALUES (seqQuestionBank.nextval, q'[컴파일러와 인터프리터의 차이점은 무엇인가?]', 1);</v>
      </c>
    </row>
    <row r="793">
      <c r="A793" s="1">
        <v>788.0</v>
      </c>
      <c r="B793" s="1" t="s">
        <v>283</v>
      </c>
      <c r="C793" s="39" t="s">
        <v>291</v>
      </c>
      <c r="D793" s="2">
        <f t="shared" si="1"/>
        <v>4</v>
      </c>
      <c r="F793" s="1" t="str">
        <f t="shared" si="2"/>
        <v>INSERT INTO tblQuestionBank VALUES (seqQuestionBank.nextval, q'[JavaScript에서 클로저(closure)의 정의는 무엇인가?]', 4);</v>
      </c>
    </row>
    <row r="794">
      <c r="A794" s="1">
        <v>789.0</v>
      </c>
      <c r="B794" s="1" t="s">
        <v>283</v>
      </c>
      <c r="C794" s="39" t="s">
        <v>292</v>
      </c>
      <c r="D794" s="2">
        <f t="shared" si="1"/>
        <v>2</v>
      </c>
      <c r="F794" s="1" t="str">
        <f t="shared" si="2"/>
        <v>INSERT INTO tblQuestionBank VALUES (seqQuestionBank.nextval, q'[객체 지향 프로그래밍의 4대 특징 중 하나가 아닌 것은 무엇인가?]', 2);</v>
      </c>
    </row>
    <row r="795">
      <c r="A795" s="1">
        <v>790.0</v>
      </c>
      <c r="B795" s="1" t="s">
        <v>283</v>
      </c>
      <c r="C795" s="39" t="s">
        <v>293</v>
      </c>
      <c r="D795" s="2">
        <f t="shared" si="1"/>
        <v>2</v>
      </c>
      <c r="F795" s="1" t="str">
        <f t="shared" si="2"/>
        <v>INSERT INTO tblQuestionBank VALUES (seqQuestionBank.nextval, q'[SQL에서 'JOIN'의 기능은 무엇인가?]', 2);</v>
      </c>
    </row>
    <row r="796">
      <c r="A796" s="1">
        <v>791.0</v>
      </c>
      <c r="B796" s="1" t="s">
        <v>283</v>
      </c>
      <c r="C796" s="39" t="s">
        <v>294</v>
      </c>
      <c r="D796" s="2">
        <f t="shared" si="1"/>
        <v>4</v>
      </c>
      <c r="F796" s="1" t="str">
        <f t="shared" si="2"/>
        <v>INSERT INTO tblQuestionBank VALUES (seqQuestionBank.nextval, q'[Python에서 'with open()' 구문의 주요 목적은 무엇인가?]', 4);</v>
      </c>
    </row>
    <row r="797">
      <c r="A797" s="1">
        <v>792.0</v>
      </c>
      <c r="B797" s="1" t="s">
        <v>283</v>
      </c>
      <c r="C797" s="39" t="s">
        <v>295</v>
      </c>
      <c r="D797" s="2">
        <f t="shared" si="1"/>
        <v>2</v>
      </c>
      <c r="F797" s="1" t="str">
        <f t="shared" si="2"/>
        <v>INSERT INTO tblQuestionBank VALUES (seqQuestionBank.nextval, q'[데이터베이스에서 정규화의 목적은 무엇인가?]', 2);</v>
      </c>
    </row>
    <row r="798">
      <c r="A798" s="1">
        <v>793.0</v>
      </c>
      <c r="B798" s="1" t="s">
        <v>283</v>
      </c>
      <c r="C798" s="39" t="s">
        <v>296</v>
      </c>
      <c r="D798" s="2">
        <f t="shared" si="1"/>
        <v>1</v>
      </c>
      <c r="F798" s="1" t="str">
        <f t="shared" si="2"/>
        <v>INSERT INTO tblQuestionBank VALUES (seqQuestionBank.nextval, q'[CSS에서 'flexbox'의 주요 사용 목적은 무엇인가?]', 1);</v>
      </c>
    </row>
    <row r="799">
      <c r="A799" s="1">
        <v>794.0</v>
      </c>
      <c r="B799" s="1" t="s">
        <v>283</v>
      </c>
      <c r="C799" s="39" t="s">
        <v>297</v>
      </c>
      <c r="D799" s="2">
        <f t="shared" si="1"/>
        <v>2</v>
      </c>
      <c r="F799" s="1" t="str">
        <f t="shared" si="2"/>
        <v>INSERT INTO tblQuestionBank VALUES (seqQuestionBank.nextval, q'[Git에서 'merge'와 'rebase'의 차이점은 무엇인가?]', 2);</v>
      </c>
    </row>
    <row r="800">
      <c r="A800" s="1">
        <v>795.0</v>
      </c>
      <c r="B800" s="1" t="s">
        <v>283</v>
      </c>
      <c r="C800" s="39" t="s">
        <v>298</v>
      </c>
      <c r="D800" s="2">
        <f t="shared" si="1"/>
        <v>5</v>
      </c>
      <c r="F800" s="1" t="str">
        <f t="shared" si="2"/>
        <v>INSERT INTO tblQuestionBank VALUES (seqQuestionBank.nextval, q'[C++에서 참조자(reference)와 포인터(pointer)의 차이는 무엇인가?]', 5);</v>
      </c>
    </row>
    <row r="801">
      <c r="A801" s="1">
        <v>796.0</v>
      </c>
      <c r="B801" s="1" t="s">
        <v>283</v>
      </c>
      <c r="C801" s="39" t="s">
        <v>299</v>
      </c>
      <c r="D801" s="2">
        <f t="shared" si="1"/>
        <v>4</v>
      </c>
      <c r="F801" s="1" t="str">
        <f t="shared" si="2"/>
        <v>INSERT INTO tblQuestionBank VALUES (seqQuestionBank.nextval, q'[네트워크에서 TCP와 UDP의 차이점은 무엇인가?]', 4);</v>
      </c>
    </row>
    <row r="802">
      <c r="A802" s="1">
        <v>797.0</v>
      </c>
      <c r="B802" s="1" t="s">
        <v>283</v>
      </c>
      <c r="C802" s="39" t="s">
        <v>300</v>
      </c>
      <c r="D802" s="2">
        <f t="shared" si="1"/>
        <v>4</v>
      </c>
      <c r="F802" s="1" t="str">
        <f t="shared" si="2"/>
        <v>INSERT INTO tblQuestionBank VALUES (seqQuestionBank.nextval, q'[Python에서 제너레이터(generator)의 특징은 무엇인가?]', 4);</v>
      </c>
    </row>
    <row r="803">
      <c r="A803" s="1">
        <v>798.0</v>
      </c>
      <c r="B803" s="1" t="s">
        <v>283</v>
      </c>
      <c r="C803" s="39" t="s">
        <v>301</v>
      </c>
      <c r="D803" s="2">
        <f t="shared" si="1"/>
        <v>5</v>
      </c>
      <c r="F803" s="1" t="str">
        <f t="shared" si="2"/>
        <v>INSERT INTO tblQuestionBank VALUES (seqQuestionBank.nextval, q'[REST API의 주요 원칙 중 하나가 아닌 것은 무엇인가?]', 5);</v>
      </c>
    </row>
    <row r="804">
      <c r="A804" s="1">
        <v>799.0</v>
      </c>
      <c r="B804" s="1" t="s">
        <v>283</v>
      </c>
      <c r="C804" s="39" t="s">
        <v>302</v>
      </c>
      <c r="D804" s="2">
        <f t="shared" si="1"/>
        <v>5</v>
      </c>
      <c r="F804" s="1" t="str">
        <f t="shared" si="2"/>
        <v>INSERT INTO tblQuestionBank VALUES (seqQuestionBank.nextval, q'[Java에서 예외(Exception) 처리 방법으로 올바른 것을 고르시오.]', 5);</v>
      </c>
    </row>
    <row r="805">
      <c r="A805" s="1">
        <v>800.0</v>
      </c>
      <c r="B805" s="1" t="s">
        <v>283</v>
      </c>
      <c r="C805" s="39" t="s">
        <v>303</v>
      </c>
      <c r="D805" s="2">
        <f t="shared" si="1"/>
        <v>5</v>
      </c>
      <c r="F805" s="1" t="str">
        <f t="shared" si="2"/>
        <v>INSERT INTO tblQuestionBank VALUES (seqQuestionBank.nextval, q'[프로그래밍 언어에서 타입 캐스팅(type casting)이란 무엇인가?]', 5);</v>
      </c>
    </row>
    <row r="806">
      <c r="A806" s="1">
        <v>801.0</v>
      </c>
      <c r="B806" s="1" t="s">
        <v>283</v>
      </c>
      <c r="C806" s="39" t="s">
        <v>284</v>
      </c>
      <c r="D806" s="2">
        <f t="shared" si="1"/>
        <v>1</v>
      </c>
      <c r="F806" s="1" t="str">
        <f t="shared" si="2"/>
        <v>INSERT INTO tblQuestionBank VALUES (seqQuestionBank.nextval, q'[변수의 스코프(scope)란 무엇인가에 대한 설명으로 올바른 것을 고르시오.]', 1);</v>
      </c>
    </row>
    <row r="807">
      <c r="A807" s="1">
        <v>802.0</v>
      </c>
      <c r="B807" s="1" t="s">
        <v>283</v>
      </c>
      <c r="C807" s="39" t="s">
        <v>285</v>
      </c>
      <c r="D807" s="2">
        <f t="shared" si="1"/>
        <v>1</v>
      </c>
      <c r="F807" s="1" t="str">
        <f t="shared" si="2"/>
        <v>INSERT INTO tblQuestionBank VALUES (seqQuestionBank.nextval, q'[재귀 함수와 반복문 중 메모리 사용량이 더 많은 것은 무엇인가?]', 1);</v>
      </c>
    </row>
    <row r="808">
      <c r="A808" s="1">
        <v>803.0</v>
      </c>
      <c r="B808" s="1" t="s">
        <v>283</v>
      </c>
      <c r="C808" s="39" t="s">
        <v>286</v>
      </c>
      <c r="D808" s="2">
        <f t="shared" si="1"/>
        <v>2</v>
      </c>
      <c r="F808" s="1" t="str">
        <f t="shared" si="2"/>
        <v>INSERT INTO tblQuestionBank VALUES (seqQuestionBank.nextval, q'[HTML에서 'a' 태그의 주요 기능은 무엇인가?]', 2);</v>
      </c>
    </row>
    <row r="809">
      <c r="A809" s="1">
        <v>804.0</v>
      </c>
      <c r="B809" s="1" t="s">
        <v>283</v>
      </c>
      <c r="C809" s="39" t="s">
        <v>287</v>
      </c>
      <c r="D809" s="2">
        <f t="shared" si="1"/>
        <v>1</v>
      </c>
      <c r="F809" s="1" t="str">
        <f t="shared" si="2"/>
        <v>INSERT INTO tblQuestionBank VALUES (seqQuestionBank.nextval, q'[Java에서 클래스와 객체의 차이점은 무엇인가?]', 1);</v>
      </c>
    </row>
    <row r="810">
      <c r="A810" s="1">
        <v>805.0</v>
      </c>
      <c r="B810" s="1" t="s">
        <v>283</v>
      </c>
      <c r="C810" s="39" t="s">
        <v>288</v>
      </c>
      <c r="D810" s="2">
        <f t="shared" si="1"/>
        <v>1</v>
      </c>
      <c r="F810" s="1" t="str">
        <f t="shared" si="2"/>
        <v>INSERT INTO tblQuestionBank VALUES (seqQuestionBank.nextval, q'[Python의 리스트와 튜플의 차이점은 무엇인가?]', 1);</v>
      </c>
    </row>
    <row r="811">
      <c r="A811" s="1">
        <v>806.0</v>
      </c>
      <c r="B811" s="1" t="s">
        <v>283</v>
      </c>
      <c r="C811" s="39" t="s">
        <v>289</v>
      </c>
      <c r="D811" s="2">
        <f t="shared" si="1"/>
        <v>2</v>
      </c>
      <c r="F811" s="1" t="str">
        <f t="shared" si="2"/>
        <v>INSERT INTO tblQuestionBank VALUES (seqQuestionBank.nextval, q'[C언어에서 포인터를 사용하는 주된 이유는 무엇인가?]', 2);</v>
      </c>
    </row>
    <row r="812">
      <c r="A812" s="1">
        <v>807.0</v>
      </c>
      <c r="B812" s="1" t="s">
        <v>283</v>
      </c>
      <c r="C812" s="39" t="s">
        <v>290</v>
      </c>
      <c r="D812" s="2">
        <f t="shared" si="1"/>
        <v>1</v>
      </c>
      <c r="F812" s="1" t="str">
        <f t="shared" si="2"/>
        <v>INSERT INTO tblQuestionBank VALUES (seqQuestionBank.nextval, q'[컴파일러와 인터프리터의 차이점은 무엇인가?]', 1);</v>
      </c>
    </row>
    <row r="813">
      <c r="A813" s="1">
        <v>808.0</v>
      </c>
      <c r="B813" s="1" t="s">
        <v>283</v>
      </c>
      <c r="C813" s="39" t="s">
        <v>291</v>
      </c>
      <c r="D813" s="2">
        <f t="shared" si="1"/>
        <v>4</v>
      </c>
      <c r="F813" s="1" t="str">
        <f t="shared" si="2"/>
        <v>INSERT INTO tblQuestionBank VALUES (seqQuestionBank.nextval, q'[JavaScript에서 클로저(closure)의 정의는 무엇인가?]', 4);</v>
      </c>
    </row>
    <row r="814">
      <c r="A814" s="1">
        <v>809.0</v>
      </c>
      <c r="B814" s="1" t="s">
        <v>283</v>
      </c>
      <c r="C814" s="39" t="s">
        <v>292</v>
      </c>
      <c r="D814" s="2">
        <f t="shared" si="1"/>
        <v>2</v>
      </c>
      <c r="F814" s="1" t="str">
        <f t="shared" si="2"/>
        <v>INSERT INTO tblQuestionBank VALUES (seqQuestionBank.nextval, q'[객체 지향 프로그래밍의 4대 특징 중 하나가 아닌 것은 무엇인가?]', 2);</v>
      </c>
    </row>
    <row r="815">
      <c r="A815" s="1">
        <v>810.0</v>
      </c>
      <c r="B815" s="1" t="s">
        <v>283</v>
      </c>
      <c r="C815" s="39" t="s">
        <v>293</v>
      </c>
      <c r="D815" s="2">
        <f t="shared" si="1"/>
        <v>3</v>
      </c>
      <c r="F815" s="1" t="str">
        <f t="shared" si="2"/>
        <v>INSERT INTO tblQuestionBank VALUES (seqQuestionBank.nextval, q'[SQL에서 'JOIN'의 기능은 무엇인가?]', 3);</v>
      </c>
    </row>
    <row r="816">
      <c r="A816" s="1">
        <v>811.0</v>
      </c>
      <c r="B816" s="1" t="s">
        <v>283</v>
      </c>
      <c r="C816" s="39" t="s">
        <v>294</v>
      </c>
      <c r="D816" s="2">
        <f t="shared" si="1"/>
        <v>2</v>
      </c>
      <c r="F816" s="1" t="str">
        <f t="shared" si="2"/>
        <v>INSERT INTO tblQuestionBank VALUES (seqQuestionBank.nextval, q'[Python에서 'with open()' 구문의 주요 목적은 무엇인가?]', 2);</v>
      </c>
    </row>
    <row r="817">
      <c r="A817" s="1">
        <v>812.0</v>
      </c>
      <c r="B817" s="1" t="s">
        <v>283</v>
      </c>
      <c r="C817" s="39" t="s">
        <v>295</v>
      </c>
      <c r="D817" s="2">
        <f t="shared" si="1"/>
        <v>4</v>
      </c>
      <c r="F817" s="1" t="str">
        <f t="shared" si="2"/>
        <v>INSERT INTO tblQuestionBank VALUES (seqQuestionBank.nextval, q'[데이터베이스에서 정규화의 목적은 무엇인가?]', 4);</v>
      </c>
    </row>
    <row r="818">
      <c r="A818" s="1">
        <v>813.0</v>
      </c>
      <c r="B818" s="1" t="s">
        <v>283</v>
      </c>
      <c r="C818" s="39" t="s">
        <v>296</v>
      </c>
      <c r="D818" s="2">
        <f t="shared" si="1"/>
        <v>5</v>
      </c>
      <c r="F818" s="1" t="str">
        <f t="shared" si="2"/>
        <v>INSERT INTO tblQuestionBank VALUES (seqQuestionBank.nextval, q'[CSS에서 'flexbox'의 주요 사용 목적은 무엇인가?]', 5);</v>
      </c>
    </row>
    <row r="819">
      <c r="A819" s="1">
        <v>814.0</v>
      </c>
      <c r="B819" s="1" t="s">
        <v>283</v>
      </c>
      <c r="C819" s="39" t="s">
        <v>297</v>
      </c>
      <c r="D819" s="2">
        <f t="shared" si="1"/>
        <v>5</v>
      </c>
      <c r="F819" s="1" t="str">
        <f t="shared" si="2"/>
        <v>INSERT INTO tblQuestionBank VALUES (seqQuestionBank.nextval, q'[Git에서 'merge'와 'rebase'의 차이점은 무엇인가?]', 5);</v>
      </c>
    </row>
    <row r="820">
      <c r="A820" s="1">
        <v>815.0</v>
      </c>
      <c r="B820" s="1" t="s">
        <v>283</v>
      </c>
      <c r="C820" s="39" t="s">
        <v>298</v>
      </c>
      <c r="D820" s="2">
        <f t="shared" si="1"/>
        <v>5</v>
      </c>
      <c r="F820" s="1" t="str">
        <f t="shared" si="2"/>
        <v>INSERT INTO tblQuestionBank VALUES (seqQuestionBank.nextval, q'[C++에서 참조자(reference)와 포인터(pointer)의 차이는 무엇인가?]', 5);</v>
      </c>
    </row>
    <row r="821">
      <c r="A821" s="1">
        <v>816.0</v>
      </c>
      <c r="B821" s="1" t="s">
        <v>283</v>
      </c>
      <c r="C821" s="39" t="s">
        <v>299</v>
      </c>
      <c r="D821" s="2">
        <f t="shared" si="1"/>
        <v>4</v>
      </c>
      <c r="F821" s="1" t="str">
        <f t="shared" si="2"/>
        <v>INSERT INTO tblQuestionBank VALUES (seqQuestionBank.nextval, q'[네트워크에서 TCP와 UDP의 차이점은 무엇인가?]', 4);</v>
      </c>
    </row>
    <row r="822">
      <c r="A822" s="1">
        <v>817.0</v>
      </c>
      <c r="B822" s="1" t="s">
        <v>283</v>
      </c>
      <c r="C822" s="39" t="s">
        <v>300</v>
      </c>
      <c r="D822" s="2">
        <f t="shared" si="1"/>
        <v>5</v>
      </c>
      <c r="F822" s="1" t="str">
        <f t="shared" si="2"/>
        <v>INSERT INTO tblQuestionBank VALUES (seqQuestionBank.nextval, q'[Python에서 제너레이터(generator)의 특징은 무엇인가?]', 5);</v>
      </c>
    </row>
    <row r="823">
      <c r="A823" s="1">
        <v>818.0</v>
      </c>
      <c r="B823" s="1" t="s">
        <v>283</v>
      </c>
      <c r="C823" s="39" t="s">
        <v>301</v>
      </c>
      <c r="D823" s="2">
        <f t="shared" si="1"/>
        <v>1</v>
      </c>
      <c r="F823" s="1" t="str">
        <f t="shared" si="2"/>
        <v>INSERT INTO tblQuestionBank VALUES (seqQuestionBank.nextval, q'[REST API의 주요 원칙 중 하나가 아닌 것은 무엇인가?]', 1);</v>
      </c>
    </row>
    <row r="824">
      <c r="A824" s="1">
        <v>819.0</v>
      </c>
      <c r="B824" s="1" t="s">
        <v>283</v>
      </c>
      <c r="C824" s="39" t="s">
        <v>302</v>
      </c>
      <c r="D824" s="2">
        <f t="shared" si="1"/>
        <v>1</v>
      </c>
      <c r="F824" s="1" t="str">
        <f t="shared" si="2"/>
        <v>INSERT INTO tblQuestionBank VALUES (seqQuestionBank.nextval, q'[Java에서 예외(Exception) 처리 방법으로 올바른 것을 고르시오.]', 1);</v>
      </c>
    </row>
    <row r="825">
      <c r="A825" s="1">
        <v>820.0</v>
      </c>
      <c r="B825" s="1" t="s">
        <v>283</v>
      </c>
      <c r="C825" s="39" t="s">
        <v>303</v>
      </c>
      <c r="D825" s="2">
        <f t="shared" si="1"/>
        <v>1</v>
      </c>
      <c r="F825" s="1" t="str">
        <f t="shared" si="2"/>
        <v>INSERT INTO tblQuestionBank VALUES (seqQuestionBank.nextval, q'[프로그래밍 언어에서 타입 캐스팅(type casting)이란 무엇인가?]', 1);</v>
      </c>
    </row>
    <row r="826">
      <c r="A826" s="1">
        <v>821.0</v>
      </c>
      <c r="B826" s="1" t="s">
        <v>283</v>
      </c>
      <c r="C826" s="39" t="s">
        <v>284</v>
      </c>
      <c r="D826" s="2">
        <f t="shared" si="1"/>
        <v>1</v>
      </c>
      <c r="F826" s="1" t="str">
        <f t="shared" si="2"/>
        <v>INSERT INTO tblQuestionBank VALUES (seqQuestionBank.nextval, q'[변수의 스코프(scope)란 무엇인가에 대한 설명으로 올바른 것을 고르시오.]', 1);</v>
      </c>
    </row>
    <row r="827">
      <c r="A827" s="1">
        <v>822.0</v>
      </c>
      <c r="B827" s="1" t="s">
        <v>283</v>
      </c>
      <c r="C827" s="39" t="s">
        <v>285</v>
      </c>
      <c r="D827" s="2">
        <f t="shared" si="1"/>
        <v>1</v>
      </c>
      <c r="F827" s="1" t="str">
        <f t="shared" si="2"/>
        <v>INSERT INTO tblQuestionBank VALUES (seqQuestionBank.nextval, q'[재귀 함수와 반복문 중 메모리 사용량이 더 많은 것은 무엇인가?]', 1);</v>
      </c>
    </row>
    <row r="828">
      <c r="A828" s="1">
        <v>823.0</v>
      </c>
      <c r="B828" s="1" t="s">
        <v>283</v>
      </c>
      <c r="C828" s="39" t="s">
        <v>286</v>
      </c>
      <c r="D828" s="2">
        <f t="shared" si="1"/>
        <v>4</v>
      </c>
      <c r="F828" s="1" t="str">
        <f t="shared" si="2"/>
        <v>INSERT INTO tblQuestionBank VALUES (seqQuestionBank.nextval, q'[HTML에서 'a' 태그의 주요 기능은 무엇인가?]', 4);</v>
      </c>
    </row>
    <row r="829">
      <c r="A829" s="1">
        <v>824.0</v>
      </c>
      <c r="B829" s="1" t="s">
        <v>283</v>
      </c>
      <c r="C829" s="39" t="s">
        <v>287</v>
      </c>
      <c r="D829" s="2">
        <f t="shared" si="1"/>
        <v>2</v>
      </c>
      <c r="F829" s="1" t="str">
        <f t="shared" si="2"/>
        <v>INSERT INTO tblQuestionBank VALUES (seqQuestionBank.nextval, q'[Java에서 클래스와 객체의 차이점은 무엇인가?]', 2);</v>
      </c>
    </row>
    <row r="830">
      <c r="A830" s="1">
        <v>825.0</v>
      </c>
      <c r="B830" s="1" t="s">
        <v>283</v>
      </c>
      <c r="C830" s="39" t="s">
        <v>288</v>
      </c>
      <c r="D830" s="2">
        <f t="shared" si="1"/>
        <v>4</v>
      </c>
      <c r="F830" s="1" t="str">
        <f t="shared" si="2"/>
        <v>INSERT INTO tblQuestionBank VALUES (seqQuestionBank.nextval, q'[Python의 리스트와 튜플의 차이점은 무엇인가?]', 4);</v>
      </c>
    </row>
    <row r="831">
      <c r="A831" s="1">
        <v>826.0</v>
      </c>
      <c r="B831" s="1" t="s">
        <v>283</v>
      </c>
      <c r="C831" s="39" t="s">
        <v>289</v>
      </c>
      <c r="D831" s="2">
        <f t="shared" si="1"/>
        <v>3</v>
      </c>
      <c r="F831" s="1" t="str">
        <f t="shared" si="2"/>
        <v>INSERT INTO tblQuestionBank VALUES (seqQuestionBank.nextval, q'[C언어에서 포인터를 사용하는 주된 이유는 무엇인가?]', 3);</v>
      </c>
    </row>
    <row r="832">
      <c r="A832" s="1">
        <v>827.0</v>
      </c>
      <c r="B832" s="1" t="s">
        <v>283</v>
      </c>
      <c r="C832" s="39" t="s">
        <v>290</v>
      </c>
      <c r="D832" s="2">
        <f t="shared" si="1"/>
        <v>4</v>
      </c>
      <c r="F832" s="1" t="str">
        <f t="shared" si="2"/>
        <v>INSERT INTO tblQuestionBank VALUES (seqQuestionBank.nextval, q'[컴파일러와 인터프리터의 차이점은 무엇인가?]', 4);</v>
      </c>
    </row>
    <row r="833">
      <c r="A833" s="1">
        <v>828.0</v>
      </c>
      <c r="B833" s="1" t="s">
        <v>283</v>
      </c>
      <c r="C833" s="39" t="s">
        <v>291</v>
      </c>
      <c r="D833" s="2">
        <f t="shared" si="1"/>
        <v>5</v>
      </c>
      <c r="F833" s="1" t="str">
        <f t="shared" si="2"/>
        <v>INSERT INTO tblQuestionBank VALUES (seqQuestionBank.nextval, q'[JavaScript에서 클로저(closure)의 정의는 무엇인가?]', 5);</v>
      </c>
    </row>
    <row r="834">
      <c r="A834" s="1">
        <v>829.0</v>
      </c>
      <c r="B834" s="1" t="s">
        <v>283</v>
      </c>
      <c r="C834" s="39" t="s">
        <v>292</v>
      </c>
      <c r="D834" s="2">
        <f t="shared" si="1"/>
        <v>5</v>
      </c>
      <c r="F834" s="1" t="str">
        <f t="shared" si="2"/>
        <v>INSERT INTO tblQuestionBank VALUES (seqQuestionBank.nextval, q'[객체 지향 프로그래밍의 4대 특징 중 하나가 아닌 것은 무엇인가?]', 5);</v>
      </c>
    </row>
    <row r="835">
      <c r="A835" s="1">
        <v>830.0</v>
      </c>
      <c r="B835" s="1" t="s">
        <v>283</v>
      </c>
      <c r="C835" s="39" t="s">
        <v>293</v>
      </c>
      <c r="D835" s="2">
        <f t="shared" si="1"/>
        <v>5</v>
      </c>
      <c r="F835" s="1" t="str">
        <f t="shared" si="2"/>
        <v>INSERT INTO tblQuestionBank VALUES (seqQuestionBank.nextval, q'[SQL에서 'JOIN'의 기능은 무엇인가?]', 5);</v>
      </c>
    </row>
    <row r="836">
      <c r="A836" s="1">
        <v>831.0</v>
      </c>
      <c r="B836" s="1" t="s">
        <v>283</v>
      </c>
      <c r="C836" s="39" t="s">
        <v>294</v>
      </c>
      <c r="D836" s="2">
        <f t="shared" si="1"/>
        <v>4</v>
      </c>
      <c r="F836" s="1" t="str">
        <f t="shared" si="2"/>
        <v>INSERT INTO tblQuestionBank VALUES (seqQuestionBank.nextval, q'[Python에서 'with open()' 구문의 주요 목적은 무엇인가?]', 4);</v>
      </c>
    </row>
    <row r="837">
      <c r="A837" s="1">
        <v>832.0</v>
      </c>
      <c r="B837" s="1" t="s">
        <v>283</v>
      </c>
      <c r="C837" s="39" t="s">
        <v>295</v>
      </c>
      <c r="D837" s="2">
        <f t="shared" si="1"/>
        <v>1</v>
      </c>
      <c r="F837" s="1" t="str">
        <f t="shared" si="2"/>
        <v>INSERT INTO tblQuestionBank VALUES (seqQuestionBank.nextval, q'[데이터베이스에서 정규화의 목적은 무엇인가?]', 1);</v>
      </c>
    </row>
    <row r="838">
      <c r="A838" s="1">
        <v>833.0</v>
      </c>
      <c r="B838" s="1" t="s">
        <v>283</v>
      </c>
      <c r="C838" s="39" t="s">
        <v>296</v>
      </c>
      <c r="D838" s="2">
        <f t="shared" si="1"/>
        <v>2</v>
      </c>
      <c r="F838" s="1" t="str">
        <f t="shared" si="2"/>
        <v>INSERT INTO tblQuestionBank VALUES (seqQuestionBank.nextval, q'[CSS에서 'flexbox'의 주요 사용 목적은 무엇인가?]', 2);</v>
      </c>
    </row>
    <row r="839">
      <c r="A839" s="1">
        <v>834.0</v>
      </c>
      <c r="B839" s="1" t="s">
        <v>283</v>
      </c>
      <c r="C839" s="39" t="s">
        <v>297</v>
      </c>
      <c r="D839" s="2">
        <f t="shared" si="1"/>
        <v>1</v>
      </c>
      <c r="F839" s="1" t="str">
        <f t="shared" si="2"/>
        <v>INSERT INTO tblQuestionBank VALUES (seqQuestionBank.nextval, q'[Git에서 'merge'와 'rebase'의 차이점은 무엇인가?]', 1);</v>
      </c>
    </row>
    <row r="840">
      <c r="A840" s="1">
        <v>835.0</v>
      </c>
      <c r="B840" s="1" t="s">
        <v>283</v>
      </c>
      <c r="C840" s="39" t="s">
        <v>298</v>
      </c>
      <c r="D840" s="2">
        <f t="shared" si="1"/>
        <v>1</v>
      </c>
      <c r="F840" s="1" t="str">
        <f t="shared" si="2"/>
        <v>INSERT INTO tblQuestionBank VALUES (seqQuestionBank.nextval, q'[C++에서 참조자(reference)와 포인터(pointer)의 차이는 무엇인가?]', 1);</v>
      </c>
    </row>
    <row r="841">
      <c r="A841" s="1">
        <v>836.0</v>
      </c>
      <c r="B841" s="1" t="s">
        <v>283</v>
      </c>
      <c r="C841" s="39" t="s">
        <v>299</v>
      </c>
      <c r="D841" s="2">
        <f t="shared" si="1"/>
        <v>1</v>
      </c>
      <c r="F841" s="1" t="str">
        <f t="shared" si="2"/>
        <v>INSERT INTO tblQuestionBank VALUES (seqQuestionBank.nextval, q'[네트워크에서 TCP와 UDP의 차이점은 무엇인가?]', 1);</v>
      </c>
    </row>
    <row r="842">
      <c r="A842" s="1">
        <v>837.0</v>
      </c>
      <c r="B842" s="1" t="s">
        <v>283</v>
      </c>
      <c r="C842" s="39" t="s">
        <v>300</v>
      </c>
      <c r="D842" s="2">
        <f t="shared" si="1"/>
        <v>1</v>
      </c>
      <c r="F842" s="1" t="str">
        <f t="shared" si="2"/>
        <v>INSERT INTO tblQuestionBank VALUES (seqQuestionBank.nextval, q'[Python에서 제너레이터(generator)의 특징은 무엇인가?]', 1);</v>
      </c>
    </row>
    <row r="843">
      <c r="A843" s="1">
        <v>838.0</v>
      </c>
      <c r="B843" s="1" t="s">
        <v>283</v>
      </c>
      <c r="C843" s="39" t="s">
        <v>301</v>
      </c>
      <c r="D843" s="2">
        <f t="shared" si="1"/>
        <v>4</v>
      </c>
      <c r="F843" s="1" t="str">
        <f t="shared" si="2"/>
        <v>INSERT INTO tblQuestionBank VALUES (seqQuestionBank.nextval, q'[REST API의 주요 원칙 중 하나가 아닌 것은 무엇인가?]', 4);</v>
      </c>
    </row>
    <row r="844">
      <c r="A844" s="1">
        <v>839.0</v>
      </c>
      <c r="B844" s="1" t="s">
        <v>283</v>
      </c>
      <c r="C844" s="39" t="s">
        <v>302</v>
      </c>
      <c r="D844" s="2">
        <f t="shared" si="1"/>
        <v>2</v>
      </c>
      <c r="F844" s="1" t="str">
        <f t="shared" si="2"/>
        <v>INSERT INTO tblQuestionBank VALUES (seqQuestionBank.nextval, q'[Java에서 예외(Exception) 처리 방법으로 올바른 것을 고르시오.]', 2);</v>
      </c>
    </row>
    <row r="845">
      <c r="A845" s="1">
        <v>840.0</v>
      </c>
      <c r="B845" s="1" t="s">
        <v>283</v>
      </c>
      <c r="C845" s="39" t="s">
        <v>303</v>
      </c>
      <c r="D845" s="2">
        <f t="shared" si="1"/>
        <v>3</v>
      </c>
      <c r="F845" s="1" t="str">
        <f t="shared" si="2"/>
        <v>INSERT INTO tblQuestionBank VALUES (seqQuestionBank.nextval, q'[프로그래밍 언어에서 타입 캐스팅(type casting)이란 무엇인가?]', 3);</v>
      </c>
    </row>
    <row r="846">
      <c r="A846" s="1">
        <v>841.0</v>
      </c>
      <c r="B846" s="1" t="s">
        <v>283</v>
      </c>
      <c r="C846" s="39" t="s">
        <v>284</v>
      </c>
      <c r="D846" s="2">
        <f t="shared" si="1"/>
        <v>2</v>
      </c>
      <c r="F846" s="1" t="str">
        <f t="shared" si="2"/>
        <v>INSERT INTO tblQuestionBank VALUES (seqQuestionBank.nextval, q'[변수의 스코프(scope)란 무엇인가에 대한 설명으로 올바른 것을 고르시오.]', 2);</v>
      </c>
    </row>
    <row r="847">
      <c r="A847" s="1">
        <v>842.0</v>
      </c>
      <c r="B847" s="1" t="s">
        <v>283</v>
      </c>
      <c r="C847" s="39" t="s">
        <v>285</v>
      </c>
      <c r="D847" s="2">
        <f t="shared" si="1"/>
        <v>4</v>
      </c>
      <c r="F847" s="1" t="str">
        <f t="shared" si="2"/>
        <v>INSERT INTO tblQuestionBank VALUES (seqQuestionBank.nextval, q'[재귀 함수와 반복문 중 메모리 사용량이 더 많은 것은 무엇인가?]', 4);</v>
      </c>
    </row>
    <row r="848">
      <c r="A848" s="1">
        <v>843.0</v>
      </c>
      <c r="B848" s="1" t="s">
        <v>283</v>
      </c>
      <c r="C848" s="39" t="s">
        <v>286</v>
      </c>
      <c r="D848" s="2">
        <f t="shared" si="1"/>
        <v>5</v>
      </c>
      <c r="F848" s="1" t="str">
        <f t="shared" si="2"/>
        <v>INSERT INTO tblQuestionBank VALUES (seqQuestionBank.nextval, q'[HTML에서 'a' 태그의 주요 기능은 무엇인가?]', 5);</v>
      </c>
    </row>
    <row r="849">
      <c r="A849" s="1">
        <v>844.0</v>
      </c>
      <c r="B849" s="1" t="s">
        <v>283</v>
      </c>
      <c r="C849" s="39" t="s">
        <v>287</v>
      </c>
      <c r="D849" s="2">
        <f t="shared" si="1"/>
        <v>3</v>
      </c>
      <c r="F849" s="1" t="str">
        <f t="shared" si="2"/>
        <v>INSERT INTO tblQuestionBank VALUES (seqQuestionBank.nextval, q'[Java에서 클래스와 객체의 차이점은 무엇인가?]', 3);</v>
      </c>
    </row>
    <row r="850">
      <c r="A850" s="1">
        <v>845.0</v>
      </c>
      <c r="B850" s="1" t="s">
        <v>283</v>
      </c>
      <c r="C850" s="39" t="s">
        <v>288</v>
      </c>
      <c r="D850" s="2">
        <f t="shared" si="1"/>
        <v>5</v>
      </c>
      <c r="F850" s="1" t="str">
        <f t="shared" si="2"/>
        <v>INSERT INTO tblQuestionBank VALUES (seqQuestionBank.nextval, q'[Python의 리스트와 튜플의 차이점은 무엇인가?]', 5);</v>
      </c>
    </row>
    <row r="851">
      <c r="A851" s="1">
        <v>846.0</v>
      </c>
      <c r="B851" s="1" t="s">
        <v>283</v>
      </c>
      <c r="C851" s="39" t="s">
        <v>289</v>
      </c>
      <c r="D851" s="2">
        <f t="shared" si="1"/>
        <v>4</v>
      </c>
      <c r="F851" s="1" t="str">
        <f t="shared" si="2"/>
        <v>INSERT INTO tblQuestionBank VALUES (seqQuestionBank.nextval, q'[C언어에서 포인터를 사용하는 주된 이유는 무엇인가?]', 4);</v>
      </c>
    </row>
    <row r="852">
      <c r="A852" s="1">
        <v>847.0</v>
      </c>
      <c r="B852" s="1" t="s">
        <v>283</v>
      </c>
      <c r="C852" s="39" t="s">
        <v>290</v>
      </c>
      <c r="D852" s="2">
        <f t="shared" si="1"/>
        <v>5</v>
      </c>
      <c r="F852" s="1" t="str">
        <f t="shared" si="2"/>
        <v>INSERT INTO tblQuestionBank VALUES (seqQuestionBank.nextval, q'[컴파일러와 인터프리터의 차이점은 무엇인가?]', 5);</v>
      </c>
    </row>
    <row r="853">
      <c r="A853" s="1">
        <v>848.0</v>
      </c>
      <c r="B853" s="1" t="s">
        <v>283</v>
      </c>
      <c r="C853" s="39" t="s">
        <v>291</v>
      </c>
      <c r="D853" s="2">
        <f t="shared" si="1"/>
        <v>5</v>
      </c>
      <c r="F853" s="1" t="str">
        <f t="shared" si="2"/>
        <v>INSERT INTO tblQuestionBank VALUES (seqQuestionBank.nextval, q'[JavaScript에서 클로저(closure)의 정의는 무엇인가?]', 5);</v>
      </c>
    </row>
    <row r="854">
      <c r="A854" s="1">
        <v>849.0</v>
      </c>
      <c r="B854" s="1" t="s">
        <v>283</v>
      </c>
      <c r="C854" s="39" t="s">
        <v>292</v>
      </c>
      <c r="D854" s="2">
        <f t="shared" si="1"/>
        <v>1</v>
      </c>
      <c r="F854" s="1" t="str">
        <f t="shared" si="2"/>
        <v>INSERT INTO tblQuestionBank VALUES (seqQuestionBank.nextval, q'[객체 지향 프로그래밍의 4대 특징 중 하나가 아닌 것은 무엇인가?]', 1);</v>
      </c>
    </row>
    <row r="855">
      <c r="A855" s="1">
        <v>850.0</v>
      </c>
      <c r="B855" s="1" t="s">
        <v>283</v>
      </c>
      <c r="C855" s="39" t="s">
        <v>293</v>
      </c>
      <c r="D855" s="2">
        <f t="shared" si="1"/>
        <v>1</v>
      </c>
      <c r="F855" s="1" t="str">
        <f t="shared" si="2"/>
        <v>INSERT INTO tblQuestionBank VALUES (seqQuestionBank.nextval, q'[SQL에서 'JOIN'의 기능은 무엇인가?]', 1);</v>
      </c>
    </row>
    <row r="856">
      <c r="A856" s="1">
        <v>851.0</v>
      </c>
      <c r="B856" s="1" t="s">
        <v>283</v>
      </c>
      <c r="C856" s="39" t="s">
        <v>294</v>
      </c>
      <c r="D856" s="2">
        <f t="shared" si="1"/>
        <v>5</v>
      </c>
      <c r="F856" s="1" t="str">
        <f t="shared" si="2"/>
        <v>INSERT INTO tblQuestionBank VALUES (seqQuestionBank.nextval, q'[Python에서 'with open()' 구문의 주요 목적은 무엇인가?]', 5);</v>
      </c>
    </row>
    <row r="857">
      <c r="A857" s="1">
        <v>852.0</v>
      </c>
      <c r="B857" s="1" t="s">
        <v>283</v>
      </c>
      <c r="C857" s="39" t="s">
        <v>295</v>
      </c>
      <c r="D857" s="2">
        <f t="shared" si="1"/>
        <v>1</v>
      </c>
      <c r="F857" s="1" t="str">
        <f t="shared" si="2"/>
        <v>INSERT INTO tblQuestionBank VALUES (seqQuestionBank.nextval, q'[데이터베이스에서 정규화의 목적은 무엇인가?]', 1);</v>
      </c>
    </row>
    <row r="858">
      <c r="A858" s="1">
        <v>853.0</v>
      </c>
      <c r="B858" s="1" t="s">
        <v>283</v>
      </c>
      <c r="C858" s="39" t="s">
        <v>296</v>
      </c>
      <c r="D858" s="2">
        <f t="shared" si="1"/>
        <v>3</v>
      </c>
      <c r="F858" s="1" t="str">
        <f t="shared" si="2"/>
        <v>INSERT INTO tblQuestionBank VALUES (seqQuestionBank.nextval, q'[CSS에서 'flexbox'의 주요 사용 목적은 무엇인가?]', 3);</v>
      </c>
    </row>
    <row r="859">
      <c r="A859" s="1">
        <v>854.0</v>
      </c>
      <c r="B859" s="1" t="s">
        <v>283</v>
      </c>
      <c r="C859" s="39" t="s">
        <v>297</v>
      </c>
      <c r="D859" s="2">
        <f t="shared" si="1"/>
        <v>1</v>
      </c>
      <c r="F859" s="1" t="str">
        <f t="shared" si="2"/>
        <v>INSERT INTO tblQuestionBank VALUES (seqQuestionBank.nextval, q'[Git에서 'merge'와 'rebase'의 차이점은 무엇인가?]', 1);</v>
      </c>
    </row>
    <row r="860">
      <c r="A860" s="1">
        <v>855.0</v>
      </c>
      <c r="B860" s="1" t="s">
        <v>283</v>
      </c>
      <c r="C860" s="39" t="s">
        <v>298</v>
      </c>
      <c r="D860" s="2">
        <f t="shared" si="1"/>
        <v>3</v>
      </c>
      <c r="F860" s="1" t="str">
        <f t="shared" si="2"/>
        <v>INSERT INTO tblQuestionBank VALUES (seqQuestionBank.nextval, q'[C++에서 참조자(reference)와 포인터(pointer)의 차이는 무엇인가?]', 3);</v>
      </c>
    </row>
    <row r="861">
      <c r="A861" s="1">
        <v>856.0</v>
      </c>
      <c r="B861" s="1" t="s">
        <v>283</v>
      </c>
      <c r="C861" s="39" t="s">
        <v>299</v>
      </c>
      <c r="D861" s="2">
        <f t="shared" si="1"/>
        <v>2</v>
      </c>
      <c r="F861" s="1" t="str">
        <f t="shared" si="2"/>
        <v>INSERT INTO tblQuestionBank VALUES (seqQuestionBank.nextval, q'[네트워크에서 TCP와 UDP의 차이점은 무엇인가?]', 2);</v>
      </c>
    </row>
    <row r="862">
      <c r="A862" s="1">
        <v>857.0</v>
      </c>
      <c r="B862" s="1" t="s">
        <v>283</v>
      </c>
      <c r="C862" s="39" t="s">
        <v>300</v>
      </c>
      <c r="D862" s="2">
        <f t="shared" si="1"/>
        <v>2</v>
      </c>
      <c r="F862" s="1" t="str">
        <f t="shared" si="2"/>
        <v>INSERT INTO tblQuestionBank VALUES (seqQuestionBank.nextval, q'[Python에서 제너레이터(generator)의 특징은 무엇인가?]', 2);</v>
      </c>
    </row>
    <row r="863">
      <c r="A863" s="1">
        <v>858.0</v>
      </c>
      <c r="B863" s="1" t="s">
        <v>283</v>
      </c>
      <c r="C863" s="39" t="s">
        <v>301</v>
      </c>
      <c r="D863" s="2">
        <f t="shared" si="1"/>
        <v>2</v>
      </c>
      <c r="F863" s="1" t="str">
        <f t="shared" si="2"/>
        <v>INSERT INTO tblQuestionBank VALUES (seqQuestionBank.nextval, q'[REST API의 주요 원칙 중 하나가 아닌 것은 무엇인가?]', 2);</v>
      </c>
    </row>
    <row r="864">
      <c r="A864" s="1">
        <v>859.0</v>
      </c>
      <c r="B864" s="1" t="s">
        <v>283</v>
      </c>
      <c r="C864" s="39" t="s">
        <v>302</v>
      </c>
      <c r="D864" s="2">
        <f t="shared" si="1"/>
        <v>2</v>
      </c>
      <c r="F864" s="1" t="str">
        <f t="shared" si="2"/>
        <v>INSERT INTO tblQuestionBank VALUES (seqQuestionBank.nextval, q'[Java에서 예외(Exception) 처리 방법으로 올바른 것을 고르시오.]', 2);</v>
      </c>
    </row>
    <row r="865">
      <c r="A865" s="1">
        <v>860.0</v>
      </c>
      <c r="B865" s="1" t="s">
        <v>283</v>
      </c>
      <c r="C865" s="39" t="s">
        <v>303</v>
      </c>
      <c r="D865" s="2">
        <f t="shared" si="1"/>
        <v>3</v>
      </c>
      <c r="F865" s="1" t="str">
        <f t="shared" si="2"/>
        <v>INSERT INTO tblQuestionBank VALUES (seqQuestionBank.nextval, q'[프로그래밍 언어에서 타입 캐스팅(type casting)이란 무엇인가?]', 3);</v>
      </c>
    </row>
    <row r="866">
      <c r="A866" s="1">
        <v>861.0</v>
      </c>
      <c r="B866" s="1" t="s">
        <v>283</v>
      </c>
      <c r="C866" s="39" t="s">
        <v>284</v>
      </c>
      <c r="D866" s="2">
        <f t="shared" si="1"/>
        <v>1</v>
      </c>
      <c r="F866" s="1" t="str">
        <f t="shared" si="2"/>
        <v>INSERT INTO tblQuestionBank VALUES (seqQuestionBank.nextval, q'[변수의 스코프(scope)란 무엇인가에 대한 설명으로 올바른 것을 고르시오.]', 1);</v>
      </c>
    </row>
    <row r="867">
      <c r="A867" s="1">
        <v>862.0</v>
      </c>
      <c r="B867" s="1" t="s">
        <v>283</v>
      </c>
      <c r="C867" s="39" t="s">
        <v>285</v>
      </c>
      <c r="D867" s="2">
        <f t="shared" si="1"/>
        <v>4</v>
      </c>
      <c r="F867" s="1" t="str">
        <f t="shared" si="2"/>
        <v>INSERT INTO tblQuestionBank VALUES (seqQuestionBank.nextval, q'[재귀 함수와 반복문 중 메모리 사용량이 더 많은 것은 무엇인가?]', 4);</v>
      </c>
    </row>
    <row r="868">
      <c r="A868" s="1">
        <v>863.0</v>
      </c>
      <c r="B868" s="1" t="s">
        <v>283</v>
      </c>
      <c r="C868" s="39" t="s">
        <v>286</v>
      </c>
      <c r="D868" s="2">
        <f t="shared" si="1"/>
        <v>2</v>
      </c>
      <c r="F868" s="1" t="str">
        <f t="shared" si="2"/>
        <v>INSERT INTO tblQuestionBank VALUES (seqQuestionBank.nextval, q'[HTML에서 'a' 태그의 주요 기능은 무엇인가?]', 2);</v>
      </c>
    </row>
    <row r="869">
      <c r="A869" s="1">
        <v>864.0</v>
      </c>
      <c r="B869" s="1" t="s">
        <v>283</v>
      </c>
      <c r="C869" s="39" t="s">
        <v>287</v>
      </c>
      <c r="D869" s="2">
        <f t="shared" si="1"/>
        <v>4</v>
      </c>
      <c r="F869" s="1" t="str">
        <f t="shared" si="2"/>
        <v>INSERT INTO tblQuestionBank VALUES (seqQuestionBank.nextval, q'[Java에서 클래스와 객체의 차이점은 무엇인가?]', 4);</v>
      </c>
    </row>
    <row r="870">
      <c r="A870" s="1">
        <v>865.0</v>
      </c>
      <c r="B870" s="1" t="s">
        <v>283</v>
      </c>
      <c r="C870" s="39" t="s">
        <v>288</v>
      </c>
      <c r="D870" s="2">
        <f t="shared" si="1"/>
        <v>5</v>
      </c>
      <c r="F870" s="1" t="str">
        <f t="shared" si="2"/>
        <v>INSERT INTO tblQuestionBank VALUES (seqQuestionBank.nextval, q'[Python의 리스트와 튜플의 차이점은 무엇인가?]', 5);</v>
      </c>
    </row>
    <row r="871">
      <c r="A871" s="1">
        <v>866.0</v>
      </c>
      <c r="B871" s="1" t="s">
        <v>283</v>
      </c>
      <c r="C871" s="39" t="s">
        <v>289</v>
      </c>
      <c r="D871" s="2">
        <f t="shared" si="1"/>
        <v>4</v>
      </c>
      <c r="F871" s="1" t="str">
        <f t="shared" si="2"/>
        <v>INSERT INTO tblQuestionBank VALUES (seqQuestionBank.nextval, q'[C언어에서 포인터를 사용하는 주된 이유는 무엇인가?]', 4);</v>
      </c>
    </row>
    <row r="872">
      <c r="A872" s="1">
        <v>867.0</v>
      </c>
      <c r="B872" s="1" t="s">
        <v>283</v>
      </c>
      <c r="C872" s="39" t="s">
        <v>290</v>
      </c>
      <c r="D872" s="2">
        <f t="shared" si="1"/>
        <v>5</v>
      </c>
      <c r="F872" s="1" t="str">
        <f t="shared" si="2"/>
        <v>INSERT INTO tblQuestionBank VALUES (seqQuestionBank.nextval, q'[컴파일러와 인터프리터의 차이점은 무엇인가?]', 5);</v>
      </c>
    </row>
    <row r="873">
      <c r="A873" s="1">
        <v>868.0</v>
      </c>
      <c r="B873" s="1" t="s">
        <v>283</v>
      </c>
      <c r="C873" s="39" t="s">
        <v>291</v>
      </c>
      <c r="D873" s="2">
        <f t="shared" si="1"/>
        <v>4</v>
      </c>
      <c r="F873" s="1" t="str">
        <f t="shared" si="2"/>
        <v>INSERT INTO tblQuestionBank VALUES (seqQuestionBank.nextval, q'[JavaScript에서 클로저(closure)의 정의는 무엇인가?]', 4);</v>
      </c>
    </row>
    <row r="874">
      <c r="A874" s="1">
        <v>869.0</v>
      </c>
      <c r="B874" s="1" t="s">
        <v>283</v>
      </c>
      <c r="C874" s="39" t="s">
        <v>292</v>
      </c>
      <c r="D874" s="2">
        <f t="shared" si="1"/>
        <v>1</v>
      </c>
      <c r="F874" s="1" t="str">
        <f t="shared" si="2"/>
        <v>INSERT INTO tblQuestionBank VALUES (seqQuestionBank.nextval, q'[객체 지향 프로그래밍의 4대 특징 중 하나가 아닌 것은 무엇인가?]', 1);</v>
      </c>
    </row>
    <row r="875">
      <c r="A875" s="1">
        <v>870.0</v>
      </c>
      <c r="B875" s="1" t="s">
        <v>283</v>
      </c>
      <c r="C875" s="39" t="s">
        <v>293</v>
      </c>
      <c r="D875" s="2">
        <f t="shared" si="1"/>
        <v>5</v>
      </c>
      <c r="F875" s="1" t="str">
        <f t="shared" si="2"/>
        <v>INSERT INTO tblQuestionBank VALUES (seqQuestionBank.nextval, q'[SQL에서 'JOIN'의 기능은 무엇인가?]', 5);</v>
      </c>
    </row>
    <row r="876">
      <c r="A876" s="1">
        <v>871.0</v>
      </c>
      <c r="B876" s="1" t="s">
        <v>283</v>
      </c>
      <c r="C876" s="39" t="s">
        <v>294</v>
      </c>
      <c r="D876" s="2">
        <f t="shared" si="1"/>
        <v>4</v>
      </c>
      <c r="F876" s="1" t="str">
        <f t="shared" si="2"/>
        <v>INSERT INTO tblQuestionBank VALUES (seqQuestionBank.nextval, q'[Python에서 'with open()' 구문의 주요 목적은 무엇인가?]', 4);</v>
      </c>
    </row>
    <row r="877">
      <c r="A877" s="1">
        <v>872.0</v>
      </c>
      <c r="B877" s="1" t="s">
        <v>283</v>
      </c>
      <c r="C877" s="39" t="s">
        <v>295</v>
      </c>
      <c r="D877" s="2">
        <f t="shared" si="1"/>
        <v>1</v>
      </c>
      <c r="F877" s="1" t="str">
        <f t="shared" si="2"/>
        <v>INSERT INTO tblQuestionBank VALUES (seqQuestionBank.nextval, q'[데이터베이스에서 정규화의 목적은 무엇인가?]', 1);</v>
      </c>
    </row>
    <row r="878">
      <c r="A878" s="1">
        <v>873.0</v>
      </c>
      <c r="B878" s="1" t="s">
        <v>283</v>
      </c>
      <c r="C878" s="39" t="s">
        <v>296</v>
      </c>
      <c r="D878" s="2">
        <f t="shared" si="1"/>
        <v>5</v>
      </c>
      <c r="F878" s="1" t="str">
        <f t="shared" si="2"/>
        <v>INSERT INTO tblQuestionBank VALUES (seqQuestionBank.nextval, q'[CSS에서 'flexbox'의 주요 사용 목적은 무엇인가?]', 5);</v>
      </c>
    </row>
    <row r="879">
      <c r="A879" s="1">
        <v>874.0</v>
      </c>
      <c r="B879" s="1" t="s">
        <v>283</v>
      </c>
      <c r="C879" s="39" t="s">
        <v>297</v>
      </c>
      <c r="D879" s="2">
        <f t="shared" si="1"/>
        <v>1</v>
      </c>
      <c r="F879" s="1" t="str">
        <f t="shared" si="2"/>
        <v>INSERT INTO tblQuestionBank VALUES (seqQuestionBank.nextval, q'[Git에서 'merge'와 'rebase'의 차이점은 무엇인가?]', 1);</v>
      </c>
    </row>
    <row r="880">
      <c r="A880" s="1">
        <v>875.0</v>
      </c>
      <c r="B880" s="1" t="s">
        <v>283</v>
      </c>
      <c r="C880" s="39" t="s">
        <v>298</v>
      </c>
      <c r="D880" s="2">
        <f t="shared" si="1"/>
        <v>3</v>
      </c>
      <c r="F880" s="1" t="str">
        <f t="shared" si="2"/>
        <v>INSERT INTO tblQuestionBank VALUES (seqQuestionBank.nextval, q'[C++에서 참조자(reference)와 포인터(pointer)의 차이는 무엇인가?]', 3);</v>
      </c>
    </row>
    <row r="881">
      <c r="A881" s="1">
        <v>876.0</v>
      </c>
      <c r="B881" s="1" t="s">
        <v>283</v>
      </c>
      <c r="C881" s="39" t="s">
        <v>299</v>
      </c>
      <c r="D881" s="2">
        <f t="shared" si="1"/>
        <v>1</v>
      </c>
      <c r="F881" s="1" t="str">
        <f t="shared" si="2"/>
        <v>INSERT INTO tblQuestionBank VALUES (seqQuestionBank.nextval, q'[네트워크에서 TCP와 UDP의 차이점은 무엇인가?]', 1);</v>
      </c>
    </row>
    <row r="882">
      <c r="A882" s="1">
        <v>877.0</v>
      </c>
      <c r="B882" s="1" t="s">
        <v>283</v>
      </c>
      <c r="C882" s="39" t="s">
        <v>300</v>
      </c>
      <c r="D882" s="2">
        <f t="shared" si="1"/>
        <v>3</v>
      </c>
      <c r="F882" s="1" t="str">
        <f t="shared" si="2"/>
        <v>INSERT INTO tblQuestionBank VALUES (seqQuestionBank.nextval, q'[Python에서 제너레이터(generator)의 특징은 무엇인가?]', 3);</v>
      </c>
    </row>
    <row r="883">
      <c r="A883" s="1">
        <v>878.0</v>
      </c>
      <c r="B883" s="1" t="s">
        <v>283</v>
      </c>
      <c r="C883" s="39" t="s">
        <v>301</v>
      </c>
      <c r="D883" s="2">
        <f t="shared" si="1"/>
        <v>2</v>
      </c>
      <c r="F883" s="1" t="str">
        <f t="shared" si="2"/>
        <v>INSERT INTO tblQuestionBank VALUES (seqQuestionBank.nextval, q'[REST API의 주요 원칙 중 하나가 아닌 것은 무엇인가?]', 2);</v>
      </c>
    </row>
    <row r="884">
      <c r="A884" s="1">
        <v>879.0</v>
      </c>
      <c r="B884" s="1" t="s">
        <v>283</v>
      </c>
      <c r="C884" s="39" t="s">
        <v>302</v>
      </c>
      <c r="D884" s="2">
        <f t="shared" si="1"/>
        <v>3</v>
      </c>
      <c r="F884" s="1" t="str">
        <f t="shared" si="2"/>
        <v>INSERT INTO tblQuestionBank VALUES (seqQuestionBank.nextval, q'[Java에서 예외(Exception) 처리 방법으로 올바른 것을 고르시오.]', 3);</v>
      </c>
    </row>
    <row r="885">
      <c r="A885" s="1">
        <v>880.0</v>
      </c>
      <c r="B885" s="1" t="s">
        <v>283</v>
      </c>
      <c r="C885" s="39" t="s">
        <v>303</v>
      </c>
      <c r="D885" s="2">
        <f t="shared" si="1"/>
        <v>4</v>
      </c>
      <c r="F885" s="1" t="str">
        <f t="shared" si="2"/>
        <v>INSERT INTO tblQuestionBank VALUES (seqQuestionBank.nextval, q'[프로그래밍 언어에서 타입 캐스팅(type casting)이란 무엇인가?]', 4);</v>
      </c>
    </row>
    <row r="886">
      <c r="A886" s="1">
        <v>881.0</v>
      </c>
      <c r="B886" s="1" t="s">
        <v>283</v>
      </c>
      <c r="C886" s="39" t="s">
        <v>284</v>
      </c>
      <c r="D886" s="2">
        <f t="shared" si="1"/>
        <v>3</v>
      </c>
      <c r="F886" s="1" t="str">
        <f t="shared" si="2"/>
        <v>INSERT INTO tblQuestionBank VALUES (seqQuestionBank.nextval, q'[변수의 스코프(scope)란 무엇인가에 대한 설명으로 올바른 것을 고르시오.]', 3);</v>
      </c>
    </row>
    <row r="887">
      <c r="A887" s="1">
        <v>882.0</v>
      </c>
      <c r="B887" s="1" t="s">
        <v>283</v>
      </c>
      <c r="C887" s="39" t="s">
        <v>285</v>
      </c>
      <c r="D887" s="2">
        <f t="shared" si="1"/>
        <v>5</v>
      </c>
      <c r="F887" s="1" t="str">
        <f t="shared" si="2"/>
        <v>INSERT INTO tblQuestionBank VALUES (seqQuestionBank.nextval, q'[재귀 함수와 반복문 중 메모리 사용량이 더 많은 것은 무엇인가?]', 5);</v>
      </c>
    </row>
    <row r="888">
      <c r="A888" s="1">
        <v>883.0</v>
      </c>
      <c r="B888" s="1" t="s">
        <v>283</v>
      </c>
      <c r="C888" s="39" t="s">
        <v>286</v>
      </c>
      <c r="D888" s="2">
        <f t="shared" si="1"/>
        <v>2</v>
      </c>
      <c r="F888" s="1" t="str">
        <f t="shared" si="2"/>
        <v>INSERT INTO tblQuestionBank VALUES (seqQuestionBank.nextval, q'[HTML에서 'a' 태그의 주요 기능은 무엇인가?]', 2);</v>
      </c>
    </row>
    <row r="889">
      <c r="A889" s="1">
        <v>884.0</v>
      </c>
      <c r="B889" s="1" t="s">
        <v>283</v>
      </c>
      <c r="C889" s="39" t="s">
        <v>287</v>
      </c>
      <c r="D889" s="2">
        <f t="shared" si="1"/>
        <v>3</v>
      </c>
      <c r="F889" s="1" t="str">
        <f t="shared" si="2"/>
        <v>INSERT INTO tblQuestionBank VALUES (seqQuestionBank.nextval, q'[Java에서 클래스와 객체의 차이점은 무엇인가?]', 3);</v>
      </c>
    </row>
    <row r="890">
      <c r="A890" s="1">
        <v>885.0</v>
      </c>
      <c r="B890" s="1" t="s">
        <v>283</v>
      </c>
      <c r="C890" s="39" t="s">
        <v>288</v>
      </c>
      <c r="D890" s="2">
        <f t="shared" si="1"/>
        <v>1</v>
      </c>
      <c r="F890" s="1" t="str">
        <f t="shared" si="2"/>
        <v>INSERT INTO tblQuestionBank VALUES (seqQuestionBank.nextval, q'[Python의 리스트와 튜플의 차이점은 무엇인가?]', 1);</v>
      </c>
    </row>
    <row r="891">
      <c r="A891" s="1">
        <v>886.0</v>
      </c>
      <c r="B891" s="1" t="s">
        <v>283</v>
      </c>
      <c r="C891" s="39" t="s">
        <v>289</v>
      </c>
      <c r="D891" s="2">
        <f t="shared" si="1"/>
        <v>5</v>
      </c>
      <c r="F891" s="1" t="str">
        <f t="shared" si="2"/>
        <v>INSERT INTO tblQuestionBank VALUES (seqQuestionBank.nextval, q'[C언어에서 포인터를 사용하는 주된 이유는 무엇인가?]', 5);</v>
      </c>
    </row>
    <row r="892">
      <c r="A892" s="1">
        <v>887.0</v>
      </c>
      <c r="B892" s="1" t="s">
        <v>283</v>
      </c>
      <c r="C892" s="39" t="s">
        <v>290</v>
      </c>
      <c r="D892" s="2">
        <f t="shared" si="1"/>
        <v>5</v>
      </c>
      <c r="F892" s="1" t="str">
        <f t="shared" si="2"/>
        <v>INSERT INTO tblQuestionBank VALUES (seqQuestionBank.nextval, q'[컴파일러와 인터프리터의 차이점은 무엇인가?]', 5);</v>
      </c>
    </row>
    <row r="893">
      <c r="A893" s="1">
        <v>888.0</v>
      </c>
      <c r="B893" s="1" t="s">
        <v>283</v>
      </c>
      <c r="C893" s="39" t="s">
        <v>291</v>
      </c>
      <c r="D893" s="2">
        <f t="shared" si="1"/>
        <v>5</v>
      </c>
      <c r="F893" s="1" t="str">
        <f t="shared" si="2"/>
        <v>INSERT INTO tblQuestionBank VALUES (seqQuestionBank.nextval, q'[JavaScript에서 클로저(closure)의 정의는 무엇인가?]', 5);</v>
      </c>
    </row>
    <row r="894">
      <c r="A894" s="1">
        <v>889.0</v>
      </c>
      <c r="B894" s="1" t="s">
        <v>283</v>
      </c>
      <c r="C894" s="39" t="s">
        <v>292</v>
      </c>
      <c r="D894" s="2">
        <f t="shared" si="1"/>
        <v>5</v>
      </c>
      <c r="F894" s="1" t="str">
        <f t="shared" si="2"/>
        <v>INSERT INTO tblQuestionBank VALUES (seqQuestionBank.nextval, q'[객체 지향 프로그래밍의 4대 특징 중 하나가 아닌 것은 무엇인가?]', 5);</v>
      </c>
    </row>
    <row r="895">
      <c r="A895" s="1">
        <v>890.0</v>
      </c>
      <c r="B895" s="1" t="s">
        <v>283</v>
      </c>
      <c r="C895" s="39" t="s">
        <v>293</v>
      </c>
      <c r="D895" s="2">
        <f t="shared" si="1"/>
        <v>2</v>
      </c>
      <c r="F895" s="1" t="str">
        <f t="shared" si="2"/>
        <v>INSERT INTO tblQuestionBank VALUES (seqQuestionBank.nextval, q'[SQL에서 'JOIN'의 기능은 무엇인가?]', 2);</v>
      </c>
    </row>
    <row r="896">
      <c r="A896" s="1">
        <v>891.0</v>
      </c>
      <c r="B896" s="1" t="s">
        <v>283</v>
      </c>
      <c r="C896" s="39" t="s">
        <v>294</v>
      </c>
      <c r="D896" s="2">
        <f t="shared" si="1"/>
        <v>1</v>
      </c>
      <c r="F896" s="1" t="str">
        <f t="shared" si="2"/>
        <v>INSERT INTO tblQuestionBank VALUES (seqQuestionBank.nextval, q'[Python에서 'with open()' 구문의 주요 목적은 무엇인가?]', 1);</v>
      </c>
    </row>
    <row r="897">
      <c r="A897" s="1">
        <v>892.0</v>
      </c>
      <c r="B897" s="1" t="s">
        <v>283</v>
      </c>
      <c r="C897" s="39" t="s">
        <v>295</v>
      </c>
      <c r="D897" s="2">
        <f t="shared" si="1"/>
        <v>3</v>
      </c>
      <c r="F897" s="1" t="str">
        <f t="shared" si="2"/>
        <v>INSERT INTO tblQuestionBank VALUES (seqQuestionBank.nextval, q'[데이터베이스에서 정규화의 목적은 무엇인가?]', 3);</v>
      </c>
    </row>
    <row r="898">
      <c r="A898" s="1">
        <v>893.0</v>
      </c>
      <c r="B898" s="1" t="s">
        <v>283</v>
      </c>
      <c r="C898" s="39" t="s">
        <v>296</v>
      </c>
      <c r="D898" s="2">
        <f t="shared" si="1"/>
        <v>1</v>
      </c>
      <c r="F898" s="1" t="str">
        <f t="shared" si="2"/>
        <v>INSERT INTO tblQuestionBank VALUES (seqQuestionBank.nextval, q'[CSS에서 'flexbox'의 주요 사용 목적은 무엇인가?]', 1);</v>
      </c>
    </row>
    <row r="899">
      <c r="A899" s="1">
        <v>894.0</v>
      </c>
      <c r="B899" s="1" t="s">
        <v>283</v>
      </c>
      <c r="C899" s="39" t="s">
        <v>297</v>
      </c>
      <c r="D899" s="2">
        <f t="shared" si="1"/>
        <v>1</v>
      </c>
      <c r="F899" s="1" t="str">
        <f t="shared" si="2"/>
        <v>INSERT INTO tblQuestionBank VALUES (seqQuestionBank.nextval, q'[Git에서 'merge'와 'rebase'의 차이점은 무엇인가?]', 1);</v>
      </c>
    </row>
    <row r="900">
      <c r="A900" s="1">
        <v>895.0</v>
      </c>
      <c r="B900" s="1" t="s">
        <v>283</v>
      </c>
      <c r="C900" s="39" t="s">
        <v>298</v>
      </c>
      <c r="D900" s="2">
        <f t="shared" si="1"/>
        <v>5</v>
      </c>
      <c r="F900" s="1" t="str">
        <f t="shared" si="2"/>
        <v>INSERT INTO tblQuestionBank VALUES (seqQuestionBank.nextval, q'[C++에서 참조자(reference)와 포인터(pointer)의 차이는 무엇인가?]', 5);</v>
      </c>
    </row>
    <row r="901">
      <c r="A901" s="1">
        <v>896.0</v>
      </c>
      <c r="B901" s="1" t="s">
        <v>283</v>
      </c>
      <c r="C901" s="39" t="s">
        <v>299</v>
      </c>
      <c r="D901" s="2">
        <f t="shared" si="1"/>
        <v>4</v>
      </c>
      <c r="F901" s="1" t="str">
        <f t="shared" si="2"/>
        <v>INSERT INTO tblQuestionBank VALUES (seqQuestionBank.nextval, q'[네트워크에서 TCP와 UDP의 차이점은 무엇인가?]', 4);</v>
      </c>
    </row>
    <row r="902">
      <c r="A902" s="1">
        <v>897.0</v>
      </c>
      <c r="B902" s="1" t="s">
        <v>283</v>
      </c>
      <c r="C902" s="39" t="s">
        <v>300</v>
      </c>
      <c r="D902" s="2">
        <f t="shared" si="1"/>
        <v>3</v>
      </c>
      <c r="F902" s="1" t="str">
        <f t="shared" si="2"/>
        <v>INSERT INTO tblQuestionBank VALUES (seqQuestionBank.nextval, q'[Python에서 제너레이터(generator)의 특징은 무엇인가?]', 3);</v>
      </c>
    </row>
    <row r="903">
      <c r="A903" s="1">
        <v>898.0</v>
      </c>
      <c r="B903" s="1" t="s">
        <v>283</v>
      </c>
      <c r="C903" s="39" t="s">
        <v>301</v>
      </c>
      <c r="D903" s="2">
        <f t="shared" si="1"/>
        <v>3</v>
      </c>
      <c r="F903" s="1" t="str">
        <f t="shared" si="2"/>
        <v>INSERT INTO tblQuestionBank VALUES (seqQuestionBank.nextval, q'[REST API의 주요 원칙 중 하나가 아닌 것은 무엇인가?]', 3);</v>
      </c>
    </row>
    <row r="904">
      <c r="A904" s="1">
        <v>899.0</v>
      </c>
      <c r="B904" s="1" t="s">
        <v>283</v>
      </c>
      <c r="C904" s="39" t="s">
        <v>302</v>
      </c>
      <c r="D904" s="2">
        <f t="shared" si="1"/>
        <v>5</v>
      </c>
      <c r="F904" s="1" t="str">
        <f t="shared" si="2"/>
        <v>INSERT INTO tblQuestionBank VALUES (seqQuestionBank.nextval, q'[Java에서 예외(Exception) 처리 방법으로 올바른 것을 고르시오.]', 5);</v>
      </c>
    </row>
    <row r="905">
      <c r="A905" s="1">
        <v>900.0</v>
      </c>
      <c r="B905" s="1" t="s">
        <v>283</v>
      </c>
      <c r="C905" s="39" t="s">
        <v>303</v>
      </c>
      <c r="D905" s="2">
        <f t="shared" si="1"/>
        <v>5</v>
      </c>
      <c r="F905" s="1" t="str">
        <f t="shared" si="2"/>
        <v>INSERT INTO tblQuestionBank VALUES (seqQuestionBank.nextval, q'[프로그래밍 언어에서 타입 캐스팅(type casting)이란 무엇인가?]', 5);</v>
      </c>
    </row>
    <row r="906">
      <c r="A906" s="1">
        <v>901.0</v>
      </c>
      <c r="B906" s="1" t="s">
        <v>283</v>
      </c>
      <c r="C906" s="39" t="s">
        <v>284</v>
      </c>
      <c r="D906" s="2">
        <f t="shared" si="1"/>
        <v>5</v>
      </c>
      <c r="F906" s="1" t="str">
        <f t="shared" si="2"/>
        <v>INSERT INTO tblQuestionBank VALUES (seqQuestionBank.nextval, q'[변수의 스코프(scope)란 무엇인가에 대한 설명으로 올바른 것을 고르시오.]', 5);</v>
      </c>
    </row>
    <row r="907">
      <c r="A907" s="1">
        <v>902.0</v>
      </c>
      <c r="B907" s="1" t="s">
        <v>283</v>
      </c>
      <c r="C907" s="39" t="s">
        <v>285</v>
      </c>
      <c r="D907" s="2">
        <f t="shared" si="1"/>
        <v>5</v>
      </c>
      <c r="F907" s="1" t="str">
        <f t="shared" si="2"/>
        <v>INSERT INTO tblQuestionBank VALUES (seqQuestionBank.nextval, q'[재귀 함수와 반복문 중 메모리 사용량이 더 많은 것은 무엇인가?]', 5);</v>
      </c>
    </row>
    <row r="908">
      <c r="A908" s="1">
        <v>903.0</v>
      </c>
      <c r="B908" s="1" t="s">
        <v>283</v>
      </c>
      <c r="C908" s="39" t="s">
        <v>286</v>
      </c>
      <c r="D908" s="2">
        <f t="shared" si="1"/>
        <v>5</v>
      </c>
      <c r="F908" s="1" t="str">
        <f t="shared" si="2"/>
        <v>INSERT INTO tblQuestionBank VALUES (seqQuestionBank.nextval, q'[HTML에서 'a' 태그의 주요 기능은 무엇인가?]', 5);</v>
      </c>
    </row>
    <row r="909">
      <c r="A909" s="1">
        <v>904.0</v>
      </c>
      <c r="B909" s="1" t="s">
        <v>283</v>
      </c>
      <c r="C909" s="39" t="s">
        <v>287</v>
      </c>
      <c r="D909" s="2">
        <f t="shared" si="1"/>
        <v>1</v>
      </c>
      <c r="F909" s="1" t="str">
        <f t="shared" si="2"/>
        <v>INSERT INTO tblQuestionBank VALUES (seqQuestionBank.nextval, q'[Java에서 클래스와 객체의 차이점은 무엇인가?]', 1);</v>
      </c>
    </row>
    <row r="910">
      <c r="A910" s="1">
        <v>905.0</v>
      </c>
      <c r="B910" s="1" t="s">
        <v>283</v>
      </c>
      <c r="C910" s="39" t="s">
        <v>288</v>
      </c>
      <c r="D910" s="2">
        <f t="shared" si="1"/>
        <v>3</v>
      </c>
      <c r="F910" s="1" t="str">
        <f t="shared" si="2"/>
        <v>INSERT INTO tblQuestionBank VALUES (seqQuestionBank.nextval, q'[Python의 리스트와 튜플의 차이점은 무엇인가?]', 3);</v>
      </c>
    </row>
    <row r="911">
      <c r="A911" s="1">
        <v>906.0</v>
      </c>
      <c r="B911" s="1" t="s">
        <v>283</v>
      </c>
      <c r="C911" s="39" t="s">
        <v>289</v>
      </c>
      <c r="D911" s="2">
        <f t="shared" si="1"/>
        <v>2</v>
      </c>
      <c r="F911" s="1" t="str">
        <f t="shared" si="2"/>
        <v>INSERT INTO tblQuestionBank VALUES (seqQuestionBank.nextval, q'[C언어에서 포인터를 사용하는 주된 이유는 무엇인가?]', 2);</v>
      </c>
    </row>
    <row r="912">
      <c r="A912" s="1">
        <v>907.0</v>
      </c>
      <c r="B912" s="1" t="s">
        <v>283</v>
      </c>
      <c r="C912" s="39" t="s">
        <v>290</v>
      </c>
      <c r="D912" s="2">
        <f t="shared" si="1"/>
        <v>5</v>
      </c>
      <c r="F912" s="1" t="str">
        <f t="shared" si="2"/>
        <v>INSERT INTO tblQuestionBank VALUES (seqQuestionBank.nextval, q'[컴파일러와 인터프리터의 차이점은 무엇인가?]', 5);</v>
      </c>
    </row>
    <row r="913">
      <c r="A913" s="1">
        <v>908.0</v>
      </c>
      <c r="B913" s="1" t="s">
        <v>283</v>
      </c>
      <c r="C913" s="39" t="s">
        <v>291</v>
      </c>
      <c r="D913" s="2">
        <f t="shared" si="1"/>
        <v>1</v>
      </c>
      <c r="F913" s="1" t="str">
        <f t="shared" si="2"/>
        <v>INSERT INTO tblQuestionBank VALUES (seqQuestionBank.nextval, q'[JavaScript에서 클로저(closure)의 정의는 무엇인가?]', 1);</v>
      </c>
    </row>
    <row r="914">
      <c r="A914" s="1">
        <v>909.0</v>
      </c>
      <c r="B914" s="1" t="s">
        <v>283</v>
      </c>
      <c r="C914" s="39" t="s">
        <v>292</v>
      </c>
      <c r="D914" s="2">
        <f t="shared" si="1"/>
        <v>3</v>
      </c>
      <c r="F914" s="1" t="str">
        <f t="shared" si="2"/>
        <v>INSERT INTO tblQuestionBank VALUES (seqQuestionBank.nextval, q'[객체 지향 프로그래밍의 4대 특징 중 하나가 아닌 것은 무엇인가?]', 3);</v>
      </c>
    </row>
    <row r="915">
      <c r="A915" s="1">
        <v>910.0</v>
      </c>
      <c r="B915" s="1" t="s">
        <v>283</v>
      </c>
      <c r="C915" s="39" t="s">
        <v>293</v>
      </c>
      <c r="D915" s="2">
        <f t="shared" si="1"/>
        <v>2</v>
      </c>
      <c r="F915" s="1" t="str">
        <f t="shared" si="2"/>
        <v>INSERT INTO tblQuestionBank VALUES (seqQuestionBank.nextval, q'[SQL에서 'JOIN'의 기능은 무엇인가?]', 2);</v>
      </c>
    </row>
    <row r="916">
      <c r="A916" s="1">
        <v>911.0</v>
      </c>
      <c r="B916" s="1" t="s">
        <v>283</v>
      </c>
      <c r="C916" s="39" t="s">
        <v>294</v>
      </c>
      <c r="D916" s="2">
        <f t="shared" si="1"/>
        <v>2</v>
      </c>
      <c r="F916" s="1" t="str">
        <f t="shared" si="2"/>
        <v>INSERT INTO tblQuestionBank VALUES (seqQuestionBank.nextval, q'[Python에서 'with open()' 구문의 주요 목적은 무엇인가?]', 2);</v>
      </c>
    </row>
    <row r="917">
      <c r="A917" s="1">
        <v>912.0</v>
      </c>
      <c r="B917" s="1" t="s">
        <v>283</v>
      </c>
      <c r="C917" s="39" t="s">
        <v>295</v>
      </c>
      <c r="D917" s="2">
        <f t="shared" si="1"/>
        <v>3</v>
      </c>
      <c r="F917" s="1" t="str">
        <f t="shared" si="2"/>
        <v>INSERT INTO tblQuestionBank VALUES (seqQuestionBank.nextval, q'[데이터베이스에서 정규화의 목적은 무엇인가?]', 3);</v>
      </c>
    </row>
    <row r="918">
      <c r="A918" s="1">
        <v>913.0</v>
      </c>
      <c r="B918" s="1" t="s">
        <v>283</v>
      </c>
      <c r="C918" s="39" t="s">
        <v>296</v>
      </c>
      <c r="D918" s="2">
        <f t="shared" si="1"/>
        <v>2</v>
      </c>
      <c r="F918" s="1" t="str">
        <f t="shared" si="2"/>
        <v>INSERT INTO tblQuestionBank VALUES (seqQuestionBank.nextval, q'[CSS에서 'flexbox'의 주요 사용 목적은 무엇인가?]', 2);</v>
      </c>
    </row>
    <row r="919">
      <c r="A919" s="1">
        <v>914.0</v>
      </c>
      <c r="B919" s="1" t="s">
        <v>283</v>
      </c>
      <c r="C919" s="39" t="s">
        <v>297</v>
      </c>
      <c r="D919" s="2">
        <f t="shared" si="1"/>
        <v>4</v>
      </c>
      <c r="F919" s="1" t="str">
        <f t="shared" si="2"/>
        <v>INSERT INTO tblQuestionBank VALUES (seqQuestionBank.nextval, q'[Git에서 'merge'와 'rebase'의 차이점은 무엇인가?]', 4);</v>
      </c>
    </row>
    <row r="920">
      <c r="A920" s="1">
        <v>915.0</v>
      </c>
      <c r="B920" s="1" t="s">
        <v>283</v>
      </c>
      <c r="C920" s="39" t="s">
        <v>298</v>
      </c>
      <c r="D920" s="2">
        <f t="shared" si="1"/>
        <v>4</v>
      </c>
      <c r="F920" s="1" t="str">
        <f t="shared" si="2"/>
        <v>INSERT INTO tblQuestionBank VALUES (seqQuestionBank.nextval, q'[C++에서 참조자(reference)와 포인터(pointer)의 차이는 무엇인가?]', 4);</v>
      </c>
    </row>
    <row r="921">
      <c r="A921" s="1">
        <v>916.0</v>
      </c>
      <c r="B921" s="1" t="s">
        <v>283</v>
      </c>
      <c r="C921" s="39" t="s">
        <v>299</v>
      </c>
      <c r="D921" s="2">
        <f t="shared" si="1"/>
        <v>5</v>
      </c>
      <c r="F921" s="1" t="str">
        <f t="shared" si="2"/>
        <v>INSERT INTO tblQuestionBank VALUES (seqQuestionBank.nextval, q'[네트워크에서 TCP와 UDP의 차이점은 무엇인가?]', 5);</v>
      </c>
    </row>
    <row r="922">
      <c r="A922" s="1">
        <v>917.0</v>
      </c>
      <c r="B922" s="1" t="s">
        <v>283</v>
      </c>
      <c r="C922" s="39" t="s">
        <v>300</v>
      </c>
      <c r="D922" s="2">
        <f t="shared" si="1"/>
        <v>5</v>
      </c>
      <c r="F922" s="1" t="str">
        <f t="shared" si="2"/>
        <v>INSERT INTO tblQuestionBank VALUES (seqQuestionBank.nextval, q'[Python에서 제너레이터(generator)의 특징은 무엇인가?]', 5);</v>
      </c>
    </row>
    <row r="923">
      <c r="A923" s="1">
        <v>918.0</v>
      </c>
      <c r="B923" s="1" t="s">
        <v>283</v>
      </c>
      <c r="C923" s="39" t="s">
        <v>301</v>
      </c>
      <c r="D923" s="2">
        <f t="shared" si="1"/>
        <v>4</v>
      </c>
      <c r="F923" s="1" t="str">
        <f t="shared" si="2"/>
        <v>INSERT INTO tblQuestionBank VALUES (seqQuestionBank.nextval, q'[REST API의 주요 원칙 중 하나가 아닌 것은 무엇인가?]', 4);</v>
      </c>
    </row>
    <row r="924">
      <c r="A924" s="1">
        <v>919.0</v>
      </c>
      <c r="B924" s="1" t="s">
        <v>283</v>
      </c>
      <c r="C924" s="39" t="s">
        <v>302</v>
      </c>
      <c r="D924" s="2">
        <f t="shared" si="1"/>
        <v>1</v>
      </c>
      <c r="F924" s="1" t="str">
        <f t="shared" si="2"/>
        <v>INSERT INTO tblQuestionBank VALUES (seqQuestionBank.nextval, q'[Java에서 예외(Exception) 처리 방법으로 올바른 것을 고르시오.]', 1);</v>
      </c>
    </row>
    <row r="925">
      <c r="A925" s="1">
        <v>920.0</v>
      </c>
      <c r="B925" s="1" t="s">
        <v>283</v>
      </c>
      <c r="C925" s="39" t="s">
        <v>303</v>
      </c>
      <c r="D925" s="2">
        <f t="shared" si="1"/>
        <v>4</v>
      </c>
      <c r="F925" s="1" t="str">
        <f t="shared" si="2"/>
        <v>INSERT INTO tblQuestionBank VALUES (seqQuestionBank.nextval, q'[프로그래밍 언어에서 타입 캐스팅(type casting)이란 무엇인가?]', 4);</v>
      </c>
    </row>
    <row r="926">
      <c r="A926" s="1">
        <v>921.0</v>
      </c>
      <c r="B926" s="1" t="s">
        <v>283</v>
      </c>
      <c r="C926" s="39" t="s">
        <v>284</v>
      </c>
      <c r="D926" s="2">
        <f t="shared" si="1"/>
        <v>1</v>
      </c>
      <c r="F926" s="1" t="str">
        <f t="shared" si="2"/>
        <v>INSERT INTO tblQuestionBank VALUES (seqQuestionBank.nextval, q'[변수의 스코프(scope)란 무엇인가에 대한 설명으로 올바른 것을 고르시오.]', 1);</v>
      </c>
    </row>
    <row r="927">
      <c r="A927" s="1">
        <v>922.0</v>
      </c>
      <c r="B927" s="1" t="s">
        <v>283</v>
      </c>
      <c r="C927" s="39" t="s">
        <v>285</v>
      </c>
      <c r="D927" s="2">
        <f t="shared" si="1"/>
        <v>2</v>
      </c>
      <c r="F927" s="1" t="str">
        <f t="shared" si="2"/>
        <v>INSERT INTO tblQuestionBank VALUES (seqQuestionBank.nextval, q'[재귀 함수와 반복문 중 메모리 사용량이 더 많은 것은 무엇인가?]', 2);</v>
      </c>
    </row>
    <row r="928">
      <c r="A928" s="1">
        <v>923.0</v>
      </c>
      <c r="B928" s="1" t="s">
        <v>283</v>
      </c>
      <c r="C928" s="39" t="s">
        <v>286</v>
      </c>
      <c r="D928" s="2">
        <f t="shared" si="1"/>
        <v>4</v>
      </c>
      <c r="F928" s="1" t="str">
        <f t="shared" si="2"/>
        <v>INSERT INTO tblQuestionBank VALUES (seqQuestionBank.nextval, q'[HTML에서 'a' 태그의 주요 기능은 무엇인가?]', 4);</v>
      </c>
    </row>
    <row r="929">
      <c r="A929" s="1">
        <v>924.0</v>
      </c>
      <c r="B929" s="1" t="s">
        <v>283</v>
      </c>
      <c r="C929" s="39" t="s">
        <v>287</v>
      </c>
      <c r="D929" s="2">
        <f t="shared" si="1"/>
        <v>1</v>
      </c>
      <c r="F929" s="1" t="str">
        <f t="shared" si="2"/>
        <v>INSERT INTO tblQuestionBank VALUES (seqQuestionBank.nextval, q'[Java에서 클래스와 객체의 차이점은 무엇인가?]', 1);</v>
      </c>
    </row>
    <row r="930">
      <c r="A930" s="1">
        <v>925.0</v>
      </c>
      <c r="B930" s="1" t="s">
        <v>283</v>
      </c>
      <c r="C930" s="39" t="s">
        <v>288</v>
      </c>
      <c r="D930" s="2">
        <f t="shared" si="1"/>
        <v>2</v>
      </c>
      <c r="F930" s="1" t="str">
        <f t="shared" si="2"/>
        <v>INSERT INTO tblQuestionBank VALUES (seqQuestionBank.nextval, q'[Python의 리스트와 튜플의 차이점은 무엇인가?]', 2);</v>
      </c>
    </row>
    <row r="931">
      <c r="A931" s="1">
        <v>926.0</v>
      </c>
      <c r="B931" s="1" t="s">
        <v>283</v>
      </c>
      <c r="C931" s="39" t="s">
        <v>289</v>
      </c>
      <c r="D931" s="2">
        <f t="shared" si="1"/>
        <v>2</v>
      </c>
      <c r="F931" s="1" t="str">
        <f t="shared" si="2"/>
        <v>INSERT INTO tblQuestionBank VALUES (seqQuestionBank.nextval, q'[C언어에서 포인터를 사용하는 주된 이유는 무엇인가?]', 2);</v>
      </c>
    </row>
    <row r="932">
      <c r="A932" s="1">
        <v>927.0</v>
      </c>
      <c r="B932" s="1" t="s">
        <v>283</v>
      </c>
      <c r="C932" s="39" t="s">
        <v>290</v>
      </c>
      <c r="D932" s="2">
        <f t="shared" si="1"/>
        <v>2</v>
      </c>
      <c r="F932" s="1" t="str">
        <f t="shared" si="2"/>
        <v>INSERT INTO tblQuestionBank VALUES (seqQuestionBank.nextval, q'[컴파일러와 인터프리터의 차이점은 무엇인가?]', 2);</v>
      </c>
    </row>
    <row r="933">
      <c r="A933" s="1">
        <v>928.0</v>
      </c>
      <c r="B933" s="1" t="s">
        <v>283</v>
      </c>
      <c r="C933" s="39" t="s">
        <v>291</v>
      </c>
      <c r="D933" s="2">
        <f t="shared" si="1"/>
        <v>4</v>
      </c>
      <c r="F933" s="1" t="str">
        <f t="shared" si="2"/>
        <v>INSERT INTO tblQuestionBank VALUES (seqQuestionBank.nextval, q'[JavaScript에서 클로저(closure)의 정의는 무엇인가?]', 4);</v>
      </c>
    </row>
    <row r="934">
      <c r="A934" s="1">
        <v>929.0</v>
      </c>
      <c r="B934" s="1" t="s">
        <v>283</v>
      </c>
      <c r="C934" s="39" t="s">
        <v>292</v>
      </c>
      <c r="D934" s="2">
        <f t="shared" si="1"/>
        <v>3</v>
      </c>
      <c r="F934" s="1" t="str">
        <f t="shared" si="2"/>
        <v>INSERT INTO tblQuestionBank VALUES (seqQuestionBank.nextval, q'[객체 지향 프로그래밍의 4대 특징 중 하나가 아닌 것은 무엇인가?]', 3);</v>
      </c>
    </row>
    <row r="935">
      <c r="A935" s="1">
        <v>930.0</v>
      </c>
      <c r="B935" s="1" t="s">
        <v>283</v>
      </c>
      <c r="C935" s="39" t="s">
        <v>293</v>
      </c>
      <c r="D935" s="2">
        <f t="shared" si="1"/>
        <v>5</v>
      </c>
      <c r="F935" s="1" t="str">
        <f t="shared" si="2"/>
        <v>INSERT INTO tblQuestionBank VALUES (seqQuestionBank.nextval, q'[SQL에서 'JOIN'의 기능은 무엇인가?]', 5);</v>
      </c>
    </row>
    <row r="936">
      <c r="A936" s="1">
        <v>931.0</v>
      </c>
      <c r="B936" s="1" t="s">
        <v>283</v>
      </c>
      <c r="C936" s="39" t="s">
        <v>294</v>
      </c>
      <c r="D936" s="2">
        <f t="shared" si="1"/>
        <v>2</v>
      </c>
      <c r="F936" s="1" t="str">
        <f t="shared" si="2"/>
        <v>INSERT INTO tblQuestionBank VALUES (seqQuestionBank.nextval, q'[Python에서 'with open()' 구문의 주요 목적은 무엇인가?]', 2);</v>
      </c>
    </row>
    <row r="937">
      <c r="A937" s="1">
        <v>932.0</v>
      </c>
      <c r="B937" s="1" t="s">
        <v>283</v>
      </c>
      <c r="C937" s="39" t="s">
        <v>295</v>
      </c>
      <c r="D937" s="2">
        <f t="shared" si="1"/>
        <v>4</v>
      </c>
      <c r="F937" s="1" t="str">
        <f t="shared" si="2"/>
        <v>INSERT INTO tblQuestionBank VALUES (seqQuestionBank.nextval, q'[데이터베이스에서 정규화의 목적은 무엇인가?]', 4);</v>
      </c>
    </row>
    <row r="938">
      <c r="A938" s="1">
        <v>933.0</v>
      </c>
      <c r="B938" s="1" t="s">
        <v>283</v>
      </c>
      <c r="C938" s="39" t="s">
        <v>296</v>
      </c>
      <c r="D938" s="2">
        <f t="shared" si="1"/>
        <v>5</v>
      </c>
      <c r="F938" s="1" t="str">
        <f t="shared" si="2"/>
        <v>INSERT INTO tblQuestionBank VALUES (seqQuestionBank.nextval, q'[CSS에서 'flexbox'의 주요 사용 목적은 무엇인가?]', 5);</v>
      </c>
    </row>
    <row r="939">
      <c r="A939" s="1">
        <v>934.0</v>
      </c>
      <c r="B939" s="1" t="s">
        <v>283</v>
      </c>
      <c r="C939" s="39" t="s">
        <v>297</v>
      </c>
      <c r="D939" s="2">
        <f t="shared" si="1"/>
        <v>4</v>
      </c>
      <c r="F939" s="1" t="str">
        <f t="shared" si="2"/>
        <v>INSERT INTO tblQuestionBank VALUES (seqQuestionBank.nextval, q'[Git에서 'merge'와 'rebase'의 차이점은 무엇인가?]', 4);</v>
      </c>
    </row>
    <row r="940">
      <c r="A940" s="1">
        <v>935.0</v>
      </c>
      <c r="B940" s="1" t="s">
        <v>283</v>
      </c>
      <c r="C940" s="39" t="s">
        <v>298</v>
      </c>
      <c r="D940" s="2">
        <f t="shared" si="1"/>
        <v>2</v>
      </c>
      <c r="F940" s="1" t="str">
        <f t="shared" si="2"/>
        <v>INSERT INTO tblQuestionBank VALUES (seqQuestionBank.nextval, q'[C++에서 참조자(reference)와 포인터(pointer)의 차이는 무엇인가?]', 2);</v>
      </c>
    </row>
    <row r="941">
      <c r="A941" s="1">
        <v>936.0</v>
      </c>
      <c r="B941" s="1" t="s">
        <v>283</v>
      </c>
      <c r="C941" s="39" t="s">
        <v>299</v>
      </c>
      <c r="D941" s="2">
        <f t="shared" si="1"/>
        <v>4</v>
      </c>
      <c r="F941" s="1" t="str">
        <f t="shared" si="2"/>
        <v>INSERT INTO tblQuestionBank VALUES (seqQuestionBank.nextval, q'[네트워크에서 TCP와 UDP의 차이점은 무엇인가?]', 4);</v>
      </c>
    </row>
    <row r="942">
      <c r="A942" s="1">
        <v>937.0</v>
      </c>
      <c r="B942" s="1" t="s">
        <v>283</v>
      </c>
      <c r="C942" s="39" t="s">
        <v>300</v>
      </c>
      <c r="D942" s="2">
        <f t="shared" si="1"/>
        <v>4</v>
      </c>
      <c r="F942" s="1" t="str">
        <f t="shared" si="2"/>
        <v>INSERT INTO tblQuestionBank VALUES (seqQuestionBank.nextval, q'[Python에서 제너레이터(generator)의 특징은 무엇인가?]', 4);</v>
      </c>
    </row>
    <row r="943">
      <c r="A943" s="1">
        <v>938.0</v>
      </c>
      <c r="B943" s="1" t="s">
        <v>283</v>
      </c>
      <c r="C943" s="39" t="s">
        <v>301</v>
      </c>
      <c r="D943" s="2">
        <f t="shared" si="1"/>
        <v>3</v>
      </c>
      <c r="F943" s="1" t="str">
        <f t="shared" si="2"/>
        <v>INSERT INTO tblQuestionBank VALUES (seqQuestionBank.nextval, q'[REST API의 주요 원칙 중 하나가 아닌 것은 무엇인가?]', 3);</v>
      </c>
    </row>
    <row r="944">
      <c r="A944" s="1">
        <v>939.0</v>
      </c>
      <c r="B944" s="1" t="s">
        <v>283</v>
      </c>
      <c r="C944" s="39" t="s">
        <v>302</v>
      </c>
      <c r="D944" s="2">
        <f t="shared" si="1"/>
        <v>5</v>
      </c>
      <c r="F944" s="1" t="str">
        <f t="shared" si="2"/>
        <v>INSERT INTO tblQuestionBank VALUES (seqQuestionBank.nextval, q'[Java에서 예외(Exception) 처리 방법으로 올바른 것을 고르시오.]', 5);</v>
      </c>
    </row>
    <row r="945">
      <c r="A945" s="1">
        <v>940.0</v>
      </c>
      <c r="B945" s="1" t="s">
        <v>283</v>
      </c>
      <c r="C945" s="39" t="s">
        <v>303</v>
      </c>
      <c r="D945" s="2">
        <f t="shared" si="1"/>
        <v>4</v>
      </c>
      <c r="F945" s="1" t="str">
        <f t="shared" si="2"/>
        <v>INSERT INTO tblQuestionBank VALUES (seqQuestionBank.nextval, q'[프로그래밍 언어에서 타입 캐스팅(type casting)이란 무엇인가?]', 4);</v>
      </c>
    </row>
    <row r="946">
      <c r="A946" s="1">
        <v>941.0</v>
      </c>
      <c r="B946" s="1" t="s">
        <v>283</v>
      </c>
      <c r="C946" s="39" t="s">
        <v>284</v>
      </c>
      <c r="D946" s="2">
        <f t="shared" si="1"/>
        <v>4</v>
      </c>
      <c r="F946" s="1" t="str">
        <f t="shared" si="2"/>
        <v>INSERT INTO tblQuestionBank VALUES (seqQuestionBank.nextval, q'[변수의 스코프(scope)란 무엇인가에 대한 설명으로 올바른 것을 고르시오.]', 4);</v>
      </c>
    </row>
    <row r="947">
      <c r="A947" s="1">
        <v>942.0</v>
      </c>
      <c r="B947" s="1" t="s">
        <v>283</v>
      </c>
      <c r="C947" s="39" t="s">
        <v>285</v>
      </c>
      <c r="D947" s="2">
        <f t="shared" si="1"/>
        <v>2</v>
      </c>
      <c r="F947" s="1" t="str">
        <f t="shared" si="2"/>
        <v>INSERT INTO tblQuestionBank VALUES (seqQuestionBank.nextval, q'[재귀 함수와 반복문 중 메모리 사용량이 더 많은 것은 무엇인가?]', 2);</v>
      </c>
    </row>
    <row r="948">
      <c r="A948" s="1">
        <v>943.0</v>
      </c>
      <c r="B948" s="1" t="s">
        <v>283</v>
      </c>
      <c r="C948" s="39" t="s">
        <v>286</v>
      </c>
      <c r="D948" s="2">
        <f t="shared" si="1"/>
        <v>3</v>
      </c>
      <c r="F948" s="1" t="str">
        <f t="shared" si="2"/>
        <v>INSERT INTO tblQuestionBank VALUES (seqQuestionBank.nextval, q'[HTML에서 'a' 태그의 주요 기능은 무엇인가?]', 3);</v>
      </c>
    </row>
    <row r="949">
      <c r="A949" s="1">
        <v>944.0</v>
      </c>
      <c r="B949" s="1" t="s">
        <v>283</v>
      </c>
      <c r="C949" s="39" t="s">
        <v>287</v>
      </c>
      <c r="D949" s="2">
        <f t="shared" si="1"/>
        <v>1</v>
      </c>
      <c r="F949" s="1" t="str">
        <f t="shared" si="2"/>
        <v>INSERT INTO tblQuestionBank VALUES (seqQuestionBank.nextval, q'[Java에서 클래스와 객체의 차이점은 무엇인가?]', 1);</v>
      </c>
    </row>
    <row r="950">
      <c r="A950" s="1">
        <v>945.0</v>
      </c>
      <c r="B950" s="1" t="s">
        <v>283</v>
      </c>
      <c r="C950" s="39" t="s">
        <v>288</v>
      </c>
      <c r="D950" s="2">
        <f t="shared" si="1"/>
        <v>1</v>
      </c>
      <c r="F950" s="1" t="str">
        <f t="shared" si="2"/>
        <v>INSERT INTO tblQuestionBank VALUES (seqQuestionBank.nextval, q'[Python의 리스트와 튜플의 차이점은 무엇인가?]', 1);</v>
      </c>
    </row>
    <row r="951">
      <c r="A951" s="1">
        <v>946.0</v>
      </c>
      <c r="B951" s="1" t="s">
        <v>283</v>
      </c>
      <c r="C951" s="39" t="s">
        <v>289</v>
      </c>
      <c r="D951" s="2">
        <f t="shared" si="1"/>
        <v>5</v>
      </c>
      <c r="F951" s="1" t="str">
        <f t="shared" si="2"/>
        <v>INSERT INTO tblQuestionBank VALUES (seqQuestionBank.nextval, q'[C언어에서 포인터를 사용하는 주된 이유는 무엇인가?]', 5);</v>
      </c>
    </row>
    <row r="952">
      <c r="A952" s="1">
        <v>947.0</v>
      </c>
      <c r="B952" s="1" t="s">
        <v>283</v>
      </c>
      <c r="C952" s="39" t="s">
        <v>290</v>
      </c>
      <c r="D952" s="2">
        <f t="shared" si="1"/>
        <v>3</v>
      </c>
      <c r="F952" s="1" t="str">
        <f t="shared" si="2"/>
        <v>INSERT INTO tblQuestionBank VALUES (seqQuestionBank.nextval, q'[컴파일러와 인터프리터의 차이점은 무엇인가?]', 3);</v>
      </c>
    </row>
    <row r="953">
      <c r="A953" s="1">
        <v>948.0</v>
      </c>
      <c r="B953" s="1" t="s">
        <v>283</v>
      </c>
      <c r="C953" s="39" t="s">
        <v>291</v>
      </c>
      <c r="D953" s="2">
        <f t="shared" si="1"/>
        <v>1</v>
      </c>
      <c r="F953" s="1" t="str">
        <f t="shared" si="2"/>
        <v>INSERT INTO tblQuestionBank VALUES (seqQuestionBank.nextval, q'[JavaScript에서 클로저(closure)의 정의는 무엇인가?]', 1);</v>
      </c>
    </row>
    <row r="954">
      <c r="A954" s="1">
        <v>949.0</v>
      </c>
      <c r="B954" s="1" t="s">
        <v>283</v>
      </c>
      <c r="C954" s="39" t="s">
        <v>292</v>
      </c>
      <c r="D954" s="2">
        <f t="shared" si="1"/>
        <v>3</v>
      </c>
      <c r="F954" s="1" t="str">
        <f t="shared" si="2"/>
        <v>INSERT INTO tblQuestionBank VALUES (seqQuestionBank.nextval, q'[객체 지향 프로그래밍의 4대 특징 중 하나가 아닌 것은 무엇인가?]', 3);</v>
      </c>
    </row>
    <row r="955">
      <c r="A955" s="1">
        <v>950.0</v>
      </c>
      <c r="B955" s="1" t="s">
        <v>283</v>
      </c>
      <c r="C955" s="39" t="s">
        <v>293</v>
      </c>
      <c r="D955" s="2">
        <f t="shared" si="1"/>
        <v>1</v>
      </c>
      <c r="F955" s="1" t="str">
        <f t="shared" si="2"/>
        <v>INSERT INTO tblQuestionBank VALUES (seqQuestionBank.nextval, q'[SQL에서 'JOIN'의 기능은 무엇인가?]', 1);</v>
      </c>
    </row>
    <row r="956">
      <c r="A956" s="1">
        <v>951.0</v>
      </c>
      <c r="B956" s="1" t="s">
        <v>283</v>
      </c>
      <c r="C956" s="39" t="s">
        <v>294</v>
      </c>
      <c r="D956" s="2">
        <f t="shared" si="1"/>
        <v>2</v>
      </c>
      <c r="F956" s="1" t="str">
        <f t="shared" si="2"/>
        <v>INSERT INTO tblQuestionBank VALUES (seqQuestionBank.nextval, q'[Python에서 'with open()' 구문의 주요 목적은 무엇인가?]', 2);</v>
      </c>
    </row>
    <row r="957">
      <c r="A957" s="1">
        <v>952.0</v>
      </c>
      <c r="B957" s="1" t="s">
        <v>283</v>
      </c>
      <c r="C957" s="39" t="s">
        <v>295</v>
      </c>
      <c r="D957" s="2">
        <f t="shared" si="1"/>
        <v>4</v>
      </c>
      <c r="F957" s="1" t="str">
        <f t="shared" si="2"/>
        <v>INSERT INTO tblQuestionBank VALUES (seqQuestionBank.nextval, q'[데이터베이스에서 정규화의 목적은 무엇인가?]', 4);</v>
      </c>
    </row>
    <row r="958">
      <c r="A958" s="1">
        <v>953.0</v>
      </c>
      <c r="B958" s="1" t="s">
        <v>283</v>
      </c>
      <c r="C958" s="39" t="s">
        <v>296</v>
      </c>
      <c r="D958" s="2">
        <f t="shared" si="1"/>
        <v>3</v>
      </c>
      <c r="F958" s="1" t="str">
        <f t="shared" si="2"/>
        <v>INSERT INTO tblQuestionBank VALUES (seqQuestionBank.nextval, q'[CSS에서 'flexbox'의 주요 사용 목적은 무엇인가?]', 3);</v>
      </c>
    </row>
    <row r="959">
      <c r="A959" s="1">
        <v>954.0</v>
      </c>
      <c r="B959" s="1" t="s">
        <v>283</v>
      </c>
      <c r="C959" s="39" t="s">
        <v>297</v>
      </c>
      <c r="D959" s="2">
        <f t="shared" si="1"/>
        <v>3</v>
      </c>
      <c r="F959" s="1" t="str">
        <f t="shared" si="2"/>
        <v>INSERT INTO tblQuestionBank VALUES (seqQuestionBank.nextval, q'[Git에서 'merge'와 'rebase'의 차이점은 무엇인가?]', 3);</v>
      </c>
    </row>
    <row r="960">
      <c r="A960" s="1">
        <v>955.0</v>
      </c>
      <c r="B960" s="1" t="s">
        <v>283</v>
      </c>
      <c r="C960" s="39" t="s">
        <v>298</v>
      </c>
      <c r="D960" s="2">
        <f t="shared" si="1"/>
        <v>4</v>
      </c>
      <c r="F960" s="1" t="str">
        <f t="shared" si="2"/>
        <v>INSERT INTO tblQuestionBank VALUES (seqQuestionBank.nextval, q'[C++에서 참조자(reference)와 포인터(pointer)의 차이는 무엇인가?]', 4);</v>
      </c>
    </row>
    <row r="961">
      <c r="A961" s="1">
        <v>956.0</v>
      </c>
      <c r="B961" s="1" t="s">
        <v>283</v>
      </c>
      <c r="C961" s="39" t="s">
        <v>299</v>
      </c>
      <c r="D961" s="2">
        <f t="shared" si="1"/>
        <v>3</v>
      </c>
      <c r="F961" s="1" t="str">
        <f t="shared" si="2"/>
        <v>INSERT INTO tblQuestionBank VALUES (seqQuestionBank.nextval, q'[네트워크에서 TCP와 UDP의 차이점은 무엇인가?]', 3);</v>
      </c>
    </row>
    <row r="962">
      <c r="A962" s="1">
        <v>957.0</v>
      </c>
      <c r="B962" s="1" t="s">
        <v>283</v>
      </c>
      <c r="C962" s="39" t="s">
        <v>300</v>
      </c>
      <c r="D962" s="2">
        <f t="shared" si="1"/>
        <v>5</v>
      </c>
      <c r="F962" s="1" t="str">
        <f t="shared" si="2"/>
        <v>INSERT INTO tblQuestionBank VALUES (seqQuestionBank.nextval, q'[Python에서 제너레이터(generator)의 특징은 무엇인가?]', 5);</v>
      </c>
    </row>
    <row r="963">
      <c r="A963" s="1">
        <v>958.0</v>
      </c>
      <c r="B963" s="1" t="s">
        <v>283</v>
      </c>
      <c r="C963" s="39" t="s">
        <v>301</v>
      </c>
      <c r="D963" s="2">
        <f t="shared" si="1"/>
        <v>5</v>
      </c>
      <c r="F963" s="1" t="str">
        <f t="shared" si="2"/>
        <v>INSERT INTO tblQuestionBank VALUES (seqQuestionBank.nextval, q'[REST API의 주요 원칙 중 하나가 아닌 것은 무엇인가?]', 5);</v>
      </c>
    </row>
    <row r="964">
      <c r="A964" s="1">
        <v>959.0</v>
      </c>
      <c r="B964" s="1" t="s">
        <v>283</v>
      </c>
      <c r="C964" s="39" t="s">
        <v>302</v>
      </c>
      <c r="D964" s="2">
        <f t="shared" si="1"/>
        <v>4</v>
      </c>
      <c r="F964" s="1" t="str">
        <f t="shared" si="2"/>
        <v>INSERT INTO tblQuestionBank VALUES (seqQuestionBank.nextval, q'[Java에서 예외(Exception) 처리 방법으로 올바른 것을 고르시오.]', 4);</v>
      </c>
    </row>
    <row r="965">
      <c r="A965" s="1">
        <v>960.0</v>
      </c>
      <c r="B965" s="1" t="s">
        <v>283</v>
      </c>
      <c r="C965" s="39" t="s">
        <v>303</v>
      </c>
      <c r="D965" s="2">
        <f t="shared" si="1"/>
        <v>5</v>
      </c>
      <c r="F965" s="1" t="str">
        <f t="shared" si="2"/>
        <v>INSERT INTO tblQuestionBank VALUES (seqQuestionBank.nextval, q'[프로그래밍 언어에서 타입 캐스팅(type casting)이란 무엇인가?]', 5);</v>
      </c>
    </row>
    <row r="966">
      <c r="A966" s="1">
        <v>961.0</v>
      </c>
      <c r="B966" s="1" t="s">
        <v>283</v>
      </c>
      <c r="C966" s="39" t="s">
        <v>284</v>
      </c>
      <c r="D966" s="2">
        <f t="shared" si="1"/>
        <v>4</v>
      </c>
      <c r="F966" s="1" t="str">
        <f t="shared" si="2"/>
        <v>INSERT INTO tblQuestionBank VALUES (seqQuestionBank.nextval, q'[변수의 스코프(scope)란 무엇인가에 대한 설명으로 올바른 것을 고르시오.]', 4);</v>
      </c>
    </row>
    <row r="967">
      <c r="A967" s="1">
        <v>962.0</v>
      </c>
      <c r="B967" s="1" t="s">
        <v>283</v>
      </c>
      <c r="C967" s="39" t="s">
        <v>285</v>
      </c>
      <c r="D967" s="2">
        <f t="shared" si="1"/>
        <v>3</v>
      </c>
      <c r="F967" s="1" t="str">
        <f t="shared" si="2"/>
        <v>INSERT INTO tblQuestionBank VALUES (seqQuestionBank.nextval, q'[재귀 함수와 반복문 중 메모리 사용량이 더 많은 것은 무엇인가?]', 3);</v>
      </c>
    </row>
    <row r="968">
      <c r="A968" s="1">
        <v>963.0</v>
      </c>
      <c r="B968" s="1" t="s">
        <v>283</v>
      </c>
      <c r="C968" s="39" t="s">
        <v>286</v>
      </c>
      <c r="D968" s="2">
        <f t="shared" si="1"/>
        <v>2</v>
      </c>
      <c r="F968" s="1" t="str">
        <f t="shared" si="2"/>
        <v>INSERT INTO tblQuestionBank VALUES (seqQuestionBank.nextval, q'[HTML에서 'a' 태그의 주요 기능은 무엇인가?]', 2);</v>
      </c>
    </row>
    <row r="969">
      <c r="A969" s="1">
        <v>964.0</v>
      </c>
      <c r="B969" s="1" t="s">
        <v>283</v>
      </c>
      <c r="C969" s="39" t="s">
        <v>287</v>
      </c>
      <c r="D969" s="2">
        <f t="shared" si="1"/>
        <v>2</v>
      </c>
      <c r="F969" s="1" t="str">
        <f t="shared" si="2"/>
        <v>INSERT INTO tblQuestionBank VALUES (seqQuestionBank.nextval, q'[Java에서 클래스와 객체의 차이점은 무엇인가?]', 2);</v>
      </c>
    </row>
    <row r="970">
      <c r="A970" s="1">
        <v>965.0</v>
      </c>
      <c r="B970" s="1" t="s">
        <v>283</v>
      </c>
      <c r="C970" s="39" t="s">
        <v>288</v>
      </c>
      <c r="D970" s="2">
        <f t="shared" si="1"/>
        <v>2</v>
      </c>
      <c r="F970" s="1" t="str">
        <f t="shared" si="2"/>
        <v>INSERT INTO tblQuestionBank VALUES (seqQuestionBank.nextval, q'[Python의 리스트와 튜플의 차이점은 무엇인가?]', 2);</v>
      </c>
    </row>
    <row r="971">
      <c r="A971" s="1">
        <v>966.0</v>
      </c>
      <c r="B971" s="1" t="s">
        <v>283</v>
      </c>
      <c r="C971" s="39" t="s">
        <v>289</v>
      </c>
      <c r="D971" s="2">
        <f t="shared" si="1"/>
        <v>5</v>
      </c>
      <c r="F971" s="1" t="str">
        <f t="shared" si="2"/>
        <v>INSERT INTO tblQuestionBank VALUES (seqQuestionBank.nextval, q'[C언어에서 포인터를 사용하는 주된 이유는 무엇인가?]', 5);</v>
      </c>
    </row>
    <row r="972">
      <c r="A972" s="1">
        <v>967.0</v>
      </c>
      <c r="B972" s="1" t="s">
        <v>283</v>
      </c>
      <c r="C972" s="39" t="s">
        <v>290</v>
      </c>
      <c r="D972" s="2">
        <f t="shared" si="1"/>
        <v>3</v>
      </c>
      <c r="F972" s="1" t="str">
        <f t="shared" si="2"/>
        <v>INSERT INTO tblQuestionBank VALUES (seqQuestionBank.nextval, q'[컴파일러와 인터프리터의 차이점은 무엇인가?]', 3);</v>
      </c>
    </row>
    <row r="973">
      <c r="A973" s="1">
        <v>968.0</v>
      </c>
      <c r="B973" s="1" t="s">
        <v>283</v>
      </c>
      <c r="C973" s="39" t="s">
        <v>291</v>
      </c>
      <c r="D973" s="2">
        <f t="shared" si="1"/>
        <v>4</v>
      </c>
      <c r="F973" s="1" t="str">
        <f t="shared" si="2"/>
        <v>INSERT INTO tblQuestionBank VALUES (seqQuestionBank.nextval, q'[JavaScript에서 클로저(closure)의 정의는 무엇인가?]', 4);</v>
      </c>
    </row>
    <row r="974">
      <c r="A974" s="1">
        <v>969.0</v>
      </c>
      <c r="B974" s="1" t="s">
        <v>283</v>
      </c>
      <c r="C974" s="39" t="s">
        <v>292</v>
      </c>
      <c r="D974" s="2">
        <f t="shared" si="1"/>
        <v>3</v>
      </c>
      <c r="F974" s="1" t="str">
        <f t="shared" si="2"/>
        <v>INSERT INTO tblQuestionBank VALUES (seqQuestionBank.nextval, q'[객체 지향 프로그래밍의 4대 특징 중 하나가 아닌 것은 무엇인가?]', 3);</v>
      </c>
    </row>
    <row r="975">
      <c r="A975" s="1">
        <v>970.0</v>
      </c>
      <c r="B975" s="1" t="s">
        <v>283</v>
      </c>
      <c r="C975" s="39" t="s">
        <v>293</v>
      </c>
      <c r="D975" s="2">
        <f t="shared" si="1"/>
        <v>4</v>
      </c>
      <c r="F975" s="1" t="str">
        <f t="shared" si="2"/>
        <v>INSERT INTO tblQuestionBank VALUES (seqQuestionBank.nextval, q'[SQL에서 'JOIN'의 기능은 무엇인가?]', 4);</v>
      </c>
    </row>
    <row r="976">
      <c r="A976" s="1">
        <v>971.0</v>
      </c>
      <c r="B976" s="1" t="s">
        <v>283</v>
      </c>
      <c r="C976" s="39" t="s">
        <v>294</v>
      </c>
      <c r="D976" s="2">
        <f t="shared" si="1"/>
        <v>5</v>
      </c>
      <c r="F976" s="1" t="str">
        <f t="shared" si="2"/>
        <v>INSERT INTO tblQuestionBank VALUES (seqQuestionBank.nextval, q'[Python에서 'with open()' 구문의 주요 목적은 무엇인가?]', 5);</v>
      </c>
    </row>
    <row r="977">
      <c r="A977" s="1">
        <v>972.0</v>
      </c>
      <c r="B977" s="1" t="s">
        <v>283</v>
      </c>
      <c r="C977" s="39" t="s">
        <v>295</v>
      </c>
      <c r="D977" s="2">
        <f t="shared" si="1"/>
        <v>5</v>
      </c>
      <c r="F977" s="1" t="str">
        <f t="shared" si="2"/>
        <v>INSERT INTO tblQuestionBank VALUES (seqQuestionBank.nextval, q'[데이터베이스에서 정규화의 목적은 무엇인가?]', 5);</v>
      </c>
    </row>
    <row r="978">
      <c r="A978" s="1">
        <v>973.0</v>
      </c>
      <c r="B978" s="1" t="s">
        <v>283</v>
      </c>
      <c r="C978" s="39" t="s">
        <v>296</v>
      </c>
      <c r="D978" s="2">
        <f t="shared" si="1"/>
        <v>5</v>
      </c>
      <c r="F978" s="1" t="str">
        <f t="shared" si="2"/>
        <v>INSERT INTO tblQuestionBank VALUES (seqQuestionBank.nextval, q'[CSS에서 'flexbox'의 주요 사용 목적은 무엇인가?]', 5);</v>
      </c>
    </row>
    <row r="979">
      <c r="A979" s="1">
        <v>974.0</v>
      </c>
      <c r="B979" s="1" t="s">
        <v>283</v>
      </c>
      <c r="C979" s="39" t="s">
        <v>297</v>
      </c>
      <c r="D979" s="2">
        <f t="shared" si="1"/>
        <v>4</v>
      </c>
      <c r="F979" s="1" t="str">
        <f t="shared" si="2"/>
        <v>INSERT INTO tblQuestionBank VALUES (seqQuestionBank.nextval, q'[Git에서 'merge'와 'rebase'의 차이점은 무엇인가?]', 4);</v>
      </c>
    </row>
    <row r="980">
      <c r="A980" s="1">
        <v>975.0</v>
      </c>
      <c r="B980" s="1" t="s">
        <v>283</v>
      </c>
      <c r="C980" s="39" t="s">
        <v>298</v>
      </c>
      <c r="D980" s="2">
        <f t="shared" si="1"/>
        <v>4</v>
      </c>
      <c r="F980" s="1" t="str">
        <f t="shared" si="2"/>
        <v>INSERT INTO tblQuestionBank VALUES (seqQuestionBank.nextval, q'[C++에서 참조자(reference)와 포인터(pointer)의 차이는 무엇인가?]', 4);</v>
      </c>
    </row>
    <row r="981">
      <c r="A981" s="1">
        <v>976.0</v>
      </c>
      <c r="B981" s="1" t="s">
        <v>283</v>
      </c>
      <c r="C981" s="39" t="s">
        <v>299</v>
      </c>
      <c r="D981" s="2">
        <f t="shared" si="1"/>
        <v>2</v>
      </c>
      <c r="F981" s="1" t="str">
        <f t="shared" si="2"/>
        <v>INSERT INTO tblQuestionBank VALUES (seqQuestionBank.nextval, q'[네트워크에서 TCP와 UDP의 차이점은 무엇인가?]', 2);</v>
      </c>
    </row>
    <row r="982">
      <c r="A982" s="1">
        <v>977.0</v>
      </c>
      <c r="B982" s="1" t="s">
        <v>283</v>
      </c>
      <c r="C982" s="39" t="s">
        <v>300</v>
      </c>
      <c r="D982" s="2">
        <f t="shared" si="1"/>
        <v>1</v>
      </c>
      <c r="F982" s="1" t="str">
        <f t="shared" si="2"/>
        <v>INSERT INTO tblQuestionBank VALUES (seqQuestionBank.nextval, q'[Python에서 제너레이터(generator)의 특징은 무엇인가?]', 1);</v>
      </c>
    </row>
    <row r="983">
      <c r="A983" s="1">
        <v>978.0</v>
      </c>
      <c r="B983" s="1" t="s">
        <v>283</v>
      </c>
      <c r="C983" s="39" t="s">
        <v>301</v>
      </c>
      <c r="D983" s="2">
        <f t="shared" si="1"/>
        <v>1</v>
      </c>
      <c r="F983" s="1" t="str">
        <f t="shared" si="2"/>
        <v>INSERT INTO tblQuestionBank VALUES (seqQuestionBank.nextval, q'[REST API의 주요 원칙 중 하나가 아닌 것은 무엇인가?]', 1);</v>
      </c>
    </row>
    <row r="984">
      <c r="A984" s="1">
        <v>979.0</v>
      </c>
      <c r="B984" s="1" t="s">
        <v>283</v>
      </c>
      <c r="C984" s="39" t="s">
        <v>302</v>
      </c>
      <c r="D984" s="2">
        <f t="shared" si="1"/>
        <v>2</v>
      </c>
      <c r="F984" s="1" t="str">
        <f t="shared" si="2"/>
        <v>INSERT INTO tblQuestionBank VALUES (seqQuestionBank.nextval, q'[Java에서 예외(Exception) 처리 방법으로 올바른 것을 고르시오.]', 2);</v>
      </c>
    </row>
    <row r="985">
      <c r="A985" s="1">
        <v>980.0</v>
      </c>
      <c r="B985" s="1" t="s">
        <v>283</v>
      </c>
      <c r="C985" s="39" t="s">
        <v>303</v>
      </c>
      <c r="D985" s="2">
        <f t="shared" si="1"/>
        <v>5</v>
      </c>
      <c r="F985" s="1" t="str">
        <f t="shared" si="2"/>
        <v>INSERT INTO tblQuestionBank VALUES (seqQuestionBank.nextval, q'[프로그래밍 언어에서 타입 캐스팅(type casting)이란 무엇인가?]', 5);</v>
      </c>
    </row>
    <row r="986">
      <c r="A986" s="1">
        <v>981.0</v>
      </c>
      <c r="B986" s="1" t="s">
        <v>283</v>
      </c>
      <c r="C986" s="39" t="s">
        <v>284</v>
      </c>
      <c r="D986" s="2">
        <f t="shared" si="1"/>
        <v>4</v>
      </c>
      <c r="F986" s="1" t="str">
        <f t="shared" si="2"/>
        <v>INSERT INTO tblQuestionBank VALUES (seqQuestionBank.nextval, q'[변수의 스코프(scope)란 무엇인가에 대한 설명으로 올바른 것을 고르시오.]', 4);</v>
      </c>
    </row>
    <row r="987">
      <c r="A987" s="1">
        <v>982.0</v>
      </c>
      <c r="B987" s="1" t="s">
        <v>283</v>
      </c>
      <c r="C987" s="39" t="s">
        <v>285</v>
      </c>
      <c r="D987" s="2">
        <f t="shared" si="1"/>
        <v>2</v>
      </c>
      <c r="F987" s="1" t="str">
        <f t="shared" si="2"/>
        <v>INSERT INTO tblQuestionBank VALUES (seqQuestionBank.nextval, q'[재귀 함수와 반복문 중 메모리 사용량이 더 많은 것은 무엇인가?]', 2);</v>
      </c>
    </row>
    <row r="988">
      <c r="A988" s="1">
        <v>983.0</v>
      </c>
      <c r="B988" s="1" t="s">
        <v>283</v>
      </c>
      <c r="C988" s="39" t="s">
        <v>286</v>
      </c>
      <c r="D988" s="2">
        <f t="shared" si="1"/>
        <v>3</v>
      </c>
      <c r="F988" s="1" t="str">
        <f t="shared" si="2"/>
        <v>INSERT INTO tblQuestionBank VALUES (seqQuestionBank.nextval, q'[HTML에서 'a' 태그의 주요 기능은 무엇인가?]', 3);</v>
      </c>
    </row>
    <row r="989">
      <c r="A989" s="1">
        <v>984.0</v>
      </c>
      <c r="B989" s="1" t="s">
        <v>283</v>
      </c>
      <c r="C989" s="39" t="s">
        <v>287</v>
      </c>
      <c r="D989" s="2">
        <f t="shared" si="1"/>
        <v>4</v>
      </c>
      <c r="F989" s="1" t="str">
        <f t="shared" si="2"/>
        <v>INSERT INTO tblQuestionBank VALUES (seqQuestionBank.nextval, q'[Java에서 클래스와 객체의 차이점은 무엇인가?]', 4);</v>
      </c>
    </row>
    <row r="990">
      <c r="A990" s="1">
        <v>985.0</v>
      </c>
      <c r="B990" s="1" t="s">
        <v>283</v>
      </c>
      <c r="C990" s="39" t="s">
        <v>288</v>
      </c>
      <c r="D990" s="2">
        <f t="shared" si="1"/>
        <v>2</v>
      </c>
      <c r="F990" s="1" t="str">
        <f t="shared" si="2"/>
        <v>INSERT INTO tblQuestionBank VALUES (seqQuestionBank.nextval, q'[Python의 리스트와 튜플의 차이점은 무엇인가?]', 2);</v>
      </c>
    </row>
    <row r="991">
      <c r="A991" s="1">
        <v>986.0</v>
      </c>
      <c r="B991" s="1" t="s">
        <v>283</v>
      </c>
      <c r="C991" s="39" t="s">
        <v>289</v>
      </c>
      <c r="D991" s="2">
        <f t="shared" si="1"/>
        <v>5</v>
      </c>
      <c r="F991" s="1" t="str">
        <f t="shared" si="2"/>
        <v>INSERT INTO tblQuestionBank VALUES (seqQuestionBank.nextval, q'[C언어에서 포인터를 사용하는 주된 이유는 무엇인가?]', 5);</v>
      </c>
    </row>
    <row r="992">
      <c r="A992" s="1">
        <v>987.0</v>
      </c>
      <c r="B992" s="1" t="s">
        <v>283</v>
      </c>
      <c r="C992" s="39" t="s">
        <v>290</v>
      </c>
      <c r="D992" s="2">
        <f t="shared" si="1"/>
        <v>3</v>
      </c>
      <c r="F992" s="1" t="str">
        <f t="shared" si="2"/>
        <v>INSERT INTO tblQuestionBank VALUES (seqQuestionBank.nextval, q'[컴파일러와 인터프리터의 차이점은 무엇인가?]', 3);</v>
      </c>
    </row>
    <row r="993">
      <c r="A993" s="1">
        <v>988.0</v>
      </c>
      <c r="B993" s="1" t="s">
        <v>283</v>
      </c>
      <c r="C993" s="39" t="s">
        <v>291</v>
      </c>
      <c r="D993" s="2">
        <f t="shared" si="1"/>
        <v>4</v>
      </c>
      <c r="F993" s="1" t="str">
        <f t="shared" si="2"/>
        <v>INSERT INTO tblQuestionBank VALUES (seqQuestionBank.nextval, q'[JavaScript에서 클로저(closure)의 정의는 무엇인가?]', 4);</v>
      </c>
    </row>
    <row r="994">
      <c r="A994" s="1">
        <v>989.0</v>
      </c>
      <c r="B994" s="1" t="s">
        <v>283</v>
      </c>
      <c r="C994" s="39" t="s">
        <v>292</v>
      </c>
      <c r="D994" s="2">
        <f t="shared" si="1"/>
        <v>1</v>
      </c>
      <c r="F994" s="1" t="str">
        <f t="shared" si="2"/>
        <v>INSERT INTO tblQuestionBank VALUES (seqQuestionBank.nextval, q'[객체 지향 프로그래밍의 4대 특징 중 하나가 아닌 것은 무엇인가?]', 1);</v>
      </c>
    </row>
    <row r="995">
      <c r="A995" s="1">
        <v>990.0</v>
      </c>
      <c r="B995" s="1" t="s">
        <v>283</v>
      </c>
      <c r="C995" s="39" t="s">
        <v>293</v>
      </c>
      <c r="D995" s="2">
        <f t="shared" si="1"/>
        <v>3</v>
      </c>
      <c r="F995" s="1" t="str">
        <f t="shared" si="2"/>
        <v>INSERT INTO tblQuestionBank VALUES (seqQuestionBank.nextval, q'[SQL에서 'JOIN'의 기능은 무엇인가?]', 3);</v>
      </c>
    </row>
    <row r="996">
      <c r="A996" s="1">
        <v>991.0</v>
      </c>
      <c r="B996" s="1" t="s">
        <v>283</v>
      </c>
      <c r="C996" s="39" t="s">
        <v>294</v>
      </c>
      <c r="D996" s="2">
        <f t="shared" si="1"/>
        <v>5</v>
      </c>
      <c r="F996" s="1" t="str">
        <f t="shared" si="2"/>
        <v>INSERT INTO tblQuestionBank VALUES (seqQuestionBank.nextval, q'[Python에서 'with open()' 구문의 주요 목적은 무엇인가?]', 5);</v>
      </c>
    </row>
    <row r="997">
      <c r="A997" s="1">
        <v>992.0</v>
      </c>
      <c r="B997" s="1" t="s">
        <v>283</v>
      </c>
      <c r="C997" s="39" t="s">
        <v>295</v>
      </c>
      <c r="D997" s="2">
        <f t="shared" si="1"/>
        <v>1</v>
      </c>
      <c r="F997" s="1" t="str">
        <f t="shared" si="2"/>
        <v>INSERT INTO tblQuestionBank VALUES (seqQuestionBank.nextval, q'[데이터베이스에서 정규화의 목적은 무엇인가?]', 1);</v>
      </c>
    </row>
    <row r="998">
      <c r="A998" s="1">
        <v>993.0</v>
      </c>
      <c r="B998" s="1" t="s">
        <v>283</v>
      </c>
      <c r="C998" s="39" t="s">
        <v>296</v>
      </c>
      <c r="D998" s="2">
        <f t="shared" si="1"/>
        <v>4</v>
      </c>
      <c r="F998" s="1" t="str">
        <f t="shared" si="2"/>
        <v>INSERT INTO tblQuestionBank VALUES (seqQuestionBank.nextval, q'[CSS에서 'flexbox'의 주요 사용 목적은 무엇인가?]', 4);</v>
      </c>
    </row>
    <row r="999">
      <c r="A999" s="1">
        <v>994.0</v>
      </c>
      <c r="B999" s="1" t="s">
        <v>283</v>
      </c>
      <c r="C999" s="39" t="s">
        <v>297</v>
      </c>
      <c r="D999" s="2">
        <f t="shared" si="1"/>
        <v>3</v>
      </c>
      <c r="F999" s="1" t="str">
        <f t="shared" si="2"/>
        <v>INSERT INTO tblQuestionBank VALUES (seqQuestionBank.nextval, q'[Git에서 'merge'와 'rebase'의 차이점은 무엇인가?]', 3);</v>
      </c>
    </row>
    <row r="1000">
      <c r="A1000" s="1">
        <v>995.0</v>
      </c>
      <c r="B1000" s="1" t="s">
        <v>283</v>
      </c>
      <c r="C1000" s="39" t="s">
        <v>298</v>
      </c>
      <c r="D1000" s="2">
        <f t="shared" si="1"/>
        <v>4</v>
      </c>
      <c r="F1000" s="1" t="str">
        <f t="shared" si="2"/>
        <v>INSERT INTO tblQuestionBank VALUES (seqQuestionBank.nextval, q'[C++에서 참조자(reference)와 포인터(pointer)의 차이는 무엇인가?]', 4);</v>
      </c>
    </row>
    <row r="1001">
      <c r="A1001" s="1">
        <v>996.0</v>
      </c>
      <c r="B1001" s="1" t="s">
        <v>283</v>
      </c>
      <c r="C1001" s="39" t="s">
        <v>299</v>
      </c>
      <c r="D1001" s="2">
        <f t="shared" si="1"/>
        <v>1</v>
      </c>
      <c r="F1001" s="1" t="str">
        <f t="shared" si="2"/>
        <v>INSERT INTO tblQuestionBank VALUES (seqQuestionBank.nextval, q'[네트워크에서 TCP와 UDP의 차이점은 무엇인가?]', 1);</v>
      </c>
    </row>
    <row r="1002">
      <c r="A1002" s="1">
        <v>997.0</v>
      </c>
      <c r="B1002" s="1" t="s">
        <v>283</v>
      </c>
      <c r="C1002" s="39" t="s">
        <v>300</v>
      </c>
      <c r="D1002" s="2">
        <f t="shared" si="1"/>
        <v>4</v>
      </c>
      <c r="F1002" s="1" t="str">
        <f t="shared" si="2"/>
        <v>INSERT INTO tblQuestionBank VALUES (seqQuestionBank.nextval, q'[Python에서 제너레이터(generator)의 특징은 무엇인가?]', 4);</v>
      </c>
    </row>
    <row r="1003">
      <c r="A1003" s="1">
        <v>998.0</v>
      </c>
      <c r="B1003" s="1" t="s">
        <v>283</v>
      </c>
      <c r="C1003" s="39" t="s">
        <v>301</v>
      </c>
      <c r="D1003" s="2">
        <f t="shared" si="1"/>
        <v>3</v>
      </c>
      <c r="F1003" s="1" t="str">
        <f t="shared" si="2"/>
        <v>INSERT INTO tblQuestionBank VALUES (seqQuestionBank.nextval, q'[REST API의 주요 원칙 중 하나가 아닌 것은 무엇인가?]', 3);</v>
      </c>
    </row>
    <row r="1004">
      <c r="A1004" s="1">
        <v>999.0</v>
      </c>
      <c r="B1004" s="1" t="s">
        <v>283</v>
      </c>
      <c r="C1004" s="39" t="s">
        <v>302</v>
      </c>
      <c r="D1004" s="2">
        <f t="shared" si="1"/>
        <v>2</v>
      </c>
      <c r="F1004" s="1" t="str">
        <f t="shared" si="2"/>
        <v>INSERT INTO tblQuestionBank VALUES (seqQuestionBank.nextval, q'[Java에서 예외(Exception) 처리 방법으로 올바른 것을 고르시오.]', 2);</v>
      </c>
    </row>
    <row r="1005">
      <c r="A1005" s="1">
        <v>1000.0</v>
      </c>
      <c r="B1005" s="1" t="s">
        <v>283</v>
      </c>
      <c r="C1005" s="39" t="s">
        <v>303</v>
      </c>
      <c r="D1005" s="2">
        <f t="shared" si="1"/>
        <v>3</v>
      </c>
      <c r="F1005" s="1" t="str">
        <f t="shared" si="2"/>
        <v>INSERT INTO tblQuestionBank VALUES (seqQuestionBank.nextval, q'[프로그래밍 언어에서 타입 캐스팅(type casting)이란 무엇인가?]', 3);</v>
      </c>
    </row>
  </sheetData>
  <mergeCells count="1">
    <mergeCell ref="B3:D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4" max="4" width="13.13"/>
  </cols>
  <sheetData>
    <row r="3">
      <c r="B3" s="38" t="s">
        <v>168</v>
      </c>
    </row>
    <row r="5">
      <c r="B5" s="36" t="s">
        <v>304</v>
      </c>
      <c r="C5" s="36" t="s">
        <v>305</v>
      </c>
      <c r="D5" s="36" t="s">
        <v>280</v>
      </c>
    </row>
    <row r="6">
      <c r="A6" s="1">
        <v>1.0</v>
      </c>
      <c r="B6" s="1" t="s">
        <v>306</v>
      </c>
      <c r="C6" s="1">
        <v>1.0</v>
      </c>
      <c r="D6" s="1">
        <v>1.0</v>
      </c>
      <c r="F6" s="2" t="str">
        <f t="shared" ref="F6:F2005" si="1">"INSERT INTO tblExamQuestionLink VALUES (" &amp; B6 &amp; ", " &amp; C6 &amp; ", " &amp; D6 &amp; ");"</f>
        <v>INSERT INTO tblExamQuestionLink VALUES (seqExamQuestionLink.nextval, 1, 1);</v>
      </c>
    </row>
    <row r="7">
      <c r="A7" s="1">
        <v>2.0</v>
      </c>
      <c r="B7" s="1" t="s">
        <v>306</v>
      </c>
      <c r="C7" s="1">
        <v>1.0</v>
      </c>
      <c r="D7" s="1">
        <v>2.0</v>
      </c>
      <c r="F7" s="2" t="str">
        <f t="shared" si="1"/>
        <v>INSERT INTO tblExamQuestionLink VALUES (seqExamQuestionLink.nextval, 1, 2);</v>
      </c>
    </row>
    <row r="8">
      <c r="A8" s="1">
        <v>3.0</v>
      </c>
      <c r="B8" s="1" t="s">
        <v>306</v>
      </c>
      <c r="C8" s="1">
        <v>1.0</v>
      </c>
      <c r="D8" s="1">
        <v>3.0</v>
      </c>
      <c r="F8" s="2" t="str">
        <f t="shared" si="1"/>
        <v>INSERT INTO tblExamQuestionLink VALUES (seqExamQuestionLink.nextval, 1, 3);</v>
      </c>
    </row>
    <row r="9">
      <c r="A9" s="1">
        <v>4.0</v>
      </c>
      <c r="B9" s="1" t="s">
        <v>306</v>
      </c>
      <c r="C9" s="1">
        <v>1.0</v>
      </c>
      <c r="D9" s="1">
        <v>4.0</v>
      </c>
      <c r="F9" s="2" t="str">
        <f t="shared" si="1"/>
        <v>INSERT INTO tblExamQuestionLink VALUES (seqExamQuestionLink.nextval, 1, 4);</v>
      </c>
    </row>
    <row r="10">
      <c r="A10" s="1">
        <v>5.0</v>
      </c>
      <c r="B10" s="1" t="s">
        <v>306</v>
      </c>
      <c r="C10" s="1">
        <v>1.0</v>
      </c>
      <c r="D10" s="1">
        <v>5.0</v>
      </c>
      <c r="F10" s="2" t="str">
        <f t="shared" si="1"/>
        <v>INSERT INTO tblExamQuestionLink VALUES (seqExamQuestionLink.nextval, 1, 5);</v>
      </c>
    </row>
    <row r="11">
      <c r="A11" s="1">
        <v>6.0</v>
      </c>
      <c r="B11" s="1" t="s">
        <v>306</v>
      </c>
      <c r="C11" s="1">
        <v>1.0</v>
      </c>
      <c r="D11" s="1">
        <v>6.0</v>
      </c>
      <c r="F11" s="2" t="str">
        <f t="shared" si="1"/>
        <v>INSERT INTO tblExamQuestionLink VALUES (seqExamQuestionLink.nextval, 1, 6);</v>
      </c>
    </row>
    <row r="12">
      <c r="A12" s="1">
        <v>7.0</v>
      </c>
      <c r="B12" s="1" t="s">
        <v>306</v>
      </c>
      <c r="C12" s="1">
        <v>1.0</v>
      </c>
      <c r="D12" s="1">
        <v>7.0</v>
      </c>
      <c r="F12" s="2" t="str">
        <f t="shared" si="1"/>
        <v>INSERT INTO tblExamQuestionLink VALUES (seqExamQuestionLink.nextval, 1, 7);</v>
      </c>
    </row>
    <row r="13">
      <c r="A13" s="1">
        <v>8.0</v>
      </c>
      <c r="B13" s="1" t="s">
        <v>306</v>
      </c>
      <c r="C13" s="1">
        <v>1.0</v>
      </c>
      <c r="D13" s="1">
        <v>8.0</v>
      </c>
      <c r="F13" s="2" t="str">
        <f t="shared" si="1"/>
        <v>INSERT INTO tblExamQuestionLink VALUES (seqExamQuestionLink.nextval, 1, 8);</v>
      </c>
    </row>
    <row r="14">
      <c r="A14" s="1">
        <v>9.0</v>
      </c>
      <c r="B14" s="1" t="s">
        <v>306</v>
      </c>
      <c r="C14" s="1">
        <v>1.0</v>
      </c>
      <c r="D14" s="1">
        <v>9.0</v>
      </c>
      <c r="F14" s="2" t="str">
        <f t="shared" si="1"/>
        <v>INSERT INTO tblExamQuestionLink VALUES (seqExamQuestionLink.nextval, 1, 9);</v>
      </c>
    </row>
    <row r="15">
      <c r="A15" s="1">
        <v>10.0</v>
      </c>
      <c r="B15" s="1" t="s">
        <v>306</v>
      </c>
      <c r="C15" s="1">
        <v>1.0</v>
      </c>
      <c r="D15" s="1">
        <v>10.0</v>
      </c>
      <c r="F15" s="2" t="str">
        <f t="shared" si="1"/>
        <v>INSERT INTO tblExamQuestionLink VALUES (seqExamQuestionLink.nextval, 1, 10);</v>
      </c>
    </row>
    <row r="16">
      <c r="A16" s="1">
        <v>11.0</v>
      </c>
      <c r="B16" s="1" t="s">
        <v>306</v>
      </c>
      <c r="C16" s="1">
        <v>1.0</v>
      </c>
      <c r="D16" s="1">
        <v>11.0</v>
      </c>
      <c r="F16" s="2" t="str">
        <f t="shared" si="1"/>
        <v>INSERT INTO tblExamQuestionLink VALUES (seqExamQuestionLink.nextval, 1, 11);</v>
      </c>
    </row>
    <row r="17">
      <c r="A17" s="1">
        <v>12.0</v>
      </c>
      <c r="B17" s="1" t="s">
        <v>306</v>
      </c>
      <c r="C17" s="1">
        <v>1.0</v>
      </c>
      <c r="D17" s="1">
        <v>12.0</v>
      </c>
      <c r="F17" s="2" t="str">
        <f t="shared" si="1"/>
        <v>INSERT INTO tblExamQuestionLink VALUES (seqExamQuestionLink.nextval, 1, 12);</v>
      </c>
    </row>
    <row r="18">
      <c r="A18" s="1">
        <v>13.0</v>
      </c>
      <c r="B18" s="1" t="s">
        <v>306</v>
      </c>
      <c r="C18" s="1">
        <v>1.0</v>
      </c>
      <c r="D18" s="1">
        <v>13.0</v>
      </c>
      <c r="F18" s="2" t="str">
        <f t="shared" si="1"/>
        <v>INSERT INTO tblExamQuestionLink VALUES (seqExamQuestionLink.nextval, 1, 13);</v>
      </c>
    </row>
    <row r="19">
      <c r="A19" s="1">
        <v>14.0</v>
      </c>
      <c r="B19" s="1" t="s">
        <v>306</v>
      </c>
      <c r="C19" s="1">
        <v>1.0</v>
      </c>
      <c r="D19" s="1">
        <v>14.0</v>
      </c>
      <c r="F19" s="2" t="str">
        <f t="shared" si="1"/>
        <v>INSERT INTO tblExamQuestionLink VALUES (seqExamQuestionLink.nextval, 1, 14);</v>
      </c>
    </row>
    <row r="20">
      <c r="A20" s="1">
        <v>15.0</v>
      </c>
      <c r="B20" s="1" t="s">
        <v>306</v>
      </c>
      <c r="C20" s="1">
        <v>1.0</v>
      </c>
      <c r="D20" s="1">
        <v>15.0</v>
      </c>
      <c r="F20" s="2" t="str">
        <f t="shared" si="1"/>
        <v>INSERT INTO tblExamQuestionLink VALUES (seqExamQuestionLink.nextval, 1, 15);</v>
      </c>
    </row>
    <row r="21">
      <c r="A21" s="1">
        <v>16.0</v>
      </c>
      <c r="B21" s="1" t="s">
        <v>306</v>
      </c>
      <c r="C21" s="1">
        <v>1.0</v>
      </c>
      <c r="D21" s="1">
        <v>16.0</v>
      </c>
      <c r="F21" s="2" t="str">
        <f t="shared" si="1"/>
        <v>INSERT INTO tblExamQuestionLink VALUES (seqExamQuestionLink.nextval, 1, 16);</v>
      </c>
    </row>
    <row r="22">
      <c r="A22" s="1">
        <v>17.0</v>
      </c>
      <c r="B22" s="1" t="s">
        <v>306</v>
      </c>
      <c r="C22" s="1">
        <v>1.0</v>
      </c>
      <c r="D22" s="1">
        <v>17.0</v>
      </c>
      <c r="F22" s="2" t="str">
        <f t="shared" si="1"/>
        <v>INSERT INTO tblExamQuestionLink VALUES (seqExamQuestionLink.nextval, 1, 17);</v>
      </c>
    </row>
    <row r="23">
      <c r="A23" s="1">
        <v>18.0</v>
      </c>
      <c r="B23" s="1" t="s">
        <v>306</v>
      </c>
      <c r="C23" s="1">
        <v>1.0</v>
      </c>
      <c r="D23" s="1">
        <v>18.0</v>
      </c>
      <c r="F23" s="2" t="str">
        <f t="shared" si="1"/>
        <v>INSERT INTO tblExamQuestionLink VALUES (seqExamQuestionLink.nextval, 1, 18);</v>
      </c>
    </row>
    <row r="24">
      <c r="A24" s="1">
        <v>19.0</v>
      </c>
      <c r="B24" s="1" t="s">
        <v>306</v>
      </c>
      <c r="C24" s="1">
        <v>1.0</v>
      </c>
      <c r="D24" s="1">
        <v>19.0</v>
      </c>
      <c r="F24" s="2" t="str">
        <f t="shared" si="1"/>
        <v>INSERT INTO tblExamQuestionLink VALUES (seqExamQuestionLink.nextval, 1, 19);</v>
      </c>
    </row>
    <row r="25">
      <c r="A25" s="1">
        <v>20.0</v>
      </c>
      <c r="B25" s="1" t="s">
        <v>306</v>
      </c>
      <c r="C25" s="1">
        <v>1.0</v>
      </c>
      <c r="D25" s="1">
        <v>20.0</v>
      </c>
      <c r="F25" s="2" t="str">
        <f t="shared" si="1"/>
        <v>INSERT INTO tblExamQuestionLink VALUES (seqExamQuestionLink.nextval, 1, 20);</v>
      </c>
    </row>
    <row r="26">
      <c r="A26" s="1">
        <v>21.0</v>
      </c>
      <c r="B26" s="1" t="s">
        <v>306</v>
      </c>
      <c r="C26" s="1">
        <v>1.0</v>
      </c>
      <c r="D26" s="1">
        <v>21.0</v>
      </c>
      <c r="F26" s="2" t="str">
        <f t="shared" si="1"/>
        <v>INSERT INTO tblExamQuestionLink VALUES (seqExamQuestionLink.nextval, 1, 21);</v>
      </c>
    </row>
    <row r="27">
      <c r="A27" s="1">
        <v>22.0</v>
      </c>
      <c r="B27" s="1" t="s">
        <v>306</v>
      </c>
      <c r="C27" s="1">
        <v>1.0</v>
      </c>
      <c r="D27" s="1">
        <v>22.0</v>
      </c>
      <c r="F27" s="2" t="str">
        <f t="shared" si="1"/>
        <v>INSERT INTO tblExamQuestionLink VALUES (seqExamQuestionLink.nextval, 1, 22);</v>
      </c>
    </row>
    <row r="28">
      <c r="A28" s="1">
        <v>23.0</v>
      </c>
      <c r="B28" s="1" t="s">
        <v>306</v>
      </c>
      <c r="C28" s="1">
        <v>1.0</v>
      </c>
      <c r="D28" s="1">
        <v>23.0</v>
      </c>
      <c r="F28" s="2" t="str">
        <f t="shared" si="1"/>
        <v>INSERT INTO tblExamQuestionLink VALUES (seqExamQuestionLink.nextval, 1, 23);</v>
      </c>
    </row>
    <row r="29">
      <c r="A29" s="1">
        <v>24.0</v>
      </c>
      <c r="B29" s="1" t="s">
        <v>306</v>
      </c>
      <c r="C29" s="1">
        <v>1.0</v>
      </c>
      <c r="D29" s="1">
        <v>24.0</v>
      </c>
      <c r="F29" s="2" t="str">
        <f t="shared" si="1"/>
        <v>INSERT INTO tblExamQuestionLink VALUES (seqExamQuestionLink.nextval, 1, 24);</v>
      </c>
    </row>
    <row r="30">
      <c r="A30" s="1">
        <v>25.0</v>
      </c>
      <c r="B30" s="1" t="s">
        <v>306</v>
      </c>
      <c r="C30" s="1">
        <v>1.0</v>
      </c>
      <c r="D30" s="1">
        <v>25.0</v>
      </c>
      <c r="F30" s="2" t="str">
        <f t="shared" si="1"/>
        <v>INSERT INTO tblExamQuestionLink VALUES (seqExamQuestionLink.nextval, 1, 25);</v>
      </c>
    </row>
    <row r="31">
      <c r="A31" s="1">
        <v>26.0</v>
      </c>
      <c r="B31" s="1" t="s">
        <v>306</v>
      </c>
      <c r="C31" s="1">
        <v>1.0</v>
      </c>
      <c r="D31" s="1">
        <v>26.0</v>
      </c>
      <c r="F31" s="2" t="str">
        <f t="shared" si="1"/>
        <v>INSERT INTO tblExamQuestionLink VALUES (seqExamQuestionLink.nextval, 1, 26);</v>
      </c>
    </row>
    <row r="32">
      <c r="A32" s="1">
        <v>27.0</v>
      </c>
      <c r="B32" s="1" t="s">
        <v>306</v>
      </c>
      <c r="C32" s="1">
        <v>1.0</v>
      </c>
      <c r="D32" s="1">
        <v>27.0</v>
      </c>
      <c r="F32" s="2" t="str">
        <f t="shared" si="1"/>
        <v>INSERT INTO tblExamQuestionLink VALUES (seqExamQuestionLink.nextval, 1, 27);</v>
      </c>
    </row>
    <row r="33">
      <c r="A33" s="1">
        <v>28.0</v>
      </c>
      <c r="B33" s="1" t="s">
        <v>306</v>
      </c>
      <c r="C33" s="1">
        <v>1.0</v>
      </c>
      <c r="D33" s="1">
        <v>28.0</v>
      </c>
      <c r="F33" s="2" t="str">
        <f t="shared" si="1"/>
        <v>INSERT INTO tblExamQuestionLink VALUES (seqExamQuestionLink.nextval, 1, 28);</v>
      </c>
    </row>
    <row r="34">
      <c r="A34" s="1">
        <v>29.0</v>
      </c>
      <c r="B34" s="1" t="s">
        <v>306</v>
      </c>
      <c r="C34" s="1">
        <v>1.0</v>
      </c>
      <c r="D34" s="1">
        <v>29.0</v>
      </c>
      <c r="F34" s="2" t="str">
        <f t="shared" si="1"/>
        <v>INSERT INTO tblExamQuestionLink VALUES (seqExamQuestionLink.nextval, 1, 29);</v>
      </c>
    </row>
    <row r="35">
      <c r="A35" s="1">
        <v>30.0</v>
      </c>
      <c r="B35" s="1" t="s">
        <v>306</v>
      </c>
      <c r="C35" s="1">
        <v>1.0</v>
      </c>
      <c r="D35" s="1">
        <v>30.0</v>
      </c>
      <c r="F35" s="2" t="str">
        <f t="shared" si="1"/>
        <v>INSERT INTO tblExamQuestionLink VALUES (seqExamQuestionLink.nextval, 1, 30);</v>
      </c>
    </row>
    <row r="36">
      <c r="A36" s="1">
        <v>31.0</v>
      </c>
      <c r="B36" s="1" t="s">
        <v>306</v>
      </c>
      <c r="C36" s="1">
        <v>1.0</v>
      </c>
      <c r="D36" s="1">
        <v>31.0</v>
      </c>
      <c r="F36" s="2" t="str">
        <f t="shared" si="1"/>
        <v>INSERT INTO tblExamQuestionLink VALUES (seqExamQuestionLink.nextval, 1, 31);</v>
      </c>
    </row>
    <row r="37">
      <c r="A37" s="1">
        <v>32.0</v>
      </c>
      <c r="B37" s="1" t="s">
        <v>306</v>
      </c>
      <c r="C37" s="1">
        <v>1.0</v>
      </c>
      <c r="D37" s="1">
        <v>32.0</v>
      </c>
      <c r="F37" s="2" t="str">
        <f t="shared" si="1"/>
        <v>INSERT INTO tblExamQuestionLink VALUES (seqExamQuestionLink.nextval, 1, 32);</v>
      </c>
    </row>
    <row r="38">
      <c r="A38" s="1">
        <v>33.0</v>
      </c>
      <c r="B38" s="1" t="s">
        <v>306</v>
      </c>
      <c r="C38" s="1">
        <v>1.0</v>
      </c>
      <c r="D38" s="1">
        <v>33.0</v>
      </c>
      <c r="F38" s="2" t="str">
        <f t="shared" si="1"/>
        <v>INSERT INTO tblExamQuestionLink VALUES (seqExamQuestionLink.nextval, 1, 33);</v>
      </c>
    </row>
    <row r="39">
      <c r="A39" s="1">
        <v>34.0</v>
      </c>
      <c r="B39" s="1" t="s">
        <v>306</v>
      </c>
      <c r="C39" s="1">
        <v>1.0</v>
      </c>
      <c r="D39" s="1">
        <v>34.0</v>
      </c>
      <c r="F39" s="2" t="str">
        <f t="shared" si="1"/>
        <v>INSERT INTO tblExamQuestionLink VALUES (seqExamQuestionLink.nextval, 1, 34);</v>
      </c>
    </row>
    <row r="40">
      <c r="A40" s="1">
        <v>35.0</v>
      </c>
      <c r="B40" s="1" t="s">
        <v>306</v>
      </c>
      <c r="C40" s="1">
        <v>1.0</v>
      </c>
      <c r="D40" s="1">
        <v>35.0</v>
      </c>
      <c r="F40" s="2" t="str">
        <f t="shared" si="1"/>
        <v>INSERT INTO tblExamQuestionLink VALUES (seqExamQuestionLink.nextval, 1, 35);</v>
      </c>
    </row>
    <row r="41">
      <c r="A41" s="1">
        <v>36.0</v>
      </c>
      <c r="B41" s="1" t="s">
        <v>306</v>
      </c>
      <c r="C41" s="1">
        <v>1.0</v>
      </c>
      <c r="D41" s="1">
        <v>36.0</v>
      </c>
      <c r="F41" s="2" t="str">
        <f t="shared" si="1"/>
        <v>INSERT INTO tblExamQuestionLink VALUES (seqExamQuestionLink.nextval, 1, 36);</v>
      </c>
    </row>
    <row r="42">
      <c r="A42" s="1">
        <v>37.0</v>
      </c>
      <c r="B42" s="1" t="s">
        <v>306</v>
      </c>
      <c r="C42" s="1">
        <v>1.0</v>
      </c>
      <c r="D42" s="1">
        <v>37.0</v>
      </c>
      <c r="F42" s="2" t="str">
        <f t="shared" si="1"/>
        <v>INSERT INTO tblExamQuestionLink VALUES (seqExamQuestionLink.nextval, 1, 37);</v>
      </c>
    </row>
    <row r="43">
      <c r="A43" s="1">
        <v>38.0</v>
      </c>
      <c r="B43" s="1" t="s">
        <v>306</v>
      </c>
      <c r="C43" s="1">
        <v>1.0</v>
      </c>
      <c r="D43" s="1">
        <v>38.0</v>
      </c>
      <c r="F43" s="2" t="str">
        <f t="shared" si="1"/>
        <v>INSERT INTO tblExamQuestionLink VALUES (seqExamQuestionLink.nextval, 1, 38);</v>
      </c>
    </row>
    <row r="44">
      <c r="A44" s="1">
        <v>39.0</v>
      </c>
      <c r="B44" s="1" t="s">
        <v>306</v>
      </c>
      <c r="C44" s="1">
        <v>1.0</v>
      </c>
      <c r="D44" s="1">
        <v>39.0</v>
      </c>
      <c r="F44" s="2" t="str">
        <f t="shared" si="1"/>
        <v>INSERT INTO tblExamQuestionLink VALUES (seqExamQuestionLink.nextval, 1, 39);</v>
      </c>
    </row>
    <row r="45">
      <c r="A45" s="1">
        <v>40.0</v>
      </c>
      <c r="B45" s="1" t="s">
        <v>306</v>
      </c>
      <c r="C45" s="1">
        <v>1.0</v>
      </c>
      <c r="D45" s="1">
        <v>40.0</v>
      </c>
      <c r="F45" s="2" t="str">
        <f t="shared" si="1"/>
        <v>INSERT INTO tblExamQuestionLink VALUES (seqExamQuestionLink.nextval, 1, 40);</v>
      </c>
    </row>
    <row r="46">
      <c r="A46" s="1">
        <v>41.0</v>
      </c>
      <c r="B46" s="1" t="s">
        <v>306</v>
      </c>
      <c r="C46" s="1">
        <v>1.0</v>
      </c>
      <c r="D46" s="1">
        <v>41.0</v>
      </c>
      <c r="F46" s="2" t="str">
        <f t="shared" si="1"/>
        <v>INSERT INTO tblExamQuestionLink VALUES (seqExamQuestionLink.nextval, 1, 41);</v>
      </c>
    </row>
    <row r="47">
      <c r="A47" s="1">
        <v>42.0</v>
      </c>
      <c r="B47" s="1" t="s">
        <v>306</v>
      </c>
      <c r="C47" s="1">
        <v>1.0</v>
      </c>
      <c r="D47" s="1">
        <v>42.0</v>
      </c>
      <c r="F47" s="2" t="str">
        <f t="shared" si="1"/>
        <v>INSERT INTO tblExamQuestionLink VALUES (seqExamQuestionLink.nextval, 1, 42);</v>
      </c>
    </row>
    <row r="48">
      <c r="A48" s="1">
        <v>43.0</v>
      </c>
      <c r="B48" s="1" t="s">
        <v>306</v>
      </c>
      <c r="C48" s="1">
        <v>1.0</v>
      </c>
      <c r="D48" s="1">
        <v>43.0</v>
      </c>
      <c r="F48" s="2" t="str">
        <f t="shared" si="1"/>
        <v>INSERT INTO tblExamQuestionLink VALUES (seqExamQuestionLink.nextval, 1, 43);</v>
      </c>
    </row>
    <row r="49">
      <c r="A49" s="1">
        <v>44.0</v>
      </c>
      <c r="B49" s="1" t="s">
        <v>306</v>
      </c>
      <c r="C49" s="1">
        <v>1.0</v>
      </c>
      <c r="D49" s="1">
        <v>44.0</v>
      </c>
      <c r="F49" s="2" t="str">
        <f t="shared" si="1"/>
        <v>INSERT INTO tblExamQuestionLink VALUES (seqExamQuestionLink.nextval, 1, 44);</v>
      </c>
    </row>
    <row r="50">
      <c r="A50" s="1">
        <v>45.0</v>
      </c>
      <c r="B50" s="1" t="s">
        <v>306</v>
      </c>
      <c r="C50" s="1">
        <v>1.0</v>
      </c>
      <c r="D50" s="1">
        <v>45.0</v>
      </c>
      <c r="F50" s="2" t="str">
        <f t="shared" si="1"/>
        <v>INSERT INTO tblExamQuestionLink VALUES (seqExamQuestionLink.nextval, 1, 45);</v>
      </c>
    </row>
    <row r="51">
      <c r="A51" s="1">
        <v>46.0</v>
      </c>
      <c r="B51" s="1" t="s">
        <v>306</v>
      </c>
      <c r="C51" s="1">
        <v>1.0</v>
      </c>
      <c r="D51" s="1">
        <v>46.0</v>
      </c>
      <c r="F51" s="2" t="str">
        <f t="shared" si="1"/>
        <v>INSERT INTO tblExamQuestionLink VALUES (seqExamQuestionLink.nextval, 1, 46);</v>
      </c>
    </row>
    <row r="52">
      <c r="A52" s="1">
        <v>47.0</v>
      </c>
      <c r="B52" s="1" t="s">
        <v>306</v>
      </c>
      <c r="C52" s="1">
        <v>1.0</v>
      </c>
      <c r="D52" s="1">
        <v>47.0</v>
      </c>
      <c r="F52" s="2" t="str">
        <f t="shared" si="1"/>
        <v>INSERT INTO tblExamQuestionLink VALUES (seqExamQuestionLink.nextval, 1, 47);</v>
      </c>
    </row>
    <row r="53">
      <c r="A53" s="1">
        <v>48.0</v>
      </c>
      <c r="B53" s="1" t="s">
        <v>306</v>
      </c>
      <c r="C53" s="1">
        <v>1.0</v>
      </c>
      <c r="D53" s="1">
        <v>48.0</v>
      </c>
      <c r="F53" s="2" t="str">
        <f t="shared" si="1"/>
        <v>INSERT INTO tblExamQuestionLink VALUES (seqExamQuestionLink.nextval, 1, 48);</v>
      </c>
    </row>
    <row r="54">
      <c r="A54" s="1">
        <v>49.0</v>
      </c>
      <c r="B54" s="1" t="s">
        <v>306</v>
      </c>
      <c r="C54" s="1">
        <v>1.0</v>
      </c>
      <c r="D54" s="1">
        <v>49.0</v>
      </c>
      <c r="F54" s="2" t="str">
        <f t="shared" si="1"/>
        <v>INSERT INTO tblExamQuestionLink VALUES (seqExamQuestionLink.nextval, 1, 49);</v>
      </c>
    </row>
    <row r="55">
      <c r="A55" s="1">
        <v>50.0</v>
      </c>
      <c r="B55" s="1" t="s">
        <v>306</v>
      </c>
      <c r="C55" s="1">
        <v>1.0</v>
      </c>
      <c r="D55" s="1">
        <v>50.0</v>
      </c>
      <c r="F55" s="2" t="str">
        <f t="shared" si="1"/>
        <v>INSERT INTO tblExamQuestionLink VALUES (seqExamQuestionLink.nextval, 1, 50);</v>
      </c>
    </row>
    <row r="56">
      <c r="A56" s="1">
        <v>51.0</v>
      </c>
      <c r="B56" s="1" t="s">
        <v>306</v>
      </c>
      <c r="C56" s="1">
        <v>2.0</v>
      </c>
      <c r="D56" s="1">
        <v>51.0</v>
      </c>
      <c r="F56" s="2" t="str">
        <f t="shared" si="1"/>
        <v>INSERT INTO tblExamQuestionLink VALUES (seqExamQuestionLink.nextval, 2, 51);</v>
      </c>
    </row>
    <row r="57">
      <c r="A57" s="1">
        <v>52.0</v>
      </c>
      <c r="B57" s="1" t="s">
        <v>306</v>
      </c>
      <c r="C57" s="1">
        <v>2.0</v>
      </c>
      <c r="D57" s="1">
        <v>52.0</v>
      </c>
      <c r="F57" s="2" t="str">
        <f t="shared" si="1"/>
        <v>INSERT INTO tblExamQuestionLink VALUES (seqExamQuestionLink.nextval, 2, 52);</v>
      </c>
    </row>
    <row r="58">
      <c r="A58" s="1">
        <v>53.0</v>
      </c>
      <c r="B58" s="1" t="s">
        <v>306</v>
      </c>
      <c r="C58" s="1">
        <v>2.0</v>
      </c>
      <c r="D58" s="1">
        <v>53.0</v>
      </c>
      <c r="F58" s="2" t="str">
        <f t="shared" si="1"/>
        <v>INSERT INTO tblExamQuestionLink VALUES (seqExamQuestionLink.nextval, 2, 53);</v>
      </c>
    </row>
    <row r="59">
      <c r="A59" s="1">
        <v>54.0</v>
      </c>
      <c r="B59" s="1" t="s">
        <v>306</v>
      </c>
      <c r="C59" s="1">
        <v>2.0</v>
      </c>
      <c r="D59" s="1">
        <v>54.0</v>
      </c>
      <c r="F59" s="2" t="str">
        <f t="shared" si="1"/>
        <v>INSERT INTO tblExamQuestionLink VALUES (seqExamQuestionLink.nextval, 2, 54);</v>
      </c>
    </row>
    <row r="60">
      <c r="A60" s="1">
        <v>55.0</v>
      </c>
      <c r="B60" s="1" t="s">
        <v>306</v>
      </c>
      <c r="C60" s="1">
        <v>2.0</v>
      </c>
      <c r="D60" s="1">
        <v>55.0</v>
      </c>
      <c r="F60" s="2" t="str">
        <f t="shared" si="1"/>
        <v>INSERT INTO tblExamQuestionLink VALUES (seqExamQuestionLink.nextval, 2, 55);</v>
      </c>
    </row>
    <row r="61">
      <c r="A61" s="1">
        <v>56.0</v>
      </c>
      <c r="B61" s="1" t="s">
        <v>306</v>
      </c>
      <c r="C61" s="1">
        <v>2.0</v>
      </c>
      <c r="D61" s="1">
        <v>56.0</v>
      </c>
      <c r="F61" s="2" t="str">
        <f t="shared" si="1"/>
        <v>INSERT INTO tblExamQuestionLink VALUES (seqExamQuestionLink.nextval, 2, 56);</v>
      </c>
    </row>
    <row r="62">
      <c r="A62" s="1">
        <v>57.0</v>
      </c>
      <c r="B62" s="1" t="s">
        <v>306</v>
      </c>
      <c r="C62" s="1">
        <v>2.0</v>
      </c>
      <c r="D62" s="1">
        <v>57.0</v>
      </c>
      <c r="F62" s="2" t="str">
        <f t="shared" si="1"/>
        <v>INSERT INTO tblExamQuestionLink VALUES (seqExamQuestionLink.nextval, 2, 57);</v>
      </c>
    </row>
    <row r="63">
      <c r="A63" s="1">
        <v>58.0</v>
      </c>
      <c r="B63" s="1" t="s">
        <v>306</v>
      </c>
      <c r="C63" s="1">
        <v>2.0</v>
      </c>
      <c r="D63" s="1">
        <v>58.0</v>
      </c>
      <c r="F63" s="2" t="str">
        <f t="shared" si="1"/>
        <v>INSERT INTO tblExamQuestionLink VALUES (seqExamQuestionLink.nextval, 2, 58);</v>
      </c>
    </row>
    <row r="64">
      <c r="A64" s="1">
        <v>59.0</v>
      </c>
      <c r="B64" s="1" t="s">
        <v>306</v>
      </c>
      <c r="C64" s="1">
        <v>2.0</v>
      </c>
      <c r="D64" s="1">
        <v>59.0</v>
      </c>
      <c r="F64" s="2" t="str">
        <f t="shared" si="1"/>
        <v>INSERT INTO tblExamQuestionLink VALUES (seqExamQuestionLink.nextval, 2, 59);</v>
      </c>
    </row>
    <row r="65">
      <c r="A65" s="1">
        <v>60.0</v>
      </c>
      <c r="B65" s="1" t="s">
        <v>306</v>
      </c>
      <c r="C65" s="1">
        <v>2.0</v>
      </c>
      <c r="D65" s="1">
        <v>60.0</v>
      </c>
      <c r="F65" s="2" t="str">
        <f t="shared" si="1"/>
        <v>INSERT INTO tblExamQuestionLink VALUES (seqExamQuestionLink.nextval, 2, 60);</v>
      </c>
    </row>
    <row r="66">
      <c r="A66" s="1">
        <v>61.0</v>
      </c>
      <c r="B66" s="1" t="s">
        <v>306</v>
      </c>
      <c r="C66" s="1">
        <v>2.0</v>
      </c>
      <c r="D66" s="1">
        <v>61.0</v>
      </c>
      <c r="F66" s="2" t="str">
        <f t="shared" si="1"/>
        <v>INSERT INTO tblExamQuestionLink VALUES (seqExamQuestionLink.nextval, 2, 61);</v>
      </c>
    </row>
    <row r="67">
      <c r="A67" s="1">
        <v>62.0</v>
      </c>
      <c r="B67" s="1" t="s">
        <v>306</v>
      </c>
      <c r="C67" s="1">
        <v>2.0</v>
      </c>
      <c r="D67" s="1">
        <v>62.0</v>
      </c>
      <c r="F67" s="2" t="str">
        <f t="shared" si="1"/>
        <v>INSERT INTO tblExamQuestionLink VALUES (seqExamQuestionLink.nextval, 2, 62);</v>
      </c>
    </row>
    <row r="68">
      <c r="A68" s="1">
        <v>63.0</v>
      </c>
      <c r="B68" s="1" t="s">
        <v>306</v>
      </c>
      <c r="C68" s="1">
        <v>2.0</v>
      </c>
      <c r="D68" s="1">
        <v>63.0</v>
      </c>
      <c r="F68" s="2" t="str">
        <f t="shared" si="1"/>
        <v>INSERT INTO tblExamQuestionLink VALUES (seqExamQuestionLink.nextval, 2, 63);</v>
      </c>
    </row>
    <row r="69">
      <c r="A69" s="1">
        <v>64.0</v>
      </c>
      <c r="B69" s="1" t="s">
        <v>306</v>
      </c>
      <c r="C69" s="1">
        <v>2.0</v>
      </c>
      <c r="D69" s="1">
        <v>64.0</v>
      </c>
      <c r="F69" s="2" t="str">
        <f t="shared" si="1"/>
        <v>INSERT INTO tblExamQuestionLink VALUES (seqExamQuestionLink.nextval, 2, 64);</v>
      </c>
    </row>
    <row r="70">
      <c r="A70" s="1">
        <v>65.0</v>
      </c>
      <c r="B70" s="1" t="s">
        <v>306</v>
      </c>
      <c r="C70" s="1">
        <v>2.0</v>
      </c>
      <c r="D70" s="1">
        <v>65.0</v>
      </c>
      <c r="F70" s="2" t="str">
        <f t="shared" si="1"/>
        <v>INSERT INTO tblExamQuestionLink VALUES (seqExamQuestionLink.nextval, 2, 65);</v>
      </c>
    </row>
    <row r="71">
      <c r="A71" s="1">
        <v>66.0</v>
      </c>
      <c r="B71" s="1" t="s">
        <v>306</v>
      </c>
      <c r="C71" s="1">
        <v>2.0</v>
      </c>
      <c r="D71" s="1">
        <v>66.0</v>
      </c>
      <c r="F71" s="2" t="str">
        <f t="shared" si="1"/>
        <v>INSERT INTO tblExamQuestionLink VALUES (seqExamQuestionLink.nextval, 2, 66);</v>
      </c>
    </row>
    <row r="72">
      <c r="A72" s="1">
        <v>67.0</v>
      </c>
      <c r="B72" s="1" t="s">
        <v>306</v>
      </c>
      <c r="C72" s="1">
        <v>2.0</v>
      </c>
      <c r="D72" s="1">
        <v>67.0</v>
      </c>
      <c r="F72" s="2" t="str">
        <f t="shared" si="1"/>
        <v>INSERT INTO tblExamQuestionLink VALUES (seqExamQuestionLink.nextval, 2, 67);</v>
      </c>
    </row>
    <row r="73">
      <c r="A73" s="1">
        <v>68.0</v>
      </c>
      <c r="B73" s="1" t="s">
        <v>306</v>
      </c>
      <c r="C73" s="1">
        <v>2.0</v>
      </c>
      <c r="D73" s="1">
        <v>68.0</v>
      </c>
      <c r="F73" s="2" t="str">
        <f t="shared" si="1"/>
        <v>INSERT INTO tblExamQuestionLink VALUES (seqExamQuestionLink.nextval, 2, 68);</v>
      </c>
    </row>
    <row r="74">
      <c r="A74" s="1">
        <v>69.0</v>
      </c>
      <c r="B74" s="1" t="s">
        <v>306</v>
      </c>
      <c r="C74" s="1">
        <v>2.0</v>
      </c>
      <c r="D74" s="1">
        <v>69.0</v>
      </c>
      <c r="F74" s="2" t="str">
        <f t="shared" si="1"/>
        <v>INSERT INTO tblExamQuestionLink VALUES (seqExamQuestionLink.nextval, 2, 69);</v>
      </c>
    </row>
    <row r="75">
      <c r="A75" s="1">
        <v>70.0</v>
      </c>
      <c r="B75" s="1" t="s">
        <v>306</v>
      </c>
      <c r="C75" s="1">
        <v>2.0</v>
      </c>
      <c r="D75" s="1">
        <v>70.0</v>
      </c>
      <c r="F75" s="2" t="str">
        <f t="shared" si="1"/>
        <v>INSERT INTO tblExamQuestionLink VALUES (seqExamQuestionLink.nextval, 2, 70);</v>
      </c>
    </row>
    <row r="76">
      <c r="A76" s="1">
        <v>71.0</v>
      </c>
      <c r="B76" s="1" t="s">
        <v>306</v>
      </c>
      <c r="C76" s="1">
        <v>2.0</v>
      </c>
      <c r="D76" s="1">
        <v>71.0</v>
      </c>
      <c r="F76" s="2" t="str">
        <f t="shared" si="1"/>
        <v>INSERT INTO tblExamQuestionLink VALUES (seqExamQuestionLink.nextval, 2, 71);</v>
      </c>
    </row>
    <row r="77">
      <c r="A77" s="1">
        <v>72.0</v>
      </c>
      <c r="B77" s="1" t="s">
        <v>306</v>
      </c>
      <c r="C77" s="1">
        <v>2.0</v>
      </c>
      <c r="D77" s="1">
        <v>72.0</v>
      </c>
      <c r="F77" s="2" t="str">
        <f t="shared" si="1"/>
        <v>INSERT INTO tblExamQuestionLink VALUES (seqExamQuestionLink.nextval, 2, 72);</v>
      </c>
    </row>
    <row r="78">
      <c r="A78" s="1">
        <v>73.0</v>
      </c>
      <c r="B78" s="1" t="s">
        <v>306</v>
      </c>
      <c r="C78" s="1">
        <v>2.0</v>
      </c>
      <c r="D78" s="1">
        <v>73.0</v>
      </c>
      <c r="F78" s="2" t="str">
        <f t="shared" si="1"/>
        <v>INSERT INTO tblExamQuestionLink VALUES (seqExamQuestionLink.nextval, 2, 73);</v>
      </c>
    </row>
    <row r="79">
      <c r="A79" s="1">
        <v>74.0</v>
      </c>
      <c r="B79" s="1" t="s">
        <v>306</v>
      </c>
      <c r="C79" s="1">
        <v>2.0</v>
      </c>
      <c r="D79" s="1">
        <v>74.0</v>
      </c>
      <c r="F79" s="2" t="str">
        <f t="shared" si="1"/>
        <v>INSERT INTO tblExamQuestionLink VALUES (seqExamQuestionLink.nextval, 2, 74);</v>
      </c>
    </row>
    <row r="80">
      <c r="A80" s="1">
        <v>75.0</v>
      </c>
      <c r="B80" s="1" t="s">
        <v>306</v>
      </c>
      <c r="C80" s="1">
        <v>2.0</v>
      </c>
      <c r="D80" s="1">
        <v>75.0</v>
      </c>
      <c r="F80" s="2" t="str">
        <f t="shared" si="1"/>
        <v>INSERT INTO tblExamQuestionLink VALUES (seqExamQuestionLink.nextval, 2, 75);</v>
      </c>
    </row>
    <row r="81">
      <c r="A81" s="1">
        <v>76.0</v>
      </c>
      <c r="B81" s="1" t="s">
        <v>306</v>
      </c>
      <c r="C81" s="1">
        <v>2.0</v>
      </c>
      <c r="D81" s="1">
        <v>76.0</v>
      </c>
      <c r="F81" s="2" t="str">
        <f t="shared" si="1"/>
        <v>INSERT INTO tblExamQuestionLink VALUES (seqExamQuestionLink.nextval, 2, 76);</v>
      </c>
    </row>
    <row r="82">
      <c r="A82" s="1">
        <v>77.0</v>
      </c>
      <c r="B82" s="1" t="s">
        <v>306</v>
      </c>
      <c r="C82" s="1">
        <v>2.0</v>
      </c>
      <c r="D82" s="1">
        <v>77.0</v>
      </c>
      <c r="F82" s="2" t="str">
        <f t="shared" si="1"/>
        <v>INSERT INTO tblExamQuestionLink VALUES (seqExamQuestionLink.nextval, 2, 77);</v>
      </c>
    </row>
    <row r="83">
      <c r="A83" s="1">
        <v>78.0</v>
      </c>
      <c r="B83" s="1" t="s">
        <v>306</v>
      </c>
      <c r="C83" s="1">
        <v>2.0</v>
      </c>
      <c r="D83" s="1">
        <v>78.0</v>
      </c>
      <c r="F83" s="2" t="str">
        <f t="shared" si="1"/>
        <v>INSERT INTO tblExamQuestionLink VALUES (seqExamQuestionLink.nextval, 2, 78);</v>
      </c>
    </row>
    <row r="84">
      <c r="A84" s="1">
        <v>79.0</v>
      </c>
      <c r="B84" s="1" t="s">
        <v>306</v>
      </c>
      <c r="C84" s="1">
        <v>2.0</v>
      </c>
      <c r="D84" s="1">
        <v>79.0</v>
      </c>
      <c r="F84" s="2" t="str">
        <f t="shared" si="1"/>
        <v>INSERT INTO tblExamQuestionLink VALUES (seqExamQuestionLink.nextval, 2, 79);</v>
      </c>
    </row>
    <row r="85">
      <c r="A85" s="1">
        <v>80.0</v>
      </c>
      <c r="B85" s="1" t="s">
        <v>306</v>
      </c>
      <c r="C85" s="1">
        <v>2.0</v>
      </c>
      <c r="D85" s="1">
        <v>80.0</v>
      </c>
      <c r="F85" s="2" t="str">
        <f t="shared" si="1"/>
        <v>INSERT INTO tblExamQuestionLink VALUES (seqExamQuestionLink.nextval, 2, 80);</v>
      </c>
    </row>
    <row r="86">
      <c r="A86" s="1">
        <v>81.0</v>
      </c>
      <c r="B86" s="1" t="s">
        <v>306</v>
      </c>
      <c r="C86" s="1">
        <v>2.0</v>
      </c>
      <c r="D86" s="1">
        <v>81.0</v>
      </c>
      <c r="F86" s="2" t="str">
        <f t="shared" si="1"/>
        <v>INSERT INTO tblExamQuestionLink VALUES (seqExamQuestionLink.nextval, 2, 81);</v>
      </c>
    </row>
    <row r="87">
      <c r="A87" s="1">
        <v>82.0</v>
      </c>
      <c r="B87" s="1" t="s">
        <v>306</v>
      </c>
      <c r="C87" s="1">
        <v>2.0</v>
      </c>
      <c r="D87" s="1">
        <v>82.0</v>
      </c>
      <c r="F87" s="2" t="str">
        <f t="shared" si="1"/>
        <v>INSERT INTO tblExamQuestionLink VALUES (seqExamQuestionLink.nextval, 2, 82);</v>
      </c>
    </row>
    <row r="88">
      <c r="A88" s="1">
        <v>83.0</v>
      </c>
      <c r="B88" s="1" t="s">
        <v>306</v>
      </c>
      <c r="C88" s="1">
        <v>2.0</v>
      </c>
      <c r="D88" s="1">
        <v>83.0</v>
      </c>
      <c r="F88" s="2" t="str">
        <f t="shared" si="1"/>
        <v>INSERT INTO tblExamQuestionLink VALUES (seqExamQuestionLink.nextval, 2, 83);</v>
      </c>
    </row>
    <row r="89">
      <c r="A89" s="1">
        <v>84.0</v>
      </c>
      <c r="B89" s="1" t="s">
        <v>306</v>
      </c>
      <c r="C89" s="1">
        <v>2.0</v>
      </c>
      <c r="D89" s="1">
        <v>84.0</v>
      </c>
      <c r="F89" s="2" t="str">
        <f t="shared" si="1"/>
        <v>INSERT INTO tblExamQuestionLink VALUES (seqExamQuestionLink.nextval, 2, 84);</v>
      </c>
    </row>
    <row r="90">
      <c r="A90" s="1">
        <v>85.0</v>
      </c>
      <c r="B90" s="1" t="s">
        <v>306</v>
      </c>
      <c r="C90" s="1">
        <v>2.0</v>
      </c>
      <c r="D90" s="1">
        <v>85.0</v>
      </c>
      <c r="F90" s="2" t="str">
        <f t="shared" si="1"/>
        <v>INSERT INTO tblExamQuestionLink VALUES (seqExamQuestionLink.nextval, 2, 85);</v>
      </c>
    </row>
    <row r="91">
      <c r="A91" s="1">
        <v>86.0</v>
      </c>
      <c r="B91" s="1" t="s">
        <v>306</v>
      </c>
      <c r="C91" s="1">
        <v>2.0</v>
      </c>
      <c r="D91" s="1">
        <v>86.0</v>
      </c>
      <c r="F91" s="2" t="str">
        <f t="shared" si="1"/>
        <v>INSERT INTO tblExamQuestionLink VALUES (seqExamQuestionLink.nextval, 2, 86);</v>
      </c>
    </row>
    <row r="92">
      <c r="A92" s="1">
        <v>87.0</v>
      </c>
      <c r="B92" s="1" t="s">
        <v>306</v>
      </c>
      <c r="C92" s="1">
        <v>2.0</v>
      </c>
      <c r="D92" s="1">
        <v>87.0</v>
      </c>
      <c r="F92" s="2" t="str">
        <f t="shared" si="1"/>
        <v>INSERT INTO tblExamQuestionLink VALUES (seqExamQuestionLink.nextval, 2, 87);</v>
      </c>
    </row>
    <row r="93">
      <c r="A93" s="1">
        <v>88.0</v>
      </c>
      <c r="B93" s="1" t="s">
        <v>306</v>
      </c>
      <c r="C93" s="1">
        <v>2.0</v>
      </c>
      <c r="D93" s="1">
        <v>88.0</v>
      </c>
      <c r="F93" s="2" t="str">
        <f t="shared" si="1"/>
        <v>INSERT INTO tblExamQuestionLink VALUES (seqExamQuestionLink.nextval, 2, 88);</v>
      </c>
    </row>
    <row r="94">
      <c r="A94" s="1">
        <v>89.0</v>
      </c>
      <c r="B94" s="1" t="s">
        <v>306</v>
      </c>
      <c r="C94" s="1">
        <v>2.0</v>
      </c>
      <c r="D94" s="1">
        <v>89.0</v>
      </c>
      <c r="F94" s="2" t="str">
        <f t="shared" si="1"/>
        <v>INSERT INTO tblExamQuestionLink VALUES (seqExamQuestionLink.nextval, 2, 89);</v>
      </c>
    </row>
    <row r="95">
      <c r="A95" s="1">
        <v>90.0</v>
      </c>
      <c r="B95" s="1" t="s">
        <v>306</v>
      </c>
      <c r="C95" s="1">
        <v>2.0</v>
      </c>
      <c r="D95" s="1">
        <v>90.0</v>
      </c>
      <c r="F95" s="2" t="str">
        <f t="shared" si="1"/>
        <v>INSERT INTO tblExamQuestionLink VALUES (seqExamQuestionLink.nextval, 2, 90);</v>
      </c>
    </row>
    <row r="96">
      <c r="A96" s="1">
        <v>91.0</v>
      </c>
      <c r="B96" s="1" t="s">
        <v>306</v>
      </c>
      <c r="C96" s="1">
        <v>2.0</v>
      </c>
      <c r="D96" s="1">
        <v>91.0</v>
      </c>
      <c r="F96" s="2" t="str">
        <f t="shared" si="1"/>
        <v>INSERT INTO tblExamQuestionLink VALUES (seqExamQuestionLink.nextval, 2, 91);</v>
      </c>
    </row>
    <row r="97">
      <c r="A97" s="1">
        <v>92.0</v>
      </c>
      <c r="B97" s="1" t="s">
        <v>306</v>
      </c>
      <c r="C97" s="1">
        <v>2.0</v>
      </c>
      <c r="D97" s="1">
        <v>92.0</v>
      </c>
      <c r="F97" s="2" t="str">
        <f t="shared" si="1"/>
        <v>INSERT INTO tblExamQuestionLink VALUES (seqExamQuestionLink.nextval, 2, 92);</v>
      </c>
    </row>
    <row r="98">
      <c r="A98" s="1">
        <v>93.0</v>
      </c>
      <c r="B98" s="1" t="s">
        <v>306</v>
      </c>
      <c r="C98" s="1">
        <v>2.0</v>
      </c>
      <c r="D98" s="1">
        <v>93.0</v>
      </c>
      <c r="F98" s="2" t="str">
        <f t="shared" si="1"/>
        <v>INSERT INTO tblExamQuestionLink VALUES (seqExamQuestionLink.nextval, 2, 93);</v>
      </c>
    </row>
    <row r="99">
      <c r="A99" s="1">
        <v>94.0</v>
      </c>
      <c r="B99" s="1" t="s">
        <v>306</v>
      </c>
      <c r="C99" s="1">
        <v>2.0</v>
      </c>
      <c r="D99" s="1">
        <v>94.0</v>
      </c>
      <c r="F99" s="2" t="str">
        <f t="shared" si="1"/>
        <v>INSERT INTO tblExamQuestionLink VALUES (seqExamQuestionLink.nextval, 2, 94);</v>
      </c>
    </row>
    <row r="100">
      <c r="A100" s="1">
        <v>95.0</v>
      </c>
      <c r="B100" s="1" t="s">
        <v>306</v>
      </c>
      <c r="C100" s="1">
        <v>2.0</v>
      </c>
      <c r="D100" s="1">
        <v>95.0</v>
      </c>
      <c r="F100" s="2" t="str">
        <f t="shared" si="1"/>
        <v>INSERT INTO tblExamQuestionLink VALUES (seqExamQuestionLink.nextval, 2, 95);</v>
      </c>
    </row>
    <row r="101">
      <c r="A101" s="1">
        <v>96.0</v>
      </c>
      <c r="B101" s="1" t="s">
        <v>306</v>
      </c>
      <c r="C101" s="1">
        <v>2.0</v>
      </c>
      <c r="D101" s="1">
        <v>96.0</v>
      </c>
      <c r="F101" s="2" t="str">
        <f t="shared" si="1"/>
        <v>INSERT INTO tblExamQuestionLink VALUES (seqExamQuestionLink.nextval, 2, 96);</v>
      </c>
    </row>
    <row r="102">
      <c r="A102" s="1">
        <v>97.0</v>
      </c>
      <c r="B102" s="1" t="s">
        <v>306</v>
      </c>
      <c r="C102" s="1">
        <v>2.0</v>
      </c>
      <c r="D102" s="1">
        <v>97.0</v>
      </c>
      <c r="F102" s="2" t="str">
        <f t="shared" si="1"/>
        <v>INSERT INTO tblExamQuestionLink VALUES (seqExamQuestionLink.nextval, 2, 97);</v>
      </c>
    </row>
    <row r="103">
      <c r="A103" s="1">
        <v>98.0</v>
      </c>
      <c r="B103" s="1" t="s">
        <v>306</v>
      </c>
      <c r="C103" s="1">
        <v>2.0</v>
      </c>
      <c r="D103" s="1">
        <v>98.0</v>
      </c>
      <c r="F103" s="2" t="str">
        <f t="shared" si="1"/>
        <v>INSERT INTO tblExamQuestionLink VALUES (seqExamQuestionLink.nextval, 2, 98);</v>
      </c>
    </row>
    <row r="104">
      <c r="A104" s="1">
        <v>99.0</v>
      </c>
      <c r="B104" s="1" t="s">
        <v>306</v>
      </c>
      <c r="C104" s="1">
        <v>2.0</v>
      </c>
      <c r="D104" s="1">
        <v>99.0</v>
      </c>
      <c r="F104" s="2" t="str">
        <f t="shared" si="1"/>
        <v>INSERT INTO tblExamQuestionLink VALUES (seqExamQuestionLink.nextval, 2, 99);</v>
      </c>
    </row>
    <row r="105">
      <c r="A105" s="1">
        <v>100.0</v>
      </c>
      <c r="B105" s="1" t="s">
        <v>306</v>
      </c>
      <c r="C105" s="1">
        <v>2.0</v>
      </c>
      <c r="D105" s="1">
        <v>100.0</v>
      </c>
      <c r="F105" s="2" t="str">
        <f t="shared" si="1"/>
        <v>INSERT INTO tblExamQuestionLink VALUES (seqExamQuestionLink.nextval, 2, 100);</v>
      </c>
    </row>
    <row r="106">
      <c r="A106" s="1">
        <v>101.0</v>
      </c>
      <c r="B106" s="1" t="s">
        <v>306</v>
      </c>
      <c r="C106" s="1">
        <v>3.0</v>
      </c>
      <c r="D106" s="1">
        <v>101.0</v>
      </c>
      <c r="F106" s="2" t="str">
        <f t="shared" si="1"/>
        <v>INSERT INTO tblExamQuestionLink VALUES (seqExamQuestionLink.nextval, 3, 101);</v>
      </c>
    </row>
    <row r="107">
      <c r="A107" s="1">
        <v>102.0</v>
      </c>
      <c r="B107" s="1" t="s">
        <v>306</v>
      </c>
      <c r="C107" s="1">
        <v>3.0</v>
      </c>
      <c r="D107" s="1">
        <v>102.0</v>
      </c>
      <c r="F107" s="2" t="str">
        <f t="shared" si="1"/>
        <v>INSERT INTO tblExamQuestionLink VALUES (seqExamQuestionLink.nextval, 3, 102);</v>
      </c>
    </row>
    <row r="108">
      <c r="A108" s="1">
        <v>103.0</v>
      </c>
      <c r="B108" s="1" t="s">
        <v>306</v>
      </c>
      <c r="C108" s="1">
        <v>3.0</v>
      </c>
      <c r="D108" s="1">
        <v>103.0</v>
      </c>
      <c r="F108" s="2" t="str">
        <f t="shared" si="1"/>
        <v>INSERT INTO tblExamQuestionLink VALUES (seqExamQuestionLink.nextval, 3, 103);</v>
      </c>
    </row>
    <row r="109">
      <c r="A109" s="1">
        <v>104.0</v>
      </c>
      <c r="B109" s="1" t="s">
        <v>306</v>
      </c>
      <c r="C109" s="1">
        <v>3.0</v>
      </c>
      <c r="D109" s="1">
        <v>104.0</v>
      </c>
      <c r="F109" s="2" t="str">
        <f t="shared" si="1"/>
        <v>INSERT INTO tblExamQuestionLink VALUES (seqExamQuestionLink.nextval, 3, 104);</v>
      </c>
    </row>
    <row r="110">
      <c r="A110" s="1">
        <v>105.0</v>
      </c>
      <c r="B110" s="1" t="s">
        <v>306</v>
      </c>
      <c r="C110" s="1">
        <v>3.0</v>
      </c>
      <c r="D110" s="1">
        <v>105.0</v>
      </c>
      <c r="F110" s="2" t="str">
        <f t="shared" si="1"/>
        <v>INSERT INTO tblExamQuestionLink VALUES (seqExamQuestionLink.nextval, 3, 105);</v>
      </c>
    </row>
    <row r="111">
      <c r="A111" s="1">
        <v>106.0</v>
      </c>
      <c r="B111" s="1" t="s">
        <v>306</v>
      </c>
      <c r="C111" s="1">
        <v>3.0</v>
      </c>
      <c r="D111" s="1">
        <v>106.0</v>
      </c>
      <c r="F111" s="2" t="str">
        <f t="shared" si="1"/>
        <v>INSERT INTO tblExamQuestionLink VALUES (seqExamQuestionLink.nextval, 3, 106);</v>
      </c>
    </row>
    <row r="112">
      <c r="A112" s="1">
        <v>107.0</v>
      </c>
      <c r="B112" s="1" t="s">
        <v>306</v>
      </c>
      <c r="C112" s="1">
        <v>3.0</v>
      </c>
      <c r="D112" s="1">
        <v>107.0</v>
      </c>
      <c r="F112" s="2" t="str">
        <f t="shared" si="1"/>
        <v>INSERT INTO tblExamQuestionLink VALUES (seqExamQuestionLink.nextval, 3, 107);</v>
      </c>
    </row>
    <row r="113">
      <c r="A113" s="1">
        <v>108.0</v>
      </c>
      <c r="B113" s="1" t="s">
        <v>306</v>
      </c>
      <c r="C113" s="1">
        <v>3.0</v>
      </c>
      <c r="D113" s="1">
        <v>108.0</v>
      </c>
      <c r="F113" s="2" t="str">
        <f t="shared" si="1"/>
        <v>INSERT INTO tblExamQuestionLink VALUES (seqExamQuestionLink.nextval, 3, 108);</v>
      </c>
    </row>
    <row r="114">
      <c r="A114" s="1">
        <v>109.0</v>
      </c>
      <c r="B114" s="1" t="s">
        <v>306</v>
      </c>
      <c r="C114" s="1">
        <v>3.0</v>
      </c>
      <c r="D114" s="1">
        <v>109.0</v>
      </c>
      <c r="F114" s="2" t="str">
        <f t="shared" si="1"/>
        <v>INSERT INTO tblExamQuestionLink VALUES (seqExamQuestionLink.nextval, 3, 109);</v>
      </c>
    </row>
    <row r="115">
      <c r="A115" s="1">
        <v>110.0</v>
      </c>
      <c r="B115" s="1" t="s">
        <v>306</v>
      </c>
      <c r="C115" s="1">
        <v>3.0</v>
      </c>
      <c r="D115" s="1">
        <v>110.0</v>
      </c>
      <c r="F115" s="2" t="str">
        <f t="shared" si="1"/>
        <v>INSERT INTO tblExamQuestionLink VALUES (seqExamQuestionLink.nextval, 3, 110);</v>
      </c>
    </row>
    <row r="116">
      <c r="A116" s="1">
        <v>111.0</v>
      </c>
      <c r="B116" s="1" t="s">
        <v>306</v>
      </c>
      <c r="C116" s="1">
        <v>3.0</v>
      </c>
      <c r="D116" s="1">
        <v>111.0</v>
      </c>
      <c r="F116" s="2" t="str">
        <f t="shared" si="1"/>
        <v>INSERT INTO tblExamQuestionLink VALUES (seqExamQuestionLink.nextval, 3, 111);</v>
      </c>
    </row>
    <row r="117">
      <c r="A117" s="1">
        <v>112.0</v>
      </c>
      <c r="B117" s="1" t="s">
        <v>306</v>
      </c>
      <c r="C117" s="1">
        <v>3.0</v>
      </c>
      <c r="D117" s="1">
        <v>112.0</v>
      </c>
      <c r="F117" s="2" t="str">
        <f t="shared" si="1"/>
        <v>INSERT INTO tblExamQuestionLink VALUES (seqExamQuestionLink.nextval, 3, 112);</v>
      </c>
    </row>
    <row r="118">
      <c r="A118" s="1">
        <v>113.0</v>
      </c>
      <c r="B118" s="1" t="s">
        <v>306</v>
      </c>
      <c r="C118" s="1">
        <v>3.0</v>
      </c>
      <c r="D118" s="1">
        <v>113.0</v>
      </c>
      <c r="F118" s="2" t="str">
        <f t="shared" si="1"/>
        <v>INSERT INTO tblExamQuestionLink VALUES (seqExamQuestionLink.nextval, 3, 113);</v>
      </c>
    </row>
    <row r="119">
      <c r="A119" s="1">
        <v>114.0</v>
      </c>
      <c r="B119" s="1" t="s">
        <v>306</v>
      </c>
      <c r="C119" s="1">
        <v>3.0</v>
      </c>
      <c r="D119" s="1">
        <v>114.0</v>
      </c>
      <c r="F119" s="2" t="str">
        <f t="shared" si="1"/>
        <v>INSERT INTO tblExamQuestionLink VALUES (seqExamQuestionLink.nextval, 3, 114);</v>
      </c>
    </row>
    <row r="120">
      <c r="A120" s="1">
        <v>115.0</v>
      </c>
      <c r="B120" s="1" t="s">
        <v>306</v>
      </c>
      <c r="C120" s="1">
        <v>3.0</v>
      </c>
      <c r="D120" s="1">
        <v>115.0</v>
      </c>
      <c r="F120" s="2" t="str">
        <f t="shared" si="1"/>
        <v>INSERT INTO tblExamQuestionLink VALUES (seqExamQuestionLink.nextval, 3, 115);</v>
      </c>
    </row>
    <row r="121">
      <c r="A121" s="1">
        <v>116.0</v>
      </c>
      <c r="B121" s="1" t="s">
        <v>306</v>
      </c>
      <c r="C121" s="1">
        <v>3.0</v>
      </c>
      <c r="D121" s="1">
        <v>116.0</v>
      </c>
      <c r="F121" s="2" t="str">
        <f t="shared" si="1"/>
        <v>INSERT INTO tblExamQuestionLink VALUES (seqExamQuestionLink.nextval, 3, 116);</v>
      </c>
    </row>
    <row r="122">
      <c r="A122" s="1">
        <v>117.0</v>
      </c>
      <c r="B122" s="1" t="s">
        <v>306</v>
      </c>
      <c r="C122" s="1">
        <v>3.0</v>
      </c>
      <c r="D122" s="1">
        <v>117.0</v>
      </c>
      <c r="F122" s="2" t="str">
        <f t="shared" si="1"/>
        <v>INSERT INTO tblExamQuestionLink VALUES (seqExamQuestionLink.nextval, 3, 117);</v>
      </c>
    </row>
    <row r="123">
      <c r="A123" s="1">
        <v>118.0</v>
      </c>
      <c r="B123" s="1" t="s">
        <v>306</v>
      </c>
      <c r="C123" s="1">
        <v>3.0</v>
      </c>
      <c r="D123" s="1">
        <v>118.0</v>
      </c>
      <c r="F123" s="2" t="str">
        <f t="shared" si="1"/>
        <v>INSERT INTO tblExamQuestionLink VALUES (seqExamQuestionLink.nextval, 3, 118);</v>
      </c>
    </row>
    <row r="124">
      <c r="A124" s="1">
        <v>119.0</v>
      </c>
      <c r="B124" s="1" t="s">
        <v>306</v>
      </c>
      <c r="C124" s="1">
        <v>3.0</v>
      </c>
      <c r="D124" s="1">
        <v>119.0</v>
      </c>
      <c r="F124" s="2" t="str">
        <f t="shared" si="1"/>
        <v>INSERT INTO tblExamQuestionLink VALUES (seqExamQuestionLink.nextval, 3, 119);</v>
      </c>
    </row>
    <row r="125">
      <c r="A125" s="1">
        <v>120.0</v>
      </c>
      <c r="B125" s="1" t="s">
        <v>306</v>
      </c>
      <c r="C125" s="1">
        <v>3.0</v>
      </c>
      <c r="D125" s="1">
        <v>120.0</v>
      </c>
      <c r="F125" s="2" t="str">
        <f t="shared" si="1"/>
        <v>INSERT INTO tblExamQuestionLink VALUES (seqExamQuestionLink.nextval, 3, 120);</v>
      </c>
    </row>
    <row r="126">
      <c r="A126" s="1">
        <v>121.0</v>
      </c>
      <c r="B126" s="1" t="s">
        <v>306</v>
      </c>
      <c r="C126" s="1">
        <v>3.0</v>
      </c>
      <c r="D126" s="1">
        <v>121.0</v>
      </c>
      <c r="F126" s="2" t="str">
        <f t="shared" si="1"/>
        <v>INSERT INTO tblExamQuestionLink VALUES (seqExamQuestionLink.nextval, 3, 121);</v>
      </c>
    </row>
    <row r="127">
      <c r="A127" s="1">
        <v>122.0</v>
      </c>
      <c r="B127" s="1" t="s">
        <v>306</v>
      </c>
      <c r="C127" s="1">
        <v>3.0</v>
      </c>
      <c r="D127" s="1">
        <v>122.0</v>
      </c>
      <c r="F127" s="2" t="str">
        <f t="shared" si="1"/>
        <v>INSERT INTO tblExamQuestionLink VALUES (seqExamQuestionLink.nextval, 3, 122);</v>
      </c>
    </row>
    <row r="128">
      <c r="A128" s="1">
        <v>123.0</v>
      </c>
      <c r="B128" s="1" t="s">
        <v>306</v>
      </c>
      <c r="C128" s="1">
        <v>3.0</v>
      </c>
      <c r="D128" s="1">
        <v>123.0</v>
      </c>
      <c r="F128" s="2" t="str">
        <f t="shared" si="1"/>
        <v>INSERT INTO tblExamQuestionLink VALUES (seqExamQuestionLink.nextval, 3, 123);</v>
      </c>
    </row>
    <row r="129">
      <c r="A129" s="1">
        <v>124.0</v>
      </c>
      <c r="B129" s="1" t="s">
        <v>306</v>
      </c>
      <c r="C129" s="1">
        <v>3.0</v>
      </c>
      <c r="D129" s="1">
        <v>124.0</v>
      </c>
      <c r="F129" s="2" t="str">
        <f t="shared" si="1"/>
        <v>INSERT INTO tblExamQuestionLink VALUES (seqExamQuestionLink.nextval, 3, 124);</v>
      </c>
    </row>
    <row r="130">
      <c r="A130" s="1">
        <v>125.0</v>
      </c>
      <c r="B130" s="1" t="s">
        <v>306</v>
      </c>
      <c r="C130" s="1">
        <v>3.0</v>
      </c>
      <c r="D130" s="1">
        <v>125.0</v>
      </c>
      <c r="F130" s="2" t="str">
        <f t="shared" si="1"/>
        <v>INSERT INTO tblExamQuestionLink VALUES (seqExamQuestionLink.nextval, 3, 125);</v>
      </c>
    </row>
    <row r="131">
      <c r="A131" s="1">
        <v>126.0</v>
      </c>
      <c r="B131" s="1" t="s">
        <v>306</v>
      </c>
      <c r="C131" s="1">
        <v>3.0</v>
      </c>
      <c r="D131" s="1">
        <v>126.0</v>
      </c>
      <c r="F131" s="2" t="str">
        <f t="shared" si="1"/>
        <v>INSERT INTO tblExamQuestionLink VALUES (seqExamQuestionLink.nextval, 3, 126);</v>
      </c>
    </row>
    <row r="132">
      <c r="A132" s="1">
        <v>127.0</v>
      </c>
      <c r="B132" s="1" t="s">
        <v>306</v>
      </c>
      <c r="C132" s="1">
        <v>3.0</v>
      </c>
      <c r="D132" s="1">
        <v>127.0</v>
      </c>
      <c r="F132" s="2" t="str">
        <f t="shared" si="1"/>
        <v>INSERT INTO tblExamQuestionLink VALUES (seqExamQuestionLink.nextval, 3, 127);</v>
      </c>
    </row>
    <row r="133">
      <c r="A133" s="1">
        <v>128.0</v>
      </c>
      <c r="B133" s="1" t="s">
        <v>306</v>
      </c>
      <c r="C133" s="1">
        <v>3.0</v>
      </c>
      <c r="D133" s="1">
        <v>128.0</v>
      </c>
      <c r="F133" s="2" t="str">
        <f t="shared" si="1"/>
        <v>INSERT INTO tblExamQuestionLink VALUES (seqExamQuestionLink.nextval, 3, 128);</v>
      </c>
    </row>
    <row r="134">
      <c r="A134" s="1">
        <v>129.0</v>
      </c>
      <c r="B134" s="1" t="s">
        <v>306</v>
      </c>
      <c r="C134" s="1">
        <v>3.0</v>
      </c>
      <c r="D134" s="1">
        <v>129.0</v>
      </c>
      <c r="F134" s="2" t="str">
        <f t="shared" si="1"/>
        <v>INSERT INTO tblExamQuestionLink VALUES (seqExamQuestionLink.nextval, 3, 129);</v>
      </c>
    </row>
    <row r="135">
      <c r="A135" s="1">
        <v>130.0</v>
      </c>
      <c r="B135" s="1" t="s">
        <v>306</v>
      </c>
      <c r="C135" s="1">
        <v>3.0</v>
      </c>
      <c r="D135" s="1">
        <v>130.0</v>
      </c>
      <c r="F135" s="2" t="str">
        <f t="shared" si="1"/>
        <v>INSERT INTO tblExamQuestionLink VALUES (seqExamQuestionLink.nextval, 3, 130);</v>
      </c>
    </row>
    <row r="136">
      <c r="A136" s="1">
        <v>131.0</v>
      </c>
      <c r="B136" s="1" t="s">
        <v>306</v>
      </c>
      <c r="C136" s="1">
        <v>3.0</v>
      </c>
      <c r="D136" s="1">
        <v>131.0</v>
      </c>
      <c r="F136" s="2" t="str">
        <f t="shared" si="1"/>
        <v>INSERT INTO tblExamQuestionLink VALUES (seqExamQuestionLink.nextval, 3, 131);</v>
      </c>
    </row>
    <row r="137">
      <c r="A137" s="1">
        <v>132.0</v>
      </c>
      <c r="B137" s="1" t="s">
        <v>306</v>
      </c>
      <c r="C137" s="1">
        <v>3.0</v>
      </c>
      <c r="D137" s="1">
        <v>132.0</v>
      </c>
      <c r="F137" s="2" t="str">
        <f t="shared" si="1"/>
        <v>INSERT INTO tblExamQuestionLink VALUES (seqExamQuestionLink.nextval, 3, 132);</v>
      </c>
    </row>
    <row r="138">
      <c r="A138" s="1">
        <v>133.0</v>
      </c>
      <c r="B138" s="1" t="s">
        <v>306</v>
      </c>
      <c r="C138" s="1">
        <v>3.0</v>
      </c>
      <c r="D138" s="1">
        <v>133.0</v>
      </c>
      <c r="F138" s="2" t="str">
        <f t="shared" si="1"/>
        <v>INSERT INTO tblExamQuestionLink VALUES (seqExamQuestionLink.nextval, 3, 133);</v>
      </c>
    </row>
    <row r="139">
      <c r="A139" s="1">
        <v>134.0</v>
      </c>
      <c r="B139" s="1" t="s">
        <v>306</v>
      </c>
      <c r="C139" s="1">
        <v>3.0</v>
      </c>
      <c r="D139" s="1">
        <v>134.0</v>
      </c>
      <c r="F139" s="2" t="str">
        <f t="shared" si="1"/>
        <v>INSERT INTO tblExamQuestionLink VALUES (seqExamQuestionLink.nextval, 3, 134);</v>
      </c>
    </row>
    <row r="140">
      <c r="A140" s="1">
        <v>135.0</v>
      </c>
      <c r="B140" s="1" t="s">
        <v>306</v>
      </c>
      <c r="C140" s="1">
        <v>3.0</v>
      </c>
      <c r="D140" s="1">
        <v>135.0</v>
      </c>
      <c r="F140" s="2" t="str">
        <f t="shared" si="1"/>
        <v>INSERT INTO tblExamQuestionLink VALUES (seqExamQuestionLink.nextval, 3, 135);</v>
      </c>
    </row>
    <row r="141">
      <c r="A141" s="1">
        <v>136.0</v>
      </c>
      <c r="B141" s="1" t="s">
        <v>306</v>
      </c>
      <c r="C141" s="1">
        <v>3.0</v>
      </c>
      <c r="D141" s="1">
        <v>136.0</v>
      </c>
      <c r="F141" s="2" t="str">
        <f t="shared" si="1"/>
        <v>INSERT INTO tblExamQuestionLink VALUES (seqExamQuestionLink.nextval, 3, 136);</v>
      </c>
    </row>
    <row r="142">
      <c r="A142" s="1">
        <v>137.0</v>
      </c>
      <c r="B142" s="1" t="s">
        <v>306</v>
      </c>
      <c r="C142" s="1">
        <v>3.0</v>
      </c>
      <c r="D142" s="1">
        <v>137.0</v>
      </c>
      <c r="F142" s="2" t="str">
        <f t="shared" si="1"/>
        <v>INSERT INTO tblExamQuestionLink VALUES (seqExamQuestionLink.nextval, 3, 137);</v>
      </c>
    </row>
    <row r="143">
      <c r="A143" s="1">
        <v>138.0</v>
      </c>
      <c r="B143" s="1" t="s">
        <v>306</v>
      </c>
      <c r="C143" s="1">
        <v>3.0</v>
      </c>
      <c r="D143" s="1">
        <v>138.0</v>
      </c>
      <c r="F143" s="2" t="str">
        <f t="shared" si="1"/>
        <v>INSERT INTO tblExamQuestionLink VALUES (seqExamQuestionLink.nextval, 3, 138);</v>
      </c>
    </row>
    <row r="144">
      <c r="A144" s="1">
        <v>139.0</v>
      </c>
      <c r="B144" s="1" t="s">
        <v>306</v>
      </c>
      <c r="C144" s="1">
        <v>3.0</v>
      </c>
      <c r="D144" s="1">
        <v>139.0</v>
      </c>
      <c r="F144" s="2" t="str">
        <f t="shared" si="1"/>
        <v>INSERT INTO tblExamQuestionLink VALUES (seqExamQuestionLink.nextval, 3, 139);</v>
      </c>
    </row>
    <row r="145">
      <c r="A145" s="1">
        <v>140.0</v>
      </c>
      <c r="B145" s="1" t="s">
        <v>306</v>
      </c>
      <c r="C145" s="1">
        <v>3.0</v>
      </c>
      <c r="D145" s="1">
        <v>140.0</v>
      </c>
      <c r="F145" s="2" t="str">
        <f t="shared" si="1"/>
        <v>INSERT INTO tblExamQuestionLink VALUES (seqExamQuestionLink.nextval, 3, 140);</v>
      </c>
    </row>
    <row r="146">
      <c r="A146" s="1">
        <v>141.0</v>
      </c>
      <c r="B146" s="1" t="s">
        <v>306</v>
      </c>
      <c r="C146" s="1">
        <v>3.0</v>
      </c>
      <c r="D146" s="1">
        <v>141.0</v>
      </c>
      <c r="F146" s="2" t="str">
        <f t="shared" si="1"/>
        <v>INSERT INTO tblExamQuestionLink VALUES (seqExamQuestionLink.nextval, 3, 141);</v>
      </c>
    </row>
    <row r="147">
      <c r="A147" s="1">
        <v>142.0</v>
      </c>
      <c r="B147" s="1" t="s">
        <v>306</v>
      </c>
      <c r="C147" s="1">
        <v>3.0</v>
      </c>
      <c r="D147" s="1">
        <v>142.0</v>
      </c>
      <c r="F147" s="2" t="str">
        <f t="shared" si="1"/>
        <v>INSERT INTO tblExamQuestionLink VALUES (seqExamQuestionLink.nextval, 3, 142);</v>
      </c>
    </row>
    <row r="148">
      <c r="A148" s="1">
        <v>143.0</v>
      </c>
      <c r="B148" s="1" t="s">
        <v>306</v>
      </c>
      <c r="C148" s="1">
        <v>3.0</v>
      </c>
      <c r="D148" s="1">
        <v>143.0</v>
      </c>
      <c r="F148" s="2" t="str">
        <f t="shared" si="1"/>
        <v>INSERT INTO tblExamQuestionLink VALUES (seqExamQuestionLink.nextval, 3, 143);</v>
      </c>
    </row>
    <row r="149">
      <c r="A149" s="1">
        <v>144.0</v>
      </c>
      <c r="B149" s="1" t="s">
        <v>306</v>
      </c>
      <c r="C149" s="1">
        <v>3.0</v>
      </c>
      <c r="D149" s="1">
        <v>144.0</v>
      </c>
      <c r="F149" s="2" t="str">
        <f t="shared" si="1"/>
        <v>INSERT INTO tblExamQuestionLink VALUES (seqExamQuestionLink.nextval, 3, 144);</v>
      </c>
    </row>
    <row r="150">
      <c r="A150" s="1">
        <v>145.0</v>
      </c>
      <c r="B150" s="1" t="s">
        <v>306</v>
      </c>
      <c r="C150" s="1">
        <v>3.0</v>
      </c>
      <c r="D150" s="1">
        <v>145.0</v>
      </c>
      <c r="F150" s="2" t="str">
        <f t="shared" si="1"/>
        <v>INSERT INTO tblExamQuestionLink VALUES (seqExamQuestionLink.nextval, 3, 145);</v>
      </c>
    </row>
    <row r="151">
      <c r="A151" s="1">
        <v>146.0</v>
      </c>
      <c r="B151" s="1" t="s">
        <v>306</v>
      </c>
      <c r="C151" s="1">
        <v>3.0</v>
      </c>
      <c r="D151" s="1">
        <v>146.0</v>
      </c>
      <c r="F151" s="2" t="str">
        <f t="shared" si="1"/>
        <v>INSERT INTO tblExamQuestionLink VALUES (seqExamQuestionLink.nextval, 3, 146);</v>
      </c>
    </row>
    <row r="152">
      <c r="A152" s="1">
        <v>147.0</v>
      </c>
      <c r="B152" s="1" t="s">
        <v>306</v>
      </c>
      <c r="C152" s="1">
        <v>3.0</v>
      </c>
      <c r="D152" s="1">
        <v>147.0</v>
      </c>
      <c r="F152" s="2" t="str">
        <f t="shared" si="1"/>
        <v>INSERT INTO tblExamQuestionLink VALUES (seqExamQuestionLink.nextval, 3, 147);</v>
      </c>
    </row>
    <row r="153">
      <c r="A153" s="1">
        <v>148.0</v>
      </c>
      <c r="B153" s="1" t="s">
        <v>306</v>
      </c>
      <c r="C153" s="1">
        <v>3.0</v>
      </c>
      <c r="D153" s="1">
        <v>148.0</v>
      </c>
      <c r="F153" s="2" t="str">
        <f t="shared" si="1"/>
        <v>INSERT INTO tblExamQuestionLink VALUES (seqExamQuestionLink.nextval, 3, 148);</v>
      </c>
    </row>
    <row r="154">
      <c r="A154" s="1">
        <v>149.0</v>
      </c>
      <c r="B154" s="1" t="s">
        <v>306</v>
      </c>
      <c r="C154" s="1">
        <v>3.0</v>
      </c>
      <c r="D154" s="1">
        <v>149.0</v>
      </c>
      <c r="F154" s="2" t="str">
        <f t="shared" si="1"/>
        <v>INSERT INTO tblExamQuestionLink VALUES (seqExamQuestionLink.nextval, 3, 149);</v>
      </c>
    </row>
    <row r="155">
      <c r="A155" s="1">
        <v>150.0</v>
      </c>
      <c r="B155" s="1" t="s">
        <v>306</v>
      </c>
      <c r="C155" s="1">
        <v>3.0</v>
      </c>
      <c r="D155" s="1">
        <v>150.0</v>
      </c>
      <c r="F155" s="2" t="str">
        <f t="shared" si="1"/>
        <v>INSERT INTO tblExamQuestionLink VALUES (seqExamQuestionLink.nextval, 3, 150);</v>
      </c>
    </row>
    <row r="156">
      <c r="A156" s="1">
        <v>151.0</v>
      </c>
      <c r="B156" s="1" t="s">
        <v>306</v>
      </c>
      <c r="C156" s="1">
        <v>4.0</v>
      </c>
      <c r="D156" s="1">
        <v>151.0</v>
      </c>
      <c r="F156" s="2" t="str">
        <f t="shared" si="1"/>
        <v>INSERT INTO tblExamQuestionLink VALUES (seqExamQuestionLink.nextval, 4, 151);</v>
      </c>
    </row>
    <row r="157">
      <c r="A157" s="1">
        <v>152.0</v>
      </c>
      <c r="B157" s="1" t="s">
        <v>306</v>
      </c>
      <c r="C157" s="1">
        <v>4.0</v>
      </c>
      <c r="D157" s="1">
        <v>152.0</v>
      </c>
      <c r="F157" s="2" t="str">
        <f t="shared" si="1"/>
        <v>INSERT INTO tblExamQuestionLink VALUES (seqExamQuestionLink.nextval, 4, 152);</v>
      </c>
    </row>
    <row r="158">
      <c r="A158" s="1">
        <v>153.0</v>
      </c>
      <c r="B158" s="1" t="s">
        <v>306</v>
      </c>
      <c r="C158" s="1">
        <v>4.0</v>
      </c>
      <c r="D158" s="1">
        <v>153.0</v>
      </c>
      <c r="F158" s="2" t="str">
        <f t="shared" si="1"/>
        <v>INSERT INTO tblExamQuestionLink VALUES (seqExamQuestionLink.nextval, 4, 153);</v>
      </c>
    </row>
    <row r="159">
      <c r="A159" s="1">
        <v>154.0</v>
      </c>
      <c r="B159" s="1" t="s">
        <v>306</v>
      </c>
      <c r="C159" s="1">
        <v>4.0</v>
      </c>
      <c r="D159" s="1">
        <v>154.0</v>
      </c>
      <c r="F159" s="2" t="str">
        <f t="shared" si="1"/>
        <v>INSERT INTO tblExamQuestionLink VALUES (seqExamQuestionLink.nextval, 4, 154);</v>
      </c>
    </row>
    <row r="160">
      <c r="A160" s="1">
        <v>155.0</v>
      </c>
      <c r="B160" s="1" t="s">
        <v>306</v>
      </c>
      <c r="C160" s="1">
        <v>4.0</v>
      </c>
      <c r="D160" s="1">
        <v>155.0</v>
      </c>
      <c r="F160" s="2" t="str">
        <f t="shared" si="1"/>
        <v>INSERT INTO tblExamQuestionLink VALUES (seqExamQuestionLink.nextval, 4, 155);</v>
      </c>
    </row>
    <row r="161">
      <c r="A161" s="1">
        <v>156.0</v>
      </c>
      <c r="B161" s="1" t="s">
        <v>306</v>
      </c>
      <c r="C161" s="1">
        <v>4.0</v>
      </c>
      <c r="D161" s="1">
        <v>156.0</v>
      </c>
      <c r="F161" s="2" t="str">
        <f t="shared" si="1"/>
        <v>INSERT INTO tblExamQuestionLink VALUES (seqExamQuestionLink.nextval, 4, 156);</v>
      </c>
    </row>
    <row r="162">
      <c r="A162" s="1">
        <v>157.0</v>
      </c>
      <c r="B162" s="1" t="s">
        <v>306</v>
      </c>
      <c r="C162" s="1">
        <v>4.0</v>
      </c>
      <c r="D162" s="1">
        <v>157.0</v>
      </c>
      <c r="F162" s="2" t="str">
        <f t="shared" si="1"/>
        <v>INSERT INTO tblExamQuestionLink VALUES (seqExamQuestionLink.nextval, 4, 157);</v>
      </c>
    </row>
    <row r="163">
      <c r="A163" s="1">
        <v>158.0</v>
      </c>
      <c r="B163" s="1" t="s">
        <v>306</v>
      </c>
      <c r="C163" s="1">
        <v>4.0</v>
      </c>
      <c r="D163" s="1">
        <v>158.0</v>
      </c>
      <c r="F163" s="2" t="str">
        <f t="shared" si="1"/>
        <v>INSERT INTO tblExamQuestionLink VALUES (seqExamQuestionLink.nextval, 4, 158);</v>
      </c>
    </row>
    <row r="164">
      <c r="A164" s="1">
        <v>159.0</v>
      </c>
      <c r="B164" s="1" t="s">
        <v>306</v>
      </c>
      <c r="C164" s="1">
        <v>4.0</v>
      </c>
      <c r="D164" s="1">
        <v>159.0</v>
      </c>
      <c r="F164" s="2" t="str">
        <f t="shared" si="1"/>
        <v>INSERT INTO tblExamQuestionLink VALUES (seqExamQuestionLink.nextval, 4, 159);</v>
      </c>
    </row>
    <row r="165">
      <c r="A165" s="1">
        <v>160.0</v>
      </c>
      <c r="B165" s="1" t="s">
        <v>306</v>
      </c>
      <c r="C165" s="1">
        <v>4.0</v>
      </c>
      <c r="D165" s="1">
        <v>160.0</v>
      </c>
      <c r="F165" s="2" t="str">
        <f t="shared" si="1"/>
        <v>INSERT INTO tblExamQuestionLink VALUES (seqExamQuestionLink.nextval, 4, 160);</v>
      </c>
    </row>
    <row r="166">
      <c r="A166" s="1">
        <v>161.0</v>
      </c>
      <c r="B166" s="1" t="s">
        <v>306</v>
      </c>
      <c r="C166" s="1">
        <v>4.0</v>
      </c>
      <c r="D166" s="1">
        <v>161.0</v>
      </c>
      <c r="F166" s="2" t="str">
        <f t="shared" si="1"/>
        <v>INSERT INTO tblExamQuestionLink VALUES (seqExamQuestionLink.nextval, 4, 161);</v>
      </c>
    </row>
    <row r="167">
      <c r="A167" s="1">
        <v>162.0</v>
      </c>
      <c r="B167" s="1" t="s">
        <v>306</v>
      </c>
      <c r="C167" s="1">
        <v>4.0</v>
      </c>
      <c r="D167" s="1">
        <v>162.0</v>
      </c>
      <c r="F167" s="2" t="str">
        <f t="shared" si="1"/>
        <v>INSERT INTO tblExamQuestionLink VALUES (seqExamQuestionLink.nextval, 4, 162);</v>
      </c>
    </row>
    <row r="168">
      <c r="A168" s="1">
        <v>163.0</v>
      </c>
      <c r="B168" s="1" t="s">
        <v>306</v>
      </c>
      <c r="C168" s="1">
        <v>4.0</v>
      </c>
      <c r="D168" s="1">
        <v>163.0</v>
      </c>
      <c r="F168" s="2" t="str">
        <f t="shared" si="1"/>
        <v>INSERT INTO tblExamQuestionLink VALUES (seqExamQuestionLink.nextval, 4, 163);</v>
      </c>
    </row>
    <row r="169">
      <c r="A169" s="1">
        <v>164.0</v>
      </c>
      <c r="B169" s="1" t="s">
        <v>306</v>
      </c>
      <c r="C169" s="1">
        <v>4.0</v>
      </c>
      <c r="D169" s="1">
        <v>164.0</v>
      </c>
      <c r="F169" s="2" t="str">
        <f t="shared" si="1"/>
        <v>INSERT INTO tblExamQuestionLink VALUES (seqExamQuestionLink.nextval, 4, 164);</v>
      </c>
    </row>
    <row r="170">
      <c r="A170" s="1">
        <v>165.0</v>
      </c>
      <c r="B170" s="1" t="s">
        <v>306</v>
      </c>
      <c r="C170" s="1">
        <v>4.0</v>
      </c>
      <c r="D170" s="1">
        <v>165.0</v>
      </c>
      <c r="F170" s="2" t="str">
        <f t="shared" si="1"/>
        <v>INSERT INTO tblExamQuestionLink VALUES (seqExamQuestionLink.nextval, 4, 165);</v>
      </c>
    </row>
    <row r="171">
      <c r="A171" s="1">
        <v>166.0</v>
      </c>
      <c r="B171" s="1" t="s">
        <v>306</v>
      </c>
      <c r="C171" s="1">
        <v>4.0</v>
      </c>
      <c r="D171" s="1">
        <v>166.0</v>
      </c>
      <c r="F171" s="2" t="str">
        <f t="shared" si="1"/>
        <v>INSERT INTO tblExamQuestionLink VALUES (seqExamQuestionLink.nextval, 4, 166);</v>
      </c>
    </row>
    <row r="172">
      <c r="A172" s="1">
        <v>167.0</v>
      </c>
      <c r="B172" s="1" t="s">
        <v>306</v>
      </c>
      <c r="C172" s="1">
        <v>4.0</v>
      </c>
      <c r="D172" s="1">
        <v>167.0</v>
      </c>
      <c r="F172" s="2" t="str">
        <f t="shared" si="1"/>
        <v>INSERT INTO tblExamQuestionLink VALUES (seqExamQuestionLink.nextval, 4, 167);</v>
      </c>
    </row>
    <row r="173">
      <c r="A173" s="1">
        <v>168.0</v>
      </c>
      <c r="B173" s="1" t="s">
        <v>306</v>
      </c>
      <c r="C173" s="1">
        <v>4.0</v>
      </c>
      <c r="D173" s="1">
        <v>168.0</v>
      </c>
      <c r="F173" s="2" t="str">
        <f t="shared" si="1"/>
        <v>INSERT INTO tblExamQuestionLink VALUES (seqExamQuestionLink.nextval, 4, 168);</v>
      </c>
    </row>
    <row r="174">
      <c r="A174" s="1">
        <v>169.0</v>
      </c>
      <c r="B174" s="1" t="s">
        <v>306</v>
      </c>
      <c r="C174" s="1">
        <v>4.0</v>
      </c>
      <c r="D174" s="1">
        <v>169.0</v>
      </c>
      <c r="F174" s="2" t="str">
        <f t="shared" si="1"/>
        <v>INSERT INTO tblExamQuestionLink VALUES (seqExamQuestionLink.nextval, 4, 169);</v>
      </c>
    </row>
    <row r="175">
      <c r="A175" s="1">
        <v>170.0</v>
      </c>
      <c r="B175" s="1" t="s">
        <v>306</v>
      </c>
      <c r="C175" s="1">
        <v>4.0</v>
      </c>
      <c r="D175" s="1">
        <v>170.0</v>
      </c>
      <c r="F175" s="2" t="str">
        <f t="shared" si="1"/>
        <v>INSERT INTO tblExamQuestionLink VALUES (seqExamQuestionLink.nextval, 4, 170);</v>
      </c>
    </row>
    <row r="176">
      <c r="A176" s="1">
        <v>171.0</v>
      </c>
      <c r="B176" s="1" t="s">
        <v>306</v>
      </c>
      <c r="C176" s="1">
        <v>4.0</v>
      </c>
      <c r="D176" s="1">
        <v>171.0</v>
      </c>
      <c r="F176" s="2" t="str">
        <f t="shared" si="1"/>
        <v>INSERT INTO tblExamQuestionLink VALUES (seqExamQuestionLink.nextval, 4, 171);</v>
      </c>
    </row>
    <row r="177">
      <c r="A177" s="1">
        <v>172.0</v>
      </c>
      <c r="B177" s="1" t="s">
        <v>306</v>
      </c>
      <c r="C177" s="1">
        <v>4.0</v>
      </c>
      <c r="D177" s="1">
        <v>172.0</v>
      </c>
      <c r="F177" s="2" t="str">
        <f t="shared" si="1"/>
        <v>INSERT INTO tblExamQuestionLink VALUES (seqExamQuestionLink.nextval, 4, 172);</v>
      </c>
    </row>
    <row r="178">
      <c r="A178" s="1">
        <v>173.0</v>
      </c>
      <c r="B178" s="1" t="s">
        <v>306</v>
      </c>
      <c r="C178" s="1">
        <v>4.0</v>
      </c>
      <c r="D178" s="1">
        <v>173.0</v>
      </c>
      <c r="F178" s="2" t="str">
        <f t="shared" si="1"/>
        <v>INSERT INTO tblExamQuestionLink VALUES (seqExamQuestionLink.nextval, 4, 173);</v>
      </c>
    </row>
    <row r="179">
      <c r="A179" s="1">
        <v>174.0</v>
      </c>
      <c r="B179" s="1" t="s">
        <v>306</v>
      </c>
      <c r="C179" s="1">
        <v>4.0</v>
      </c>
      <c r="D179" s="1">
        <v>174.0</v>
      </c>
      <c r="F179" s="2" t="str">
        <f t="shared" si="1"/>
        <v>INSERT INTO tblExamQuestionLink VALUES (seqExamQuestionLink.nextval, 4, 174);</v>
      </c>
    </row>
    <row r="180">
      <c r="A180" s="1">
        <v>175.0</v>
      </c>
      <c r="B180" s="1" t="s">
        <v>306</v>
      </c>
      <c r="C180" s="1">
        <v>4.0</v>
      </c>
      <c r="D180" s="1">
        <v>175.0</v>
      </c>
      <c r="F180" s="2" t="str">
        <f t="shared" si="1"/>
        <v>INSERT INTO tblExamQuestionLink VALUES (seqExamQuestionLink.nextval, 4, 175);</v>
      </c>
    </row>
    <row r="181">
      <c r="A181" s="1">
        <v>176.0</v>
      </c>
      <c r="B181" s="1" t="s">
        <v>306</v>
      </c>
      <c r="C181" s="1">
        <v>4.0</v>
      </c>
      <c r="D181" s="1">
        <v>176.0</v>
      </c>
      <c r="F181" s="2" t="str">
        <f t="shared" si="1"/>
        <v>INSERT INTO tblExamQuestionLink VALUES (seqExamQuestionLink.nextval, 4, 176);</v>
      </c>
    </row>
    <row r="182">
      <c r="A182" s="1">
        <v>177.0</v>
      </c>
      <c r="B182" s="1" t="s">
        <v>306</v>
      </c>
      <c r="C182" s="1">
        <v>4.0</v>
      </c>
      <c r="D182" s="1">
        <v>177.0</v>
      </c>
      <c r="F182" s="2" t="str">
        <f t="shared" si="1"/>
        <v>INSERT INTO tblExamQuestionLink VALUES (seqExamQuestionLink.nextval, 4, 177);</v>
      </c>
    </row>
    <row r="183">
      <c r="A183" s="1">
        <v>178.0</v>
      </c>
      <c r="B183" s="1" t="s">
        <v>306</v>
      </c>
      <c r="C183" s="1">
        <v>4.0</v>
      </c>
      <c r="D183" s="1">
        <v>178.0</v>
      </c>
      <c r="F183" s="2" t="str">
        <f t="shared" si="1"/>
        <v>INSERT INTO tblExamQuestionLink VALUES (seqExamQuestionLink.nextval, 4, 178);</v>
      </c>
    </row>
    <row r="184">
      <c r="A184" s="1">
        <v>179.0</v>
      </c>
      <c r="B184" s="1" t="s">
        <v>306</v>
      </c>
      <c r="C184" s="1">
        <v>4.0</v>
      </c>
      <c r="D184" s="1">
        <v>179.0</v>
      </c>
      <c r="F184" s="2" t="str">
        <f t="shared" si="1"/>
        <v>INSERT INTO tblExamQuestionLink VALUES (seqExamQuestionLink.nextval, 4, 179);</v>
      </c>
    </row>
    <row r="185">
      <c r="A185" s="1">
        <v>180.0</v>
      </c>
      <c r="B185" s="1" t="s">
        <v>306</v>
      </c>
      <c r="C185" s="1">
        <v>4.0</v>
      </c>
      <c r="D185" s="1">
        <v>180.0</v>
      </c>
      <c r="F185" s="2" t="str">
        <f t="shared" si="1"/>
        <v>INSERT INTO tblExamQuestionLink VALUES (seqExamQuestionLink.nextval, 4, 180);</v>
      </c>
    </row>
    <row r="186">
      <c r="A186" s="1">
        <v>181.0</v>
      </c>
      <c r="B186" s="1" t="s">
        <v>306</v>
      </c>
      <c r="C186" s="1">
        <v>4.0</v>
      </c>
      <c r="D186" s="1">
        <v>181.0</v>
      </c>
      <c r="F186" s="2" t="str">
        <f t="shared" si="1"/>
        <v>INSERT INTO tblExamQuestionLink VALUES (seqExamQuestionLink.nextval, 4, 181);</v>
      </c>
    </row>
    <row r="187">
      <c r="A187" s="1">
        <v>182.0</v>
      </c>
      <c r="B187" s="1" t="s">
        <v>306</v>
      </c>
      <c r="C187" s="1">
        <v>4.0</v>
      </c>
      <c r="D187" s="1">
        <v>182.0</v>
      </c>
      <c r="F187" s="2" t="str">
        <f t="shared" si="1"/>
        <v>INSERT INTO tblExamQuestionLink VALUES (seqExamQuestionLink.nextval, 4, 182);</v>
      </c>
    </row>
    <row r="188">
      <c r="A188" s="1">
        <v>183.0</v>
      </c>
      <c r="B188" s="1" t="s">
        <v>306</v>
      </c>
      <c r="C188" s="1">
        <v>4.0</v>
      </c>
      <c r="D188" s="1">
        <v>183.0</v>
      </c>
      <c r="F188" s="2" t="str">
        <f t="shared" si="1"/>
        <v>INSERT INTO tblExamQuestionLink VALUES (seqExamQuestionLink.nextval, 4, 183);</v>
      </c>
    </row>
    <row r="189">
      <c r="A189" s="1">
        <v>184.0</v>
      </c>
      <c r="B189" s="1" t="s">
        <v>306</v>
      </c>
      <c r="C189" s="1">
        <v>4.0</v>
      </c>
      <c r="D189" s="1">
        <v>184.0</v>
      </c>
      <c r="F189" s="2" t="str">
        <f t="shared" si="1"/>
        <v>INSERT INTO tblExamQuestionLink VALUES (seqExamQuestionLink.nextval, 4, 184);</v>
      </c>
    </row>
    <row r="190">
      <c r="A190" s="1">
        <v>185.0</v>
      </c>
      <c r="B190" s="1" t="s">
        <v>306</v>
      </c>
      <c r="C190" s="1">
        <v>4.0</v>
      </c>
      <c r="D190" s="1">
        <v>185.0</v>
      </c>
      <c r="F190" s="2" t="str">
        <f t="shared" si="1"/>
        <v>INSERT INTO tblExamQuestionLink VALUES (seqExamQuestionLink.nextval, 4, 185);</v>
      </c>
    </row>
    <row r="191">
      <c r="A191" s="1">
        <v>186.0</v>
      </c>
      <c r="B191" s="1" t="s">
        <v>306</v>
      </c>
      <c r="C191" s="1">
        <v>4.0</v>
      </c>
      <c r="D191" s="1">
        <v>186.0</v>
      </c>
      <c r="F191" s="2" t="str">
        <f t="shared" si="1"/>
        <v>INSERT INTO tblExamQuestionLink VALUES (seqExamQuestionLink.nextval, 4, 186);</v>
      </c>
    </row>
    <row r="192">
      <c r="A192" s="1">
        <v>187.0</v>
      </c>
      <c r="B192" s="1" t="s">
        <v>306</v>
      </c>
      <c r="C192" s="1">
        <v>4.0</v>
      </c>
      <c r="D192" s="1">
        <v>187.0</v>
      </c>
      <c r="F192" s="2" t="str">
        <f t="shared" si="1"/>
        <v>INSERT INTO tblExamQuestionLink VALUES (seqExamQuestionLink.nextval, 4, 187);</v>
      </c>
    </row>
    <row r="193">
      <c r="A193" s="1">
        <v>188.0</v>
      </c>
      <c r="B193" s="1" t="s">
        <v>306</v>
      </c>
      <c r="C193" s="1">
        <v>4.0</v>
      </c>
      <c r="D193" s="1">
        <v>188.0</v>
      </c>
      <c r="F193" s="2" t="str">
        <f t="shared" si="1"/>
        <v>INSERT INTO tblExamQuestionLink VALUES (seqExamQuestionLink.nextval, 4, 188);</v>
      </c>
    </row>
    <row r="194">
      <c r="A194" s="1">
        <v>189.0</v>
      </c>
      <c r="B194" s="1" t="s">
        <v>306</v>
      </c>
      <c r="C194" s="1">
        <v>4.0</v>
      </c>
      <c r="D194" s="1">
        <v>189.0</v>
      </c>
      <c r="F194" s="2" t="str">
        <f t="shared" si="1"/>
        <v>INSERT INTO tblExamQuestionLink VALUES (seqExamQuestionLink.nextval, 4, 189);</v>
      </c>
    </row>
    <row r="195">
      <c r="A195" s="1">
        <v>190.0</v>
      </c>
      <c r="B195" s="1" t="s">
        <v>306</v>
      </c>
      <c r="C195" s="1">
        <v>4.0</v>
      </c>
      <c r="D195" s="1">
        <v>190.0</v>
      </c>
      <c r="F195" s="2" t="str">
        <f t="shared" si="1"/>
        <v>INSERT INTO tblExamQuestionLink VALUES (seqExamQuestionLink.nextval, 4, 190);</v>
      </c>
    </row>
    <row r="196">
      <c r="A196" s="1">
        <v>191.0</v>
      </c>
      <c r="B196" s="1" t="s">
        <v>306</v>
      </c>
      <c r="C196" s="1">
        <v>4.0</v>
      </c>
      <c r="D196" s="1">
        <v>191.0</v>
      </c>
      <c r="F196" s="2" t="str">
        <f t="shared" si="1"/>
        <v>INSERT INTO tblExamQuestionLink VALUES (seqExamQuestionLink.nextval, 4, 191);</v>
      </c>
    </row>
    <row r="197">
      <c r="A197" s="1">
        <v>192.0</v>
      </c>
      <c r="B197" s="1" t="s">
        <v>306</v>
      </c>
      <c r="C197" s="1">
        <v>4.0</v>
      </c>
      <c r="D197" s="1">
        <v>192.0</v>
      </c>
      <c r="F197" s="2" t="str">
        <f t="shared" si="1"/>
        <v>INSERT INTO tblExamQuestionLink VALUES (seqExamQuestionLink.nextval, 4, 192);</v>
      </c>
    </row>
    <row r="198">
      <c r="A198" s="1">
        <v>193.0</v>
      </c>
      <c r="B198" s="1" t="s">
        <v>306</v>
      </c>
      <c r="C198" s="1">
        <v>4.0</v>
      </c>
      <c r="D198" s="1">
        <v>193.0</v>
      </c>
      <c r="F198" s="2" t="str">
        <f t="shared" si="1"/>
        <v>INSERT INTO tblExamQuestionLink VALUES (seqExamQuestionLink.nextval, 4, 193);</v>
      </c>
    </row>
    <row r="199">
      <c r="A199" s="1">
        <v>194.0</v>
      </c>
      <c r="B199" s="1" t="s">
        <v>306</v>
      </c>
      <c r="C199" s="1">
        <v>4.0</v>
      </c>
      <c r="D199" s="1">
        <v>194.0</v>
      </c>
      <c r="F199" s="2" t="str">
        <f t="shared" si="1"/>
        <v>INSERT INTO tblExamQuestionLink VALUES (seqExamQuestionLink.nextval, 4, 194);</v>
      </c>
    </row>
    <row r="200">
      <c r="A200" s="1">
        <v>195.0</v>
      </c>
      <c r="B200" s="1" t="s">
        <v>306</v>
      </c>
      <c r="C200" s="1">
        <v>4.0</v>
      </c>
      <c r="D200" s="1">
        <v>195.0</v>
      </c>
      <c r="F200" s="2" t="str">
        <f t="shared" si="1"/>
        <v>INSERT INTO tblExamQuestionLink VALUES (seqExamQuestionLink.nextval, 4, 195);</v>
      </c>
    </row>
    <row r="201">
      <c r="A201" s="1">
        <v>196.0</v>
      </c>
      <c r="B201" s="1" t="s">
        <v>306</v>
      </c>
      <c r="C201" s="1">
        <v>4.0</v>
      </c>
      <c r="D201" s="1">
        <v>196.0</v>
      </c>
      <c r="F201" s="2" t="str">
        <f t="shared" si="1"/>
        <v>INSERT INTO tblExamQuestionLink VALUES (seqExamQuestionLink.nextval, 4, 196);</v>
      </c>
    </row>
    <row r="202">
      <c r="A202" s="1">
        <v>197.0</v>
      </c>
      <c r="B202" s="1" t="s">
        <v>306</v>
      </c>
      <c r="C202" s="1">
        <v>4.0</v>
      </c>
      <c r="D202" s="1">
        <v>197.0</v>
      </c>
      <c r="F202" s="2" t="str">
        <f t="shared" si="1"/>
        <v>INSERT INTO tblExamQuestionLink VALUES (seqExamQuestionLink.nextval, 4, 197);</v>
      </c>
    </row>
    <row r="203">
      <c r="A203" s="1">
        <v>198.0</v>
      </c>
      <c r="B203" s="1" t="s">
        <v>306</v>
      </c>
      <c r="C203" s="1">
        <v>4.0</v>
      </c>
      <c r="D203" s="1">
        <v>198.0</v>
      </c>
      <c r="F203" s="2" t="str">
        <f t="shared" si="1"/>
        <v>INSERT INTO tblExamQuestionLink VALUES (seqExamQuestionLink.nextval, 4, 198);</v>
      </c>
    </row>
    <row r="204">
      <c r="A204" s="1">
        <v>199.0</v>
      </c>
      <c r="B204" s="1" t="s">
        <v>306</v>
      </c>
      <c r="C204" s="1">
        <v>4.0</v>
      </c>
      <c r="D204" s="1">
        <v>199.0</v>
      </c>
      <c r="F204" s="2" t="str">
        <f t="shared" si="1"/>
        <v>INSERT INTO tblExamQuestionLink VALUES (seqExamQuestionLink.nextval, 4, 199);</v>
      </c>
    </row>
    <row r="205">
      <c r="A205" s="1">
        <v>200.0</v>
      </c>
      <c r="B205" s="1" t="s">
        <v>306</v>
      </c>
      <c r="C205" s="1">
        <v>4.0</v>
      </c>
      <c r="D205" s="1">
        <v>200.0</v>
      </c>
      <c r="F205" s="2" t="str">
        <f t="shared" si="1"/>
        <v>INSERT INTO tblExamQuestionLink VALUES (seqExamQuestionLink.nextval, 4, 200);</v>
      </c>
    </row>
    <row r="206">
      <c r="A206" s="1">
        <v>201.0</v>
      </c>
      <c r="B206" s="1" t="s">
        <v>306</v>
      </c>
      <c r="C206" s="1">
        <v>5.0</v>
      </c>
      <c r="D206" s="1">
        <v>201.0</v>
      </c>
      <c r="F206" s="2" t="str">
        <f t="shared" si="1"/>
        <v>INSERT INTO tblExamQuestionLink VALUES (seqExamQuestionLink.nextval, 5, 201);</v>
      </c>
    </row>
    <row r="207">
      <c r="A207" s="1">
        <v>202.0</v>
      </c>
      <c r="B207" s="1" t="s">
        <v>306</v>
      </c>
      <c r="C207" s="1">
        <v>5.0</v>
      </c>
      <c r="D207" s="1">
        <v>202.0</v>
      </c>
      <c r="F207" s="2" t="str">
        <f t="shared" si="1"/>
        <v>INSERT INTO tblExamQuestionLink VALUES (seqExamQuestionLink.nextval, 5, 202);</v>
      </c>
    </row>
    <row r="208">
      <c r="A208" s="1">
        <v>203.0</v>
      </c>
      <c r="B208" s="1" t="s">
        <v>306</v>
      </c>
      <c r="C208" s="1">
        <v>5.0</v>
      </c>
      <c r="D208" s="1">
        <v>203.0</v>
      </c>
      <c r="F208" s="2" t="str">
        <f t="shared" si="1"/>
        <v>INSERT INTO tblExamQuestionLink VALUES (seqExamQuestionLink.nextval, 5, 203);</v>
      </c>
    </row>
    <row r="209">
      <c r="A209" s="1">
        <v>204.0</v>
      </c>
      <c r="B209" s="1" t="s">
        <v>306</v>
      </c>
      <c r="C209" s="1">
        <v>5.0</v>
      </c>
      <c r="D209" s="1">
        <v>204.0</v>
      </c>
      <c r="F209" s="2" t="str">
        <f t="shared" si="1"/>
        <v>INSERT INTO tblExamQuestionLink VALUES (seqExamQuestionLink.nextval, 5, 204);</v>
      </c>
    </row>
    <row r="210">
      <c r="A210" s="1">
        <v>205.0</v>
      </c>
      <c r="B210" s="1" t="s">
        <v>306</v>
      </c>
      <c r="C210" s="1">
        <v>5.0</v>
      </c>
      <c r="D210" s="1">
        <v>205.0</v>
      </c>
      <c r="F210" s="2" t="str">
        <f t="shared" si="1"/>
        <v>INSERT INTO tblExamQuestionLink VALUES (seqExamQuestionLink.nextval, 5, 205);</v>
      </c>
    </row>
    <row r="211">
      <c r="A211" s="1">
        <v>206.0</v>
      </c>
      <c r="B211" s="1" t="s">
        <v>306</v>
      </c>
      <c r="C211" s="1">
        <v>5.0</v>
      </c>
      <c r="D211" s="1">
        <v>206.0</v>
      </c>
      <c r="F211" s="2" t="str">
        <f t="shared" si="1"/>
        <v>INSERT INTO tblExamQuestionLink VALUES (seqExamQuestionLink.nextval, 5, 206);</v>
      </c>
    </row>
    <row r="212">
      <c r="A212" s="1">
        <v>207.0</v>
      </c>
      <c r="B212" s="1" t="s">
        <v>306</v>
      </c>
      <c r="C212" s="1">
        <v>5.0</v>
      </c>
      <c r="D212" s="1">
        <v>207.0</v>
      </c>
      <c r="F212" s="2" t="str">
        <f t="shared" si="1"/>
        <v>INSERT INTO tblExamQuestionLink VALUES (seqExamQuestionLink.nextval, 5, 207);</v>
      </c>
    </row>
    <row r="213">
      <c r="A213" s="1">
        <v>208.0</v>
      </c>
      <c r="B213" s="1" t="s">
        <v>306</v>
      </c>
      <c r="C213" s="1">
        <v>5.0</v>
      </c>
      <c r="D213" s="1">
        <v>208.0</v>
      </c>
      <c r="F213" s="2" t="str">
        <f t="shared" si="1"/>
        <v>INSERT INTO tblExamQuestionLink VALUES (seqExamQuestionLink.nextval, 5, 208);</v>
      </c>
    </row>
    <row r="214">
      <c r="A214" s="1">
        <v>209.0</v>
      </c>
      <c r="B214" s="1" t="s">
        <v>306</v>
      </c>
      <c r="C214" s="1">
        <v>5.0</v>
      </c>
      <c r="D214" s="1">
        <v>209.0</v>
      </c>
      <c r="F214" s="2" t="str">
        <f t="shared" si="1"/>
        <v>INSERT INTO tblExamQuestionLink VALUES (seqExamQuestionLink.nextval, 5, 209);</v>
      </c>
    </row>
    <row r="215">
      <c r="A215" s="1">
        <v>210.0</v>
      </c>
      <c r="B215" s="1" t="s">
        <v>306</v>
      </c>
      <c r="C215" s="1">
        <v>5.0</v>
      </c>
      <c r="D215" s="1">
        <v>210.0</v>
      </c>
      <c r="F215" s="2" t="str">
        <f t="shared" si="1"/>
        <v>INSERT INTO tblExamQuestionLink VALUES (seqExamQuestionLink.nextval, 5, 210);</v>
      </c>
    </row>
    <row r="216">
      <c r="A216" s="1">
        <v>211.0</v>
      </c>
      <c r="B216" s="1" t="s">
        <v>306</v>
      </c>
      <c r="C216" s="1">
        <v>5.0</v>
      </c>
      <c r="D216" s="1">
        <v>211.0</v>
      </c>
      <c r="F216" s="2" t="str">
        <f t="shared" si="1"/>
        <v>INSERT INTO tblExamQuestionLink VALUES (seqExamQuestionLink.nextval, 5, 211);</v>
      </c>
    </row>
    <row r="217">
      <c r="A217" s="1">
        <v>212.0</v>
      </c>
      <c r="B217" s="1" t="s">
        <v>306</v>
      </c>
      <c r="C217" s="1">
        <v>5.0</v>
      </c>
      <c r="D217" s="1">
        <v>212.0</v>
      </c>
      <c r="F217" s="2" t="str">
        <f t="shared" si="1"/>
        <v>INSERT INTO tblExamQuestionLink VALUES (seqExamQuestionLink.nextval, 5, 212);</v>
      </c>
    </row>
    <row r="218">
      <c r="A218" s="1">
        <v>213.0</v>
      </c>
      <c r="B218" s="1" t="s">
        <v>306</v>
      </c>
      <c r="C218" s="1">
        <v>5.0</v>
      </c>
      <c r="D218" s="1">
        <v>213.0</v>
      </c>
      <c r="F218" s="2" t="str">
        <f t="shared" si="1"/>
        <v>INSERT INTO tblExamQuestionLink VALUES (seqExamQuestionLink.nextval, 5, 213);</v>
      </c>
    </row>
    <row r="219">
      <c r="A219" s="1">
        <v>214.0</v>
      </c>
      <c r="B219" s="1" t="s">
        <v>306</v>
      </c>
      <c r="C219" s="1">
        <v>5.0</v>
      </c>
      <c r="D219" s="1">
        <v>214.0</v>
      </c>
      <c r="F219" s="2" t="str">
        <f t="shared" si="1"/>
        <v>INSERT INTO tblExamQuestionLink VALUES (seqExamQuestionLink.nextval, 5, 214);</v>
      </c>
    </row>
    <row r="220">
      <c r="A220" s="1">
        <v>215.0</v>
      </c>
      <c r="B220" s="1" t="s">
        <v>306</v>
      </c>
      <c r="C220" s="1">
        <v>5.0</v>
      </c>
      <c r="D220" s="1">
        <v>215.0</v>
      </c>
      <c r="F220" s="2" t="str">
        <f t="shared" si="1"/>
        <v>INSERT INTO tblExamQuestionLink VALUES (seqExamQuestionLink.nextval, 5, 215);</v>
      </c>
    </row>
    <row r="221">
      <c r="A221" s="1">
        <v>216.0</v>
      </c>
      <c r="B221" s="1" t="s">
        <v>306</v>
      </c>
      <c r="C221" s="1">
        <v>5.0</v>
      </c>
      <c r="D221" s="1">
        <v>216.0</v>
      </c>
      <c r="F221" s="2" t="str">
        <f t="shared" si="1"/>
        <v>INSERT INTO tblExamQuestionLink VALUES (seqExamQuestionLink.nextval, 5, 216);</v>
      </c>
    </row>
    <row r="222">
      <c r="A222" s="1">
        <v>217.0</v>
      </c>
      <c r="B222" s="1" t="s">
        <v>306</v>
      </c>
      <c r="C222" s="1">
        <v>5.0</v>
      </c>
      <c r="D222" s="1">
        <v>217.0</v>
      </c>
      <c r="F222" s="2" t="str">
        <f t="shared" si="1"/>
        <v>INSERT INTO tblExamQuestionLink VALUES (seqExamQuestionLink.nextval, 5, 217);</v>
      </c>
    </row>
    <row r="223">
      <c r="A223" s="1">
        <v>218.0</v>
      </c>
      <c r="B223" s="1" t="s">
        <v>306</v>
      </c>
      <c r="C223" s="1">
        <v>5.0</v>
      </c>
      <c r="D223" s="1">
        <v>218.0</v>
      </c>
      <c r="F223" s="2" t="str">
        <f t="shared" si="1"/>
        <v>INSERT INTO tblExamQuestionLink VALUES (seqExamQuestionLink.nextval, 5, 218);</v>
      </c>
    </row>
    <row r="224">
      <c r="A224" s="1">
        <v>219.0</v>
      </c>
      <c r="B224" s="1" t="s">
        <v>306</v>
      </c>
      <c r="C224" s="1">
        <v>5.0</v>
      </c>
      <c r="D224" s="1">
        <v>219.0</v>
      </c>
      <c r="F224" s="2" t="str">
        <f t="shared" si="1"/>
        <v>INSERT INTO tblExamQuestionLink VALUES (seqExamQuestionLink.nextval, 5, 219);</v>
      </c>
    </row>
    <row r="225">
      <c r="A225" s="1">
        <v>220.0</v>
      </c>
      <c r="B225" s="1" t="s">
        <v>306</v>
      </c>
      <c r="C225" s="1">
        <v>5.0</v>
      </c>
      <c r="D225" s="1">
        <v>220.0</v>
      </c>
      <c r="F225" s="2" t="str">
        <f t="shared" si="1"/>
        <v>INSERT INTO tblExamQuestionLink VALUES (seqExamQuestionLink.nextval, 5, 220);</v>
      </c>
    </row>
    <row r="226">
      <c r="A226" s="1">
        <v>221.0</v>
      </c>
      <c r="B226" s="1" t="s">
        <v>306</v>
      </c>
      <c r="C226" s="1">
        <v>5.0</v>
      </c>
      <c r="D226" s="1">
        <v>221.0</v>
      </c>
      <c r="F226" s="2" t="str">
        <f t="shared" si="1"/>
        <v>INSERT INTO tblExamQuestionLink VALUES (seqExamQuestionLink.nextval, 5, 221);</v>
      </c>
    </row>
    <row r="227">
      <c r="A227" s="1">
        <v>222.0</v>
      </c>
      <c r="B227" s="1" t="s">
        <v>306</v>
      </c>
      <c r="C227" s="1">
        <v>5.0</v>
      </c>
      <c r="D227" s="1">
        <v>222.0</v>
      </c>
      <c r="F227" s="2" t="str">
        <f t="shared" si="1"/>
        <v>INSERT INTO tblExamQuestionLink VALUES (seqExamQuestionLink.nextval, 5, 222);</v>
      </c>
    </row>
    <row r="228">
      <c r="A228" s="1">
        <v>223.0</v>
      </c>
      <c r="B228" s="1" t="s">
        <v>306</v>
      </c>
      <c r="C228" s="1">
        <v>5.0</v>
      </c>
      <c r="D228" s="1">
        <v>223.0</v>
      </c>
      <c r="F228" s="2" t="str">
        <f t="shared" si="1"/>
        <v>INSERT INTO tblExamQuestionLink VALUES (seqExamQuestionLink.nextval, 5, 223);</v>
      </c>
    </row>
    <row r="229">
      <c r="A229" s="1">
        <v>224.0</v>
      </c>
      <c r="B229" s="1" t="s">
        <v>306</v>
      </c>
      <c r="C229" s="1">
        <v>5.0</v>
      </c>
      <c r="D229" s="1">
        <v>224.0</v>
      </c>
      <c r="F229" s="2" t="str">
        <f t="shared" si="1"/>
        <v>INSERT INTO tblExamQuestionLink VALUES (seqExamQuestionLink.nextval, 5, 224);</v>
      </c>
    </row>
    <row r="230">
      <c r="A230" s="1">
        <v>225.0</v>
      </c>
      <c r="B230" s="1" t="s">
        <v>306</v>
      </c>
      <c r="C230" s="1">
        <v>5.0</v>
      </c>
      <c r="D230" s="1">
        <v>225.0</v>
      </c>
      <c r="F230" s="2" t="str">
        <f t="shared" si="1"/>
        <v>INSERT INTO tblExamQuestionLink VALUES (seqExamQuestionLink.nextval, 5, 225);</v>
      </c>
    </row>
    <row r="231">
      <c r="A231" s="1">
        <v>226.0</v>
      </c>
      <c r="B231" s="1" t="s">
        <v>306</v>
      </c>
      <c r="C231" s="1">
        <v>5.0</v>
      </c>
      <c r="D231" s="1">
        <v>226.0</v>
      </c>
      <c r="F231" s="2" t="str">
        <f t="shared" si="1"/>
        <v>INSERT INTO tblExamQuestionLink VALUES (seqExamQuestionLink.nextval, 5, 226);</v>
      </c>
    </row>
    <row r="232">
      <c r="A232" s="1">
        <v>227.0</v>
      </c>
      <c r="B232" s="1" t="s">
        <v>306</v>
      </c>
      <c r="C232" s="1">
        <v>5.0</v>
      </c>
      <c r="D232" s="1">
        <v>227.0</v>
      </c>
      <c r="F232" s="2" t="str">
        <f t="shared" si="1"/>
        <v>INSERT INTO tblExamQuestionLink VALUES (seqExamQuestionLink.nextval, 5, 227);</v>
      </c>
    </row>
    <row r="233">
      <c r="A233" s="1">
        <v>228.0</v>
      </c>
      <c r="B233" s="1" t="s">
        <v>306</v>
      </c>
      <c r="C233" s="1">
        <v>5.0</v>
      </c>
      <c r="D233" s="1">
        <v>228.0</v>
      </c>
      <c r="F233" s="2" t="str">
        <f t="shared" si="1"/>
        <v>INSERT INTO tblExamQuestionLink VALUES (seqExamQuestionLink.nextval, 5, 228);</v>
      </c>
    </row>
    <row r="234">
      <c r="A234" s="1">
        <v>229.0</v>
      </c>
      <c r="B234" s="1" t="s">
        <v>306</v>
      </c>
      <c r="C234" s="1">
        <v>5.0</v>
      </c>
      <c r="D234" s="1">
        <v>229.0</v>
      </c>
      <c r="F234" s="2" t="str">
        <f t="shared" si="1"/>
        <v>INSERT INTO tblExamQuestionLink VALUES (seqExamQuestionLink.nextval, 5, 229);</v>
      </c>
    </row>
    <row r="235">
      <c r="A235" s="1">
        <v>230.0</v>
      </c>
      <c r="B235" s="1" t="s">
        <v>306</v>
      </c>
      <c r="C235" s="1">
        <v>5.0</v>
      </c>
      <c r="D235" s="1">
        <v>230.0</v>
      </c>
      <c r="F235" s="2" t="str">
        <f t="shared" si="1"/>
        <v>INSERT INTO tblExamQuestionLink VALUES (seqExamQuestionLink.nextval, 5, 230);</v>
      </c>
    </row>
    <row r="236">
      <c r="A236" s="1">
        <v>231.0</v>
      </c>
      <c r="B236" s="1" t="s">
        <v>306</v>
      </c>
      <c r="C236" s="1">
        <v>5.0</v>
      </c>
      <c r="D236" s="1">
        <v>231.0</v>
      </c>
      <c r="F236" s="2" t="str">
        <f t="shared" si="1"/>
        <v>INSERT INTO tblExamQuestionLink VALUES (seqExamQuestionLink.nextval, 5, 231);</v>
      </c>
    </row>
    <row r="237">
      <c r="A237" s="1">
        <v>232.0</v>
      </c>
      <c r="B237" s="1" t="s">
        <v>306</v>
      </c>
      <c r="C237" s="1">
        <v>5.0</v>
      </c>
      <c r="D237" s="1">
        <v>232.0</v>
      </c>
      <c r="F237" s="2" t="str">
        <f t="shared" si="1"/>
        <v>INSERT INTO tblExamQuestionLink VALUES (seqExamQuestionLink.nextval, 5, 232);</v>
      </c>
    </row>
    <row r="238">
      <c r="A238" s="1">
        <v>233.0</v>
      </c>
      <c r="B238" s="1" t="s">
        <v>306</v>
      </c>
      <c r="C238" s="1">
        <v>5.0</v>
      </c>
      <c r="D238" s="1">
        <v>233.0</v>
      </c>
      <c r="F238" s="2" t="str">
        <f t="shared" si="1"/>
        <v>INSERT INTO tblExamQuestionLink VALUES (seqExamQuestionLink.nextval, 5, 233);</v>
      </c>
    </row>
    <row r="239">
      <c r="A239" s="1">
        <v>234.0</v>
      </c>
      <c r="B239" s="1" t="s">
        <v>306</v>
      </c>
      <c r="C239" s="1">
        <v>5.0</v>
      </c>
      <c r="D239" s="1">
        <v>234.0</v>
      </c>
      <c r="F239" s="2" t="str">
        <f t="shared" si="1"/>
        <v>INSERT INTO tblExamQuestionLink VALUES (seqExamQuestionLink.nextval, 5, 234);</v>
      </c>
    </row>
    <row r="240">
      <c r="A240" s="1">
        <v>235.0</v>
      </c>
      <c r="B240" s="1" t="s">
        <v>306</v>
      </c>
      <c r="C240" s="1">
        <v>5.0</v>
      </c>
      <c r="D240" s="1">
        <v>235.0</v>
      </c>
      <c r="F240" s="2" t="str">
        <f t="shared" si="1"/>
        <v>INSERT INTO tblExamQuestionLink VALUES (seqExamQuestionLink.nextval, 5, 235);</v>
      </c>
    </row>
    <row r="241">
      <c r="A241" s="1">
        <v>236.0</v>
      </c>
      <c r="B241" s="1" t="s">
        <v>306</v>
      </c>
      <c r="C241" s="1">
        <v>5.0</v>
      </c>
      <c r="D241" s="1">
        <v>236.0</v>
      </c>
      <c r="F241" s="2" t="str">
        <f t="shared" si="1"/>
        <v>INSERT INTO tblExamQuestionLink VALUES (seqExamQuestionLink.nextval, 5, 236);</v>
      </c>
    </row>
    <row r="242">
      <c r="A242" s="1">
        <v>237.0</v>
      </c>
      <c r="B242" s="1" t="s">
        <v>306</v>
      </c>
      <c r="C242" s="1">
        <v>5.0</v>
      </c>
      <c r="D242" s="1">
        <v>237.0</v>
      </c>
      <c r="F242" s="2" t="str">
        <f t="shared" si="1"/>
        <v>INSERT INTO tblExamQuestionLink VALUES (seqExamQuestionLink.nextval, 5, 237);</v>
      </c>
    </row>
    <row r="243">
      <c r="A243" s="1">
        <v>238.0</v>
      </c>
      <c r="B243" s="1" t="s">
        <v>306</v>
      </c>
      <c r="C243" s="1">
        <v>5.0</v>
      </c>
      <c r="D243" s="1">
        <v>238.0</v>
      </c>
      <c r="F243" s="2" t="str">
        <f t="shared" si="1"/>
        <v>INSERT INTO tblExamQuestionLink VALUES (seqExamQuestionLink.nextval, 5, 238);</v>
      </c>
    </row>
    <row r="244">
      <c r="A244" s="1">
        <v>239.0</v>
      </c>
      <c r="B244" s="1" t="s">
        <v>306</v>
      </c>
      <c r="C244" s="1">
        <v>5.0</v>
      </c>
      <c r="D244" s="1">
        <v>239.0</v>
      </c>
      <c r="F244" s="2" t="str">
        <f t="shared" si="1"/>
        <v>INSERT INTO tblExamQuestionLink VALUES (seqExamQuestionLink.nextval, 5, 239);</v>
      </c>
    </row>
    <row r="245">
      <c r="A245" s="1">
        <v>240.0</v>
      </c>
      <c r="B245" s="1" t="s">
        <v>306</v>
      </c>
      <c r="C245" s="1">
        <v>5.0</v>
      </c>
      <c r="D245" s="1">
        <v>240.0</v>
      </c>
      <c r="F245" s="2" t="str">
        <f t="shared" si="1"/>
        <v>INSERT INTO tblExamQuestionLink VALUES (seqExamQuestionLink.nextval, 5, 240);</v>
      </c>
    </row>
    <row r="246">
      <c r="A246" s="1">
        <v>241.0</v>
      </c>
      <c r="B246" s="1" t="s">
        <v>306</v>
      </c>
      <c r="C246" s="1">
        <v>5.0</v>
      </c>
      <c r="D246" s="1">
        <v>241.0</v>
      </c>
      <c r="F246" s="2" t="str">
        <f t="shared" si="1"/>
        <v>INSERT INTO tblExamQuestionLink VALUES (seqExamQuestionLink.nextval, 5, 241);</v>
      </c>
    </row>
    <row r="247">
      <c r="A247" s="1">
        <v>242.0</v>
      </c>
      <c r="B247" s="1" t="s">
        <v>306</v>
      </c>
      <c r="C247" s="1">
        <v>5.0</v>
      </c>
      <c r="D247" s="1">
        <v>242.0</v>
      </c>
      <c r="F247" s="2" t="str">
        <f t="shared" si="1"/>
        <v>INSERT INTO tblExamQuestionLink VALUES (seqExamQuestionLink.nextval, 5, 242);</v>
      </c>
    </row>
    <row r="248">
      <c r="A248" s="1">
        <v>243.0</v>
      </c>
      <c r="B248" s="1" t="s">
        <v>306</v>
      </c>
      <c r="C248" s="1">
        <v>5.0</v>
      </c>
      <c r="D248" s="1">
        <v>243.0</v>
      </c>
      <c r="F248" s="2" t="str">
        <f t="shared" si="1"/>
        <v>INSERT INTO tblExamQuestionLink VALUES (seqExamQuestionLink.nextval, 5, 243);</v>
      </c>
    </row>
    <row r="249">
      <c r="A249" s="1">
        <v>244.0</v>
      </c>
      <c r="B249" s="1" t="s">
        <v>306</v>
      </c>
      <c r="C249" s="1">
        <v>5.0</v>
      </c>
      <c r="D249" s="1">
        <v>244.0</v>
      </c>
      <c r="F249" s="2" t="str">
        <f t="shared" si="1"/>
        <v>INSERT INTO tblExamQuestionLink VALUES (seqExamQuestionLink.nextval, 5, 244);</v>
      </c>
    </row>
    <row r="250">
      <c r="A250" s="1">
        <v>245.0</v>
      </c>
      <c r="B250" s="1" t="s">
        <v>306</v>
      </c>
      <c r="C250" s="1">
        <v>5.0</v>
      </c>
      <c r="D250" s="1">
        <v>245.0</v>
      </c>
      <c r="F250" s="2" t="str">
        <f t="shared" si="1"/>
        <v>INSERT INTO tblExamQuestionLink VALUES (seqExamQuestionLink.nextval, 5, 245);</v>
      </c>
    </row>
    <row r="251">
      <c r="A251" s="1">
        <v>246.0</v>
      </c>
      <c r="B251" s="1" t="s">
        <v>306</v>
      </c>
      <c r="C251" s="1">
        <v>5.0</v>
      </c>
      <c r="D251" s="1">
        <v>246.0</v>
      </c>
      <c r="F251" s="2" t="str">
        <f t="shared" si="1"/>
        <v>INSERT INTO tblExamQuestionLink VALUES (seqExamQuestionLink.nextval, 5, 246);</v>
      </c>
    </row>
    <row r="252">
      <c r="A252" s="1">
        <v>247.0</v>
      </c>
      <c r="B252" s="1" t="s">
        <v>306</v>
      </c>
      <c r="C252" s="1">
        <v>5.0</v>
      </c>
      <c r="D252" s="1">
        <v>247.0</v>
      </c>
      <c r="F252" s="2" t="str">
        <f t="shared" si="1"/>
        <v>INSERT INTO tblExamQuestionLink VALUES (seqExamQuestionLink.nextval, 5, 247);</v>
      </c>
    </row>
    <row r="253">
      <c r="A253" s="1">
        <v>248.0</v>
      </c>
      <c r="B253" s="1" t="s">
        <v>306</v>
      </c>
      <c r="C253" s="1">
        <v>5.0</v>
      </c>
      <c r="D253" s="1">
        <v>248.0</v>
      </c>
      <c r="F253" s="2" t="str">
        <f t="shared" si="1"/>
        <v>INSERT INTO tblExamQuestionLink VALUES (seqExamQuestionLink.nextval, 5, 248);</v>
      </c>
    </row>
    <row r="254">
      <c r="A254" s="1">
        <v>249.0</v>
      </c>
      <c r="B254" s="1" t="s">
        <v>306</v>
      </c>
      <c r="C254" s="1">
        <v>5.0</v>
      </c>
      <c r="D254" s="1">
        <v>249.0</v>
      </c>
      <c r="F254" s="2" t="str">
        <f t="shared" si="1"/>
        <v>INSERT INTO tblExamQuestionLink VALUES (seqExamQuestionLink.nextval, 5, 249);</v>
      </c>
    </row>
    <row r="255">
      <c r="A255" s="1">
        <v>250.0</v>
      </c>
      <c r="B255" s="1" t="s">
        <v>306</v>
      </c>
      <c r="C255" s="1">
        <v>5.0</v>
      </c>
      <c r="D255" s="1">
        <v>250.0</v>
      </c>
      <c r="F255" s="2" t="str">
        <f t="shared" si="1"/>
        <v>INSERT INTO tblExamQuestionLink VALUES (seqExamQuestionLink.nextval, 5, 250);</v>
      </c>
    </row>
    <row r="256">
      <c r="A256" s="1">
        <v>251.0</v>
      </c>
      <c r="B256" s="1" t="s">
        <v>306</v>
      </c>
      <c r="C256" s="1">
        <v>6.0</v>
      </c>
      <c r="D256" s="1">
        <v>251.0</v>
      </c>
      <c r="F256" s="2" t="str">
        <f t="shared" si="1"/>
        <v>INSERT INTO tblExamQuestionLink VALUES (seqExamQuestionLink.nextval, 6, 251);</v>
      </c>
    </row>
    <row r="257">
      <c r="A257" s="1">
        <v>252.0</v>
      </c>
      <c r="B257" s="1" t="s">
        <v>306</v>
      </c>
      <c r="C257" s="1">
        <v>6.0</v>
      </c>
      <c r="D257" s="1">
        <v>252.0</v>
      </c>
      <c r="F257" s="2" t="str">
        <f t="shared" si="1"/>
        <v>INSERT INTO tblExamQuestionLink VALUES (seqExamQuestionLink.nextval, 6, 252);</v>
      </c>
    </row>
    <row r="258">
      <c r="A258" s="1">
        <v>253.0</v>
      </c>
      <c r="B258" s="1" t="s">
        <v>306</v>
      </c>
      <c r="C258" s="1">
        <v>6.0</v>
      </c>
      <c r="D258" s="1">
        <v>253.0</v>
      </c>
      <c r="F258" s="2" t="str">
        <f t="shared" si="1"/>
        <v>INSERT INTO tblExamQuestionLink VALUES (seqExamQuestionLink.nextval, 6, 253);</v>
      </c>
    </row>
    <row r="259">
      <c r="A259" s="1">
        <v>254.0</v>
      </c>
      <c r="B259" s="1" t="s">
        <v>306</v>
      </c>
      <c r="C259" s="1">
        <v>6.0</v>
      </c>
      <c r="D259" s="1">
        <v>254.0</v>
      </c>
      <c r="F259" s="2" t="str">
        <f t="shared" si="1"/>
        <v>INSERT INTO tblExamQuestionLink VALUES (seqExamQuestionLink.nextval, 6, 254);</v>
      </c>
    </row>
    <row r="260">
      <c r="A260" s="1">
        <v>255.0</v>
      </c>
      <c r="B260" s="1" t="s">
        <v>306</v>
      </c>
      <c r="C260" s="1">
        <v>6.0</v>
      </c>
      <c r="D260" s="1">
        <v>255.0</v>
      </c>
      <c r="F260" s="2" t="str">
        <f t="shared" si="1"/>
        <v>INSERT INTO tblExamQuestionLink VALUES (seqExamQuestionLink.nextval, 6, 255);</v>
      </c>
    </row>
    <row r="261">
      <c r="A261" s="1">
        <v>256.0</v>
      </c>
      <c r="B261" s="1" t="s">
        <v>306</v>
      </c>
      <c r="C261" s="1">
        <v>6.0</v>
      </c>
      <c r="D261" s="1">
        <v>256.0</v>
      </c>
      <c r="F261" s="2" t="str">
        <f t="shared" si="1"/>
        <v>INSERT INTO tblExamQuestionLink VALUES (seqExamQuestionLink.nextval, 6, 256);</v>
      </c>
    </row>
    <row r="262">
      <c r="A262" s="1">
        <v>257.0</v>
      </c>
      <c r="B262" s="1" t="s">
        <v>306</v>
      </c>
      <c r="C262" s="1">
        <v>6.0</v>
      </c>
      <c r="D262" s="1">
        <v>257.0</v>
      </c>
      <c r="F262" s="2" t="str">
        <f t="shared" si="1"/>
        <v>INSERT INTO tblExamQuestionLink VALUES (seqExamQuestionLink.nextval, 6, 257);</v>
      </c>
    </row>
    <row r="263">
      <c r="A263" s="1">
        <v>258.0</v>
      </c>
      <c r="B263" s="1" t="s">
        <v>306</v>
      </c>
      <c r="C263" s="1">
        <v>6.0</v>
      </c>
      <c r="D263" s="1">
        <v>258.0</v>
      </c>
      <c r="F263" s="2" t="str">
        <f t="shared" si="1"/>
        <v>INSERT INTO tblExamQuestionLink VALUES (seqExamQuestionLink.nextval, 6, 258);</v>
      </c>
    </row>
    <row r="264">
      <c r="A264" s="1">
        <v>259.0</v>
      </c>
      <c r="B264" s="1" t="s">
        <v>306</v>
      </c>
      <c r="C264" s="1">
        <v>6.0</v>
      </c>
      <c r="D264" s="1">
        <v>259.0</v>
      </c>
      <c r="F264" s="2" t="str">
        <f t="shared" si="1"/>
        <v>INSERT INTO tblExamQuestionLink VALUES (seqExamQuestionLink.nextval, 6, 259);</v>
      </c>
    </row>
    <row r="265">
      <c r="A265" s="1">
        <v>260.0</v>
      </c>
      <c r="B265" s="1" t="s">
        <v>306</v>
      </c>
      <c r="C265" s="1">
        <v>6.0</v>
      </c>
      <c r="D265" s="1">
        <v>260.0</v>
      </c>
      <c r="F265" s="2" t="str">
        <f t="shared" si="1"/>
        <v>INSERT INTO tblExamQuestionLink VALUES (seqExamQuestionLink.nextval, 6, 260);</v>
      </c>
    </row>
    <row r="266">
      <c r="A266" s="1">
        <v>261.0</v>
      </c>
      <c r="B266" s="1" t="s">
        <v>306</v>
      </c>
      <c r="C266" s="1">
        <v>6.0</v>
      </c>
      <c r="D266" s="1">
        <v>261.0</v>
      </c>
      <c r="F266" s="2" t="str">
        <f t="shared" si="1"/>
        <v>INSERT INTO tblExamQuestionLink VALUES (seqExamQuestionLink.nextval, 6, 261);</v>
      </c>
    </row>
    <row r="267">
      <c r="A267" s="1">
        <v>262.0</v>
      </c>
      <c r="B267" s="1" t="s">
        <v>306</v>
      </c>
      <c r="C267" s="1">
        <v>6.0</v>
      </c>
      <c r="D267" s="1">
        <v>262.0</v>
      </c>
      <c r="F267" s="2" t="str">
        <f t="shared" si="1"/>
        <v>INSERT INTO tblExamQuestionLink VALUES (seqExamQuestionLink.nextval, 6, 262);</v>
      </c>
    </row>
    <row r="268">
      <c r="A268" s="1">
        <v>263.0</v>
      </c>
      <c r="B268" s="1" t="s">
        <v>306</v>
      </c>
      <c r="C268" s="1">
        <v>6.0</v>
      </c>
      <c r="D268" s="1">
        <v>263.0</v>
      </c>
      <c r="F268" s="2" t="str">
        <f t="shared" si="1"/>
        <v>INSERT INTO tblExamQuestionLink VALUES (seqExamQuestionLink.nextval, 6, 263);</v>
      </c>
    </row>
    <row r="269">
      <c r="A269" s="1">
        <v>264.0</v>
      </c>
      <c r="B269" s="1" t="s">
        <v>306</v>
      </c>
      <c r="C269" s="1">
        <v>6.0</v>
      </c>
      <c r="D269" s="1">
        <v>264.0</v>
      </c>
      <c r="F269" s="2" t="str">
        <f t="shared" si="1"/>
        <v>INSERT INTO tblExamQuestionLink VALUES (seqExamQuestionLink.nextval, 6, 264);</v>
      </c>
    </row>
    <row r="270">
      <c r="A270" s="1">
        <v>265.0</v>
      </c>
      <c r="B270" s="1" t="s">
        <v>306</v>
      </c>
      <c r="C270" s="1">
        <v>6.0</v>
      </c>
      <c r="D270" s="1">
        <v>265.0</v>
      </c>
      <c r="F270" s="2" t="str">
        <f t="shared" si="1"/>
        <v>INSERT INTO tblExamQuestionLink VALUES (seqExamQuestionLink.nextval, 6, 265);</v>
      </c>
    </row>
    <row r="271">
      <c r="A271" s="1">
        <v>266.0</v>
      </c>
      <c r="B271" s="1" t="s">
        <v>306</v>
      </c>
      <c r="C271" s="1">
        <v>6.0</v>
      </c>
      <c r="D271" s="1">
        <v>266.0</v>
      </c>
      <c r="F271" s="2" t="str">
        <f t="shared" si="1"/>
        <v>INSERT INTO tblExamQuestionLink VALUES (seqExamQuestionLink.nextval, 6, 266);</v>
      </c>
    </row>
    <row r="272">
      <c r="A272" s="1">
        <v>267.0</v>
      </c>
      <c r="B272" s="1" t="s">
        <v>306</v>
      </c>
      <c r="C272" s="1">
        <v>6.0</v>
      </c>
      <c r="D272" s="1">
        <v>267.0</v>
      </c>
      <c r="F272" s="2" t="str">
        <f t="shared" si="1"/>
        <v>INSERT INTO tblExamQuestionLink VALUES (seqExamQuestionLink.nextval, 6, 267);</v>
      </c>
    </row>
    <row r="273">
      <c r="A273" s="1">
        <v>268.0</v>
      </c>
      <c r="B273" s="1" t="s">
        <v>306</v>
      </c>
      <c r="C273" s="1">
        <v>6.0</v>
      </c>
      <c r="D273" s="1">
        <v>268.0</v>
      </c>
      <c r="F273" s="2" t="str">
        <f t="shared" si="1"/>
        <v>INSERT INTO tblExamQuestionLink VALUES (seqExamQuestionLink.nextval, 6, 268);</v>
      </c>
    </row>
    <row r="274">
      <c r="A274" s="1">
        <v>269.0</v>
      </c>
      <c r="B274" s="1" t="s">
        <v>306</v>
      </c>
      <c r="C274" s="1">
        <v>6.0</v>
      </c>
      <c r="D274" s="1">
        <v>269.0</v>
      </c>
      <c r="F274" s="2" t="str">
        <f t="shared" si="1"/>
        <v>INSERT INTO tblExamQuestionLink VALUES (seqExamQuestionLink.nextval, 6, 269);</v>
      </c>
    </row>
    <row r="275">
      <c r="A275" s="1">
        <v>270.0</v>
      </c>
      <c r="B275" s="1" t="s">
        <v>306</v>
      </c>
      <c r="C275" s="1">
        <v>6.0</v>
      </c>
      <c r="D275" s="1">
        <v>270.0</v>
      </c>
      <c r="F275" s="2" t="str">
        <f t="shared" si="1"/>
        <v>INSERT INTO tblExamQuestionLink VALUES (seqExamQuestionLink.nextval, 6, 270);</v>
      </c>
    </row>
    <row r="276">
      <c r="A276" s="1">
        <v>271.0</v>
      </c>
      <c r="B276" s="1" t="s">
        <v>306</v>
      </c>
      <c r="C276" s="1">
        <v>6.0</v>
      </c>
      <c r="D276" s="1">
        <v>271.0</v>
      </c>
      <c r="F276" s="2" t="str">
        <f t="shared" si="1"/>
        <v>INSERT INTO tblExamQuestionLink VALUES (seqExamQuestionLink.nextval, 6, 271);</v>
      </c>
    </row>
    <row r="277">
      <c r="A277" s="1">
        <v>272.0</v>
      </c>
      <c r="B277" s="1" t="s">
        <v>306</v>
      </c>
      <c r="C277" s="1">
        <v>6.0</v>
      </c>
      <c r="D277" s="1">
        <v>272.0</v>
      </c>
      <c r="F277" s="2" t="str">
        <f t="shared" si="1"/>
        <v>INSERT INTO tblExamQuestionLink VALUES (seqExamQuestionLink.nextval, 6, 272);</v>
      </c>
    </row>
    <row r="278">
      <c r="A278" s="1">
        <v>273.0</v>
      </c>
      <c r="B278" s="1" t="s">
        <v>306</v>
      </c>
      <c r="C278" s="1">
        <v>6.0</v>
      </c>
      <c r="D278" s="1">
        <v>273.0</v>
      </c>
      <c r="F278" s="2" t="str">
        <f t="shared" si="1"/>
        <v>INSERT INTO tblExamQuestionLink VALUES (seqExamQuestionLink.nextval, 6, 273);</v>
      </c>
    </row>
    <row r="279">
      <c r="A279" s="1">
        <v>274.0</v>
      </c>
      <c r="B279" s="1" t="s">
        <v>306</v>
      </c>
      <c r="C279" s="1">
        <v>6.0</v>
      </c>
      <c r="D279" s="1">
        <v>274.0</v>
      </c>
      <c r="F279" s="2" t="str">
        <f t="shared" si="1"/>
        <v>INSERT INTO tblExamQuestionLink VALUES (seqExamQuestionLink.nextval, 6, 274);</v>
      </c>
    </row>
    <row r="280">
      <c r="A280" s="1">
        <v>275.0</v>
      </c>
      <c r="B280" s="1" t="s">
        <v>306</v>
      </c>
      <c r="C280" s="1">
        <v>6.0</v>
      </c>
      <c r="D280" s="1">
        <v>275.0</v>
      </c>
      <c r="F280" s="2" t="str">
        <f t="shared" si="1"/>
        <v>INSERT INTO tblExamQuestionLink VALUES (seqExamQuestionLink.nextval, 6, 275);</v>
      </c>
    </row>
    <row r="281">
      <c r="A281" s="1">
        <v>276.0</v>
      </c>
      <c r="B281" s="1" t="s">
        <v>306</v>
      </c>
      <c r="C281" s="1">
        <v>6.0</v>
      </c>
      <c r="D281" s="1">
        <v>276.0</v>
      </c>
      <c r="F281" s="2" t="str">
        <f t="shared" si="1"/>
        <v>INSERT INTO tblExamQuestionLink VALUES (seqExamQuestionLink.nextval, 6, 276);</v>
      </c>
    </row>
    <row r="282">
      <c r="A282" s="1">
        <v>277.0</v>
      </c>
      <c r="B282" s="1" t="s">
        <v>306</v>
      </c>
      <c r="C282" s="1">
        <v>6.0</v>
      </c>
      <c r="D282" s="1">
        <v>277.0</v>
      </c>
      <c r="F282" s="2" t="str">
        <f t="shared" si="1"/>
        <v>INSERT INTO tblExamQuestionLink VALUES (seqExamQuestionLink.nextval, 6, 277);</v>
      </c>
    </row>
    <row r="283">
      <c r="A283" s="1">
        <v>278.0</v>
      </c>
      <c r="B283" s="1" t="s">
        <v>306</v>
      </c>
      <c r="C283" s="1">
        <v>6.0</v>
      </c>
      <c r="D283" s="1">
        <v>278.0</v>
      </c>
      <c r="F283" s="2" t="str">
        <f t="shared" si="1"/>
        <v>INSERT INTO tblExamQuestionLink VALUES (seqExamQuestionLink.nextval, 6, 278);</v>
      </c>
    </row>
    <row r="284">
      <c r="A284" s="1">
        <v>279.0</v>
      </c>
      <c r="B284" s="1" t="s">
        <v>306</v>
      </c>
      <c r="C284" s="1">
        <v>6.0</v>
      </c>
      <c r="D284" s="1">
        <v>279.0</v>
      </c>
      <c r="F284" s="2" t="str">
        <f t="shared" si="1"/>
        <v>INSERT INTO tblExamQuestionLink VALUES (seqExamQuestionLink.nextval, 6, 279);</v>
      </c>
    </row>
    <row r="285">
      <c r="A285" s="1">
        <v>280.0</v>
      </c>
      <c r="B285" s="1" t="s">
        <v>306</v>
      </c>
      <c r="C285" s="1">
        <v>6.0</v>
      </c>
      <c r="D285" s="1">
        <v>280.0</v>
      </c>
      <c r="F285" s="2" t="str">
        <f t="shared" si="1"/>
        <v>INSERT INTO tblExamQuestionLink VALUES (seqExamQuestionLink.nextval, 6, 280);</v>
      </c>
    </row>
    <row r="286">
      <c r="A286" s="1">
        <v>281.0</v>
      </c>
      <c r="B286" s="1" t="s">
        <v>306</v>
      </c>
      <c r="C286" s="1">
        <v>6.0</v>
      </c>
      <c r="D286" s="1">
        <v>281.0</v>
      </c>
      <c r="F286" s="2" t="str">
        <f t="shared" si="1"/>
        <v>INSERT INTO tblExamQuestionLink VALUES (seqExamQuestionLink.nextval, 6, 281);</v>
      </c>
    </row>
    <row r="287">
      <c r="A287" s="1">
        <v>282.0</v>
      </c>
      <c r="B287" s="1" t="s">
        <v>306</v>
      </c>
      <c r="C287" s="1">
        <v>6.0</v>
      </c>
      <c r="D287" s="1">
        <v>282.0</v>
      </c>
      <c r="F287" s="2" t="str">
        <f t="shared" si="1"/>
        <v>INSERT INTO tblExamQuestionLink VALUES (seqExamQuestionLink.nextval, 6, 282);</v>
      </c>
    </row>
    <row r="288">
      <c r="A288" s="1">
        <v>283.0</v>
      </c>
      <c r="B288" s="1" t="s">
        <v>306</v>
      </c>
      <c r="C288" s="1">
        <v>6.0</v>
      </c>
      <c r="D288" s="1">
        <v>283.0</v>
      </c>
      <c r="F288" s="2" t="str">
        <f t="shared" si="1"/>
        <v>INSERT INTO tblExamQuestionLink VALUES (seqExamQuestionLink.nextval, 6, 283);</v>
      </c>
    </row>
    <row r="289">
      <c r="A289" s="1">
        <v>284.0</v>
      </c>
      <c r="B289" s="1" t="s">
        <v>306</v>
      </c>
      <c r="C289" s="1">
        <v>6.0</v>
      </c>
      <c r="D289" s="1">
        <v>284.0</v>
      </c>
      <c r="F289" s="2" t="str">
        <f t="shared" si="1"/>
        <v>INSERT INTO tblExamQuestionLink VALUES (seqExamQuestionLink.nextval, 6, 284);</v>
      </c>
    </row>
    <row r="290">
      <c r="A290" s="1">
        <v>285.0</v>
      </c>
      <c r="B290" s="1" t="s">
        <v>306</v>
      </c>
      <c r="C290" s="1">
        <v>6.0</v>
      </c>
      <c r="D290" s="1">
        <v>285.0</v>
      </c>
      <c r="F290" s="2" t="str">
        <f t="shared" si="1"/>
        <v>INSERT INTO tblExamQuestionLink VALUES (seqExamQuestionLink.nextval, 6, 285);</v>
      </c>
    </row>
    <row r="291">
      <c r="A291" s="1">
        <v>286.0</v>
      </c>
      <c r="B291" s="1" t="s">
        <v>306</v>
      </c>
      <c r="C291" s="1">
        <v>6.0</v>
      </c>
      <c r="D291" s="1">
        <v>286.0</v>
      </c>
      <c r="F291" s="2" t="str">
        <f t="shared" si="1"/>
        <v>INSERT INTO tblExamQuestionLink VALUES (seqExamQuestionLink.nextval, 6, 286);</v>
      </c>
    </row>
    <row r="292">
      <c r="A292" s="1">
        <v>287.0</v>
      </c>
      <c r="B292" s="1" t="s">
        <v>306</v>
      </c>
      <c r="C292" s="1">
        <v>6.0</v>
      </c>
      <c r="D292" s="1">
        <v>287.0</v>
      </c>
      <c r="F292" s="2" t="str">
        <f t="shared" si="1"/>
        <v>INSERT INTO tblExamQuestionLink VALUES (seqExamQuestionLink.nextval, 6, 287);</v>
      </c>
    </row>
    <row r="293">
      <c r="A293" s="1">
        <v>288.0</v>
      </c>
      <c r="B293" s="1" t="s">
        <v>306</v>
      </c>
      <c r="C293" s="1">
        <v>6.0</v>
      </c>
      <c r="D293" s="1">
        <v>288.0</v>
      </c>
      <c r="F293" s="2" t="str">
        <f t="shared" si="1"/>
        <v>INSERT INTO tblExamQuestionLink VALUES (seqExamQuestionLink.nextval, 6, 288);</v>
      </c>
    </row>
    <row r="294">
      <c r="A294" s="1">
        <v>289.0</v>
      </c>
      <c r="B294" s="1" t="s">
        <v>306</v>
      </c>
      <c r="C294" s="1">
        <v>6.0</v>
      </c>
      <c r="D294" s="1">
        <v>289.0</v>
      </c>
      <c r="F294" s="2" t="str">
        <f t="shared" si="1"/>
        <v>INSERT INTO tblExamQuestionLink VALUES (seqExamQuestionLink.nextval, 6, 289);</v>
      </c>
    </row>
    <row r="295">
      <c r="A295" s="1">
        <v>290.0</v>
      </c>
      <c r="B295" s="1" t="s">
        <v>306</v>
      </c>
      <c r="C295" s="1">
        <v>6.0</v>
      </c>
      <c r="D295" s="1">
        <v>290.0</v>
      </c>
      <c r="F295" s="2" t="str">
        <f t="shared" si="1"/>
        <v>INSERT INTO tblExamQuestionLink VALUES (seqExamQuestionLink.nextval, 6, 290);</v>
      </c>
    </row>
    <row r="296">
      <c r="A296" s="1">
        <v>291.0</v>
      </c>
      <c r="B296" s="1" t="s">
        <v>306</v>
      </c>
      <c r="C296" s="1">
        <v>6.0</v>
      </c>
      <c r="D296" s="1">
        <v>291.0</v>
      </c>
      <c r="F296" s="2" t="str">
        <f t="shared" si="1"/>
        <v>INSERT INTO tblExamQuestionLink VALUES (seqExamQuestionLink.nextval, 6, 291);</v>
      </c>
    </row>
    <row r="297">
      <c r="A297" s="1">
        <v>292.0</v>
      </c>
      <c r="B297" s="1" t="s">
        <v>306</v>
      </c>
      <c r="C297" s="1">
        <v>6.0</v>
      </c>
      <c r="D297" s="1">
        <v>292.0</v>
      </c>
      <c r="F297" s="2" t="str">
        <f t="shared" si="1"/>
        <v>INSERT INTO tblExamQuestionLink VALUES (seqExamQuestionLink.nextval, 6, 292);</v>
      </c>
    </row>
    <row r="298">
      <c r="A298" s="1">
        <v>293.0</v>
      </c>
      <c r="B298" s="1" t="s">
        <v>306</v>
      </c>
      <c r="C298" s="1">
        <v>6.0</v>
      </c>
      <c r="D298" s="1">
        <v>293.0</v>
      </c>
      <c r="F298" s="2" t="str">
        <f t="shared" si="1"/>
        <v>INSERT INTO tblExamQuestionLink VALUES (seqExamQuestionLink.nextval, 6, 293);</v>
      </c>
    </row>
    <row r="299">
      <c r="A299" s="1">
        <v>294.0</v>
      </c>
      <c r="B299" s="1" t="s">
        <v>306</v>
      </c>
      <c r="C299" s="1">
        <v>6.0</v>
      </c>
      <c r="D299" s="1">
        <v>294.0</v>
      </c>
      <c r="F299" s="2" t="str">
        <f t="shared" si="1"/>
        <v>INSERT INTO tblExamQuestionLink VALUES (seqExamQuestionLink.nextval, 6, 294);</v>
      </c>
    </row>
    <row r="300">
      <c r="A300" s="1">
        <v>295.0</v>
      </c>
      <c r="B300" s="1" t="s">
        <v>306</v>
      </c>
      <c r="C300" s="1">
        <v>6.0</v>
      </c>
      <c r="D300" s="1">
        <v>295.0</v>
      </c>
      <c r="F300" s="2" t="str">
        <f t="shared" si="1"/>
        <v>INSERT INTO tblExamQuestionLink VALUES (seqExamQuestionLink.nextval, 6, 295);</v>
      </c>
    </row>
    <row r="301">
      <c r="A301" s="1">
        <v>296.0</v>
      </c>
      <c r="B301" s="1" t="s">
        <v>306</v>
      </c>
      <c r="C301" s="1">
        <v>6.0</v>
      </c>
      <c r="D301" s="1">
        <v>296.0</v>
      </c>
      <c r="F301" s="2" t="str">
        <f t="shared" si="1"/>
        <v>INSERT INTO tblExamQuestionLink VALUES (seqExamQuestionLink.nextval, 6, 296);</v>
      </c>
    </row>
    <row r="302">
      <c r="A302" s="1">
        <v>297.0</v>
      </c>
      <c r="B302" s="1" t="s">
        <v>306</v>
      </c>
      <c r="C302" s="1">
        <v>6.0</v>
      </c>
      <c r="D302" s="1">
        <v>297.0</v>
      </c>
      <c r="F302" s="2" t="str">
        <f t="shared" si="1"/>
        <v>INSERT INTO tblExamQuestionLink VALUES (seqExamQuestionLink.nextval, 6, 297);</v>
      </c>
    </row>
    <row r="303">
      <c r="A303" s="1">
        <v>298.0</v>
      </c>
      <c r="B303" s="1" t="s">
        <v>306</v>
      </c>
      <c r="C303" s="1">
        <v>6.0</v>
      </c>
      <c r="D303" s="1">
        <v>298.0</v>
      </c>
      <c r="F303" s="2" t="str">
        <f t="shared" si="1"/>
        <v>INSERT INTO tblExamQuestionLink VALUES (seqExamQuestionLink.nextval, 6, 298);</v>
      </c>
    </row>
    <row r="304">
      <c r="A304" s="1">
        <v>299.0</v>
      </c>
      <c r="B304" s="1" t="s">
        <v>306</v>
      </c>
      <c r="C304" s="1">
        <v>6.0</v>
      </c>
      <c r="D304" s="1">
        <v>299.0</v>
      </c>
      <c r="F304" s="2" t="str">
        <f t="shared" si="1"/>
        <v>INSERT INTO tblExamQuestionLink VALUES (seqExamQuestionLink.nextval, 6, 299);</v>
      </c>
    </row>
    <row r="305">
      <c r="A305" s="1">
        <v>300.0</v>
      </c>
      <c r="B305" s="1" t="s">
        <v>306</v>
      </c>
      <c r="C305" s="1">
        <v>6.0</v>
      </c>
      <c r="D305" s="1">
        <v>300.0</v>
      </c>
      <c r="F305" s="2" t="str">
        <f t="shared" si="1"/>
        <v>INSERT INTO tblExamQuestionLink VALUES (seqExamQuestionLink.nextval, 6, 300);</v>
      </c>
    </row>
    <row r="306">
      <c r="A306" s="1">
        <v>301.0</v>
      </c>
      <c r="B306" s="1" t="s">
        <v>306</v>
      </c>
      <c r="C306" s="1">
        <v>7.0</v>
      </c>
      <c r="D306" s="1">
        <v>301.0</v>
      </c>
      <c r="F306" s="2" t="str">
        <f t="shared" si="1"/>
        <v>INSERT INTO tblExamQuestionLink VALUES (seqExamQuestionLink.nextval, 7, 301);</v>
      </c>
    </row>
    <row r="307">
      <c r="A307" s="1">
        <v>302.0</v>
      </c>
      <c r="B307" s="1" t="s">
        <v>306</v>
      </c>
      <c r="C307" s="1">
        <v>7.0</v>
      </c>
      <c r="D307" s="1">
        <v>302.0</v>
      </c>
      <c r="F307" s="2" t="str">
        <f t="shared" si="1"/>
        <v>INSERT INTO tblExamQuestionLink VALUES (seqExamQuestionLink.nextval, 7, 302);</v>
      </c>
    </row>
    <row r="308">
      <c r="A308" s="1">
        <v>303.0</v>
      </c>
      <c r="B308" s="1" t="s">
        <v>306</v>
      </c>
      <c r="C308" s="1">
        <v>7.0</v>
      </c>
      <c r="D308" s="1">
        <v>303.0</v>
      </c>
      <c r="F308" s="2" t="str">
        <f t="shared" si="1"/>
        <v>INSERT INTO tblExamQuestionLink VALUES (seqExamQuestionLink.nextval, 7, 303);</v>
      </c>
    </row>
    <row r="309">
      <c r="A309" s="1">
        <v>304.0</v>
      </c>
      <c r="B309" s="1" t="s">
        <v>306</v>
      </c>
      <c r="C309" s="1">
        <v>7.0</v>
      </c>
      <c r="D309" s="1">
        <v>304.0</v>
      </c>
      <c r="F309" s="2" t="str">
        <f t="shared" si="1"/>
        <v>INSERT INTO tblExamQuestionLink VALUES (seqExamQuestionLink.nextval, 7, 304);</v>
      </c>
    </row>
    <row r="310">
      <c r="A310" s="1">
        <v>305.0</v>
      </c>
      <c r="B310" s="1" t="s">
        <v>306</v>
      </c>
      <c r="C310" s="1">
        <v>7.0</v>
      </c>
      <c r="D310" s="1">
        <v>305.0</v>
      </c>
      <c r="F310" s="2" t="str">
        <f t="shared" si="1"/>
        <v>INSERT INTO tblExamQuestionLink VALUES (seqExamQuestionLink.nextval, 7, 305);</v>
      </c>
    </row>
    <row r="311">
      <c r="A311" s="1">
        <v>306.0</v>
      </c>
      <c r="B311" s="1" t="s">
        <v>306</v>
      </c>
      <c r="C311" s="1">
        <v>7.0</v>
      </c>
      <c r="D311" s="1">
        <v>306.0</v>
      </c>
      <c r="F311" s="2" t="str">
        <f t="shared" si="1"/>
        <v>INSERT INTO tblExamQuestionLink VALUES (seqExamQuestionLink.nextval, 7, 306);</v>
      </c>
    </row>
    <row r="312">
      <c r="A312" s="1">
        <v>307.0</v>
      </c>
      <c r="B312" s="1" t="s">
        <v>306</v>
      </c>
      <c r="C312" s="1">
        <v>7.0</v>
      </c>
      <c r="D312" s="1">
        <v>307.0</v>
      </c>
      <c r="F312" s="2" t="str">
        <f t="shared" si="1"/>
        <v>INSERT INTO tblExamQuestionLink VALUES (seqExamQuestionLink.nextval, 7, 307);</v>
      </c>
    </row>
    <row r="313">
      <c r="A313" s="1">
        <v>308.0</v>
      </c>
      <c r="B313" s="1" t="s">
        <v>306</v>
      </c>
      <c r="C313" s="1">
        <v>7.0</v>
      </c>
      <c r="D313" s="1">
        <v>308.0</v>
      </c>
      <c r="F313" s="2" t="str">
        <f t="shared" si="1"/>
        <v>INSERT INTO tblExamQuestionLink VALUES (seqExamQuestionLink.nextval, 7, 308);</v>
      </c>
    </row>
    <row r="314">
      <c r="A314" s="1">
        <v>309.0</v>
      </c>
      <c r="B314" s="1" t="s">
        <v>306</v>
      </c>
      <c r="C314" s="1">
        <v>7.0</v>
      </c>
      <c r="D314" s="1">
        <v>309.0</v>
      </c>
      <c r="F314" s="2" t="str">
        <f t="shared" si="1"/>
        <v>INSERT INTO tblExamQuestionLink VALUES (seqExamQuestionLink.nextval, 7, 309);</v>
      </c>
    </row>
    <row r="315">
      <c r="A315" s="1">
        <v>310.0</v>
      </c>
      <c r="B315" s="1" t="s">
        <v>306</v>
      </c>
      <c r="C315" s="1">
        <v>7.0</v>
      </c>
      <c r="D315" s="1">
        <v>310.0</v>
      </c>
      <c r="F315" s="2" t="str">
        <f t="shared" si="1"/>
        <v>INSERT INTO tblExamQuestionLink VALUES (seqExamQuestionLink.nextval, 7, 310);</v>
      </c>
    </row>
    <row r="316">
      <c r="A316" s="1">
        <v>311.0</v>
      </c>
      <c r="B316" s="1" t="s">
        <v>306</v>
      </c>
      <c r="C316" s="1">
        <v>7.0</v>
      </c>
      <c r="D316" s="1">
        <v>311.0</v>
      </c>
      <c r="F316" s="2" t="str">
        <f t="shared" si="1"/>
        <v>INSERT INTO tblExamQuestionLink VALUES (seqExamQuestionLink.nextval, 7, 311);</v>
      </c>
    </row>
    <row r="317">
      <c r="A317" s="1">
        <v>312.0</v>
      </c>
      <c r="B317" s="1" t="s">
        <v>306</v>
      </c>
      <c r="C317" s="1">
        <v>7.0</v>
      </c>
      <c r="D317" s="1">
        <v>312.0</v>
      </c>
      <c r="F317" s="2" t="str">
        <f t="shared" si="1"/>
        <v>INSERT INTO tblExamQuestionLink VALUES (seqExamQuestionLink.nextval, 7, 312);</v>
      </c>
    </row>
    <row r="318">
      <c r="A318" s="1">
        <v>313.0</v>
      </c>
      <c r="B318" s="1" t="s">
        <v>306</v>
      </c>
      <c r="C318" s="1">
        <v>7.0</v>
      </c>
      <c r="D318" s="1">
        <v>313.0</v>
      </c>
      <c r="F318" s="2" t="str">
        <f t="shared" si="1"/>
        <v>INSERT INTO tblExamQuestionLink VALUES (seqExamQuestionLink.nextval, 7, 313);</v>
      </c>
    </row>
    <row r="319">
      <c r="A319" s="1">
        <v>314.0</v>
      </c>
      <c r="B319" s="1" t="s">
        <v>306</v>
      </c>
      <c r="C319" s="1">
        <v>7.0</v>
      </c>
      <c r="D319" s="1">
        <v>314.0</v>
      </c>
      <c r="F319" s="2" t="str">
        <f t="shared" si="1"/>
        <v>INSERT INTO tblExamQuestionLink VALUES (seqExamQuestionLink.nextval, 7, 314);</v>
      </c>
    </row>
    <row r="320">
      <c r="A320" s="1">
        <v>315.0</v>
      </c>
      <c r="B320" s="1" t="s">
        <v>306</v>
      </c>
      <c r="C320" s="1">
        <v>7.0</v>
      </c>
      <c r="D320" s="1">
        <v>315.0</v>
      </c>
      <c r="F320" s="2" t="str">
        <f t="shared" si="1"/>
        <v>INSERT INTO tblExamQuestionLink VALUES (seqExamQuestionLink.nextval, 7, 315);</v>
      </c>
    </row>
    <row r="321">
      <c r="A321" s="1">
        <v>316.0</v>
      </c>
      <c r="B321" s="1" t="s">
        <v>306</v>
      </c>
      <c r="C321" s="1">
        <v>7.0</v>
      </c>
      <c r="D321" s="1">
        <v>316.0</v>
      </c>
      <c r="F321" s="2" t="str">
        <f t="shared" si="1"/>
        <v>INSERT INTO tblExamQuestionLink VALUES (seqExamQuestionLink.nextval, 7, 316);</v>
      </c>
    </row>
    <row r="322">
      <c r="A322" s="1">
        <v>317.0</v>
      </c>
      <c r="B322" s="1" t="s">
        <v>306</v>
      </c>
      <c r="C322" s="1">
        <v>7.0</v>
      </c>
      <c r="D322" s="1">
        <v>317.0</v>
      </c>
      <c r="F322" s="2" t="str">
        <f t="shared" si="1"/>
        <v>INSERT INTO tblExamQuestionLink VALUES (seqExamQuestionLink.nextval, 7, 317);</v>
      </c>
    </row>
    <row r="323">
      <c r="A323" s="1">
        <v>318.0</v>
      </c>
      <c r="B323" s="1" t="s">
        <v>306</v>
      </c>
      <c r="C323" s="1">
        <v>7.0</v>
      </c>
      <c r="D323" s="1">
        <v>318.0</v>
      </c>
      <c r="F323" s="2" t="str">
        <f t="shared" si="1"/>
        <v>INSERT INTO tblExamQuestionLink VALUES (seqExamQuestionLink.nextval, 7, 318);</v>
      </c>
    </row>
    <row r="324">
      <c r="A324" s="1">
        <v>319.0</v>
      </c>
      <c r="B324" s="1" t="s">
        <v>306</v>
      </c>
      <c r="C324" s="1">
        <v>7.0</v>
      </c>
      <c r="D324" s="1">
        <v>319.0</v>
      </c>
      <c r="F324" s="2" t="str">
        <f t="shared" si="1"/>
        <v>INSERT INTO tblExamQuestionLink VALUES (seqExamQuestionLink.nextval, 7, 319);</v>
      </c>
    </row>
    <row r="325">
      <c r="A325" s="1">
        <v>320.0</v>
      </c>
      <c r="B325" s="1" t="s">
        <v>306</v>
      </c>
      <c r="C325" s="1">
        <v>7.0</v>
      </c>
      <c r="D325" s="1">
        <v>320.0</v>
      </c>
      <c r="F325" s="2" t="str">
        <f t="shared" si="1"/>
        <v>INSERT INTO tblExamQuestionLink VALUES (seqExamQuestionLink.nextval, 7, 320);</v>
      </c>
    </row>
    <row r="326">
      <c r="A326" s="1">
        <v>321.0</v>
      </c>
      <c r="B326" s="1" t="s">
        <v>306</v>
      </c>
      <c r="C326" s="1">
        <v>7.0</v>
      </c>
      <c r="D326" s="1">
        <v>321.0</v>
      </c>
      <c r="F326" s="2" t="str">
        <f t="shared" si="1"/>
        <v>INSERT INTO tblExamQuestionLink VALUES (seqExamQuestionLink.nextval, 7, 321);</v>
      </c>
    </row>
    <row r="327">
      <c r="A327" s="1">
        <v>322.0</v>
      </c>
      <c r="B327" s="1" t="s">
        <v>306</v>
      </c>
      <c r="C327" s="1">
        <v>7.0</v>
      </c>
      <c r="D327" s="1">
        <v>322.0</v>
      </c>
      <c r="F327" s="2" t="str">
        <f t="shared" si="1"/>
        <v>INSERT INTO tblExamQuestionLink VALUES (seqExamQuestionLink.nextval, 7, 322);</v>
      </c>
    </row>
    <row r="328">
      <c r="A328" s="1">
        <v>323.0</v>
      </c>
      <c r="B328" s="1" t="s">
        <v>306</v>
      </c>
      <c r="C328" s="1">
        <v>7.0</v>
      </c>
      <c r="D328" s="1">
        <v>323.0</v>
      </c>
      <c r="F328" s="2" t="str">
        <f t="shared" si="1"/>
        <v>INSERT INTO tblExamQuestionLink VALUES (seqExamQuestionLink.nextval, 7, 323);</v>
      </c>
    </row>
    <row r="329">
      <c r="A329" s="1">
        <v>324.0</v>
      </c>
      <c r="B329" s="1" t="s">
        <v>306</v>
      </c>
      <c r="C329" s="1">
        <v>7.0</v>
      </c>
      <c r="D329" s="1">
        <v>324.0</v>
      </c>
      <c r="F329" s="2" t="str">
        <f t="shared" si="1"/>
        <v>INSERT INTO tblExamQuestionLink VALUES (seqExamQuestionLink.nextval, 7, 324);</v>
      </c>
    </row>
    <row r="330">
      <c r="A330" s="1">
        <v>325.0</v>
      </c>
      <c r="B330" s="1" t="s">
        <v>306</v>
      </c>
      <c r="C330" s="1">
        <v>7.0</v>
      </c>
      <c r="D330" s="1">
        <v>325.0</v>
      </c>
      <c r="F330" s="2" t="str">
        <f t="shared" si="1"/>
        <v>INSERT INTO tblExamQuestionLink VALUES (seqExamQuestionLink.nextval, 7, 325);</v>
      </c>
    </row>
    <row r="331">
      <c r="A331" s="1">
        <v>326.0</v>
      </c>
      <c r="B331" s="1" t="s">
        <v>306</v>
      </c>
      <c r="C331" s="1">
        <v>7.0</v>
      </c>
      <c r="D331" s="1">
        <v>326.0</v>
      </c>
      <c r="F331" s="2" t="str">
        <f t="shared" si="1"/>
        <v>INSERT INTO tblExamQuestionLink VALUES (seqExamQuestionLink.nextval, 7, 326);</v>
      </c>
    </row>
    <row r="332">
      <c r="A332" s="1">
        <v>327.0</v>
      </c>
      <c r="B332" s="1" t="s">
        <v>306</v>
      </c>
      <c r="C332" s="1">
        <v>7.0</v>
      </c>
      <c r="D332" s="1">
        <v>327.0</v>
      </c>
      <c r="F332" s="2" t="str">
        <f t="shared" si="1"/>
        <v>INSERT INTO tblExamQuestionLink VALUES (seqExamQuestionLink.nextval, 7, 327);</v>
      </c>
    </row>
    <row r="333">
      <c r="A333" s="1">
        <v>328.0</v>
      </c>
      <c r="B333" s="1" t="s">
        <v>306</v>
      </c>
      <c r="C333" s="1">
        <v>7.0</v>
      </c>
      <c r="D333" s="1">
        <v>328.0</v>
      </c>
      <c r="F333" s="2" t="str">
        <f t="shared" si="1"/>
        <v>INSERT INTO tblExamQuestionLink VALUES (seqExamQuestionLink.nextval, 7, 328);</v>
      </c>
    </row>
    <row r="334">
      <c r="A334" s="1">
        <v>329.0</v>
      </c>
      <c r="B334" s="1" t="s">
        <v>306</v>
      </c>
      <c r="C334" s="1">
        <v>7.0</v>
      </c>
      <c r="D334" s="1">
        <v>329.0</v>
      </c>
      <c r="F334" s="2" t="str">
        <f t="shared" si="1"/>
        <v>INSERT INTO tblExamQuestionLink VALUES (seqExamQuestionLink.nextval, 7, 329);</v>
      </c>
    </row>
    <row r="335">
      <c r="A335" s="1">
        <v>330.0</v>
      </c>
      <c r="B335" s="1" t="s">
        <v>306</v>
      </c>
      <c r="C335" s="1">
        <v>7.0</v>
      </c>
      <c r="D335" s="1">
        <v>330.0</v>
      </c>
      <c r="F335" s="2" t="str">
        <f t="shared" si="1"/>
        <v>INSERT INTO tblExamQuestionLink VALUES (seqExamQuestionLink.nextval, 7, 330);</v>
      </c>
    </row>
    <row r="336">
      <c r="A336" s="1">
        <v>331.0</v>
      </c>
      <c r="B336" s="1" t="s">
        <v>306</v>
      </c>
      <c r="C336" s="1">
        <v>7.0</v>
      </c>
      <c r="D336" s="1">
        <v>331.0</v>
      </c>
      <c r="F336" s="2" t="str">
        <f t="shared" si="1"/>
        <v>INSERT INTO tblExamQuestionLink VALUES (seqExamQuestionLink.nextval, 7, 331);</v>
      </c>
    </row>
    <row r="337">
      <c r="A337" s="1">
        <v>332.0</v>
      </c>
      <c r="B337" s="1" t="s">
        <v>306</v>
      </c>
      <c r="C337" s="1">
        <v>7.0</v>
      </c>
      <c r="D337" s="1">
        <v>332.0</v>
      </c>
      <c r="F337" s="2" t="str">
        <f t="shared" si="1"/>
        <v>INSERT INTO tblExamQuestionLink VALUES (seqExamQuestionLink.nextval, 7, 332);</v>
      </c>
    </row>
    <row r="338">
      <c r="A338" s="1">
        <v>333.0</v>
      </c>
      <c r="B338" s="1" t="s">
        <v>306</v>
      </c>
      <c r="C338" s="1">
        <v>7.0</v>
      </c>
      <c r="D338" s="1">
        <v>333.0</v>
      </c>
      <c r="F338" s="2" t="str">
        <f t="shared" si="1"/>
        <v>INSERT INTO tblExamQuestionLink VALUES (seqExamQuestionLink.nextval, 7, 333);</v>
      </c>
    </row>
    <row r="339">
      <c r="A339" s="1">
        <v>334.0</v>
      </c>
      <c r="B339" s="1" t="s">
        <v>306</v>
      </c>
      <c r="C339" s="1">
        <v>7.0</v>
      </c>
      <c r="D339" s="1">
        <v>334.0</v>
      </c>
      <c r="F339" s="2" t="str">
        <f t="shared" si="1"/>
        <v>INSERT INTO tblExamQuestionLink VALUES (seqExamQuestionLink.nextval, 7, 334);</v>
      </c>
    </row>
    <row r="340">
      <c r="A340" s="1">
        <v>335.0</v>
      </c>
      <c r="B340" s="1" t="s">
        <v>306</v>
      </c>
      <c r="C340" s="1">
        <v>7.0</v>
      </c>
      <c r="D340" s="1">
        <v>335.0</v>
      </c>
      <c r="F340" s="2" t="str">
        <f t="shared" si="1"/>
        <v>INSERT INTO tblExamQuestionLink VALUES (seqExamQuestionLink.nextval, 7, 335);</v>
      </c>
    </row>
    <row r="341">
      <c r="A341" s="1">
        <v>336.0</v>
      </c>
      <c r="B341" s="1" t="s">
        <v>306</v>
      </c>
      <c r="C341" s="1">
        <v>7.0</v>
      </c>
      <c r="D341" s="1">
        <v>336.0</v>
      </c>
      <c r="F341" s="2" t="str">
        <f t="shared" si="1"/>
        <v>INSERT INTO tblExamQuestionLink VALUES (seqExamQuestionLink.nextval, 7, 336);</v>
      </c>
    </row>
    <row r="342">
      <c r="A342" s="1">
        <v>337.0</v>
      </c>
      <c r="B342" s="1" t="s">
        <v>306</v>
      </c>
      <c r="C342" s="1">
        <v>7.0</v>
      </c>
      <c r="D342" s="1">
        <v>337.0</v>
      </c>
      <c r="F342" s="2" t="str">
        <f t="shared" si="1"/>
        <v>INSERT INTO tblExamQuestionLink VALUES (seqExamQuestionLink.nextval, 7, 337);</v>
      </c>
    </row>
    <row r="343">
      <c r="A343" s="1">
        <v>338.0</v>
      </c>
      <c r="B343" s="1" t="s">
        <v>306</v>
      </c>
      <c r="C343" s="1">
        <v>7.0</v>
      </c>
      <c r="D343" s="1">
        <v>338.0</v>
      </c>
      <c r="F343" s="2" t="str">
        <f t="shared" si="1"/>
        <v>INSERT INTO tblExamQuestionLink VALUES (seqExamQuestionLink.nextval, 7, 338);</v>
      </c>
    </row>
    <row r="344">
      <c r="A344" s="1">
        <v>339.0</v>
      </c>
      <c r="B344" s="1" t="s">
        <v>306</v>
      </c>
      <c r="C344" s="1">
        <v>7.0</v>
      </c>
      <c r="D344" s="1">
        <v>339.0</v>
      </c>
      <c r="F344" s="2" t="str">
        <f t="shared" si="1"/>
        <v>INSERT INTO tblExamQuestionLink VALUES (seqExamQuestionLink.nextval, 7, 339);</v>
      </c>
    </row>
    <row r="345">
      <c r="A345" s="1">
        <v>340.0</v>
      </c>
      <c r="B345" s="1" t="s">
        <v>306</v>
      </c>
      <c r="C345" s="1">
        <v>7.0</v>
      </c>
      <c r="D345" s="1">
        <v>340.0</v>
      </c>
      <c r="F345" s="2" t="str">
        <f t="shared" si="1"/>
        <v>INSERT INTO tblExamQuestionLink VALUES (seqExamQuestionLink.nextval, 7, 340);</v>
      </c>
    </row>
    <row r="346">
      <c r="A346" s="1">
        <v>341.0</v>
      </c>
      <c r="B346" s="1" t="s">
        <v>306</v>
      </c>
      <c r="C346" s="1">
        <v>7.0</v>
      </c>
      <c r="D346" s="1">
        <v>341.0</v>
      </c>
      <c r="F346" s="2" t="str">
        <f t="shared" si="1"/>
        <v>INSERT INTO tblExamQuestionLink VALUES (seqExamQuestionLink.nextval, 7, 341);</v>
      </c>
    </row>
    <row r="347">
      <c r="A347" s="1">
        <v>342.0</v>
      </c>
      <c r="B347" s="1" t="s">
        <v>306</v>
      </c>
      <c r="C347" s="1">
        <v>7.0</v>
      </c>
      <c r="D347" s="1">
        <v>342.0</v>
      </c>
      <c r="F347" s="2" t="str">
        <f t="shared" si="1"/>
        <v>INSERT INTO tblExamQuestionLink VALUES (seqExamQuestionLink.nextval, 7, 342);</v>
      </c>
    </row>
    <row r="348">
      <c r="A348" s="1">
        <v>343.0</v>
      </c>
      <c r="B348" s="1" t="s">
        <v>306</v>
      </c>
      <c r="C348" s="1">
        <v>7.0</v>
      </c>
      <c r="D348" s="1">
        <v>343.0</v>
      </c>
      <c r="F348" s="2" t="str">
        <f t="shared" si="1"/>
        <v>INSERT INTO tblExamQuestionLink VALUES (seqExamQuestionLink.nextval, 7, 343);</v>
      </c>
    </row>
    <row r="349">
      <c r="A349" s="1">
        <v>344.0</v>
      </c>
      <c r="B349" s="1" t="s">
        <v>306</v>
      </c>
      <c r="C349" s="1">
        <v>7.0</v>
      </c>
      <c r="D349" s="1">
        <v>344.0</v>
      </c>
      <c r="F349" s="2" t="str">
        <f t="shared" si="1"/>
        <v>INSERT INTO tblExamQuestionLink VALUES (seqExamQuestionLink.nextval, 7, 344);</v>
      </c>
    </row>
    <row r="350">
      <c r="A350" s="1">
        <v>345.0</v>
      </c>
      <c r="B350" s="1" t="s">
        <v>306</v>
      </c>
      <c r="C350" s="1">
        <v>7.0</v>
      </c>
      <c r="D350" s="1">
        <v>345.0</v>
      </c>
      <c r="F350" s="2" t="str">
        <f t="shared" si="1"/>
        <v>INSERT INTO tblExamQuestionLink VALUES (seqExamQuestionLink.nextval, 7, 345);</v>
      </c>
    </row>
    <row r="351">
      <c r="A351" s="1">
        <v>346.0</v>
      </c>
      <c r="B351" s="1" t="s">
        <v>306</v>
      </c>
      <c r="C351" s="1">
        <v>7.0</v>
      </c>
      <c r="D351" s="1">
        <v>346.0</v>
      </c>
      <c r="F351" s="2" t="str">
        <f t="shared" si="1"/>
        <v>INSERT INTO tblExamQuestionLink VALUES (seqExamQuestionLink.nextval, 7, 346);</v>
      </c>
    </row>
    <row r="352">
      <c r="A352" s="1">
        <v>347.0</v>
      </c>
      <c r="B352" s="1" t="s">
        <v>306</v>
      </c>
      <c r="C352" s="1">
        <v>7.0</v>
      </c>
      <c r="D352" s="1">
        <v>347.0</v>
      </c>
      <c r="F352" s="2" t="str">
        <f t="shared" si="1"/>
        <v>INSERT INTO tblExamQuestionLink VALUES (seqExamQuestionLink.nextval, 7, 347);</v>
      </c>
    </row>
    <row r="353">
      <c r="A353" s="1">
        <v>348.0</v>
      </c>
      <c r="B353" s="1" t="s">
        <v>306</v>
      </c>
      <c r="C353" s="1">
        <v>7.0</v>
      </c>
      <c r="D353" s="1">
        <v>348.0</v>
      </c>
      <c r="F353" s="2" t="str">
        <f t="shared" si="1"/>
        <v>INSERT INTO tblExamQuestionLink VALUES (seqExamQuestionLink.nextval, 7, 348);</v>
      </c>
    </row>
    <row r="354">
      <c r="A354" s="1">
        <v>349.0</v>
      </c>
      <c r="B354" s="1" t="s">
        <v>306</v>
      </c>
      <c r="C354" s="1">
        <v>7.0</v>
      </c>
      <c r="D354" s="1">
        <v>349.0</v>
      </c>
      <c r="F354" s="2" t="str">
        <f t="shared" si="1"/>
        <v>INSERT INTO tblExamQuestionLink VALUES (seqExamQuestionLink.nextval, 7, 349);</v>
      </c>
    </row>
    <row r="355">
      <c r="A355" s="1">
        <v>350.0</v>
      </c>
      <c r="B355" s="1" t="s">
        <v>306</v>
      </c>
      <c r="C355" s="1">
        <v>7.0</v>
      </c>
      <c r="D355" s="1">
        <v>350.0</v>
      </c>
      <c r="F355" s="2" t="str">
        <f t="shared" si="1"/>
        <v>INSERT INTO tblExamQuestionLink VALUES (seqExamQuestionLink.nextval, 7, 350);</v>
      </c>
    </row>
    <row r="356">
      <c r="A356" s="1">
        <v>351.0</v>
      </c>
      <c r="B356" s="1" t="s">
        <v>306</v>
      </c>
      <c r="C356" s="1">
        <v>8.0</v>
      </c>
      <c r="D356" s="1">
        <v>351.0</v>
      </c>
      <c r="F356" s="2" t="str">
        <f t="shared" si="1"/>
        <v>INSERT INTO tblExamQuestionLink VALUES (seqExamQuestionLink.nextval, 8, 351);</v>
      </c>
    </row>
    <row r="357">
      <c r="A357" s="1">
        <v>352.0</v>
      </c>
      <c r="B357" s="1" t="s">
        <v>306</v>
      </c>
      <c r="C357" s="1">
        <v>8.0</v>
      </c>
      <c r="D357" s="1">
        <v>352.0</v>
      </c>
      <c r="F357" s="2" t="str">
        <f t="shared" si="1"/>
        <v>INSERT INTO tblExamQuestionLink VALUES (seqExamQuestionLink.nextval, 8, 352);</v>
      </c>
    </row>
    <row r="358">
      <c r="A358" s="1">
        <v>353.0</v>
      </c>
      <c r="B358" s="1" t="s">
        <v>306</v>
      </c>
      <c r="C358" s="1">
        <v>8.0</v>
      </c>
      <c r="D358" s="1">
        <v>353.0</v>
      </c>
      <c r="F358" s="2" t="str">
        <f t="shared" si="1"/>
        <v>INSERT INTO tblExamQuestionLink VALUES (seqExamQuestionLink.nextval, 8, 353);</v>
      </c>
    </row>
    <row r="359">
      <c r="A359" s="1">
        <v>354.0</v>
      </c>
      <c r="B359" s="1" t="s">
        <v>306</v>
      </c>
      <c r="C359" s="1">
        <v>8.0</v>
      </c>
      <c r="D359" s="1">
        <v>354.0</v>
      </c>
      <c r="F359" s="2" t="str">
        <f t="shared" si="1"/>
        <v>INSERT INTO tblExamQuestionLink VALUES (seqExamQuestionLink.nextval, 8, 354);</v>
      </c>
    </row>
    <row r="360">
      <c r="A360" s="1">
        <v>355.0</v>
      </c>
      <c r="B360" s="1" t="s">
        <v>306</v>
      </c>
      <c r="C360" s="1">
        <v>8.0</v>
      </c>
      <c r="D360" s="1">
        <v>355.0</v>
      </c>
      <c r="F360" s="2" t="str">
        <f t="shared" si="1"/>
        <v>INSERT INTO tblExamQuestionLink VALUES (seqExamQuestionLink.nextval, 8, 355);</v>
      </c>
    </row>
    <row r="361">
      <c r="A361" s="1">
        <v>356.0</v>
      </c>
      <c r="B361" s="1" t="s">
        <v>306</v>
      </c>
      <c r="C361" s="1">
        <v>8.0</v>
      </c>
      <c r="D361" s="1">
        <v>356.0</v>
      </c>
      <c r="F361" s="2" t="str">
        <f t="shared" si="1"/>
        <v>INSERT INTO tblExamQuestionLink VALUES (seqExamQuestionLink.nextval, 8, 356);</v>
      </c>
    </row>
    <row r="362">
      <c r="A362" s="1">
        <v>357.0</v>
      </c>
      <c r="B362" s="1" t="s">
        <v>306</v>
      </c>
      <c r="C362" s="1">
        <v>8.0</v>
      </c>
      <c r="D362" s="1">
        <v>357.0</v>
      </c>
      <c r="F362" s="2" t="str">
        <f t="shared" si="1"/>
        <v>INSERT INTO tblExamQuestionLink VALUES (seqExamQuestionLink.nextval, 8, 357);</v>
      </c>
    </row>
    <row r="363">
      <c r="A363" s="1">
        <v>358.0</v>
      </c>
      <c r="B363" s="1" t="s">
        <v>306</v>
      </c>
      <c r="C363" s="1">
        <v>8.0</v>
      </c>
      <c r="D363" s="1">
        <v>358.0</v>
      </c>
      <c r="F363" s="2" t="str">
        <f t="shared" si="1"/>
        <v>INSERT INTO tblExamQuestionLink VALUES (seqExamQuestionLink.nextval, 8, 358);</v>
      </c>
    </row>
    <row r="364">
      <c r="A364" s="1">
        <v>359.0</v>
      </c>
      <c r="B364" s="1" t="s">
        <v>306</v>
      </c>
      <c r="C364" s="1">
        <v>8.0</v>
      </c>
      <c r="D364" s="1">
        <v>359.0</v>
      </c>
      <c r="F364" s="2" t="str">
        <f t="shared" si="1"/>
        <v>INSERT INTO tblExamQuestionLink VALUES (seqExamQuestionLink.nextval, 8, 359);</v>
      </c>
    </row>
    <row r="365">
      <c r="A365" s="1">
        <v>360.0</v>
      </c>
      <c r="B365" s="1" t="s">
        <v>306</v>
      </c>
      <c r="C365" s="1">
        <v>8.0</v>
      </c>
      <c r="D365" s="1">
        <v>360.0</v>
      </c>
      <c r="F365" s="2" t="str">
        <f t="shared" si="1"/>
        <v>INSERT INTO tblExamQuestionLink VALUES (seqExamQuestionLink.nextval, 8, 360);</v>
      </c>
    </row>
    <row r="366">
      <c r="A366" s="1">
        <v>361.0</v>
      </c>
      <c r="B366" s="1" t="s">
        <v>306</v>
      </c>
      <c r="C366" s="1">
        <v>8.0</v>
      </c>
      <c r="D366" s="1">
        <v>361.0</v>
      </c>
      <c r="F366" s="2" t="str">
        <f t="shared" si="1"/>
        <v>INSERT INTO tblExamQuestionLink VALUES (seqExamQuestionLink.nextval, 8, 361);</v>
      </c>
    </row>
    <row r="367">
      <c r="A367" s="1">
        <v>362.0</v>
      </c>
      <c r="B367" s="1" t="s">
        <v>306</v>
      </c>
      <c r="C367" s="1">
        <v>8.0</v>
      </c>
      <c r="D367" s="1">
        <v>362.0</v>
      </c>
      <c r="F367" s="2" t="str">
        <f t="shared" si="1"/>
        <v>INSERT INTO tblExamQuestionLink VALUES (seqExamQuestionLink.nextval, 8, 362);</v>
      </c>
    </row>
    <row r="368">
      <c r="A368" s="1">
        <v>363.0</v>
      </c>
      <c r="B368" s="1" t="s">
        <v>306</v>
      </c>
      <c r="C368" s="1">
        <v>8.0</v>
      </c>
      <c r="D368" s="1">
        <v>363.0</v>
      </c>
      <c r="F368" s="2" t="str">
        <f t="shared" si="1"/>
        <v>INSERT INTO tblExamQuestionLink VALUES (seqExamQuestionLink.nextval, 8, 363);</v>
      </c>
    </row>
    <row r="369">
      <c r="A369" s="1">
        <v>364.0</v>
      </c>
      <c r="B369" s="1" t="s">
        <v>306</v>
      </c>
      <c r="C369" s="1">
        <v>8.0</v>
      </c>
      <c r="D369" s="1">
        <v>364.0</v>
      </c>
      <c r="F369" s="2" t="str">
        <f t="shared" si="1"/>
        <v>INSERT INTO tblExamQuestionLink VALUES (seqExamQuestionLink.nextval, 8, 364);</v>
      </c>
    </row>
    <row r="370">
      <c r="A370" s="1">
        <v>365.0</v>
      </c>
      <c r="B370" s="1" t="s">
        <v>306</v>
      </c>
      <c r="C370" s="1">
        <v>8.0</v>
      </c>
      <c r="D370" s="1">
        <v>365.0</v>
      </c>
      <c r="F370" s="2" t="str">
        <f t="shared" si="1"/>
        <v>INSERT INTO tblExamQuestionLink VALUES (seqExamQuestionLink.nextval, 8, 365);</v>
      </c>
    </row>
    <row r="371">
      <c r="A371" s="1">
        <v>366.0</v>
      </c>
      <c r="B371" s="1" t="s">
        <v>306</v>
      </c>
      <c r="C371" s="1">
        <v>8.0</v>
      </c>
      <c r="D371" s="1">
        <v>366.0</v>
      </c>
      <c r="F371" s="2" t="str">
        <f t="shared" si="1"/>
        <v>INSERT INTO tblExamQuestionLink VALUES (seqExamQuestionLink.nextval, 8, 366);</v>
      </c>
    </row>
    <row r="372">
      <c r="A372" s="1">
        <v>367.0</v>
      </c>
      <c r="B372" s="1" t="s">
        <v>306</v>
      </c>
      <c r="C372" s="1">
        <v>8.0</v>
      </c>
      <c r="D372" s="1">
        <v>367.0</v>
      </c>
      <c r="F372" s="2" t="str">
        <f t="shared" si="1"/>
        <v>INSERT INTO tblExamQuestionLink VALUES (seqExamQuestionLink.nextval, 8, 367);</v>
      </c>
    </row>
    <row r="373">
      <c r="A373" s="1">
        <v>368.0</v>
      </c>
      <c r="B373" s="1" t="s">
        <v>306</v>
      </c>
      <c r="C373" s="1">
        <v>8.0</v>
      </c>
      <c r="D373" s="1">
        <v>368.0</v>
      </c>
      <c r="F373" s="2" t="str">
        <f t="shared" si="1"/>
        <v>INSERT INTO tblExamQuestionLink VALUES (seqExamQuestionLink.nextval, 8, 368);</v>
      </c>
    </row>
    <row r="374">
      <c r="A374" s="1">
        <v>369.0</v>
      </c>
      <c r="B374" s="1" t="s">
        <v>306</v>
      </c>
      <c r="C374" s="1">
        <v>8.0</v>
      </c>
      <c r="D374" s="1">
        <v>369.0</v>
      </c>
      <c r="F374" s="2" t="str">
        <f t="shared" si="1"/>
        <v>INSERT INTO tblExamQuestionLink VALUES (seqExamQuestionLink.nextval, 8, 369);</v>
      </c>
    </row>
    <row r="375">
      <c r="A375" s="1">
        <v>370.0</v>
      </c>
      <c r="B375" s="1" t="s">
        <v>306</v>
      </c>
      <c r="C375" s="1">
        <v>8.0</v>
      </c>
      <c r="D375" s="1">
        <v>370.0</v>
      </c>
      <c r="F375" s="2" t="str">
        <f t="shared" si="1"/>
        <v>INSERT INTO tblExamQuestionLink VALUES (seqExamQuestionLink.nextval, 8, 370);</v>
      </c>
    </row>
    <row r="376">
      <c r="A376" s="1">
        <v>371.0</v>
      </c>
      <c r="B376" s="1" t="s">
        <v>306</v>
      </c>
      <c r="C376" s="1">
        <v>8.0</v>
      </c>
      <c r="D376" s="1">
        <v>371.0</v>
      </c>
      <c r="F376" s="2" t="str">
        <f t="shared" si="1"/>
        <v>INSERT INTO tblExamQuestionLink VALUES (seqExamQuestionLink.nextval, 8, 371);</v>
      </c>
    </row>
    <row r="377">
      <c r="A377" s="1">
        <v>372.0</v>
      </c>
      <c r="B377" s="1" t="s">
        <v>306</v>
      </c>
      <c r="C377" s="1">
        <v>8.0</v>
      </c>
      <c r="D377" s="1">
        <v>372.0</v>
      </c>
      <c r="F377" s="2" t="str">
        <f t="shared" si="1"/>
        <v>INSERT INTO tblExamQuestionLink VALUES (seqExamQuestionLink.nextval, 8, 372);</v>
      </c>
    </row>
    <row r="378">
      <c r="A378" s="1">
        <v>373.0</v>
      </c>
      <c r="B378" s="1" t="s">
        <v>306</v>
      </c>
      <c r="C378" s="1">
        <v>8.0</v>
      </c>
      <c r="D378" s="1">
        <v>373.0</v>
      </c>
      <c r="F378" s="2" t="str">
        <f t="shared" si="1"/>
        <v>INSERT INTO tblExamQuestionLink VALUES (seqExamQuestionLink.nextval, 8, 373);</v>
      </c>
    </row>
    <row r="379">
      <c r="A379" s="1">
        <v>374.0</v>
      </c>
      <c r="B379" s="1" t="s">
        <v>306</v>
      </c>
      <c r="C379" s="1">
        <v>8.0</v>
      </c>
      <c r="D379" s="1">
        <v>374.0</v>
      </c>
      <c r="F379" s="2" t="str">
        <f t="shared" si="1"/>
        <v>INSERT INTO tblExamQuestionLink VALUES (seqExamQuestionLink.nextval, 8, 374);</v>
      </c>
    </row>
    <row r="380">
      <c r="A380" s="1">
        <v>375.0</v>
      </c>
      <c r="B380" s="1" t="s">
        <v>306</v>
      </c>
      <c r="C380" s="1">
        <v>8.0</v>
      </c>
      <c r="D380" s="1">
        <v>375.0</v>
      </c>
      <c r="F380" s="2" t="str">
        <f t="shared" si="1"/>
        <v>INSERT INTO tblExamQuestionLink VALUES (seqExamQuestionLink.nextval, 8, 375);</v>
      </c>
    </row>
    <row r="381">
      <c r="A381" s="1">
        <v>376.0</v>
      </c>
      <c r="B381" s="1" t="s">
        <v>306</v>
      </c>
      <c r="C381" s="1">
        <v>8.0</v>
      </c>
      <c r="D381" s="1">
        <v>376.0</v>
      </c>
      <c r="F381" s="2" t="str">
        <f t="shared" si="1"/>
        <v>INSERT INTO tblExamQuestionLink VALUES (seqExamQuestionLink.nextval, 8, 376);</v>
      </c>
    </row>
    <row r="382">
      <c r="A382" s="1">
        <v>377.0</v>
      </c>
      <c r="B382" s="1" t="s">
        <v>306</v>
      </c>
      <c r="C382" s="1">
        <v>8.0</v>
      </c>
      <c r="D382" s="1">
        <v>377.0</v>
      </c>
      <c r="F382" s="2" t="str">
        <f t="shared" si="1"/>
        <v>INSERT INTO tblExamQuestionLink VALUES (seqExamQuestionLink.nextval, 8, 377);</v>
      </c>
    </row>
    <row r="383">
      <c r="A383" s="1">
        <v>378.0</v>
      </c>
      <c r="B383" s="1" t="s">
        <v>306</v>
      </c>
      <c r="C383" s="1">
        <v>8.0</v>
      </c>
      <c r="D383" s="1">
        <v>378.0</v>
      </c>
      <c r="F383" s="2" t="str">
        <f t="shared" si="1"/>
        <v>INSERT INTO tblExamQuestionLink VALUES (seqExamQuestionLink.nextval, 8, 378);</v>
      </c>
    </row>
    <row r="384">
      <c r="A384" s="1">
        <v>379.0</v>
      </c>
      <c r="B384" s="1" t="s">
        <v>306</v>
      </c>
      <c r="C384" s="1">
        <v>8.0</v>
      </c>
      <c r="D384" s="1">
        <v>379.0</v>
      </c>
      <c r="F384" s="2" t="str">
        <f t="shared" si="1"/>
        <v>INSERT INTO tblExamQuestionLink VALUES (seqExamQuestionLink.nextval, 8, 379);</v>
      </c>
    </row>
    <row r="385">
      <c r="A385" s="1">
        <v>380.0</v>
      </c>
      <c r="B385" s="1" t="s">
        <v>306</v>
      </c>
      <c r="C385" s="1">
        <v>8.0</v>
      </c>
      <c r="D385" s="1">
        <v>380.0</v>
      </c>
      <c r="F385" s="2" t="str">
        <f t="shared" si="1"/>
        <v>INSERT INTO tblExamQuestionLink VALUES (seqExamQuestionLink.nextval, 8, 380);</v>
      </c>
    </row>
    <row r="386">
      <c r="A386" s="1">
        <v>381.0</v>
      </c>
      <c r="B386" s="1" t="s">
        <v>306</v>
      </c>
      <c r="C386" s="1">
        <v>8.0</v>
      </c>
      <c r="D386" s="1">
        <v>381.0</v>
      </c>
      <c r="F386" s="2" t="str">
        <f t="shared" si="1"/>
        <v>INSERT INTO tblExamQuestionLink VALUES (seqExamQuestionLink.nextval, 8, 381);</v>
      </c>
    </row>
    <row r="387">
      <c r="A387" s="1">
        <v>382.0</v>
      </c>
      <c r="B387" s="1" t="s">
        <v>306</v>
      </c>
      <c r="C387" s="1">
        <v>8.0</v>
      </c>
      <c r="D387" s="1">
        <v>382.0</v>
      </c>
      <c r="F387" s="2" t="str">
        <f t="shared" si="1"/>
        <v>INSERT INTO tblExamQuestionLink VALUES (seqExamQuestionLink.nextval, 8, 382);</v>
      </c>
    </row>
    <row r="388">
      <c r="A388" s="1">
        <v>383.0</v>
      </c>
      <c r="B388" s="1" t="s">
        <v>306</v>
      </c>
      <c r="C388" s="1">
        <v>8.0</v>
      </c>
      <c r="D388" s="1">
        <v>383.0</v>
      </c>
      <c r="F388" s="2" t="str">
        <f t="shared" si="1"/>
        <v>INSERT INTO tblExamQuestionLink VALUES (seqExamQuestionLink.nextval, 8, 383);</v>
      </c>
    </row>
    <row r="389">
      <c r="A389" s="1">
        <v>384.0</v>
      </c>
      <c r="B389" s="1" t="s">
        <v>306</v>
      </c>
      <c r="C389" s="1">
        <v>8.0</v>
      </c>
      <c r="D389" s="1">
        <v>384.0</v>
      </c>
      <c r="F389" s="2" t="str">
        <f t="shared" si="1"/>
        <v>INSERT INTO tblExamQuestionLink VALUES (seqExamQuestionLink.nextval, 8, 384);</v>
      </c>
    </row>
    <row r="390">
      <c r="A390" s="1">
        <v>385.0</v>
      </c>
      <c r="B390" s="1" t="s">
        <v>306</v>
      </c>
      <c r="C390" s="1">
        <v>8.0</v>
      </c>
      <c r="D390" s="1">
        <v>385.0</v>
      </c>
      <c r="F390" s="2" t="str">
        <f t="shared" si="1"/>
        <v>INSERT INTO tblExamQuestionLink VALUES (seqExamQuestionLink.nextval, 8, 385);</v>
      </c>
    </row>
    <row r="391">
      <c r="A391" s="1">
        <v>386.0</v>
      </c>
      <c r="B391" s="1" t="s">
        <v>306</v>
      </c>
      <c r="C391" s="1">
        <v>8.0</v>
      </c>
      <c r="D391" s="1">
        <v>386.0</v>
      </c>
      <c r="F391" s="2" t="str">
        <f t="shared" si="1"/>
        <v>INSERT INTO tblExamQuestionLink VALUES (seqExamQuestionLink.nextval, 8, 386);</v>
      </c>
    </row>
    <row r="392">
      <c r="A392" s="1">
        <v>387.0</v>
      </c>
      <c r="B392" s="1" t="s">
        <v>306</v>
      </c>
      <c r="C392" s="1">
        <v>8.0</v>
      </c>
      <c r="D392" s="1">
        <v>387.0</v>
      </c>
      <c r="F392" s="2" t="str">
        <f t="shared" si="1"/>
        <v>INSERT INTO tblExamQuestionLink VALUES (seqExamQuestionLink.nextval, 8, 387);</v>
      </c>
    </row>
    <row r="393">
      <c r="A393" s="1">
        <v>388.0</v>
      </c>
      <c r="B393" s="1" t="s">
        <v>306</v>
      </c>
      <c r="C393" s="1">
        <v>8.0</v>
      </c>
      <c r="D393" s="1">
        <v>388.0</v>
      </c>
      <c r="F393" s="2" t="str">
        <f t="shared" si="1"/>
        <v>INSERT INTO tblExamQuestionLink VALUES (seqExamQuestionLink.nextval, 8, 388);</v>
      </c>
    </row>
    <row r="394">
      <c r="A394" s="1">
        <v>389.0</v>
      </c>
      <c r="B394" s="1" t="s">
        <v>306</v>
      </c>
      <c r="C394" s="1">
        <v>8.0</v>
      </c>
      <c r="D394" s="1">
        <v>389.0</v>
      </c>
      <c r="F394" s="2" t="str">
        <f t="shared" si="1"/>
        <v>INSERT INTO tblExamQuestionLink VALUES (seqExamQuestionLink.nextval, 8, 389);</v>
      </c>
    </row>
    <row r="395">
      <c r="A395" s="1">
        <v>390.0</v>
      </c>
      <c r="B395" s="1" t="s">
        <v>306</v>
      </c>
      <c r="C395" s="1">
        <v>8.0</v>
      </c>
      <c r="D395" s="1">
        <v>390.0</v>
      </c>
      <c r="F395" s="2" t="str">
        <f t="shared" si="1"/>
        <v>INSERT INTO tblExamQuestionLink VALUES (seqExamQuestionLink.nextval, 8, 390);</v>
      </c>
    </row>
    <row r="396">
      <c r="A396" s="1">
        <v>391.0</v>
      </c>
      <c r="B396" s="1" t="s">
        <v>306</v>
      </c>
      <c r="C396" s="1">
        <v>8.0</v>
      </c>
      <c r="D396" s="1">
        <v>391.0</v>
      </c>
      <c r="F396" s="2" t="str">
        <f t="shared" si="1"/>
        <v>INSERT INTO tblExamQuestionLink VALUES (seqExamQuestionLink.nextval, 8, 391);</v>
      </c>
    </row>
    <row r="397">
      <c r="A397" s="1">
        <v>392.0</v>
      </c>
      <c r="B397" s="1" t="s">
        <v>306</v>
      </c>
      <c r="C397" s="1">
        <v>8.0</v>
      </c>
      <c r="D397" s="1">
        <v>392.0</v>
      </c>
      <c r="F397" s="2" t="str">
        <f t="shared" si="1"/>
        <v>INSERT INTO tblExamQuestionLink VALUES (seqExamQuestionLink.nextval, 8, 392);</v>
      </c>
    </row>
    <row r="398">
      <c r="A398" s="1">
        <v>393.0</v>
      </c>
      <c r="B398" s="1" t="s">
        <v>306</v>
      </c>
      <c r="C398" s="1">
        <v>8.0</v>
      </c>
      <c r="D398" s="1">
        <v>393.0</v>
      </c>
      <c r="F398" s="2" t="str">
        <f t="shared" si="1"/>
        <v>INSERT INTO tblExamQuestionLink VALUES (seqExamQuestionLink.nextval, 8, 393);</v>
      </c>
    </row>
    <row r="399">
      <c r="A399" s="1">
        <v>394.0</v>
      </c>
      <c r="B399" s="1" t="s">
        <v>306</v>
      </c>
      <c r="C399" s="1">
        <v>8.0</v>
      </c>
      <c r="D399" s="1">
        <v>394.0</v>
      </c>
      <c r="F399" s="2" t="str">
        <f t="shared" si="1"/>
        <v>INSERT INTO tblExamQuestionLink VALUES (seqExamQuestionLink.nextval, 8, 394);</v>
      </c>
    </row>
    <row r="400">
      <c r="A400" s="1">
        <v>395.0</v>
      </c>
      <c r="B400" s="1" t="s">
        <v>306</v>
      </c>
      <c r="C400" s="1">
        <v>8.0</v>
      </c>
      <c r="D400" s="1">
        <v>395.0</v>
      </c>
      <c r="F400" s="2" t="str">
        <f t="shared" si="1"/>
        <v>INSERT INTO tblExamQuestionLink VALUES (seqExamQuestionLink.nextval, 8, 395);</v>
      </c>
    </row>
    <row r="401">
      <c r="A401" s="1">
        <v>396.0</v>
      </c>
      <c r="B401" s="1" t="s">
        <v>306</v>
      </c>
      <c r="C401" s="1">
        <v>8.0</v>
      </c>
      <c r="D401" s="1">
        <v>396.0</v>
      </c>
      <c r="F401" s="2" t="str">
        <f t="shared" si="1"/>
        <v>INSERT INTO tblExamQuestionLink VALUES (seqExamQuestionLink.nextval, 8, 396);</v>
      </c>
    </row>
    <row r="402">
      <c r="A402" s="1">
        <v>397.0</v>
      </c>
      <c r="B402" s="1" t="s">
        <v>306</v>
      </c>
      <c r="C402" s="1">
        <v>8.0</v>
      </c>
      <c r="D402" s="1">
        <v>397.0</v>
      </c>
      <c r="F402" s="2" t="str">
        <f t="shared" si="1"/>
        <v>INSERT INTO tblExamQuestionLink VALUES (seqExamQuestionLink.nextval, 8, 397);</v>
      </c>
    </row>
    <row r="403">
      <c r="A403" s="1">
        <v>398.0</v>
      </c>
      <c r="B403" s="1" t="s">
        <v>306</v>
      </c>
      <c r="C403" s="1">
        <v>8.0</v>
      </c>
      <c r="D403" s="1">
        <v>398.0</v>
      </c>
      <c r="F403" s="2" t="str">
        <f t="shared" si="1"/>
        <v>INSERT INTO tblExamQuestionLink VALUES (seqExamQuestionLink.nextval, 8, 398);</v>
      </c>
    </row>
    <row r="404">
      <c r="A404" s="1">
        <v>399.0</v>
      </c>
      <c r="B404" s="1" t="s">
        <v>306</v>
      </c>
      <c r="C404" s="1">
        <v>8.0</v>
      </c>
      <c r="D404" s="1">
        <v>399.0</v>
      </c>
      <c r="F404" s="2" t="str">
        <f t="shared" si="1"/>
        <v>INSERT INTO tblExamQuestionLink VALUES (seqExamQuestionLink.nextval, 8, 399);</v>
      </c>
    </row>
    <row r="405">
      <c r="A405" s="1">
        <v>400.0</v>
      </c>
      <c r="B405" s="1" t="s">
        <v>306</v>
      </c>
      <c r="C405" s="1">
        <v>8.0</v>
      </c>
      <c r="D405" s="1">
        <v>400.0</v>
      </c>
      <c r="F405" s="2" t="str">
        <f t="shared" si="1"/>
        <v>INSERT INTO tblExamQuestionLink VALUES (seqExamQuestionLink.nextval, 8, 400);</v>
      </c>
    </row>
    <row r="406">
      <c r="A406" s="1">
        <v>401.0</v>
      </c>
      <c r="B406" s="1" t="s">
        <v>306</v>
      </c>
      <c r="C406" s="1">
        <v>9.0</v>
      </c>
      <c r="D406" s="1">
        <v>401.0</v>
      </c>
      <c r="F406" s="2" t="str">
        <f t="shared" si="1"/>
        <v>INSERT INTO tblExamQuestionLink VALUES (seqExamQuestionLink.nextval, 9, 401);</v>
      </c>
    </row>
    <row r="407">
      <c r="A407" s="1">
        <v>402.0</v>
      </c>
      <c r="B407" s="1" t="s">
        <v>306</v>
      </c>
      <c r="C407" s="1">
        <v>9.0</v>
      </c>
      <c r="D407" s="1">
        <v>402.0</v>
      </c>
      <c r="F407" s="2" t="str">
        <f t="shared" si="1"/>
        <v>INSERT INTO tblExamQuestionLink VALUES (seqExamQuestionLink.nextval, 9, 402);</v>
      </c>
    </row>
    <row r="408">
      <c r="A408" s="1">
        <v>403.0</v>
      </c>
      <c r="B408" s="1" t="s">
        <v>306</v>
      </c>
      <c r="C408" s="1">
        <v>9.0</v>
      </c>
      <c r="D408" s="1">
        <v>403.0</v>
      </c>
      <c r="F408" s="2" t="str">
        <f t="shared" si="1"/>
        <v>INSERT INTO tblExamQuestionLink VALUES (seqExamQuestionLink.nextval, 9, 403);</v>
      </c>
    </row>
    <row r="409">
      <c r="A409" s="1">
        <v>404.0</v>
      </c>
      <c r="B409" s="1" t="s">
        <v>306</v>
      </c>
      <c r="C409" s="1">
        <v>9.0</v>
      </c>
      <c r="D409" s="1">
        <v>404.0</v>
      </c>
      <c r="F409" s="2" t="str">
        <f t="shared" si="1"/>
        <v>INSERT INTO tblExamQuestionLink VALUES (seqExamQuestionLink.nextval, 9, 404);</v>
      </c>
    </row>
    <row r="410">
      <c r="A410" s="1">
        <v>405.0</v>
      </c>
      <c r="B410" s="1" t="s">
        <v>306</v>
      </c>
      <c r="C410" s="1">
        <v>9.0</v>
      </c>
      <c r="D410" s="1">
        <v>405.0</v>
      </c>
      <c r="F410" s="2" t="str">
        <f t="shared" si="1"/>
        <v>INSERT INTO tblExamQuestionLink VALUES (seqExamQuestionLink.nextval, 9, 405);</v>
      </c>
    </row>
    <row r="411">
      <c r="A411" s="1">
        <v>406.0</v>
      </c>
      <c r="B411" s="1" t="s">
        <v>306</v>
      </c>
      <c r="C411" s="1">
        <v>9.0</v>
      </c>
      <c r="D411" s="1">
        <v>406.0</v>
      </c>
      <c r="F411" s="2" t="str">
        <f t="shared" si="1"/>
        <v>INSERT INTO tblExamQuestionLink VALUES (seqExamQuestionLink.nextval, 9, 406);</v>
      </c>
    </row>
    <row r="412">
      <c r="A412" s="1">
        <v>407.0</v>
      </c>
      <c r="B412" s="1" t="s">
        <v>306</v>
      </c>
      <c r="C412" s="1">
        <v>9.0</v>
      </c>
      <c r="D412" s="1">
        <v>407.0</v>
      </c>
      <c r="F412" s="2" t="str">
        <f t="shared" si="1"/>
        <v>INSERT INTO tblExamQuestionLink VALUES (seqExamQuestionLink.nextval, 9, 407);</v>
      </c>
    </row>
    <row r="413">
      <c r="A413" s="1">
        <v>408.0</v>
      </c>
      <c r="B413" s="1" t="s">
        <v>306</v>
      </c>
      <c r="C413" s="1">
        <v>9.0</v>
      </c>
      <c r="D413" s="1">
        <v>408.0</v>
      </c>
      <c r="F413" s="2" t="str">
        <f t="shared" si="1"/>
        <v>INSERT INTO tblExamQuestionLink VALUES (seqExamQuestionLink.nextval, 9, 408);</v>
      </c>
    </row>
    <row r="414">
      <c r="A414" s="1">
        <v>409.0</v>
      </c>
      <c r="B414" s="1" t="s">
        <v>306</v>
      </c>
      <c r="C414" s="1">
        <v>9.0</v>
      </c>
      <c r="D414" s="1">
        <v>409.0</v>
      </c>
      <c r="F414" s="2" t="str">
        <f t="shared" si="1"/>
        <v>INSERT INTO tblExamQuestionLink VALUES (seqExamQuestionLink.nextval, 9, 409);</v>
      </c>
    </row>
    <row r="415">
      <c r="A415" s="1">
        <v>410.0</v>
      </c>
      <c r="B415" s="1" t="s">
        <v>306</v>
      </c>
      <c r="C415" s="1">
        <v>9.0</v>
      </c>
      <c r="D415" s="1">
        <v>410.0</v>
      </c>
      <c r="F415" s="2" t="str">
        <f t="shared" si="1"/>
        <v>INSERT INTO tblExamQuestionLink VALUES (seqExamQuestionLink.nextval, 9, 410);</v>
      </c>
    </row>
    <row r="416">
      <c r="A416" s="1">
        <v>411.0</v>
      </c>
      <c r="B416" s="1" t="s">
        <v>306</v>
      </c>
      <c r="C416" s="1">
        <v>9.0</v>
      </c>
      <c r="D416" s="1">
        <v>411.0</v>
      </c>
      <c r="F416" s="2" t="str">
        <f t="shared" si="1"/>
        <v>INSERT INTO tblExamQuestionLink VALUES (seqExamQuestionLink.nextval, 9, 411);</v>
      </c>
    </row>
    <row r="417">
      <c r="A417" s="1">
        <v>412.0</v>
      </c>
      <c r="B417" s="1" t="s">
        <v>306</v>
      </c>
      <c r="C417" s="1">
        <v>9.0</v>
      </c>
      <c r="D417" s="1">
        <v>412.0</v>
      </c>
      <c r="F417" s="2" t="str">
        <f t="shared" si="1"/>
        <v>INSERT INTO tblExamQuestionLink VALUES (seqExamQuestionLink.nextval, 9, 412);</v>
      </c>
    </row>
    <row r="418">
      <c r="A418" s="1">
        <v>413.0</v>
      </c>
      <c r="B418" s="1" t="s">
        <v>306</v>
      </c>
      <c r="C418" s="1">
        <v>9.0</v>
      </c>
      <c r="D418" s="1">
        <v>413.0</v>
      </c>
      <c r="F418" s="2" t="str">
        <f t="shared" si="1"/>
        <v>INSERT INTO tblExamQuestionLink VALUES (seqExamQuestionLink.nextval, 9, 413);</v>
      </c>
    </row>
    <row r="419">
      <c r="A419" s="1">
        <v>414.0</v>
      </c>
      <c r="B419" s="1" t="s">
        <v>306</v>
      </c>
      <c r="C419" s="1">
        <v>9.0</v>
      </c>
      <c r="D419" s="1">
        <v>414.0</v>
      </c>
      <c r="F419" s="2" t="str">
        <f t="shared" si="1"/>
        <v>INSERT INTO tblExamQuestionLink VALUES (seqExamQuestionLink.nextval, 9, 414);</v>
      </c>
    </row>
    <row r="420">
      <c r="A420" s="1">
        <v>415.0</v>
      </c>
      <c r="B420" s="1" t="s">
        <v>306</v>
      </c>
      <c r="C420" s="1">
        <v>9.0</v>
      </c>
      <c r="D420" s="1">
        <v>415.0</v>
      </c>
      <c r="F420" s="2" t="str">
        <f t="shared" si="1"/>
        <v>INSERT INTO tblExamQuestionLink VALUES (seqExamQuestionLink.nextval, 9, 415);</v>
      </c>
    </row>
    <row r="421">
      <c r="A421" s="1">
        <v>416.0</v>
      </c>
      <c r="B421" s="1" t="s">
        <v>306</v>
      </c>
      <c r="C421" s="1">
        <v>9.0</v>
      </c>
      <c r="D421" s="1">
        <v>416.0</v>
      </c>
      <c r="F421" s="2" t="str">
        <f t="shared" si="1"/>
        <v>INSERT INTO tblExamQuestionLink VALUES (seqExamQuestionLink.nextval, 9, 416);</v>
      </c>
    </row>
    <row r="422">
      <c r="A422" s="1">
        <v>417.0</v>
      </c>
      <c r="B422" s="1" t="s">
        <v>306</v>
      </c>
      <c r="C422" s="1">
        <v>9.0</v>
      </c>
      <c r="D422" s="1">
        <v>417.0</v>
      </c>
      <c r="F422" s="2" t="str">
        <f t="shared" si="1"/>
        <v>INSERT INTO tblExamQuestionLink VALUES (seqExamQuestionLink.nextval, 9, 417);</v>
      </c>
    </row>
    <row r="423">
      <c r="A423" s="1">
        <v>418.0</v>
      </c>
      <c r="B423" s="1" t="s">
        <v>306</v>
      </c>
      <c r="C423" s="1">
        <v>9.0</v>
      </c>
      <c r="D423" s="1">
        <v>418.0</v>
      </c>
      <c r="F423" s="2" t="str">
        <f t="shared" si="1"/>
        <v>INSERT INTO tblExamQuestionLink VALUES (seqExamQuestionLink.nextval, 9, 418);</v>
      </c>
    </row>
    <row r="424">
      <c r="A424" s="1">
        <v>419.0</v>
      </c>
      <c r="B424" s="1" t="s">
        <v>306</v>
      </c>
      <c r="C424" s="1">
        <v>9.0</v>
      </c>
      <c r="D424" s="1">
        <v>419.0</v>
      </c>
      <c r="F424" s="2" t="str">
        <f t="shared" si="1"/>
        <v>INSERT INTO tblExamQuestionLink VALUES (seqExamQuestionLink.nextval, 9, 419);</v>
      </c>
    </row>
    <row r="425">
      <c r="A425" s="1">
        <v>420.0</v>
      </c>
      <c r="B425" s="1" t="s">
        <v>306</v>
      </c>
      <c r="C425" s="1">
        <v>9.0</v>
      </c>
      <c r="D425" s="1">
        <v>420.0</v>
      </c>
      <c r="F425" s="2" t="str">
        <f t="shared" si="1"/>
        <v>INSERT INTO tblExamQuestionLink VALUES (seqExamQuestionLink.nextval, 9, 420);</v>
      </c>
    </row>
    <row r="426">
      <c r="A426" s="1">
        <v>421.0</v>
      </c>
      <c r="B426" s="1" t="s">
        <v>306</v>
      </c>
      <c r="C426" s="1">
        <v>9.0</v>
      </c>
      <c r="D426" s="1">
        <v>421.0</v>
      </c>
      <c r="F426" s="2" t="str">
        <f t="shared" si="1"/>
        <v>INSERT INTO tblExamQuestionLink VALUES (seqExamQuestionLink.nextval, 9, 421);</v>
      </c>
    </row>
    <row r="427">
      <c r="A427" s="1">
        <v>422.0</v>
      </c>
      <c r="B427" s="1" t="s">
        <v>306</v>
      </c>
      <c r="C427" s="1">
        <v>9.0</v>
      </c>
      <c r="D427" s="1">
        <v>422.0</v>
      </c>
      <c r="F427" s="2" t="str">
        <f t="shared" si="1"/>
        <v>INSERT INTO tblExamQuestionLink VALUES (seqExamQuestionLink.nextval, 9, 422);</v>
      </c>
    </row>
    <row r="428">
      <c r="A428" s="1">
        <v>423.0</v>
      </c>
      <c r="B428" s="1" t="s">
        <v>306</v>
      </c>
      <c r="C428" s="1">
        <v>9.0</v>
      </c>
      <c r="D428" s="1">
        <v>423.0</v>
      </c>
      <c r="F428" s="2" t="str">
        <f t="shared" si="1"/>
        <v>INSERT INTO tblExamQuestionLink VALUES (seqExamQuestionLink.nextval, 9, 423);</v>
      </c>
    </row>
    <row r="429">
      <c r="A429" s="1">
        <v>424.0</v>
      </c>
      <c r="B429" s="1" t="s">
        <v>306</v>
      </c>
      <c r="C429" s="1">
        <v>9.0</v>
      </c>
      <c r="D429" s="1">
        <v>424.0</v>
      </c>
      <c r="F429" s="2" t="str">
        <f t="shared" si="1"/>
        <v>INSERT INTO tblExamQuestionLink VALUES (seqExamQuestionLink.nextval, 9, 424);</v>
      </c>
    </row>
    <row r="430">
      <c r="A430" s="1">
        <v>425.0</v>
      </c>
      <c r="B430" s="1" t="s">
        <v>306</v>
      </c>
      <c r="C430" s="1">
        <v>9.0</v>
      </c>
      <c r="D430" s="1">
        <v>425.0</v>
      </c>
      <c r="F430" s="2" t="str">
        <f t="shared" si="1"/>
        <v>INSERT INTO tblExamQuestionLink VALUES (seqExamQuestionLink.nextval, 9, 425);</v>
      </c>
    </row>
    <row r="431">
      <c r="A431" s="1">
        <v>426.0</v>
      </c>
      <c r="B431" s="1" t="s">
        <v>306</v>
      </c>
      <c r="C431" s="1">
        <v>9.0</v>
      </c>
      <c r="D431" s="1">
        <v>426.0</v>
      </c>
      <c r="F431" s="2" t="str">
        <f t="shared" si="1"/>
        <v>INSERT INTO tblExamQuestionLink VALUES (seqExamQuestionLink.nextval, 9, 426);</v>
      </c>
    </row>
    <row r="432">
      <c r="A432" s="1">
        <v>427.0</v>
      </c>
      <c r="B432" s="1" t="s">
        <v>306</v>
      </c>
      <c r="C432" s="1">
        <v>9.0</v>
      </c>
      <c r="D432" s="1">
        <v>427.0</v>
      </c>
      <c r="F432" s="2" t="str">
        <f t="shared" si="1"/>
        <v>INSERT INTO tblExamQuestionLink VALUES (seqExamQuestionLink.nextval, 9, 427);</v>
      </c>
    </row>
    <row r="433">
      <c r="A433" s="1">
        <v>428.0</v>
      </c>
      <c r="B433" s="1" t="s">
        <v>306</v>
      </c>
      <c r="C433" s="1">
        <v>9.0</v>
      </c>
      <c r="D433" s="1">
        <v>428.0</v>
      </c>
      <c r="F433" s="2" t="str">
        <f t="shared" si="1"/>
        <v>INSERT INTO tblExamQuestionLink VALUES (seqExamQuestionLink.nextval, 9, 428);</v>
      </c>
    </row>
    <row r="434">
      <c r="A434" s="1">
        <v>429.0</v>
      </c>
      <c r="B434" s="1" t="s">
        <v>306</v>
      </c>
      <c r="C434" s="1">
        <v>9.0</v>
      </c>
      <c r="D434" s="1">
        <v>429.0</v>
      </c>
      <c r="F434" s="2" t="str">
        <f t="shared" si="1"/>
        <v>INSERT INTO tblExamQuestionLink VALUES (seqExamQuestionLink.nextval, 9, 429);</v>
      </c>
    </row>
    <row r="435">
      <c r="A435" s="1">
        <v>430.0</v>
      </c>
      <c r="B435" s="1" t="s">
        <v>306</v>
      </c>
      <c r="C435" s="1">
        <v>9.0</v>
      </c>
      <c r="D435" s="1">
        <v>430.0</v>
      </c>
      <c r="F435" s="2" t="str">
        <f t="shared" si="1"/>
        <v>INSERT INTO tblExamQuestionLink VALUES (seqExamQuestionLink.nextval, 9, 430);</v>
      </c>
    </row>
    <row r="436">
      <c r="A436" s="1">
        <v>431.0</v>
      </c>
      <c r="B436" s="1" t="s">
        <v>306</v>
      </c>
      <c r="C436" s="1">
        <v>9.0</v>
      </c>
      <c r="D436" s="1">
        <v>431.0</v>
      </c>
      <c r="F436" s="2" t="str">
        <f t="shared" si="1"/>
        <v>INSERT INTO tblExamQuestionLink VALUES (seqExamQuestionLink.nextval, 9, 431);</v>
      </c>
    </row>
    <row r="437">
      <c r="A437" s="1">
        <v>432.0</v>
      </c>
      <c r="B437" s="1" t="s">
        <v>306</v>
      </c>
      <c r="C437" s="1">
        <v>9.0</v>
      </c>
      <c r="D437" s="1">
        <v>432.0</v>
      </c>
      <c r="F437" s="2" t="str">
        <f t="shared" si="1"/>
        <v>INSERT INTO tblExamQuestionLink VALUES (seqExamQuestionLink.nextval, 9, 432);</v>
      </c>
    </row>
    <row r="438">
      <c r="A438" s="1">
        <v>433.0</v>
      </c>
      <c r="B438" s="1" t="s">
        <v>306</v>
      </c>
      <c r="C438" s="1">
        <v>9.0</v>
      </c>
      <c r="D438" s="1">
        <v>433.0</v>
      </c>
      <c r="F438" s="2" t="str">
        <f t="shared" si="1"/>
        <v>INSERT INTO tblExamQuestionLink VALUES (seqExamQuestionLink.nextval, 9, 433);</v>
      </c>
    </row>
    <row r="439">
      <c r="A439" s="1">
        <v>434.0</v>
      </c>
      <c r="B439" s="1" t="s">
        <v>306</v>
      </c>
      <c r="C439" s="1">
        <v>9.0</v>
      </c>
      <c r="D439" s="1">
        <v>434.0</v>
      </c>
      <c r="F439" s="2" t="str">
        <f t="shared" si="1"/>
        <v>INSERT INTO tblExamQuestionLink VALUES (seqExamQuestionLink.nextval, 9, 434);</v>
      </c>
    </row>
    <row r="440">
      <c r="A440" s="1">
        <v>435.0</v>
      </c>
      <c r="B440" s="1" t="s">
        <v>306</v>
      </c>
      <c r="C440" s="1">
        <v>9.0</v>
      </c>
      <c r="D440" s="1">
        <v>435.0</v>
      </c>
      <c r="F440" s="2" t="str">
        <f t="shared" si="1"/>
        <v>INSERT INTO tblExamQuestionLink VALUES (seqExamQuestionLink.nextval, 9, 435);</v>
      </c>
    </row>
    <row r="441">
      <c r="A441" s="1">
        <v>436.0</v>
      </c>
      <c r="B441" s="1" t="s">
        <v>306</v>
      </c>
      <c r="C441" s="1">
        <v>9.0</v>
      </c>
      <c r="D441" s="1">
        <v>436.0</v>
      </c>
      <c r="F441" s="2" t="str">
        <f t="shared" si="1"/>
        <v>INSERT INTO tblExamQuestionLink VALUES (seqExamQuestionLink.nextval, 9, 436);</v>
      </c>
    </row>
    <row r="442">
      <c r="A442" s="1">
        <v>437.0</v>
      </c>
      <c r="B442" s="1" t="s">
        <v>306</v>
      </c>
      <c r="C442" s="1">
        <v>9.0</v>
      </c>
      <c r="D442" s="1">
        <v>437.0</v>
      </c>
      <c r="F442" s="2" t="str">
        <f t="shared" si="1"/>
        <v>INSERT INTO tblExamQuestionLink VALUES (seqExamQuestionLink.nextval, 9, 437);</v>
      </c>
    </row>
    <row r="443">
      <c r="A443" s="1">
        <v>438.0</v>
      </c>
      <c r="B443" s="1" t="s">
        <v>306</v>
      </c>
      <c r="C443" s="1">
        <v>9.0</v>
      </c>
      <c r="D443" s="1">
        <v>438.0</v>
      </c>
      <c r="F443" s="2" t="str">
        <f t="shared" si="1"/>
        <v>INSERT INTO tblExamQuestionLink VALUES (seqExamQuestionLink.nextval, 9, 438);</v>
      </c>
    </row>
    <row r="444">
      <c r="A444" s="1">
        <v>439.0</v>
      </c>
      <c r="B444" s="1" t="s">
        <v>306</v>
      </c>
      <c r="C444" s="1">
        <v>9.0</v>
      </c>
      <c r="D444" s="1">
        <v>439.0</v>
      </c>
      <c r="F444" s="2" t="str">
        <f t="shared" si="1"/>
        <v>INSERT INTO tblExamQuestionLink VALUES (seqExamQuestionLink.nextval, 9, 439);</v>
      </c>
    </row>
    <row r="445">
      <c r="A445" s="1">
        <v>440.0</v>
      </c>
      <c r="B445" s="1" t="s">
        <v>306</v>
      </c>
      <c r="C445" s="1">
        <v>9.0</v>
      </c>
      <c r="D445" s="1">
        <v>440.0</v>
      </c>
      <c r="F445" s="2" t="str">
        <f t="shared" si="1"/>
        <v>INSERT INTO tblExamQuestionLink VALUES (seqExamQuestionLink.nextval, 9, 440);</v>
      </c>
    </row>
    <row r="446">
      <c r="A446" s="1">
        <v>441.0</v>
      </c>
      <c r="B446" s="1" t="s">
        <v>306</v>
      </c>
      <c r="C446" s="1">
        <v>9.0</v>
      </c>
      <c r="D446" s="1">
        <v>441.0</v>
      </c>
      <c r="F446" s="2" t="str">
        <f t="shared" si="1"/>
        <v>INSERT INTO tblExamQuestionLink VALUES (seqExamQuestionLink.nextval, 9, 441);</v>
      </c>
    </row>
    <row r="447">
      <c r="A447" s="1">
        <v>442.0</v>
      </c>
      <c r="B447" s="1" t="s">
        <v>306</v>
      </c>
      <c r="C447" s="1">
        <v>9.0</v>
      </c>
      <c r="D447" s="1">
        <v>442.0</v>
      </c>
      <c r="F447" s="2" t="str">
        <f t="shared" si="1"/>
        <v>INSERT INTO tblExamQuestionLink VALUES (seqExamQuestionLink.nextval, 9, 442);</v>
      </c>
    </row>
    <row r="448">
      <c r="A448" s="1">
        <v>443.0</v>
      </c>
      <c r="B448" s="1" t="s">
        <v>306</v>
      </c>
      <c r="C448" s="1">
        <v>9.0</v>
      </c>
      <c r="D448" s="1">
        <v>443.0</v>
      </c>
      <c r="F448" s="2" t="str">
        <f t="shared" si="1"/>
        <v>INSERT INTO tblExamQuestionLink VALUES (seqExamQuestionLink.nextval, 9, 443);</v>
      </c>
    </row>
    <row r="449">
      <c r="A449" s="1">
        <v>444.0</v>
      </c>
      <c r="B449" s="1" t="s">
        <v>306</v>
      </c>
      <c r="C449" s="1">
        <v>9.0</v>
      </c>
      <c r="D449" s="1">
        <v>444.0</v>
      </c>
      <c r="F449" s="2" t="str">
        <f t="shared" si="1"/>
        <v>INSERT INTO tblExamQuestionLink VALUES (seqExamQuestionLink.nextval, 9, 444);</v>
      </c>
    </row>
    <row r="450">
      <c r="A450" s="1">
        <v>445.0</v>
      </c>
      <c r="B450" s="1" t="s">
        <v>306</v>
      </c>
      <c r="C450" s="1">
        <v>9.0</v>
      </c>
      <c r="D450" s="1">
        <v>445.0</v>
      </c>
      <c r="F450" s="2" t="str">
        <f t="shared" si="1"/>
        <v>INSERT INTO tblExamQuestionLink VALUES (seqExamQuestionLink.nextval, 9, 445);</v>
      </c>
    </row>
    <row r="451">
      <c r="A451" s="1">
        <v>446.0</v>
      </c>
      <c r="B451" s="1" t="s">
        <v>306</v>
      </c>
      <c r="C451" s="1">
        <v>9.0</v>
      </c>
      <c r="D451" s="1">
        <v>446.0</v>
      </c>
      <c r="F451" s="2" t="str">
        <f t="shared" si="1"/>
        <v>INSERT INTO tblExamQuestionLink VALUES (seqExamQuestionLink.nextval, 9, 446);</v>
      </c>
    </row>
    <row r="452">
      <c r="A452" s="1">
        <v>447.0</v>
      </c>
      <c r="B452" s="1" t="s">
        <v>306</v>
      </c>
      <c r="C452" s="1">
        <v>9.0</v>
      </c>
      <c r="D452" s="1">
        <v>447.0</v>
      </c>
      <c r="F452" s="2" t="str">
        <f t="shared" si="1"/>
        <v>INSERT INTO tblExamQuestionLink VALUES (seqExamQuestionLink.nextval, 9, 447);</v>
      </c>
    </row>
    <row r="453">
      <c r="A453" s="1">
        <v>448.0</v>
      </c>
      <c r="B453" s="1" t="s">
        <v>306</v>
      </c>
      <c r="C453" s="1">
        <v>9.0</v>
      </c>
      <c r="D453" s="1">
        <v>448.0</v>
      </c>
      <c r="F453" s="2" t="str">
        <f t="shared" si="1"/>
        <v>INSERT INTO tblExamQuestionLink VALUES (seqExamQuestionLink.nextval, 9, 448);</v>
      </c>
    </row>
    <row r="454">
      <c r="A454" s="1">
        <v>449.0</v>
      </c>
      <c r="B454" s="1" t="s">
        <v>306</v>
      </c>
      <c r="C454" s="1">
        <v>9.0</v>
      </c>
      <c r="D454" s="1">
        <v>449.0</v>
      </c>
      <c r="F454" s="2" t="str">
        <f t="shared" si="1"/>
        <v>INSERT INTO tblExamQuestionLink VALUES (seqExamQuestionLink.nextval, 9, 449);</v>
      </c>
    </row>
    <row r="455">
      <c r="A455" s="1">
        <v>450.0</v>
      </c>
      <c r="B455" s="1" t="s">
        <v>306</v>
      </c>
      <c r="C455" s="1">
        <v>9.0</v>
      </c>
      <c r="D455" s="1">
        <v>450.0</v>
      </c>
      <c r="F455" s="2" t="str">
        <f t="shared" si="1"/>
        <v>INSERT INTO tblExamQuestionLink VALUES (seqExamQuestionLink.nextval, 9, 450);</v>
      </c>
    </row>
    <row r="456">
      <c r="A456" s="1">
        <v>451.0</v>
      </c>
      <c r="B456" s="1" t="s">
        <v>306</v>
      </c>
      <c r="C456" s="1">
        <v>10.0</v>
      </c>
      <c r="D456" s="1">
        <v>451.0</v>
      </c>
      <c r="F456" s="2" t="str">
        <f t="shared" si="1"/>
        <v>INSERT INTO tblExamQuestionLink VALUES (seqExamQuestionLink.nextval, 10, 451);</v>
      </c>
    </row>
    <row r="457">
      <c r="A457" s="1">
        <v>452.0</v>
      </c>
      <c r="B457" s="1" t="s">
        <v>306</v>
      </c>
      <c r="C457" s="1">
        <v>10.0</v>
      </c>
      <c r="D457" s="1">
        <v>452.0</v>
      </c>
      <c r="F457" s="2" t="str">
        <f t="shared" si="1"/>
        <v>INSERT INTO tblExamQuestionLink VALUES (seqExamQuestionLink.nextval, 10, 452);</v>
      </c>
    </row>
    <row r="458">
      <c r="A458" s="1">
        <v>453.0</v>
      </c>
      <c r="B458" s="1" t="s">
        <v>306</v>
      </c>
      <c r="C458" s="1">
        <v>10.0</v>
      </c>
      <c r="D458" s="1">
        <v>453.0</v>
      </c>
      <c r="F458" s="2" t="str">
        <f t="shared" si="1"/>
        <v>INSERT INTO tblExamQuestionLink VALUES (seqExamQuestionLink.nextval, 10, 453);</v>
      </c>
    </row>
    <row r="459">
      <c r="A459" s="1">
        <v>454.0</v>
      </c>
      <c r="B459" s="1" t="s">
        <v>306</v>
      </c>
      <c r="C459" s="1">
        <v>10.0</v>
      </c>
      <c r="D459" s="1">
        <v>454.0</v>
      </c>
      <c r="F459" s="2" t="str">
        <f t="shared" si="1"/>
        <v>INSERT INTO tblExamQuestionLink VALUES (seqExamQuestionLink.nextval, 10, 454);</v>
      </c>
    </row>
    <row r="460">
      <c r="A460" s="1">
        <v>455.0</v>
      </c>
      <c r="B460" s="1" t="s">
        <v>306</v>
      </c>
      <c r="C460" s="1">
        <v>10.0</v>
      </c>
      <c r="D460" s="1">
        <v>455.0</v>
      </c>
      <c r="F460" s="2" t="str">
        <f t="shared" si="1"/>
        <v>INSERT INTO tblExamQuestionLink VALUES (seqExamQuestionLink.nextval, 10, 455);</v>
      </c>
    </row>
    <row r="461">
      <c r="A461" s="1">
        <v>456.0</v>
      </c>
      <c r="B461" s="1" t="s">
        <v>306</v>
      </c>
      <c r="C461" s="1">
        <v>10.0</v>
      </c>
      <c r="D461" s="1">
        <v>456.0</v>
      </c>
      <c r="F461" s="2" t="str">
        <f t="shared" si="1"/>
        <v>INSERT INTO tblExamQuestionLink VALUES (seqExamQuestionLink.nextval, 10, 456);</v>
      </c>
    </row>
    <row r="462">
      <c r="A462" s="1">
        <v>457.0</v>
      </c>
      <c r="B462" s="1" t="s">
        <v>306</v>
      </c>
      <c r="C462" s="1">
        <v>10.0</v>
      </c>
      <c r="D462" s="1">
        <v>457.0</v>
      </c>
      <c r="F462" s="2" t="str">
        <f t="shared" si="1"/>
        <v>INSERT INTO tblExamQuestionLink VALUES (seqExamQuestionLink.nextval, 10, 457);</v>
      </c>
    </row>
    <row r="463">
      <c r="A463" s="1">
        <v>458.0</v>
      </c>
      <c r="B463" s="1" t="s">
        <v>306</v>
      </c>
      <c r="C463" s="1">
        <v>10.0</v>
      </c>
      <c r="D463" s="1">
        <v>458.0</v>
      </c>
      <c r="F463" s="2" t="str">
        <f t="shared" si="1"/>
        <v>INSERT INTO tblExamQuestionLink VALUES (seqExamQuestionLink.nextval, 10, 458);</v>
      </c>
    </row>
    <row r="464">
      <c r="A464" s="1">
        <v>459.0</v>
      </c>
      <c r="B464" s="1" t="s">
        <v>306</v>
      </c>
      <c r="C464" s="1">
        <v>10.0</v>
      </c>
      <c r="D464" s="1">
        <v>459.0</v>
      </c>
      <c r="F464" s="2" t="str">
        <f t="shared" si="1"/>
        <v>INSERT INTO tblExamQuestionLink VALUES (seqExamQuestionLink.nextval, 10, 459);</v>
      </c>
    </row>
    <row r="465">
      <c r="A465" s="1">
        <v>460.0</v>
      </c>
      <c r="B465" s="1" t="s">
        <v>306</v>
      </c>
      <c r="C465" s="1">
        <v>10.0</v>
      </c>
      <c r="D465" s="1">
        <v>460.0</v>
      </c>
      <c r="F465" s="2" t="str">
        <f t="shared" si="1"/>
        <v>INSERT INTO tblExamQuestionLink VALUES (seqExamQuestionLink.nextval, 10, 460);</v>
      </c>
    </row>
    <row r="466">
      <c r="A466" s="1">
        <v>461.0</v>
      </c>
      <c r="B466" s="1" t="s">
        <v>306</v>
      </c>
      <c r="C466" s="1">
        <v>10.0</v>
      </c>
      <c r="D466" s="1">
        <v>461.0</v>
      </c>
      <c r="F466" s="2" t="str">
        <f t="shared" si="1"/>
        <v>INSERT INTO tblExamQuestionLink VALUES (seqExamQuestionLink.nextval, 10, 461);</v>
      </c>
    </row>
    <row r="467">
      <c r="A467" s="1">
        <v>462.0</v>
      </c>
      <c r="B467" s="1" t="s">
        <v>306</v>
      </c>
      <c r="C467" s="1">
        <v>10.0</v>
      </c>
      <c r="D467" s="1">
        <v>462.0</v>
      </c>
      <c r="F467" s="2" t="str">
        <f t="shared" si="1"/>
        <v>INSERT INTO tblExamQuestionLink VALUES (seqExamQuestionLink.nextval, 10, 462);</v>
      </c>
    </row>
    <row r="468">
      <c r="A468" s="1">
        <v>463.0</v>
      </c>
      <c r="B468" s="1" t="s">
        <v>306</v>
      </c>
      <c r="C468" s="1">
        <v>10.0</v>
      </c>
      <c r="D468" s="1">
        <v>463.0</v>
      </c>
      <c r="F468" s="2" t="str">
        <f t="shared" si="1"/>
        <v>INSERT INTO tblExamQuestionLink VALUES (seqExamQuestionLink.nextval, 10, 463);</v>
      </c>
    </row>
    <row r="469">
      <c r="A469" s="1">
        <v>464.0</v>
      </c>
      <c r="B469" s="1" t="s">
        <v>306</v>
      </c>
      <c r="C469" s="1">
        <v>10.0</v>
      </c>
      <c r="D469" s="1">
        <v>464.0</v>
      </c>
      <c r="F469" s="2" t="str">
        <f t="shared" si="1"/>
        <v>INSERT INTO tblExamQuestionLink VALUES (seqExamQuestionLink.nextval, 10, 464);</v>
      </c>
    </row>
    <row r="470">
      <c r="A470" s="1">
        <v>465.0</v>
      </c>
      <c r="B470" s="1" t="s">
        <v>306</v>
      </c>
      <c r="C470" s="1">
        <v>10.0</v>
      </c>
      <c r="D470" s="1">
        <v>465.0</v>
      </c>
      <c r="F470" s="2" t="str">
        <f t="shared" si="1"/>
        <v>INSERT INTO tblExamQuestionLink VALUES (seqExamQuestionLink.nextval, 10, 465);</v>
      </c>
    </row>
    <row r="471">
      <c r="A471" s="1">
        <v>466.0</v>
      </c>
      <c r="B471" s="1" t="s">
        <v>306</v>
      </c>
      <c r="C471" s="1">
        <v>10.0</v>
      </c>
      <c r="D471" s="1">
        <v>466.0</v>
      </c>
      <c r="F471" s="2" t="str">
        <f t="shared" si="1"/>
        <v>INSERT INTO tblExamQuestionLink VALUES (seqExamQuestionLink.nextval, 10, 466);</v>
      </c>
    </row>
    <row r="472">
      <c r="A472" s="1">
        <v>467.0</v>
      </c>
      <c r="B472" s="1" t="s">
        <v>306</v>
      </c>
      <c r="C472" s="1">
        <v>10.0</v>
      </c>
      <c r="D472" s="1">
        <v>467.0</v>
      </c>
      <c r="F472" s="2" t="str">
        <f t="shared" si="1"/>
        <v>INSERT INTO tblExamQuestionLink VALUES (seqExamQuestionLink.nextval, 10, 467);</v>
      </c>
    </row>
    <row r="473">
      <c r="A473" s="1">
        <v>468.0</v>
      </c>
      <c r="B473" s="1" t="s">
        <v>306</v>
      </c>
      <c r="C473" s="1">
        <v>10.0</v>
      </c>
      <c r="D473" s="1">
        <v>468.0</v>
      </c>
      <c r="F473" s="2" t="str">
        <f t="shared" si="1"/>
        <v>INSERT INTO tblExamQuestionLink VALUES (seqExamQuestionLink.nextval, 10, 468);</v>
      </c>
    </row>
    <row r="474">
      <c r="A474" s="1">
        <v>469.0</v>
      </c>
      <c r="B474" s="1" t="s">
        <v>306</v>
      </c>
      <c r="C474" s="1">
        <v>10.0</v>
      </c>
      <c r="D474" s="1">
        <v>469.0</v>
      </c>
      <c r="F474" s="2" t="str">
        <f t="shared" si="1"/>
        <v>INSERT INTO tblExamQuestionLink VALUES (seqExamQuestionLink.nextval, 10, 469);</v>
      </c>
    </row>
    <row r="475">
      <c r="A475" s="1">
        <v>470.0</v>
      </c>
      <c r="B475" s="1" t="s">
        <v>306</v>
      </c>
      <c r="C475" s="1">
        <v>10.0</v>
      </c>
      <c r="D475" s="1">
        <v>470.0</v>
      </c>
      <c r="F475" s="2" t="str">
        <f t="shared" si="1"/>
        <v>INSERT INTO tblExamQuestionLink VALUES (seqExamQuestionLink.nextval, 10, 470);</v>
      </c>
    </row>
    <row r="476">
      <c r="A476" s="1">
        <v>471.0</v>
      </c>
      <c r="B476" s="1" t="s">
        <v>306</v>
      </c>
      <c r="C476" s="1">
        <v>10.0</v>
      </c>
      <c r="D476" s="1">
        <v>471.0</v>
      </c>
      <c r="F476" s="2" t="str">
        <f t="shared" si="1"/>
        <v>INSERT INTO tblExamQuestionLink VALUES (seqExamQuestionLink.nextval, 10, 471);</v>
      </c>
    </row>
    <row r="477">
      <c r="A477" s="1">
        <v>472.0</v>
      </c>
      <c r="B477" s="1" t="s">
        <v>306</v>
      </c>
      <c r="C477" s="1">
        <v>10.0</v>
      </c>
      <c r="D477" s="1">
        <v>472.0</v>
      </c>
      <c r="F477" s="2" t="str">
        <f t="shared" si="1"/>
        <v>INSERT INTO tblExamQuestionLink VALUES (seqExamQuestionLink.nextval, 10, 472);</v>
      </c>
    </row>
    <row r="478">
      <c r="A478" s="1">
        <v>473.0</v>
      </c>
      <c r="B478" s="1" t="s">
        <v>306</v>
      </c>
      <c r="C478" s="1">
        <v>10.0</v>
      </c>
      <c r="D478" s="1">
        <v>473.0</v>
      </c>
      <c r="F478" s="2" t="str">
        <f t="shared" si="1"/>
        <v>INSERT INTO tblExamQuestionLink VALUES (seqExamQuestionLink.nextval, 10, 473);</v>
      </c>
    </row>
    <row r="479">
      <c r="A479" s="1">
        <v>474.0</v>
      </c>
      <c r="B479" s="1" t="s">
        <v>306</v>
      </c>
      <c r="C479" s="1">
        <v>10.0</v>
      </c>
      <c r="D479" s="1">
        <v>474.0</v>
      </c>
      <c r="F479" s="2" t="str">
        <f t="shared" si="1"/>
        <v>INSERT INTO tblExamQuestionLink VALUES (seqExamQuestionLink.nextval, 10, 474);</v>
      </c>
    </row>
    <row r="480">
      <c r="A480" s="1">
        <v>475.0</v>
      </c>
      <c r="B480" s="1" t="s">
        <v>306</v>
      </c>
      <c r="C480" s="1">
        <v>10.0</v>
      </c>
      <c r="D480" s="1">
        <v>475.0</v>
      </c>
      <c r="F480" s="2" t="str">
        <f t="shared" si="1"/>
        <v>INSERT INTO tblExamQuestionLink VALUES (seqExamQuestionLink.nextval, 10, 475);</v>
      </c>
    </row>
    <row r="481">
      <c r="A481" s="1">
        <v>476.0</v>
      </c>
      <c r="B481" s="1" t="s">
        <v>306</v>
      </c>
      <c r="C481" s="1">
        <v>10.0</v>
      </c>
      <c r="D481" s="1">
        <v>476.0</v>
      </c>
      <c r="F481" s="2" t="str">
        <f t="shared" si="1"/>
        <v>INSERT INTO tblExamQuestionLink VALUES (seqExamQuestionLink.nextval, 10, 476);</v>
      </c>
    </row>
    <row r="482">
      <c r="A482" s="1">
        <v>477.0</v>
      </c>
      <c r="B482" s="1" t="s">
        <v>306</v>
      </c>
      <c r="C482" s="1">
        <v>10.0</v>
      </c>
      <c r="D482" s="1">
        <v>477.0</v>
      </c>
      <c r="F482" s="2" t="str">
        <f t="shared" si="1"/>
        <v>INSERT INTO tblExamQuestionLink VALUES (seqExamQuestionLink.nextval, 10, 477);</v>
      </c>
    </row>
    <row r="483">
      <c r="A483" s="1">
        <v>478.0</v>
      </c>
      <c r="B483" s="1" t="s">
        <v>306</v>
      </c>
      <c r="C483" s="1">
        <v>10.0</v>
      </c>
      <c r="D483" s="1">
        <v>478.0</v>
      </c>
      <c r="F483" s="2" t="str">
        <f t="shared" si="1"/>
        <v>INSERT INTO tblExamQuestionLink VALUES (seqExamQuestionLink.nextval, 10, 478);</v>
      </c>
    </row>
    <row r="484">
      <c r="A484" s="1">
        <v>479.0</v>
      </c>
      <c r="B484" s="1" t="s">
        <v>306</v>
      </c>
      <c r="C484" s="1">
        <v>10.0</v>
      </c>
      <c r="D484" s="1">
        <v>479.0</v>
      </c>
      <c r="F484" s="2" t="str">
        <f t="shared" si="1"/>
        <v>INSERT INTO tblExamQuestionLink VALUES (seqExamQuestionLink.nextval, 10, 479);</v>
      </c>
    </row>
    <row r="485">
      <c r="A485" s="1">
        <v>480.0</v>
      </c>
      <c r="B485" s="1" t="s">
        <v>306</v>
      </c>
      <c r="C485" s="1">
        <v>10.0</v>
      </c>
      <c r="D485" s="1">
        <v>480.0</v>
      </c>
      <c r="F485" s="2" t="str">
        <f t="shared" si="1"/>
        <v>INSERT INTO tblExamQuestionLink VALUES (seqExamQuestionLink.nextval, 10, 480);</v>
      </c>
    </row>
    <row r="486">
      <c r="A486" s="1">
        <v>481.0</v>
      </c>
      <c r="B486" s="1" t="s">
        <v>306</v>
      </c>
      <c r="C486" s="1">
        <v>10.0</v>
      </c>
      <c r="D486" s="1">
        <v>481.0</v>
      </c>
      <c r="F486" s="2" t="str">
        <f t="shared" si="1"/>
        <v>INSERT INTO tblExamQuestionLink VALUES (seqExamQuestionLink.nextval, 10, 481);</v>
      </c>
    </row>
    <row r="487">
      <c r="A487" s="1">
        <v>482.0</v>
      </c>
      <c r="B487" s="1" t="s">
        <v>306</v>
      </c>
      <c r="C487" s="1">
        <v>10.0</v>
      </c>
      <c r="D487" s="1">
        <v>482.0</v>
      </c>
      <c r="F487" s="2" t="str">
        <f t="shared" si="1"/>
        <v>INSERT INTO tblExamQuestionLink VALUES (seqExamQuestionLink.nextval, 10, 482);</v>
      </c>
    </row>
    <row r="488">
      <c r="A488" s="1">
        <v>483.0</v>
      </c>
      <c r="B488" s="1" t="s">
        <v>306</v>
      </c>
      <c r="C488" s="1">
        <v>10.0</v>
      </c>
      <c r="D488" s="1">
        <v>483.0</v>
      </c>
      <c r="F488" s="2" t="str">
        <f t="shared" si="1"/>
        <v>INSERT INTO tblExamQuestionLink VALUES (seqExamQuestionLink.nextval, 10, 483);</v>
      </c>
    </row>
    <row r="489">
      <c r="A489" s="1">
        <v>484.0</v>
      </c>
      <c r="B489" s="1" t="s">
        <v>306</v>
      </c>
      <c r="C489" s="1">
        <v>10.0</v>
      </c>
      <c r="D489" s="1">
        <v>484.0</v>
      </c>
      <c r="F489" s="2" t="str">
        <f t="shared" si="1"/>
        <v>INSERT INTO tblExamQuestionLink VALUES (seqExamQuestionLink.nextval, 10, 484);</v>
      </c>
    </row>
    <row r="490">
      <c r="A490" s="1">
        <v>485.0</v>
      </c>
      <c r="B490" s="1" t="s">
        <v>306</v>
      </c>
      <c r="C490" s="1">
        <v>10.0</v>
      </c>
      <c r="D490" s="1">
        <v>485.0</v>
      </c>
      <c r="F490" s="2" t="str">
        <f t="shared" si="1"/>
        <v>INSERT INTO tblExamQuestionLink VALUES (seqExamQuestionLink.nextval, 10, 485);</v>
      </c>
    </row>
    <row r="491">
      <c r="A491" s="1">
        <v>486.0</v>
      </c>
      <c r="B491" s="1" t="s">
        <v>306</v>
      </c>
      <c r="C491" s="1">
        <v>10.0</v>
      </c>
      <c r="D491" s="1">
        <v>486.0</v>
      </c>
      <c r="F491" s="2" t="str">
        <f t="shared" si="1"/>
        <v>INSERT INTO tblExamQuestionLink VALUES (seqExamQuestionLink.nextval, 10, 486);</v>
      </c>
    </row>
    <row r="492">
      <c r="A492" s="1">
        <v>487.0</v>
      </c>
      <c r="B492" s="1" t="s">
        <v>306</v>
      </c>
      <c r="C492" s="1">
        <v>10.0</v>
      </c>
      <c r="D492" s="1">
        <v>487.0</v>
      </c>
      <c r="F492" s="2" t="str">
        <f t="shared" si="1"/>
        <v>INSERT INTO tblExamQuestionLink VALUES (seqExamQuestionLink.nextval, 10, 487);</v>
      </c>
    </row>
    <row r="493">
      <c r="A493" s="1">
        <v>488.0</v>
      </c>
      <c r="B493" s="1" t="s">
        <v>306</v>
      </c>
      <c r="C493" s="1">
        <v>10.0</v>
      </c>
      <c r="D493" s="1">
        <v>488.0</v>
      </c>
      <c r="F493" s="2" t="str">
        <f t="shared" si="1"/>
        <v>INSERT INTO tblExamQuestionLink VALUES (seqExamQuestionLink.nextval, 10, 488);</v>
      </c>
    </row>
    <row r="494">
      <c r="A494" s="1">
        <v>489.0</v>
      </c>
      <c r="B494" s="1" t="s">
        <v>306</v>
      </c>
      <c r="C494" s="1">
        <v>10.0</v>
      </c>
      <c r="D494" s="1">
        <v>489.0</v>
      </c>
      <c r="F494" s="2" t="str">
        <f t="shared" si="1"/>
        <v>INSERT INTO tblExamQuestionLink VALUES (seqExamQuestionLink.nextval, 10, 489);</v>
      </c>
    </row>
    <row r="495">
      <c r="A495" s="1">
        <v>490.0</v>
      </c>
      <c r="B495" s="1" t="s">
        <v>306</v>
      </c>
      <c r="C495" s="1">
        <v>10.0</v>
      </c>
      <c r="D495" s="1">
        <v>490.0</v>
      </c>
      <c r="F495" s="2" t="str">
        <f t="shared" si="1"/>
        <v>INSERT INTO tblExamQuestionLink VALUES (seqExamQuestionLink.nextval, 10, 490);</v>
      </c>
    </row>
    <row r="496">
      <c r="A496" s="1">
        <v>491.0</v>
      </c>
      <c r="B496" s="1" t="s">
        <v>306</v>
      </c>
      <c r="C496" s="1">
        <v>10.0</v>
      </c>
      <c r="D496" s="1">
        <v>491.0</v>
      </c>
      <c r="F496" s="2" t="str">
        <f t="shared" si="1"/>
        <v>INSERT INTO tblExamQuestionLink VALUES (seqExamQuestionLink.nextval, 10, 491);</v>
      </c>
    </row>
    <row r="497">
      <c r="A497" s="1">
        <v>492.0</v>
      </c>
      <c r="B497" s="1" t="s">
        <v>306</v>
      </c>
      <c r="C497" s="1">
        <v>10.0</v>
      </c>
      <c r="D497" s="1">
        <v>492.0</v>
      </c>
      <c r="F497" s="2" t="str">
        <f t="shared" si="1"/>
        <v>INSERT INTO tblExamQuestionLink VALUES (seqExamQuestionLink.nextval, 10, 492);</v>
      </c>
    </row>
    <row r="498">
      <c r="A498" s="1">
        <v>493.0</v>
      </c>
      <c r="B498" s="1" t="s">
        <v>306</v>
      </c>
      <c r="C498" s="1">
        <v>10.0</v>
      </c>
      <c r="D498" s="1">
        <v>493.0</v>
      </c>
      <c r="F498" s="2" t="str">
        <f t="shared" si="1"/>
        <v>INSERT INTO tblExamQuestionLink VALUES (seqExamQuestionLink.nextval, 10, 493);</v>
      </c>
    </row>
    <row r="499">
      <c r="A499" s="1">
        <v>494.0</v>
      </c>
      <c r="B499" s="1" t="s">
        <v>306</v>
      </c>
      <c r="C499" s="1">
        <v>10.0</v>
      </c>
      <c r="D499" s="1">
        <v>494.0</v>
      </c>
      <c r="F499" s="2" t="str">
        <f t="shared" si="1"/>
        <v>INSERT INTO tblExamQuestionLink VALUES (seqExamQuestionLink.nextval, 10, 494);</v>
      </c>
    </row>
    <row r="500">
      <c r="A500" s="1">
        <v>495.0</v>
      </c>
      <c r="B500" s="1" t="s">
        <v>306</v>
      </c>
      <c r="C500" s="1">
        <v>10.0</v>
      </c>
      <c r="D500" s="1">
        <v>495.0</v>
      </c>
      <c r="F500" s="2" t="str">
        <f t="shared" si="1"/>
        <v>INSERT INTO tblExamQuestionLink VALUES (seqExamQuestionLink.nextval, 10, 495);</v>
      </c>
    </row>
    <row r="501">
      <c r="A501" s="1">
        <v>496.0</v>
      </c>
      <c r="B501" s="1" t="s">
        <v>306</v>
      </c>
      <c r="C501" s="1">
        <v>10.0</v>
      </c>
      <c r="D501" s="1">
        <v>496.0</v>
      </c>
      <c r="F501" s="2" t="str">
        <f t="shared" si="1"/>
        <v>INSERT INTO tblExamQuestionLink VALUES (seqExamQuestionLink.nextval, 10, 496);</v>
      </c>
    </row>
    <row r="502">
      <c r="A502" s="1">
        <v>497.0</v>
      </c>
      <c r="B502" s="1" t="s">
        <v>306</v>
      </c>
      <c r="C502" s="1">
        <v>10.0</v>
      </c>
      <c r="D502" s="1">
        <v>497.0</v>
      </c>
      <c r="F502" s="2" t="str">
        <f t="shared" si="1"/>
        <v>INSERT INTO tblExamQuestionLink VALUES (seqExamQuestionLink.nextval, 10, 497);</v>
      </c>
    </row>
    <row r="503">
      <c r="A503" s="1">
        <v>498.0</v>
      </c>
      <c r="B503" s="1" t="s">
        <v>306</v>
      </c>
      <c r="C503" s="1">
        <v>10.0</v>
      </c>
      <c r="D503" s="1">
        <v>498.0</v>
      </c>
      <c r="F503" s="2" t="str">
        <f t="shared" si="1"/>
        <v>INSERT INTO tblExamQuestionLink VALUES (seqExamQuestionLink.nextval, 10, 498);</v>
      </c>
    </row>
    <row r="504">
      <c r="A504" s="1">
        <v>499.0</v>
      </c>
      <c r="B504" s="1" t="s">
        <v>306</v>
      </c>
      <c r="C504" s="1">
        <v>10.0</v>
      </c>
      <c r="D504" s="1">
        <v>499.0</v>
      </c>
      <c r="F504" s="2" t="str">
        <f t="shared" si="1"/>
        <v>INSERT INTO tblExamQuestionLink VALUES (seqExamQuestionLink.nextval, 10, 499);</v>
      </c>
    </row>
    <row r="505">
      <c r="A505" s="1">
        <v>500.0</v>
      </c>
      <c r="B505" s="1" t="s">
        <v>306</v>
      </c>
      <c r="C505" s="1">
        <v>10.0</v>
      </c>
      <c r="D505" s="1">
        <v>500.0</v>
      </c>
      <c r="F505" s="2" t="str">
        <f t="shared" si="1"/>
        <v>INSERT INTO tblExamQuestionLink VALUES (seqExamQuestionLink.nextval, 10, 500);</v>
      </c>
    </row>
    <row r="506">
      <c r="A506" s="1">
        <v>501.0</v>
      </c>
      <c r="B506" s="1" t="s">
        <v>306</v>
      </c>
      <c r="C506" s="1">
        <v>11.0</v>
      </c>
      <c r="D506" s="1">
        <v>501.0</v>
      </c>
      <c r="F506" s="2" t="str">
        <f t="shared" si="1"/>
        <v>INSERT INTO tblExamQuestionLink VALUES (seqExamQuestionLink.nextval, 11, 501);</v>
      </c>
    </row>
    <row r="507">
      <c r="A507" s="1">
        <v>502.0</v>
      </c>
      <c r="B507" s="1" t="s">
        <v>306</v>
      </c>
      <c r="C507" s="1">
        <v>11.0</v>
      </c>
      <c r="D507" s="1">
        <v>502.0</v>
      </c>
      <c r="F507" s="2" t="str">
        <f t="shared" si="1"/>
        <v>INSERT INTO tblExamQuestionLink VALUES (seqExamQuestionLink.nextval, 11, 502);</v>
      </c>
    </row>
    <row r="508">
      <c r="A508" s="1">
        <v>503.0</v>
      </c>
      <c r="B508" s="1" t="s">
        <v>306</v>
      </c>
      <c r="C508" s="1">
        <v>11.0</v>
      </c>
      <c r="D508" s="1">
        <v>503.0</v>
      </c>
      <c r="F508" s="2" t="str">
        <f t="shared" si="1"/>
        <v>INSERT INTO tblExamQuestionLink VALUES (seqExamQuestionLink.nextval, 11, 503);</v>
      </c>
    </row>
    <row r="509">
      <c r="A509" s="1">
        <v>504.0</v>
      </c>
      <c r="B509" s="1" t="s">
        <v>306</v>
      </c>
      <c r="C509" s="1">
        <v>11.0</v>
      </c>
      <c r="D509" s="1">
        <v>504.0</v>
      </c>
      <c r="F509" s="2" t="str">
        <f t="shared" si="1"/>
        <v>INSERT INTO tblExamQuestionLink VALUES (seqExamQuestionLink.nextval, 11, 504);</v>
      </c>
    </row>
    <row r="510">
      <c r="A510" s="1">
        <v>505.0</v>
      </c>
      <c r="B510" s="1" t="s">
        <v>306</v>
      </c>
      <c r="C510" s="1">
        <v>11.0</v>
      </c>
      <c r="D510" s="1">
        <v>505.0</v>
      </c>
      <c r="F510" s="2" t="str">
        <f t="shared" si="1"/>
        <v>INSERT INTO tblExamQuestionLink VALUES (seqExamQuestionLink.nextval, 11, 505);</v>
      </c>
    </row>
    <row r="511">
      <c r="A511" s="1">
        <v>506.0</v>
      </c>
      <c r="B511" s="1" t="s">
        <v>306</v>
      </c>
      <c r="C511" s="1">
        <v>11.0</v>
      </c>
      <c r="D511" s="1">
        <v>506.0</v>
      </c>
      <c r="F511" s="2" t="str">
        <f t="shared" si="1"/>
        <v>INSERT INTO tblExamQuestionLink VALUES (seqExamQuestionLink.nextval, 11, 506);</v>
      </c>
    </row>
    <row r="512">
      <c r="A512" s="1">
        <v>507.0</v>
      </c>
      <c r="B512" s="1" t="s">
        <v>306</v>
      </c>
      <c r="C512" s="1">
        <v>11.0</v>
      </c>
      <c r="D512" s="1">
        <v>507.0</v>
      </c>
      <c r="F512" s="2" t="str">
        <f t="shared" si="1"/>
        <v>INSERT INTO tblExamQuestionLink VALUES (seqExamQuestionLink.nextval, 11, 507);</v>
      </c>
    </row>
    <row r="513">
      <c r="A513" s="1">
        <v>508.0</v>
      </c>
      <c r="B513" s="1" t="s">
        <v>306</v>
      </c>
      <c r="C513" s="1">
        <v>11.0</v>
      </c>
      <c r="D513" s="1">
        <v>508.0</v>
      </c>
      <c r="F513" s="2" t="str">
        <f t="shared" si="1"/>
        <v>INSERT INTO tblExamQuestionLink VALUES (seqExamQuestionLink.nextval, 11, 508);</v>
      </c>
    </row>
    <row r="514">
      <c r="A514" s="1">
        <v>509.0</v>
      </c>
      <c r="B514" s="1" t="s">
        <v>306</v>
      </c>
      <c r="C514" s="1">
        <v>11.0</v>
      </c>
      <c r="D514" s="1">
        <v>509.0</v>
      </c>
      <c r="F514" s="2" t="str">
        <f t="shared" si="1"/>
        <v>INSERT INTO tblExamQuestionLink VALUES (seqExamQuestionLink.nextval, 11, 509);</v>
      </c>
    </row>
    <row r="515">
      <c r="A515" s="1">
        <v>510.0</v>
      </c>
      <c r="B515" s="1" t="s">
        <v>306</v>
      </c>
      <c r="C515" s="1">
        <v>11.0</v>
      </c>
      <c r="D515" s="1">
        <v>510.0</v>
      </c>
      <c r="F515" s="2" t="str">
        <f t="shared" si="1"/>
        <v>INSERT INTO tblExamQuestionLink VALUES (seqExamQuestionLink.nextval, 11, 510);</v>
      </c>
    </row>
    <row r="516">
      <c r="A516" s="1">
        <v>511.0</v>
      </c>
      <c r="B516" s="1" t="s">
        <v>306</v>
      </c>
      <c r="C516" s="1">
        <v>11.0</v>
      </c>
      <c r="D516" s="1">
        <v>511.0</v>
      </c>
      <c r="F516" s="2" t="str">
        <f t="shared" si="1"/>
        <v>INSERT INTO tblExamQuestionLink VALUES (seqExamQuestionLink.nextval, 11, 511);</v>
      </c>
    </row>
    <row r="517">
      <c r="A517" s="1">
        <v>512.0</v>
      </c>
      <c r="B517" s="1" t="s">
        <v>306</v>
      </c>
      <c r="C517" s="1">
        <v>11.0</v>
      </c>
      <c r="D517" s="1">
        <v>512.0</v>
      </c>
      <c r="F517" s="2" t="str">
        <f t="shared" si="1"/>
        <v>INSERT INTO tblExamQuestionLink VALUES (seqExamQuestionLink.nextval, 11, 512);</v>
      </c>
    </row>
    <row r="518">
      <c r="A518" s="1">
        <v>513.0</v>
      </c>
      <c r="B518" s="1" t="s">
        <v>306</v>
      </c>
      <c r="C518" s="1">
        <v>11.0</v>
      </c>
      <c r="D518" s="1">
        <v>513.0</v>
      </c>
      <c r="F518" s="2" t="str">
        <f t="shared" si="1"/>
        <v>INSERT INTO tblExamQuestionLink VALUES (seqExamQuestionLink.nextval, 11, 513);</v>
      </c>
    </row>
    <row r="519">
      <c r="A519" s="1">
        <v>514.0</v>
      </c>
      <c r="B519" s="1" t="s">
        <v>306</v>
      </c>
      <c r="C519" s="1">
        <v>11.0</v>
      </c>
      <c r="D519" s="1">
        <v>514.0</v>
      </c>
      <c r="F519" s="2" t="str">
        <f t="shared" si="1"/>
        <v>INSERT INTO tblExamQuestionLink VALUES (seqExamQuestionLink.nextval, 11, 514);</v>
      </c>
    </row>
    <row r="520">
      <c r="A520" s="1">
        <v>515.0</v>
      </c>
      <c r="B520" s="1" t="s">
        <v>306</v>
      </c>
      <c r="C520" s="1">
        <v>11.0</v>
      </c>
      <c r="D520" s="1">
        <v>515.0</v>
      </c>
      <c r="F520" s="2" t="str">
        <f t="shared" si="1"/>
        <v>INSERT INTO tblExamQuestionLink VALUES (seqExamQuestionLink.nextval, 11, 515);</v>
      </c>
    </row>
    <row r="521">
      <c r="A521" s="1">
        <v>516.0</v>
      </c>
      <c r="B521" s="1" t="s">
        <v>306</v>
      </c>
      <c r="C521" s="1">
        <v>11.0</v>
      </c>
      <c r="D521" s="1">
        <v>516.0</v>
      </c>
      <c r="F521" s="2" t="str">
        <f t="shared" si="1"/>
        <v>INSERT INTO tblExamQuestionLink VALUES (seqExamQuestionLink.nextval, 11, 516);</v>
      </c>
    </row>
    <row r="522">
      <c r="A522" s="1">
        <v>517.0</v>
      </c>
      <c r="B522" s="1" t="s">
        <v>306</v>
      </c>
      <c r="C522" s="1">
        <v>11.0</v>
      </c>
      <c r="D522" s="1">
        <v>517.0</v>
      </c>
      <c r="F522" s="2" t="str">
        <f t="shared" si="1"/>
        <v>INSERT INTO tblExamQuestionLink VALUES (seqExamQuestionLink.nextval, 11, 517);</v>
      </c>
    </row>
    <row r="523">
      <c r="A523" s="1">
        <v>518.0</v>
      </c>
      <c r="B523" s="1" t="s">
        <v>306</v>
      </c>
      <c r="C523" s="1">
        <v>11.0</v>
      </c>
      <c r="D523" s="1">
        <v>518.0</v>
      </c>
      <c r="F523" s="2" t="str">
        <f t="shared" si="1"/>
        <v>INSERT INTO tblExamQuestionLink VALUES (seqExamQuestionLink.nextval, 11, 518);</v>
      </c>
    </row>
    <row r="524">
      <c r="A524" s="1">
        <v>519.0</v>
      </c>
      <c r="B524" s="1" t="s">
        <v>306</v>
      </c>
      <c r="C524" s="1">
        <v>11.0</v>
      </c>
      <c r="D524" s="1">
        <v>519.0</v>
      </c>
      <c r="F524" s="2" t="str">
        <f t="shared" si="1"/>
        <v>INSERT INTO tblExamQuestionLink VALUES (seqExamQuestionLink.nextval, 11, 519);</v>
      </c>
    </row>
    <row r="525">
      <c r="A525" s="1">
        <v>520.0</v>
      </c>
      <c r="B525" s="1" t="s">
        <v>306</v>
      </c>
      <c r="C525" s="1">
        <v>11.0</v>
      </c>
      <c r="D525" s="1">
        <v>520.0</v>
      </c>
      <c r="F525" s="2" t="str">
        <f t="shared" si="1"/>
        <v>INSERT INTO tblExamQuestionLink VALUES (seqExamQuestionLink.nextval, 11, 520);</v>
      </c>
    </row>
    <row r="526">
      <c r="A526" s="1">
        <v>521.0</v>
      </c>
      <c r="B526" s="1" t="s">
        <v>306</v>
      </c>
      <c r="C526" s="1">
        <v>11.0</v>
      </c>
      <c r="D526" s="1">
        <v>521.0</v>
      </c>
      <c r="F526" s="2" t="str">
        <f t="shared" si="1"/>
        <v>INSERT INTO tblExamQuestionLink VALUES (seqExamQuestionLink.nextval, 11, 521);</v>
      </c>
    </row>
    <row r="527">
      <c r="A527" s="1">
        <v>522.0</v>
      </c>
      <c r="B527" s="1" t="s">
        <v>306</v>
      </c>
      <c r="C527" s="1">
        <v>11.0</v>
      </c>
      <c r="D527" s="1">
        <v>522.0</v>
      </c>
      <c r="F527" s="2" t="str">
        <f t="shared" si="1"/>
        <v>INSERT INTO tblExamQuestionLink VALUES (seqExamQuestionLink.nextval, 11, 522);</v>
      </c>
    </row>
    <row r="528">
      <c r="A528" s="1">
        <v>523.0</v>
      </c>
      <c r="B528" s="1" t="s">
        <v>306</v>
      </c>
      <c r="C528" s="1">
        <v>11.0</v>
      </c>
      <c r="D528" s="1">
        <v>523.0</v>
      </c>
      <c r="F528" s="2" t="str">
        <f t="shared" si="1"/>
        <v>INSERT INTO tblExamQuestionLink VALUES (seqExamQuestionLink.nextval, 11, 523);</v>
      </c>
    </row>
    <row r="529">
      <c r="A529" s="1">
        <v>524.0</v>
      </c>
      <c r="B529" s="1" t="s">
        <v>306</v>
      </c>
      <c r="C529" s="1">
        <v>11.0</v>
      </c>
      <c r="D529" s="1">
        <v>524.0</v>
      </c>
      <c r="F529" s="2" t="str">
        <f t="shared" si="1"/>
        <v>INSERT INTO tblExamQuestionLink VALUES (seqExamQuestionLink.nextval, 11, 524);</v>
      </c>
    </row>
    <row r="530">
      <c r="A530" s="1">
        <v>525.0</v>
      </c>
      <c r="B530" s="1" t="s">
        <v>306</v>
      </c>
      <c r="C530" s="1">
        <v>11.0</v>
      </c>
      <c r="D530" s="1">
        <v>525.0</v>
      </c>
      <c r="F530" s="2" t="str">
        <f t="shared" si="1"/>
        <v>INSERT INTO tblExamQuestionLink VALUES (seqExamQuestionLink.nextval, 11, 525);</v>
      </c>
    </row>
    <row r="531">
      <c r="A531" s="1">
        <v>526.0</v>
      </c>
      <c r="B531" s="1" t="s">
        <v>306</v>
      </c>
      <c r="C531" s="1">
        <v>11.0</v>
      </c>
      <c r="D531" s="1">
        <v>526.0</v>
      </c>
      <c r="F531" s="2" t="str">
        <f t="shared" si="1"/>
        <v>INSERT INTO tblExamQuestionLink VALUES (seqExamQuestionLink.nextval, 11, 526);</v>
      </c>
    </row>
    <row r="532">
      <c r="A532" s="1">
        <v>527.0</v>
      </c>
      <c r="B532" s="1" t="s">
        <v>306</v>
      </c>
      <c r="C532" s="1">
        <v>11.0</v>
      </c>
      <c r="D532" s="1">
        <v>527.0</v>
      </c>
      <c r="F532" s="2" t="str">
        <f t="shared" si="1"/>
        <v>INSERT INTO tblExamQuestionLink VALUES (seqExamQuestionLink.nextval, 11, 527);</v>
      </c>
    </row>
    <row r="533">
      <c r="A533" s="1">
        <v>528.0</v>
      </c>
      <c r="B533" s="1" t="s">
        <v>306</v>
      </c>
      <c r="C533" s="1">
        <v>11.0</v>
      </c>
      <c r="D533" s="1">
        <v>528.0</v>
      </c>
      <c r="F533" s="2" t="str">
        <f t="shared" si="1"/>
        <v>INSERT INTO tblExamQuestionLink VALUES (seqExamQuestionLink.nextval, 11, 528);</v>
      </c>
    </row>
    <row r="534">
      <c r="A534" s="1">
        <v>529.0</v>
      </c>
      <c r="B534" s="1" t="s">
        <v>306</v>
      </c>
      <c r="C534" s="1">
        <v>11.0</v>
      </c>
      <c r="D534" s="1">
        <v>529.0</v>
      </c>
      <c r="F534" s="2" t="str">
        <f t="shared" si="1"/>
        <v>INSERT INTO tblExamQuestionLink VALUES (seqExamQuestionLink.nextval, 11, 529);</v>
      </c>
    </row>
    <row r="535">
      <c r="A535" s="1">
        <v>530.0</v>
      </c>
      <c r="B535" s="1" t="s">
        <v>306</v>
      </c>
      <c r="C535" s="1">
        <v>11.0</v>
      </c>
      <c r="D535" s="1">
        <v>530.0</v>
      </c>
      <c r="F535" s="2" t="str">
        <f t="shared" si="1"/>
        <v>INSERT INTO tblExamQuestionLink VALUES (seqExamQuestionLink.nextval, 11, 530);</v>
      </c>
    </row>
    <row r="536">
      <c r="A536" s="1">
        <v>531.0</v>
      </c>
      <c r="B536" s="1" t="s">
        <v>306</v>
      </c>
      <c r="C536" s="1">
        <v>11.0</v>
      </c>
      <c r="D536" s="1">
        <v>531.0</v>
      </c>
      <c r="F536" s="2" t="str">
        <f t="shared" si="1"/>
        <v>INSERT INTO tblExamQuestionLink VALUES (seqExamQuestionLink.nextval, 11, 531);</v>
      </c>
    </row>
    <row r="537">
      <c r="A537" s="1">
        <v>532.0</v>
      </c>
      <c r="B537" s="1" t="s">
        <v>306</v>
      </c>
      <c r="C537" s="1">
        <v>11.0</v>
      </c>
      <c r="D537" s="1">
        <v>532.0</v>
      </c>
      <c r="F537" s="2" t="str">
        <f t="shared" si="1"/>
        <v>INSERT INTO tblExamQuestionLink VALUES (seqExamQuestionLink.nextval, 11, 532);</v>
      </c>
    </row>
    <row r="538">
      <c r="A538" s="1">
        <v>533.0</v>
      </c>
      <c r="B538" s="1" t="s">
        <v>306</v>
      </c>
      <c r="C538" s="1">
        <v>11.0</v>
      </c>
      <c r="D538" s="1">
        <v>533.0</v>
      </c>
      <c r="F538" s="2" t="str">
        <f t="shared" si="1"/>
        <v>INSERT INTO tblExamQuestionLink VALUES (seqExamQuestionLink.nextval, 11, 533);</v>
      </c>
    </row>
    <row r="539">
      <c r="A539" s="1">
        <v>534.0</v>
      </c>
      <c r="B539" s="1" t="s">
        <v>306</v>
      </c>
      <c r="C539" s="1">
        <v>11.0</v>
      </c>
      <c r="D539" s="1">
        <v>534.0</v>
      </c>
      <c r="F539" s="2" t="str">
        <f t="shared" si="1"/>
        <v>INSERT INTO tblExamQuestionLink VALUES (seqExamQuestionLink.nextval, 11, 534);</v>
      </c>
    </row>
    <row r="540">
      <c r="A540" s="1">
        <v>535.0</v>
      </c>
      <c r="B540" s="1" t="s">
        <v>306</v>
      </c>
      <c r="C540" s="1">
        <v>11.0</v>
      </c>
      <c r="D540" s="1">
        <v>535.0</v>
      </c>
      <c r="F540" s="2" t="str">
        <f t="shared" si="1"/>
        <v>INSERT INTO tblExamQuestionLink VALUES (seqExamQuestionLink.nextval, 11, 535);</v>
      </c>
    </row>
    <row r="541">
      <c r="A541" s="1">
        <v>536.0</v>
      </c>
      <c r="B541" s="1" t="s">
        <v>306</v>
      </c>
      <c r="C541" s="1">
        <v>11.0</v>
      </c>
      <c r="D541" s="1">
        <v>536.0</v>
      </c>
      <c r="F541" s="2" t="str">
        <f t="shared" si="1"/>
        <v>INSERT INTO tblExamQuestionLink VALUES (seqExamQuestionLink.nextval, 11, 536);</v>
      </c>
    </row>
    <row r="542">
      <c r="A542" s="1">
        <v>537.0</v>
      </c>
      <c r="B542" s="1" t="s">
        <v>306</v>
      </c>
      <c r="C542" s="1">
        <v>11.0</v>
      </c>
      <c r="D542" s="1">
        <v>537.0</v>
      </c>
      <c r="F542" s="2" t="str">
        <f t="shared" si="1"/>
        <v>INSERT INTO tblExamQuestionLink VALUES (seqExamQuestionLink.nextval, 11, 537);</v>
      </c>
    </row>
    <row r="543">
      <c r="A543" s="1">
        <v>538.0</v>
      </c>
      <c r="B543" s="1" t="s">
        <v>306</v>
      </c>
      <c r="C543" s="1">
        <v>11.0</v>
      </c>
      <c r="D543" s="1">
        <v>538.0</v>
      </c>
      <c r="F543" s="2" t="str">
        <f t="shared" si="1"/>
        <v>INSERT INTO tblExamQuestionLink VALUES (seqExamQuestionLink.nextval, 11, 538);</v>
      </c>
    </row>
    <row r="544">
      <c r="A544" s="1">
        <v>539.0</v>
      </c>
      <c r="B544" s="1" t="s">
        <v>306</v>
      </c>
      <c r="C544" s="1">
        <v>11.0</v>
      </c>
      <c r="D544" s="1">
        <v>539.0</v>
      </c>
      <c r="F544" s="2" t="str">
        <f t="shared" si="1"/>
        <v>INSERT INTO tblExamQuestionLink VALUES (seqExamQuestionLink.nextval, 11, 539);</v>
      </c>
    </row>
    <row r="545">
      <c r="A545" s="1">
        <v>540.0</v>
      </c>
      <c r="B545" s="1" t="s">
        <v>306</v>
      </c>
      <c r="C545" s="1">
        <v>11.0</v>
      </c>
      <c r="D545" s="1">
        <v>540.0</v>
      </c>
      <c r="F545" s="2" t="str">
        <f t="shared" si="1"/>
        <v>INSERT INTO tblExamQuestionLink VALUES (seqExamQuestionLink.nextval, 11, 540);</v>
      </c>
    </row>
    <row r="546">
      <c r="A546" s="1">
        <v>541.0</v>
      </c>
      <c r="B546" s="1" t="s">
        <v>306</v>
      </c>
      <c r="C546" s="1">
        <v>11.0</v>
      </c>
      <c r="D546" s="1">
        <v>541.0</v>
      </c>
      <c r="F546" s="2" t="str">
        <f t="shared" si="1"/>
        <v>INSERT INTO tblExamQuestionLink VALUES (seqExamQuestionLink.nextval, 11, 541);</v>
      </c>
    </row>
    <row r="547">
      <c r="A547" s="1">
        <v>542.0</v>
      </c>
      <c r="B547" s="1" t="s">
        <v>306</v>
      </c>
      <c r="C547" s="1">
        <v>11.0</v>
      </c>
      <c r="D547" s="1">
        <v>542.0</v>
      </c>
      <c r="F547" s="2" t="str">
        <f t="shared" si="1"/>
        <v>INSERT INTO tblExamQuestionLink VALUES (seqExamQuestionLink.nextval, 11, 542);</v>
      </c>
    </row>
    <row r="548">
      <c r="A548" s="1">
        <v>543.0</v>
      </c>
      <c r="B548" s="1" t="s">
        <v>306</v>
      </c>
      <c r="C548" s="1">
        <v>11.0</v>
      </c>
      <c r="D548" s="1">
        <v>543.0</v>
      </c>
      <c r="F548" s="2" t="str">
        <f t="shared" si="1"/>
        <v>INSERT INTO tblExamQuestionLink VALUES (seqExamQuestionLink.nextval, 11, 543);</v>
      </c>
    </row>
    <row r="549">
      <c r="A549" s="1">
        <v>544.0</v>
      </c>
      <c r="B549" s="1" t="s">
        <v>306</v>
      </c>
      <c r="C549" s="1">
        <v>11.0</v>
      </c>
      <c r="D549" s="1">
        <v>544.0</v>
      </c>
      <c r="F549" s="2" t="str">
        <f t="shared" si="1"/>
        <v>INSERT INTO tblExamQuestionLink VALUES (seqExamQuestionLink.nextval, 11, 544);</v>
      </c>
    </row>
    <row r="550">
      <c r="A550" s="1">
        <v>545.0</v>
      </c>
      <c r="B550" s="1" t="s">
        <v>306</v>
      </c>
      <c r="C550" s="1">
        <v>11.0</v>
      </c>
      <c r="D550" s="1">
        <v>545.0</v>
      </c>
      <c r="F550" s="2" t="str">
        <f t="shared" si="1"/>
        <v>INSERT INTO tblExamQuestionLink VALUES (seqExamQuestionLink.nextval, 11, 545);</v>
      </c>
    </row>
    <row r="551">
      <c r="A551" s="1">
        <v>546.0</v>
      </c>
      <c r="B551" s="1" t="s">
        <v>306</v>
      </c>
      <c r="C551" s="1">
        <v>11.0</v>
      </c>
      <c r="D551" s="1">
        <v>546.0</v>
      </c>
      <c r="F551" s="2" t="str">
        <f t="shared" si="1"/>
        <v>INSERT INTO tblExamQuestionLink VALUES (seqExamQuestionLink.nextval, 11, 546);</v>
      </c>
    </row>
    <row r="552">
      <c r="A552" s="1">
        <v>547.0</v>
      </c>
      <c r="B552" s="1" t="s">
        <v>306</v>
      </c>
      <c r="C552" s="1">
        <v>11.0</v>
      </c>
      <c r="D552" s="1">
        <v>547.0</v>
      </c>
      <c r="F552" s="2" t="str">
        <f t="shared" si="1"/>
        <v>INSERT INTO tblExamQuestionLink VALUES (seqExamQuestionLink.nextval, 11, 547);</v>
      </c>
    </row>
    <row r="553">
      <c r="A553" s="1">
        <v>548.0</v>
      </c>
      <c r="B553" s="1" t="s">
        <v>306</v>
      </c>
      <c r="C553" s="1">
        <v>11.0</v>
      </c>
      <c r="D553" s="1">
        <v>548.0</v>
      </c>
      <c r="F553" s="2" t="str">
        <f t="shared" si="1"/>
        <v>INSERT INTO tblExamQuestionLink VALUES (seqExamQuestionLink.nextval, 11, 548);</v>
      </c>
    </row>
    <row r="554">
      <c r="A554" s="1">
        <v>549.0</v>
      </c>
      <c r="B554" s="1" t="s">
        <v>306</v>
      </c>
      <c r="C554" s="1">
        <v>11.0</v>
      </c>
      <c r="D554" s="1">
        <v>549.0</v>
      </c>
      <c r="F554" s="2" t="str">
        <f t="shared" si="1"/>
        <v>INSERT INTO tblExamQuestionLink VALUES (seqExamQuestionLink.nextval, 11, 549);</v>
      </c>
    </row>
    <row r="555">
      <c r="A555" s="1">
        <v>550.0</v>
      </c>
      <c r="B555" s="1" t="s">
        <v>306</v>
      </c>
      <c r="C555" s="1">
        <v>11.0</v>
      </c>
      <c r="D555" s="1">
        <v>550.0</v>
      </c>
      <c r="F555" s="2" t="str">
        <f t="shared" si="1"/>
        <v>INSERT INTO tblExamQuestionLink VALUES (seqExamQuestionLink.nextval, 11, 550);</v>
      </c>
    </row>
    <row r="556">
      <c r="A556" s="1">
        <v>551.0</v>
      </c>
      <c r="B556" s="1" t="s">
        <v>306</v>
      </c>
      <c r="C556" s="1">
        <v>12.0</v>
      </c>
      <c r="D556" s="1">
        <v>551.0</v>
      </c>
      <c r="F556" s="2" t="str">
        <f t="shared" si="1"/>
        <v>INSERT INTO tblExamQuestionLink VALUES (seqExamQuestionLink.nextval, 12, 551);</v>
      </c>
    </row>
    <row r="557">
      <c r="A557" s="1">
        <v>552.0</v>
      </c>
      <c r="B557" s="1" t="s">
        <v>306</v>
      </c>
      <c r="C557" s="1">
        <v>12.0</v>
      </c>
      <c r="D557" s="1">
        <v>552.0</v>
      </c>
      <c r="F557" s="2" t="str">
        <f t="shared" si="1"/>
        <v>INSERT INTO tblExamQuestionLink VALUES (seqExamQuestionLink.nextval, 12, 552);</v>
      </c>
    </row>
    <row r="558">
      <c r="A558" s="1">
        <v>553.0</v>
      </c>
      <c r="B558" s="1" t="s">
        <v>306</v>
      </c>
      <c r="C558" s="1">
        <v>12.0</v>
      </c>
      <c r="D558" s="1">
        <v>553.0</v>
      </c>
      <c r="F558" s="2" t="str">
        <f t="shared" si="1"/>
        <v>INSERT INTO tblExamQuestionLink VALUES (seqExamQuestionLink.nextval, 12, 553);</v>
      </c>
    </row>
    <row r="559">
      <c r="A559" s="1">
        <v>554.0</v>
      </c>
      <c r="B559" s="1" t="s">
        <v>306</v>
      </c>
      <c r="C559" s="1">
        <v>12.0</v>
      </c>
      <c r="D559" s="1">
        <v>554.0</v>
      </c>
      <c r="F559" s="2" t="str">
        <f t="shared" si="1"/>
        <v>INSERT INTO tblExamQuestionLink VALUES (seqExamQuestionLink.nextval, 12, 554);</v>
      </c>
    </row>
    <row r="560">
      <c r="A560" s="1">
        <v>555.0</v>
      </c>
      <c r="B560" s="1" t="s">
        <v>306</v>
      </c>
      <c r="C560" s="1">
        <v>12.0</v>
      </c>
      <c r="D560" s="1">
        <v>555.0</v>
      </c>
      <c r="F560" s="2" t="str">
        <f t="shared" si="1"/>
        <v>INSERT INTO tblExamQuestionLink VALUES (seqExamQuestionLink.nextval, 12, 555);</v>
      </c>
    </row>
    <row r="561">
      <c r="A561" s="1">
        <v>556.0</v>
      </c>
      <c r="B561" s="1" t="s">
        <v>306</v>
      </c>
      <c r="C561" s="1">
        <v>12.0</v>
      </c>
      <c r="D561" s="1">
        <v>556.0</v>
      </c>
      <c r="F561" s="2" t="str">
        <f t="shared" si="1"/>
        <v>INSERT INTO tblExamQuestionLink VALUES (seqExamQuestionLink.nextval, 12, 556);</v>
      </c>
    </row>
    <row r="562">
      <c r="A562" s="1">
        <v>557.0</v>
      </c>
      <c r="B562" s="1" t="s">
        <v>306</v>
      </c>
      <c r="C562" s="1">
        <v>12.0</v>
      </c>
      <c r="D562" s="1">
        <v>557.0</v>
      </c>
      <c r="F562" s="2" t="str">
        <f t="shared" si="1"/>
        <v>INSERT INTO tblExamQuestionLink VALUES (seqExamQuestionLink.nextval, 12, 557);</v>
      </c>
    </row>
    <row r="563">
      <c r="A563" s="1">
        <v>558.0</v>
      </c>
      <c r="B563" s="1" t="s">
        <v>306</v>
      </c>
      <c r="C563" s="1">
        <v>12.0</v>
      </c>
      <c r="D563" s="1">
        <v>558.0</v>
      </c>
      <c r="F563" s="2" t="str">
        <f t="shared" si="1"/>
        <v>INSERT INTO tblExamQuestionLink VALUES (seqExamQuestionLink.nextval, 12, 558);</v>
      </c>
    </row>
    <row r="564">
      <c r="A564" s="1">
        <v>559.0</v>
      </c>
      <c r="B564" s="1" t="s">
        <v>306</v>
      </c>
      <c r="C564" s="1">
        <v>12.0</v>
      </c>
      <c r="D564" s="1">
        <v>559.0</v>
      </c>
      <c r="F564" s="2" t="str">
        <f t="shared" si="1"/>
        <v>INSERT INTO tblExamQuestionLink VALUES (seqExamQuestionLink.nextval, 12, 559);</v>
      </c>
    </row>
    <row r="565">
      <c r="A565" s="1">
        <v>560.0</v>
      </c>
      <c r="B565" s="1" t="s">
        <v>306</v>
      </c>
      <c r="C565" s="1">
        <v>12.0</v>
      </c>
      <c r="D565" s="1">
        <v>560.0</v>
      </c>
      <c r="F565" s="2" t="str">
        <f t="shared" si="1"/>
        <v>INSERT INTO tblExamQuestionLink VALUES (seqExamQuestionLink.nextval, 12, 560);</v>
      </c>
    </row>
    <row r="566">
      <c r="A566" s="1">
        <v>561.0</v>
      </c>
      <c r="B566" s="1" t="s">
        <v>306</v>
      </c>
      <c r="C566" s="1">
        <v>12.0</v>
      </c>
      <c r="D566" s="1">
        <v>561.0</v>
      </c>
      <c r="F566" s="2" t="str">
        <f t="shared" si="1"/>
        <v>INSERT INTO tblExamQuestionLink VALUES (seqExamQuestionLink.nextval, 12, 561);</v>
      </c>
    </row>
    <row r="567">
      <c r="A567" s="1">
        <v>562.0</v>
      </c>
      <c r="B567" s="1" t="s">
        <v>306</v>
      </c>
      <c r="C567" s="1">
        <v>12.0</v>
      </c>
      <c r="D567" s="1">
        <v>562.0</v>
      </c>
      <c r="F567" s="2" t="str">
        <f t="shared" si="1"/>
        <v>INSERT INTO tblExamQuestionLink VALUES (seqExamQuestionLink.nextval, 12, 562);</v>
      </c>
    </row>
    <row r="568">
      <c r="A568" s="1">
        <v>563.0</v>
      </c>
      <c r="B568" s="1" t="s">
        <v>306</v>
      </c>
      <c r="C568" s="1">
        <v>12.0</v>
      </c>
      <c r="D568" s="1">
        <v>563.0</v>
      </c>
      <c r="F568" s="2" t="str">
        <f t="shared" si="1"/>
        <v>INSERT INTO tblExamQuestionLink VALUES (seqExamQuestionLink.nextval, 12, 563);</v>
      </c>
    </row>
    <row r="569">
      <c r="A569" s="1">
        <v>564.0</v>
      </c>
      <c r="B569" s="1" t="s">
        <v>306</v>
      </c>
      <c r="C569" s="1">
        <v>12.0</v>
      </c>
      <c r="D569" s="1">
        <v>564.0</v>
      </c>
      <c r="F569" s="2" t="str">
        <f t="shared" si="1"/>
        <v>INSERT INTO tblExamQuestionLink VALUES (seqExamQuestionLink.nextval, 12, 564);</v>
      </c>
    </row>
    <row r="570">
      <c r="A570" s="1">
        <v>565.0</v>
      </c>
      <c r="B570" s="1" t="s">
        <v>306</v>
      </c>
      <c r="C570" s="1">
        <v>12.0</v>
      </c>
      <c r="D570" s="1">
        <v>565.0</v>
      </c>
      <c r="F570" s="2" t="str">
        <f t="shared" si="1"/>
        <v>INSERT INTO tblExamQuestionLink VALUES (seqExamQuestionLink.nextval, 12, 565);</v>
      </c>
    </row>
    <row r="571">
      <c r="A571" s="1">
        <v>566.0</v>
      </c>
      <c r="B571" s="1" t="s">
        <v>306</v>
      </c>
      <c r="C571" s="1">
        <v>12.0</v>
      </c>
      <c r="D571" s="1">
        <v>566.0</v>
      </c>
      <c r="F571" s="2" t="str">
        <f t="shared" si="1"/>
        <v>INSERT INTO tblExamQuestionLink VALUES (seqExamQuestionLink.nextval, 12, 566);</v>
      </c>
    </row>
    <row r="572">
      <c r="A572" s="1">
        <v>567.0</v>
      </c>
      <c r="B572" s="1" t="s">
        <v>306</v>
      </c>
      <c r="C572" s="1">
        <v>12.0</v>
      </c>
      <c r="D572" s="1">
        <v>567.0</v>
      </c>
      <c r="F572" s="2" t="str">
        <f t="shared" si="1"/>
        <v>INSERT INTO tblExamQuestionLink VALUES (seqExamQuestionLink.nextval, 12, 567);</v>
      </c>
    </row>
    <row r="573">
      <c r="A573" s="1">
        <v>568.0</v>
      </c>
      <c r="B573" s="1" t="s">
        <v>306</v>
      </c>
      <c r="C573" s="1">
        <v>12.0</v>
      </c>
      <c r="D573" s="1">
        <v>568.0</v>
      </c>
      <c r="F573" s="2" t="str">
        <f t="shared" si="1"/>
        <v>INSERT INTO tblExamQuestionLink VALUES (seqExamQuestionLink.nextval, 12, 568);</v>
      </c>
    </row>
    <row r="574">
      <c r="A574" s="1">
        <v>569.0</v>
      </c>
      <c r="B574" s="1" t="s">
        <v>306</v>
      </c>
      <c r="C574" s="1">
        <v>12.0</v>
      </c>
      <c r="D574" s="1">
        <v>569.0</v>
      </c>
      <c r="F574" s="2" t="str">
        <f t="shared" si="1"/>
        <v>INSERT INTO tblExamQuestionLink VALUES (seqExamQuestionLink.nextval, 12, 569);</v>
      </c>
    </row>
    <row r="575">
      <c r="A575" s="1">
        <v>570.0</v>
      </c>
      <c r="B575" s="1" t="s">
        <v>306</v>
      </c>
      <c r="C575" s="1">
        <v>12.0</v>
      </c>
      <c r="D575" s="1">
        <v>570.0</v>
      </c>
      <c r="F575" s="2" t="str">
        <f t="shared" si="1"/>
        <v>INSERT INTO tblExamQuestionLink VALUES (seqExamQuestionLink.nextval, 12, 570);</v>
      </c>
    </row>
    <row r="576">
      <c r="A576" s="1">
        <v>571.0</v>
      </c>
      <c r="B576" s="1" t="s">
        <v>306</v>
      </c>
      <c r="C576" s="1">
        <v>12.0</v>
      </c>
      <c r="D576" s="1">
        <v>571.0</v>
      </c>
      <c r="F576" s="2" t="str">
        <f t="shared" si="1"/>
        <v>INSERT INTO tblExamQuestionLink VALUES (seqExamQuestionLink.nextval, 12, 571);</v>
      </c>
    </row>
    <row r="577">
      <c r="A577" s="1">
        <v>572.0</v>
      </c>
      <c r="B577" s="1" t="s">
        <v>306</v>
      </c>
      <c r="C577" s="1">
        <v>12.0</v>
      </c>
      <c r="D577" s="1">
        <v>572.0</v>
      </c>
      <c r="F577" s="2" t="str">
        <f t="shared" si="1"/>
        <v>INSERT INTO tblExamQuestionLink VALUES (seqExamQuestionLink.nextval, 12, 572);</v>
      </c>
    </row>
    <row r="578">
      <c r="A578" s="1">
        <v>573.0</v>
      </c>
      <c r="B578" s="1" t="s">
        <v>306</v>
      </c>
      <c r="C578" s="1">
        <v>12.0</v>
      </c>
      <c r="D578" s="1">
        <v>573.0</v>
      </c>
      <c r="F578" s="2" t="str">
        <f t="shared" si="1"/>
        <v>INSERT INTO tblExamQuestionLink VALUES (seqExamQuestionLink.nextval, 12, 573);</v>
      </c>
    </row>
    <row r="579">
      <c r="A579" s="1">
        <v>574.0</v>
      </c>
      <c r="B579" s="1" t="s">
        <v>306</v>
      </c>
      <c r="C579" s="1">
        <v>12.0</v>
      </c>
      <c r="D579" s="1">
        <v>574.0</v>
      </c>
      <c r="F579" s="2" t="str">
        <f t="shared" si="1"/>
        <v>INSERT INTO tblExamQuestionLink VALUES (seqExamQuestionLink.nextval, 12, 574);</v>
      </c>
    </row>
    <row r="580">
      <c r="A580" s="1">
        <v>575.0</v>
      </c>
      <c r="B580" s="1" t="s">
        <v>306</v>
      </c>
      <c r="C580" s="1">
        <v>12.0</v>
      </c>
      <c r="D580" s="1">
        <v>575.0</v>
      </c>
      <c r="F580" s="2" t="str">
        <f t="shared" si="1"/>
        <v>INSERT INTO tblExamQuestionLink VALUES (seqExamQuestionLink.nextval, 12, 575);</v>
      </c>
    </row>
    <row r="581">
      <c r="A581" s="1">
        <v>576.0</v>
      </c>
      <c r="B581" s="1" t="s">
        <v>306</v>
      </c>
      <c r="C581" s="1">
        <v>12.0</v>
      </c>
      <c r="D581" s="1">
        <v>576.0</v>
      </c>
      <c r="F581" s="2" t="str">
        <f t="shared" si="1"/>
        <v>INSERT INTO tblExamQuestionLink VALUES (seqExamQuestionLink.nextval, 12, 576);</v>
      </c>
    </row>
    <row r="582">
      <c r="A582" s="1">
        <v>577.0</v>
      </c>
      <c r="B582" s="1" t="s">
        <v>306</v>
      </c>
      <c r="C582" s="1">
        <v>12.0</v>
      </c>
      <c r="D582" s="1">
        <v>577.0</v>
      </c>
      <c r="F582" s="2" t="str">
        <f t="shared" si="1"/>
        <v>INSERT INTO tblExamQuestionLink VALUES (seqExamQuestionLink.nextval, 12, 577);</v>
      </c>
    </row>
    <row r="583">
      <c r="A583" s="1">
        <v>578.0</v>
      </c>
      <c r="B583" s="1" t="s">
        <v>306</v>
      </c>
      <c r="C583" s="1">
        <v>12.0</v>
      </c>
      <c r="D583" s="1">
        <v>578.0</v>
      </c>
      <c r="F583" s="2" t="str">
        <f t="shared" si="1"/>
        <v>INSERT INTO tblExamQuestionLink VALUES (seqExamQuestionLink.nextval, 12, 578);</v>
      </c>
    </row>
    <row r="584">
      <c r="A584" s="1">
        <v>579.0</v>
      </c>
      <c r="B584" s="1" t="s">
        <v>306</v>
      </c>
      <c r="C584" s="1">
        <v>12.0</v>
      </c>
      <c r="D584" s="1">
        <v>579.0</v>
      </c>
      <c r="F584" s="2" t="str">
        <f t="shared" si="1"/>
        <v>INSERT INTO tblExamQuestionLink VALUES (seqExamQuestionLink.nextval, 12, 579);</v>
      </c>
    </row>
    <row r="585">
      <c r="A585" s="1">
        <v>580.0</v>
      </c>
      <c r="B585" s="1" t="s">
        <v>306</v>
      </c>
      <c r="C585" s="1">
        <v>12.0</v>
      </c>
      <c r="D585" s="1">
        <v>580.0</v>
      </c>
      <c r="F585" s="2" t="str">
        <f t="shared" si="1"/>
        <v>INSERT INTO tblExamQuestionLink VALUES (seqExamQuestionLink.nextval, 12, 580);</v>
      </c>
    </row>
    <row r="586">
      <c r="A586" s="1">
        <v>581.0</v>
      </c>
      <c r="B586" s="1" t="s">
        <v>306</v>
      </c>
      <c r="C586" s="1">
        <v>12.0</v>
      </c>
      <c r="D586" s="1">
        <v>581.0</v>
      </c>
      <c r="F586" s="2" t="str">
        <f t="shared" si="1"/>
        <v>INSERT INTO tblExamQuestionLink VALUES (seqExamQuestionLink.nextval, 12, 581);</v>
      </c>
    </row>
    <row r="587">
      <c r="A587" s="1">
        <v>582.0</v>
      </c>
      <c r="B587" s="1" t="s">
        <v>306</v>
      </c>
      <c r="C587" s="1">
        <v>12.0</v>
      </c>
      <c r="D587" s="1">
        <v>582.0</v>
      </c>
      <c r="F587" s="2" t="str">
        <f t="shared" si="1"/>
        <v>INSERT INTO tblExamQuestionLink VALUES (seqExamQuestionLink.nextval, 12, 582);</v>
      </c>
    </row>
    <row r="588">
      <c r="A588" s="1">
        <v>583.0</v>
      </c>
      <c r="B588" s="1" t="s">
        <v>306</v>
      </c>
      <c r="C588" s="1">
        <v>12.0</v>
      </c>
      <c r="D588" s="1">
        <v>583.0</v>
      </c>
      <c r="F588" s="2" t="str">
        <f t="shared" si="1"/>
        <v>INSERT INTO tblExamQuestionLink VALUES (seqExamQuestionLink.nextval, 12, 583);</v>
      </c>
    </row>
    <row r="589">
      <c r="A589" s="1">
        <v>584.0</v>
      </c>
      <c r="B589" s="1" t="s">
        <v>306</v>
      </c>
      <c r="C589" s="1">
        <v>12.0</v>
      </c>
      <c r="D589" s="1">
        <v>584.0</v>
      </c>
      <c r="F589" s="2" t="str">
        <f t="shared" si="1"/>
        <v>INSERT INTO tblExamQuestionLink VALUES (seqExamQuestionLink.nextval, 12, 584);</v>
      </c>
    </row>
    <row r="590">
      <c r="A590" s="1">
        <v>585.0</v>
      </c>
      <c r="B590" s="1" t="s">
        <v>306</v>
      </c>
      <c r="C590" s="1">
        <v>12.0</v>
      </c>
      <c r="D590" s="1">
        <v>585.0</v>
      </c>
      <c r="F590" s="2" t="str">
        <f t="shared" si="1"/>
        <v>INSERT INTO tblExamQuestionLink VALUES (seqExamQuestionLink.nextval, 12, 585);</v>
      </c>
    </row>
    <row r="591">
      <c r="A591" s="1">
        <v>586.0</v>
      </c>
      <c r="B591" s="1" t="s">
        <v>306</v>
      </c>
      <c r="C591" s="1">
        <v>12.0</v>
      </c>
      <c r="D591" s="1">
        <v>586.0</v>
      </c>
      <c r="F591" s="2" t="str">
        <f t="shared" si="1"/>
        <v>INSERT INTO tblExamQuestionLink VALUES (seqExamQuestionLink.nextval, 12, 586);</v>
      </c>
    </row>
    <row r="592">
      <c r="A592" s="1">
        <v>587.0</v>
      </c>
      <c r="B592" s="1" t="s">
        <v>306</v>
      </c>
      <c r="C592" s="1">
        <v>12.0</v>
      </c>
      <c r="D592" s="1">
        <v>587.0</v>
      </c>
      <c r="F592" s="2" t="str">
        <f t="shared" si="1"/>
        <v>INSERT INTO tblExamQuestionLink VALUES (seqExamQuestionLink.nextval, 12, 587);</v>
      </c>
    </row>
    <row r="593">
      <c r="A593" s="1">
        <v>588.0</v>
      </c>
      <c r="B593" s="1" t="s">
        <v>306</v>
      </c>
      <c r="C593" s="1">
        <v>12.0</v>
      </c>
      <c r="D593" s="1">
        <v>588.0</v>
      </c>
      <c r="F593" s="2" t="str">
        <f t="shared" si="1"/>
        <v>INSERT INTO tblExamQuestionLink VALUES (seqExamQuestionLink.nextval, 12, 588);</v>
      </c>
    </row>
    <row r="594">
      <c r="A594" s="1">
        <v>589.0</v>
      </c>
      <c r="B594" s="1" t="s">
        <v>306</v>
      </c>
      <c r="C594" s="1">
        <v>12.0</v>
      </c>
      <c r="D594" s="1">
        <v>589.0</v>
      </c>
      <c r="F594" s="2" t="str">
        <f t="shared" si="1"/>
        <v>INSERT INTO tblExamQuestionLink VALUES (seqExamQuestionLink.nextval, 12, 589);</v>
      </c>
    </row>
    <row r="595">
      <c r="A595" s="1">
        <v>590.0</v>
      </c>
      <c r="B595" s="1" t="s">
        <v>306</v>
      </c>
      <c r="C595" s="1">
        <v>12.0</v>
      </c>
      <c r="D595" s="1">
        <v>590.0</v>
      </c>
      <c r="F595" s="2" t="str">
        <f t="shared" si="1"/>
        <v>INSERT INTO tblExamQuestionLink VALUES (seqExamQuestionLink.nextval, 12, 590);</v>
      </c>
    </row>
    <row r="596">
      <c r="A596" s="1">
        <v>591.0</v>
      </c>
      <c r="B596" s="1" t="s">
        <v>306</v>
      </c>
      <c r="C596" s="1">
        <v>12.0</v>
      </c>
      <c r="D596" s="1">
        <v>591.0</v>
      </c>
      <c r="F596" s="2" t="str">
        <f t="shared" si="1"/>
        <v>INSERT INTO tblExamQuestionLink VALUES (seqExamQuestionLink.nextval, 12, 591);</v>
      </c>
    </row>
    <row r="597">
      <c r="A597" s="1">
        <v>592.0</v>
      </c>
      <c r="B597" s="1" t="s">
        <v>306</v>
      </c>
      <c r="C597" s="1">
        <v>12.0</v>
      </c>
      <c r="D597" s="1">
        <v>592.0</v>
      </c>
      <c r="F597" s="2" t="str">
        <f t="shared" si="1"/>
        <v>INSERT INTO tblExamQuestionLink VALUES (seqExamQuestionLink.nextval, 12, 592);</v>
      </c>
    </row>
    <row r="598">
      <c r="A598" s="1">
        <v>593.0</v>
      </c>
      <c r="B598" s="1" t="s">
        <v>306</v>
      </c>
      <c r="C598" s="1">
        <v>12.0</v>
      </c>
      <c r="D598" s="1">
        <v>593.0</v>
      </c>
      <c r="F598" s="2" t="str">
        <f t="shared" si="1"/>
        <v>INSERT INTO tblExamQuestionLink VALUES (seqExamQuestionLink.nextval, 12, 593);</v>
      </c>
    </row>
    <row r="599">
      <c r="A599" s="1">
        <v>594.0</v>
      </c>
      <c r="B599" s="1" t="s">
        <v>306</v>
      </c>
      <c r="C599" s="1">
        <v>12.0</v>
      </c>
      <c r="D599" s="1">
        <v>594.0</v>
      </c>
      <c r="F599" s="2" t="str">
        <f t="shared" si="1"/>
        <v>INSERT INTO tblExamQuestionLink VALUES (seqExamQuestionLink.nextval, 12, 594);</v>
      </c>
    </row>
    <row r="600">
      <c r="A600" s="1">
        <v>595.0</v>
      </c>
      <c r="B600" s="1" t="s">
        <v>306</v>
      </c>
      <c r="C600" s="1">
        <v>12.0</v>
      </c>
      <c r="D600" s="1">
        <v>595.0</v>
      </c>
      <c r="F600" s="2" t="str">
        <f t="shared" si="1"/>
        <v>INSERT INTO tblExamQuestionLink VALUES (seqExamQuestionLink.nextval, 12, 595);</v>
      </c>
    </row>
    <row r="601">
      <c r="A601" s="1">
        <v>596.0</v>
      </c>
      <c r="B601" s="1" t="s">
        <v>306</v>
      </c>
      <c r="C601" s="1">
        <v>12.0</v>
      </c>
      <c r="D601" s="1">
        <v>596.0</v>
      </c>
      <c r="F601" s="2" t="str">
        <f t="shared" si="1"/>
        <v>INSERT INTO tblExamQuestionLink VALUES (seqExamQuestionLink.nextval, 12, 596);</v>
      </c>
    </row>
    <row r="602">
      <c r="A602" s="1">
        <v>597.0</v>
      </c>
      <c r="B602" s="1" t="s">
        <v>306</v>
      </c>
      <c r="C602" s="1">
        <v>12.0</v>
      </c>
      <c r="D602" s="1">
        <v>597.0</v>
      </c>
      <c r="F602" s="2" t="str">
        <f t="shared" si="1"/>
        <v>INSERT INTO tblExamQuestionLink VALUES (seqExamQuestionLink.nextval, 12, 597);</v>
      </c>
    </row>
    <row r="603">
      <c r="A603" s="1">
        <v>598.0</v>
      </c>
      <c r="B603" s="1" t="s">
        <v>306</v>
      </c>
      <c r="C603" s="1">
        <v>12.0</v>
      </c>
      <c r="D603" s="1">
        <v>598.0</v>
      </c>
      <c r="F603" s="2" t="str">
        <f t="shared" si="1"/>
        <v>INSERT INTO tblExamQuestionLink VALUES (seqExamQuestionLink.nextval, 12, 598);</v>
      </c>
    </row>
    <row r="604">
      <c r="A604" s="1">
        <v>599.0</v>
      </c>
      <c r="B604" s="1" t="s">
        <v>306</v>
      </c>
      <c r="C604" s="1">
        <v>12.0</v>
      </c>
      <c r="D604" s="1">
        <v>599.0</v>
      </c>
      <c r="F604" s="2" t="str">
        <f t="shared" si="1"/>
        <v>INSERT INTO tblExamQuestionLink VALUES (seqExamQuestionLink.nextval, 12, 599);</v>
      </c>
    </row>
    <row r="605">
      <c r="A605" s="1">
        <v>600.0</v>
      </c>
      <c r="B605" s="1" t="s">
        <v>306</v>
      </c>
      <c r="C605" s="1">
        <v>12.0</v>
      </c>
      <c r="D605" s="1">
        <v>600.0</v>
      </c>
      <c r="F605" s="2" t="str">
        <f t="shared" si="1"/>
        <v>INSERT INTO tblExamQuestionLink VALUES (seqExamQuestionLink.nextval, 12, 600);</v>
      </c>
    </row>
    <row r="606">
      <c r="A606" s="1">
        <v>601.0</v>
      </c>
      <c r="B606" s="1" t="s">
        <v>306</v>
      </c>
      <c r="C606" s="1">
        <v>13.0</v>
      </c>
      <c r="D606" s="1">
        <v>601.0</v>
      </c>
      <c r="F606" s="2" t="str">
        <f t="shared" si="1"/>
        <v>INSERT INTO tblExamQuestionLink VALUES (seqExamQuestionLink.nextval, 13, 601);</v>
      </c>
    </row>
    <row r="607">
      <c r="A607" s="1">
        <v>602.0</v>
      </c>
      <c r="B607" s="1" t="s">
        <v>306</v>
      </c>
      <c r="C607" s="1">
        <v>13.0</v>
      </c>
      <c r="D607" s="1">
        <v>602.0</v>
      </c>
      <c r="F607" s="2" t="str">
        <f t="shared" si="1"/>
        <v>INSERT INTO tblExamQuestionLink VALUES (seqExamQuestionLink.nextval, 13, 602);</v>
      </c>
    </row>
    <row r="608">
      <c r="A608" s="1">
        <v>603.0</v>
      </c>
      <c r="B608" s="1" t="s">
        <v>306</v>
      </c>
      <c r="C608" s="1">
        <v>13.0</v>
      </c>
      <c r="D608" s="1">
        <v>603.0</v>
      </c>
      <c r="F608" s="2" t="str">
        <f t="shared" si="1"/>
        <v>INSERT INTO tblExamQuestionLink VALUES (seqExamQuestionLink.nextval, 13, 603);</v>
      </c>
    </row>
    <row r="609">
      <c r="A609" s="1">
        <v>604.0</v>
      </c>
      <c r="B609" s="1" t="s">
        <v>306</v>
      </c>
      <c r="C609" s="1">
        <v>13.0</v>
      </c>
      <c r="D609" s="1">
        <v>604.0</v>
      </c>
      <c r="F609" s="2" t="str">
        <f t="shared" si="1"/>
        <v>INSERT INTO tblExamQuestionLink VALUES (seqExamQuestionLink.nextval, 13, 604);</v>
      </c>
    </row>
    <row r="610">
      <c r="A610" s="1">
        <v>605.0</v>
      </c>
      <c r="B610" s="1" t="s">
        <v>306</v>
      </c>
      <c r="C610" s="1">
        <v>13.0</v>
      </c>
      <c r="D610" s="1">
        <v>605.0</v>
      </c>
      <c r="F610" s="2" t="str">
        <f t="shared" si="1"/>
        <v>INSERT INTO tblExamQuestionLink VALUES (seqExamQuestionLink.nextval, 13, 605);</v>
      </c>
    </row>
    <row r="611">
      <c r="A611" s="1">
        <v>606.0</v>
      </c>
      <c r="B611" s="1" t="s">
        <v>306</v>
      </c>
      <c r="C611" s="1">
        <v>13.0</v>
      </c>
      <c r="D611" s="1">
        <v>606.0</v>
      </c>
      <c r="F611" s="2" t="str">
        <f t="shared" si="1"/>
        <v>INSERT INTO tblExamQuestionLink VALUES (seqExamQuestionLink.nextval, 13, 606);</v>
      </c>
    </row>
    <row r="612">
      <c r="A612" s="1">
        <v>607.0</v>
      </c>
      <c r="B612" s="1" t="s">
        <v>306</v>
      </c>
      <c r="C612" s="1">
        <v>13.0</v>
      </c>
      <c r="D612" s="1">
        <v>607.0</v>
      </c>
      <c r="F612" s="2" t="str">
        <f t="shared" si="1"/>
        <v>INSERT INTO tblExamQuestionLink VALUES (seqExamQuestionLink.nextval, 13, 607);</v>
      </c>
    </row>
    <row r="613">
      <c r="A613" s="1">
        <v>608.0</v>
      </c>
      <c r="B613" s="1" t="s">
        <v>306</v>
      </c>
      <c r="C613" s="1">
        <v>13.0</v>
      </c>
      <c r="D613" s="1">
        <v>608.0</v>
      </c>
      <c r="F613" s="2" t="str">
        <f t="shared" si="1"/>
        <v>INSERT INTO tblExamQuestionLink VALUES (seqExamQuestionLink.nextval, 13, 608);</v>
      </c>
    </row>
    <row r="614">
      <c r="A614" s="1">
        <v>609.0</v>
      </c>
      <c r="B614" s="1" t="s">
        <v>306</v>
      </c>
      <c r="C614" s="1">
        <v>13.0</v>
      </c>
      <c r="D614" s="1">
        <v>609.0</v>
      </c>
      <c r="F614" s="2" t="str">
        <f t="shared" si="1"/>
        <v>INSERT INTO tblExamQuestionLink VALUES (seqExamQuestionLink.nextval, 13, 609);</v>
      </c>
    </row>
    <row r="615">
      <c r="A615" s="1">
        <v>610.0</v>
      </c>
      <c r="B615" s="1" t="s">
        <v>306</v>
      </c>
      <c r="C615" s="1">
        <v>13.0</v>
      </c>
      <c r="D615" s="1">
        <v>610.0</v>
      </c>
      <c r="F615" s="2" t="str">
        <f t="shared" si="1"/>
        <v>INSERT INTO tblExamQuestionLink VALUES (seqExamQuestionLink.nextval, 13, 610);</v>
      </c>
    </row>
    <row r="616">
      <c r="A616" s="1">
        <v>611.0</v>
      </c>
      <c r="B616" s="1" t="s">
        <v>306</v>
      </c>
      <c r="C616" s="1">
        <v>13.0</v>
      </c>
      <c r="D616" s="1">
        <v>611.0</v>
      </c>
      <c r="F616" s="2" t="str">
        <f t="shared" si="1"/>
        <v>INSERT INTO tblExamQuestionLink VALUES (seqExamQuestionLink.nextval, 13, 611);</v>
      </c>
    </row>
    <row r="617">
      <c r="A617" s="1">
        <v>612.0</v>
      </c>
      <c r="B617" s="1" t="s">
        <v>306</v>
      </c>
      <c r="C617" s="1">
        <v>13.0</v>
      </c>
      <c r="D617" s="1">
        <v>612.0</v>
      </c>
      <c r="F617" s="2" t="str">
        <f t="shared" si="1"/>
        <v>INSERT INTO tblExamQuestionLink VALUES (seqExamQuestionLink.nextval, 13, 612);</v>
      </c>
    </row>
    <row r="618">
      <c r="A618" s="1">
        <v>613.0</v>
      </c>
      <c r="B618" s="1" t="s">
        <v>306</v>
      </c>
      <c r="C618" s="1">
        <v>13.0</v>
      </c>
      <c r="D618" s="1">
        <v>613.0</v>
      </c>
      <c r="F618" s="2" t="str">
        <f t="shared" si="1"/>
        <v>INSERT INTO tblExamQuestionLink VALUES (seqExamQuestionLink.nextval, 13, 613);</v>
      </c>
    </row>
    <row r="619">
      <c r="A619" s="1">
        <v>614.0</v>
      </c>
      <c r="B619" s="1" t="s">
        <v>306</v>
      </c>
      <c r="C619" s="1">
        <v>13.0</v>
      </c>
      <c r="D619" s="1">
        <v>614.0</v>
      </c>
      <c r="F619" s="2" t="str">
        <f t="shared" si="1"/>
        <v>INSERT INTO tblExamQuestionLink VALUES (seqExamQuestionLink.nextval, 13, 614);</v>
      </c>
    </row>
    <row r="620">
      <c r="A620" s="1">
        <v>615.0</v>
      </c>
      <c r="B620" s="1" t="s">
        <v>306</v>
      </c>
      <c r="C620" s="1">
        <v>13.0</v>
      </c>
      <c r="D620" s="1">
        <v>615.0</v>
      </c>
      <c r="F620" s="2" t="str">
        <f t="shared" si="1"/>
        <v>INSERT INTO tblExamQuestionLink VALUES (seqExamQuestionLink.nextval, 13, 615);</v>
      </c>
    </row>
    <row r="621">
      <c r="A621" s="1">
        <v>616.0</v>
      </c>
      <c r="B621" s="1" t="s">
        <v>306</v>
      </c>
      <c r="C621" s="1">
        <v>13.0</v>
      </c>
      <c r="D621" s="1">
        <v>616.0</v>
      </c>
      <c r="F621" s="2" t="str">
        <f t="shared" si="1"/>
        <v>INSERT INTO tblExamQuestionLink VALUES (seqExamQuestionLink.nextval, 13, 616);</v>
      </c>
    </row>
    <row r="622">
      <c r="A622" s="1">
        <v>617.0</v>
      </c>
      <c r="B622" s="1" t="s">
        <v>306</v>
      </c>
      <c r="C622" s="1">
        <v>13.0</v>
      </c>
      <c r="D622" s="1">
        <v>617.0</v>
      </c>
      <c r="F622" s="2" t="str">
        <f t="shared" si="1"/>
        <v>INSERT INTO tblExamQuestionLink VALUES (seqExamQuestionLink.nextval, 13, 617);</v>
      </c>
    </row>
    <row r="623">
      <c r="A623" s="1">
        <v>618.0</v>
      </c>
      <c r="B623" s="1" t="s">
        <v>306</v>
      </c>
      <c r="C623" s="1">
        <v>13.0</v>
      </c>
      <c r="D623" s="1">
        <v>618.0</v>
      </c>
      <c r="F623" s="2" t="str">
        <f t="shared" si="1"/>
        <v>INSERT INTO tblExamQuestionLink VALUES (seqExamQuestionLink.nextval, 13, 618);</v>
      </c>
    </row>
    <row r="624">
      <c r="A624" s="1">
        <v>619.0</v>
      </c>
      <c r="B624" s="1" t="s">
        <v>306</v>
      </c>
      <c r="C624" s="1">
        <v>13.0</v>
      </c>
      <c r="D624" s="1">
        <v>619.0</v>
      </c>
      <c r="F624" s="2" t="str">
        <f t="shared" si="1"/>
        <v>INSERT INTO tblExamQuestionLink VALUES (seqExamQuestionLink.nextval, 13, 619);</v>
      </c>
    </row>
    <row r="625">
      <c r="A625" s="1">
        <v>620.0</v>
      </c>
      <c r="B625" s="1" t="s">
        <v>306</v>
      </c>
      <c r="C625" s="1">
        <v>13.0</v>
      </c>
      <c r="D625" s="1">
        <v>620.0</v>
      </c>
      <c r="F625" s="2" t="str">
        <f t="shared" si="1"/>
        <v>INSERT INTO tblExamQuestionLink VALUES (seqExamQuestionLink.nextval, 13, 620);</v>
      </c>
    </row>
    <row r="626">
      <c r="A626" s="1">
        <v>621.0</v>
      </c>
      <c r="B626" s="1" t="s">
        <v>306</v>
      </c>
      <c r="C626" s="1">
        <v>13.0</v>
      </c>
      <c r="D626" s="1">
        <v>621.0</v>
      </c>
      <c r="F626" s="2" t="str">
        <f t="shared" si="1"/>
        <v>INSERT INTO tblExamQuestionLink VALUES (seqExamQuestionLink.nextval, 13, 621);</v>
      </c>
    </row>
    <row r="627">
      <c r="A627" s="1">
        <v>622.0</v>
      </c>
      <c r="B627" s="1" t="s">
        <v>306</v>
      </c>
      <c r="C627" s="1">
        <v>13.0</v>
      </c>
      <c r="D627" s="1">
        <v>622.0</v>
      </c>
      <c r="F627" s="2" t="str">
        <f t="shared" si="1"/>
        <v>INSERT INTO tblExamQuestionLink VALUES (seqExamQuestionLink.nextval, 13, 622);</v>
      </c>
    </row>
    <row r="628">
      <c r="A628" s="1">
        <v>623.0</v>
      </c>
      <c r="B628" s="1" t="s">
        <v>306</v>
      </c>
      <c r="C628" s="1">
        <v>13.0</v>
      </c>
      <c r="D628" s="1">
        <v>623.0</v>
      </c>
      <c r="F628" s="2" t="str">
        <f t="shared" si="1"/>
        <v>INSERT INTO tblExamQuestionLink VALUES (seqExamQuestionLink.nextval, 13, 623);</v>
      </c>
    </row>
    <row r="629">
      <c r="A629" s="1">
        <v>624.0</v>
      </c>
      <c r="B629" s="1" t="s">
        <v>306</v>
      </c>
      <c r="C629" s="1">
        <v>13.0</v>
      </c>
      <c r="D629" s="1">
        <v>624.0</v>
      </c>
      <c r="F629" s="2" t="str">
        <f t="shared" si="1"/>
        <v>INSERT INTO tblExamQuestionLink VALUES (seqExamQuestionLink.nextval, 13, 624);</v>
      </c>
    </row>
    <row r="630">
      <c r="A630" s="1">
        <v>625.0</v>
      </c>
      <c r="B630" s="1" t="s">
        <v>306</v>
      </c>
      <c r="C630" s="1">
        <v>13.0</v>
      </c>
      <c r="D630" s="1">
        <v>625.0</v>
      </c>
      <c r="F630" s="2" t="str">
        <f t="shared" si="1"/>
        <v>INSERT INTO tblExamQuestionLink VALUES (seqExamQuestionLink.nextval, 13, 625);</v>
      </c>
    </row>
    <row r="631">
      <c r="A631" s="1">
        <v>626.0</v>
      </c>
      <c r="B631" s="1" t="s">
        <v>306</v>
      </c>
      <c r="C631" s="1">
        <v>13.0</v>
      </c>
      <c r="D631" s="1">
        <v>626.0</v>
      </c>
      <c r="F631" s="2" t="str">
        <f t="shared" si="1"/>
        <v>INSERT INTO tblExamQuestionLink VALUES (seqExamQuestionLink.nextval, 13, 626);</v>
      </c>
    </row>
    <row r="632">
      <c r="A632" s="1">
        <v>627.0</v>
      </c>
      <c r="B632" s="1" t="s">
        <v>306</v>
      </c>
      <c r="C632" s="1">
        <v>13.0</v>
      </c>
      <c r="D632" s="1">
        <v>627.0</v>
      </c>
      <c r="F632" s="2" t="str">
        <f t="shared" si="1"/>
        <v>INSERT INTO tblExamQuestionLink VALUES (seqExamQuestionLink.nextval, 13, 627);</v>
      </c>
    </row>
    <row r="633">
      <c r="A633" s="1">
        <v>628.0</v>
      </c>
      <c r="B633" s="1" t="s">
        <v>306</v>
      </c>
      <c r="C633" s="1">
        <v>13.0</v>
      </c>
      <c r="D633" s="1">
        <v>628.0</v>
      </c>
      <c r="F633" s="2" t="str">
        <f t="shared" si="1"/>
        <v>INSERT INTO tblExamQuestionLink VALUES (seqExamQuestionLink.nextval, 13, 628);</v>
      </c>
    </row>
    <row r="634">
      <c r="A634" s="1">
        <v>629.0</v>
      </c>
      <c r="B634" s="1" t="s">
        <v>306</v>
      </c>
      <c r="C634" s="1">
        <v>13.0</v>
      </c>
      <c r="D634" s="1">
        <v>629.0</v>
      </c>
      <c r="F634" s="2" t="str">
        <f t="shared" si="1"/>
        <v>INSERT INTO tblExamQuestionLink VALUES (seqExamQuestionLink.nextval, 13, 629);</v>
      </c>
    </row>
    <row r="635">
      <c r="A635" s="1">
        <v>630.0</v>
      </c>
      <c r="B635" s="1" t="s">
        <v>306</v>
      </c>
      <c r="C635" s="1">
        <v>13.0</v>
      </c>
      <c r="D635" s="1">
        <v>630.0</v>
      </c>
      <c r="F635" s="2" t="str">
        <f t="shared" si="1"/>
        <v>INSERT INTO tblExamQuestionLink VALUES (seqExamQuestionLink.nextval, 13, 630);</v>
      </c>
    </row>
    <row r="636">
      <c r="A636" s="1">
        <v>631.0</v>
      </c>
      <c r="B636" s="1" t="s">
        <v>306</v>
      </c>
      <c r="C636" s="1">
        <v>13.0</v>
      </c>
      <c r="D636" s="1">
        <v>631.0</v>
      </c>
      <c r="F636" s="2" t="str">
        <f t="shared" si="1"/>
        <v>INSERT INTO tblExamQuestionLink VALUES (seqExamQuestionLink.nextval, 13, 631);</v>
      </c>
    </row>
    <row r="637">
      <c r="A637" s="1">
        <v>632.0</v>
      </c>
      <c r="B637" s="1" t="s">
        <v>306</v>
      </c>
      <c r="C637" s="1">
        <v>13.0</v>
      </c>
      <c r="D637" s="1">
        <v>632.0</v>
      </c>
      <c r="F637" s="2" t="str">
        <f t="shared" si="1"/>
        <v>INSERT INTO tblExamQuestionLink VALUES (seqExamQuestionLink.nextval, 13, 632);</v>
      </c>
    </row>
    <row r="638">
      <c r="A638" s="1">
        <v>633.0</v>
      </c>
      <c r="B638" s="1" t="s">
        <v>306</v>
      </c>
      <c r="C638" s="1">
        <v>13.0</v>
      </c>
      <c r="D638" s="1">
        <v>633.0</v>
      </c>
      <c r="F638" s="2" t="str">
        <f t="shared" si="1"/>
        <v>INSERT INTO tblExamQuestionLink VALUES (seqExamQuestionLink.nextval, 13, 633);</v>
      </c>
    </row>
    <row r="639">
      <c r="A639" s="1">
        <v>634.0</v>
      </c>
      <c r="B639" s="1" t="s">
        <v>306</v>
      </c>
      <c r="C639" s="1">
        <v>13.0</v>
      </c>
      <c r="D639" s="1">
        <v>634.0</v>
      </c>
      <c r="F639" s="2" t="str">
        <f t="shared" si="1"/>
        <v>INSERT INTO tblExamQuestionLink VALUES (seqExamQuestionLink.nextval, 13, 634);</v>
      </c>
    </row>
    <row r="640">
      <c r="A640" s="1">
        <v>635.0</v>
      </c>
      <c r="B640" s="1" t="s">
        <v>306</v>
      </c>
      <c r="C640" s="1">
        <v>13.0</v>
      </c>
      <c r="D640" s="1">
        <v>635.0</v>
      </c>
      <c r="F640" s="2" t="str">
        <f t="shared" si="1"/>
        <v>INSERT INTO tblExamQuestionLink VALUES (seqExamQuestionLink.nextval, 13, 635);</v>
      </c>
    </row>
    <row r="641">
      <c r="A641" s="1">
        <v>636.0</v>
      </c>
      <c r="B641" s="1" t="s">
        <v>306</v>
      </c>
      <c r="C641" s="1">
        <v>13.0</v>
      </c>
      <c r="D641" s="1">
        <v>636.0</v>
      </c>
      <c r="F641" s="2" t="str">
        <f t="shared" si="1"/>
        <v>INSERT INTO tblExamQuestionLink VALUES (seqExamQuestionLink.nextval, 13, 636);</v>
      </c>
    </row>
    <row r="642">
      <c r="A642" s="1">
        <v>637.0</v>
      </c>
      <c r="B642" s="1" t="s">
        <v>306</v>
      </c>
      <c r="C642" s="1">
        <v>13.0</v>
      </c>
      <c r="D642" s="1">
        <v>637.0</v>
      </c>
      <c r="F642" s="2" t="str">
        <f t="shared" si="1"/>
        <v>INSERT INTO tblExamQuestionLink VALUES (seqExamQuestionLink.nextval, 13, 637);</v>
      </c>
    </row>
    <row r="643">
      <c r="A643" s="1">
        <v>638.0</v>
      </c>
      <c r="B643" s="1" t="s">
        <v>306</v>
      </c>
      <c r="C643" s="1">
        <v>13.0</v>
      </c>
      <c r="D643" s="1">
        <v>638.0</v>
      </c>
      <c r="F643" s="2" t="str">
        <f t="shared" si="1"/>
        <v>INSERT INTO tblExamQuestionLink VALUES (seqExamQuestionLink.nextval, 13, 638);</v>
      </c>
    </row>
    <row r="644">
      <c r="A644" s="1">
        <v>639.0</v>
      </c>
      <c r="B644" s="1" t="s">
        <v>306</v>
      </c>
      <c r="C644" s="1">
        <v>13.0</v>
      </c>
      <c r="D644" s="1">
        <v>639.0</v>
      </c>
      <c r="F644" s="2" t="str">
        <f t="shared" si="1"/>
        <v>INSERT INTO tblExamQuestionLink VALUES (seqExamQuestionLink.nextval, 13, 639);</v>
      </c>
    </row>
    <row r="645">
      <c r="A645" s="1">
        <v>640.0</v>
      </c>
      <c r="B645" s="1" t="s">
        <v>306</v>
      </c>
      <c r="C645" s="1">
        <v>13.0</v>
      </c>
      <c r="D645" s="1">
        <v>640.0</v>
      </c>
      <c r="F645" s="2" t="str">
        <f t="shared" si="1"/>
        <v>INSERT INTO tblExamQuestionLink VALUES (seqExamQuestionLink.nextval, 13, 640);</v>
      </c>
    </row>
    <row r="646">
      <c r="A646" s="1">
        <v>641.0</v>
      </c>
      <c r="B646" s="1" t="s">
        <v>306</v>
      </c>
      <c r="C646" s="1">
        <v>13.0</v>
      </c>
      <c r="D646" s="1">
        <v>641.0</v>
      </c>
      <c r="F646" s="2" t="str">
        <f t="shared" si="1"/>
        <v>INSERT INTO tblExamQuestionLink VALUES (seqExamQuestionLink.nextval, 13, 641);</v>
      </c>
    </row>
    <row r="647">
      <c r="A647" s="1">
        <v>642.0</v>
      </c>
      <c r="B647" s="1" t="s">
        <v>306</v>
      </c>
      <c r="C647" s="1">
        <v>13.0</v>
      </c>
      <c r="D647" s="1">
        <v>642.0</v>
      </c>
      <c r="F647" s="2" t="str">
        <f t="shared" si="1"/>
        <v>INSERT INTO tblExamQuestionLink VALUES (seqExamQuestionLink.nextval, 13, 642);</v>
      </c>
    </row>
    <row r="648">
      <c r="A648" s="1">
        <v>643.0</v>
      </c>
      <c r="B648" s="1" t="s">
        <v>306</v>
      </c>
      <c r="C648" s="1">
        <v>13.0</v>
      </c>
      <c r="D648" s="1">
        <v>643.0</v>
      </c>
      <c r="F648" s="2" t="str">
        <f t="shared" si="1"/>
        <v>INSERT INTO tblExamQuestionLink VALUES (seqExamQuestionLink.nextval, 13, 643);</v>
      </c>
    </row>
    <row r="649">
      <c r="A649" s="1">
        <v>644.0</v>
      </c>
      <c r="B649" s="1" t="s">
        <v>306</v>
      </c>
      <c r="C649" s="1">
        <v>13.0</v>
      </c>
      <c r="D649" s="1">
        <v>644.0</v>
      </c>
      <c r="F649" s="2" t="str">
        <f t="shared" si="1"/>
        <v>INSERT INTO tblExamQuestionLink VALUES (seqExamQuestionLink.nextval, 13, 644);</v>
      </c>
    </row>
    <row r="650">
      <c r="A650" s="1">
        <v>645.0</v>
      </c>
      <c r="B650" s="1" t="s">
        <v>306</v>
      </c>
      <c r="C650" s="1">
        <v>13.0</v>
      </c>
      <c r="D650" s="1">
        <v>645.0</v>
      </c>
      <c r="F650" s="2" t="str">
        <f t="shared" si="1"/>
        <v>INSERT INTO tblExamQuestionLink VALUES (seqExamQuestionLink.nextval, 13, 645);</v>
      </c>
    </row>
    <row r="651">
      <c r="A651" s="1">
        <v>646.0</v>
      </c>
      <c r="B651" s="1" t="s">
        <v>306</v>
      </c>
      <c r="C651" s="1">
        <v>13.0</v>
      </c>
      <c r="D651" s="1">
        <v>646.0</v>
      </c>
      <c r="F651" s="2" t="str">
        <f t="shared" si="1"/>
        <v>INSERT INTO tblExamQuestionLink VALUES (seqExamQuestionLink.nextval, 13, 646);</v>
      </c>
    </row>
    <row r="652">
      <c r="A652" s="1">
        <v>647.0</v>
      </c>
      <c r="B652" s="1" t="s">
        <v>306</v>
      </c>
      <c r="C652" s="1">
        <v>13.0</v>
      </c>
      <c r="D652" s="1">
        <v>647.0</v>
      </c>
      <c r="F652" s="2" t="str">
        <f t="shared" si="1"/>
        <v>INSERT INTO tblExamQuestionLink VALUES (seqExamQuestionLink.nextval, 13, 647);</v>
      </c>
    </row>
    <row r="653">
      <c r="A653" s="1">
        <v>648.0</v>
      </c>
      <c r="B653" s="1" t="s">
        <v>306</v>
      </c>
      <c r="C653" s="1">
        <v>13.0</v>
      </c>
      <c r="D653" s="1">
        <v>648.0</v>
      </c>
      <c r="F653" s="2" t="str">
        <f t="shared" si="1"/>
        <v>INSERT INTO tblExamQuestionLink VALUES (seqExamQuestionLink.nextval, 13, 648);</v>
      </c>
    </row>
    <row r="654">
      <c r="A654" s="1">
        <v>649.0</v>
      </c>
      <c r="B654" s="1" t="s">
        <v>306</v>
      </c>
      <c r="C654" s="1">
        <v>13.0</v>
      </c>
      <c r="D654" s="1">
        <v>649.0</v>
      </c>
      <c r="F654" s="2" t="str">
        <f t="shared" si="1"/>
        <v>INSERT INTO tblExamQuestionLink VALUES (seqExamQuestionLink.nextval, 13, 649);</v>
      </c>
    </row>
    <row r="655">
      <c r="A655" s="1">
        <v>650.0</v>
      </c>
      <c r="B655" s="1" t="s">
        <v>306</v>
      </c>
      <c r="C655" s="1">
        <v>13.0</v>
      </c>
      <c r="D655" s="1">
        <v>650.0</v>
      </c>
      <c r="F655" s="2" t="str">
        <f t="shared" si="1"/>
        <v>INSERT INTO tblExamQuestionLink VALUES (seqExamQuestionLink.nextval, 13, 650);</v>
      </c>
    </row>
    <row r="656">
      <c r="A656" s="1">
        <v>651.0</v>
      </c>
      <c r="B656" s="1" t="s">
        <v>306</v>
      </c>
      <c r="C656" s="1">
        <v>14.0</v>
      </c>
      <c r="D656" s="1">
        <v>651.0</v>
      </c>
      <c r="F656" s="2" t="str">
        <f t="shared" si="1"/>
        <v>INSERT INTO tblExamQuestionLink VALUES (seqExamQuestionLink.nextval, 14, 651);</v>
      </c>
    </row>
    <row r="657">
      <c r="A657" s="1">
        <v>652.0</v>
      </c>
      <c r="B657" s="1" t="s">
        <v>306</v>
      </c>
      <c r="C657" s="1">
        <v>14.0</v>
      </c>
      <c r="D657" s="1">
        <v>652.0</v>
      </c>
      <c r="F657" s="2" t="str">
        <f t="shared" si="1"/>
        <v>INSERT INTO tblExamQuestionLink VALUES (seqExamQuestionLink.nextval, 14, 652);</v>
      </c>
    </row>
    <row r="658">
      <c r="A658" s="1">
        <v>653.0</v>
      </c>
      <c r="B658" s="1" t="s">
        <v>306</v>
      </c>
      <c r="C658" s="1">
        <v>14.0</v>
      </c>
      <c r="D658" s="1">
        <v>653.0</v>
      </c>
      <c r="F658" s="2" t="str">
        <f t="shared" si="1"/>
        <v>INSERT INTO tblExamQuestionLink VALUES (seqExamQuestionLink.nextval, 14, 653);</v>
      </c>
    </row>
    <row r="659">
      <c r="A659" s="1">
        <v>654.0</v>
      </c>
      <c r="B659" s="1" t="s">
        <v>306</v>
      </c>
      <c r="C659" s="1">
        <v>14.0</v>
      </c>
      <c r="D659" s="1">
        <v>654.0</v>
      </c>
      <c r="F659" s="2" t="str">
        <f t="shared" si="1"/>
        <v>INSERT INTO tblExamQuestionLink VALUES (seqExamQuestionLink.nextval, 14, 654);</v>
      </c>
    </row>
    <row r="660">
      <c r="A660" s="1">
        <v>655.0</v>
      </c>
      <c r="B660" s="1" t="s">
        <v>306</v>
      </c>
      <c r="C660" s="1">
        <v>14.0</v>
      </c>
      <c r="D660" s="1">
        <v>655.0</v>
      </c>
      <c r="F660" s="2" t="str">
        <f t="shared" si="1"/>
        <v>INSERT INTO tblExamQuestionLink VALUES (seqExamQuestionLink.nextval, 14, 655);</v>
      </c>
    </row>
    <row r="661">
      <c r="A661" s="1">
        <v>656.0</v>
      </c>
      <c r="B661" s="1" t="s">
        <v>306</v>
      </c>
      <c r="C661" s="1">
        <v>14.0</v>
      </c>
      <c r="D661" s="1">
        <v>656.0</v>
      </c>
      <c r="F661" s="2" t="str">
        <f t="shared" si="1"/>
        <v>INSERT INTO tblExamQuestionLink VALUES (seqExamQuestionLink.nextval, 14, 656);</v>
      </c>
    </row>
    <row r="662">
      <c r="A662" s="1">
        <v>657.0</v>
      </c>
      <c r="B662" s="1" t="s">
        <v>306</v>
      </c>
      <c r="C662" s="1">
        <v>14.0</v>
      </c>
      <c r="D662" s="1">
        <v>657.0</v>
      </c>
      <c r="F662" s="2" t="str">
        <f t="shared" si="1"/>
        <v>INSERT INTO tblExamQuestionLink VALUES (seqExamQuestionLink.nextval, 14, 657);</v>
      </c>
    </row>
    <row r="663">
      <c r="A663" s="1">
        <v>658.0</v>
      </c>
      <c r="B663" s="1" t="s">
        <v>306</v>
      </c>
      <c r="C663" s="1">
        <v>14.0</v>
      </c>
      <c r="D663" s="1">
        <v>658.0</v>
      </c>
      <c r="F663" s="2" t="str">
        <f t="shared" si="1"/>
        <v>INSERT INTO tblExamQuestionLink VALUES (seqExamQuestionLink.nextval, 14, 658);</v>
      </c>
    </row>
    <row r="664">
      <c r="A664" s="1">
        <v>659.0</v>
      </c>
      <c r="B664" s="1" t="s">
        <v>306</v>
      </c>
      <c r="C664" s="1">
        <v>14.0</v>
      </c>
      <c r="D664" s="1">
        <v>659.0</v>
      </c>
      <c r="F664" s="2" t="str">
        <f t="shared" si="1"/>
        <v>INSERT INTO tblExamQuestionLink VALUES (seqExamQuestionLink.nextval, 14, 659);</v>
      </c>
    </row>
    <row r="665">
      <c r="A665" s="1">
        <v>660.0</v>
      </c>
      <c r="B665" s="1" t="s">
        <v>306</v>
      </c>
      <c r="C665" s="1">
        <v>14.0</v>
      </c>
      <c r="D665" s="1">
        <v>660.0</v>
      </c>
      <c r="F665" s="2" t="str">
        <f t="shared" si="1"/>
        <v>INSERT INTO tblExamQuestionLink VALUES (seqExamQuestionLink.nextval, 14, 660);</v>
      </c>
    </row>
    <row r="666">
      <c r="A666" s="1">
        <v>661.0</v>
      </c>
      <c r="B666" s="1" t="s">
        <v>306</v>
      </c>
      <c r="C666" s="1">
        <v>14.0</v>
      </c>
      <c r="D666" s="1">
        <v>661.0</v>
      </c>
      <c r="F666" s="2" t="str">
        <f t="shared" si="1"/>
        <v>INSERT INTO tblExamQuestionLink VALUES (seqExamQuestionLink.nextval, 14, 661);</v>
      </c>
    </row>
    <row r="667">
      <c r="A667" s="1">
        <v>662.0</v>
      </c>
      <c r="B667" s="1" t="s">
        <v>306</v>
      </c>
      <c r="C667" s="1">
        <v>14.0</v>
      </c>
      <c r="D667" s="1">
        <v>662.0</v>
      </c>
      <c r="F667" s="2" t="str">
        <f t="shared" si="1"/>
        <v>INSERT INTO tblExamQuestionLink VALUES (seqExamQuestionLink.nextval, 14, 662);</v>
      </c>
    </row>
    <row r="668">
      <c r="A668" s="1">
        <v>663.0</v>
      </c>
      <c r="B668" s="1" t="s">
        <v>306</v>
      </c>
      <c r="C668" s="1">
        <v>14.0</v>
      </c>
      <c r="D668" s="1">
        <v>663.0</v>
      </c>
      <c r="F668" s="2" t="str">
        <f t="shared" si="1"/>
        <v>INSERT INTO tblExamQuestionLink VALUES (seqExamQuestionLink.nextval, 14, 663);</v>
      </c>
    </row>
    <row r="669">
      <c r="A669" s="1">
        <v>664.0</v>
      </c>
      <c r="B669" s="1" t="s">
        <v>306</v>
      </c>
      <c r="C669" s="1">
        <v>14.0</v>
      </c>
      <c r="D669" s="1">
        <v>664.0</v>
      </c>
      <c r="F669" s="2" t="str">
        <f t="shared" si="1"/>
        <v>INSERT INTO tblExamQuestionLink VALUES (seqExamQuestionLink.nextval, 14, 664);</v>
      </c>
    </row>
    <row r="670">
      <c r="A670" s="1">
        <v>665.0</v>
      </c>
      <c r="B670" s="1" t="s">
        <v>306</v>
      </c>
      <c r="C670" s="1">
        <v>14.0</v>
      </c>
      <c r="D670" s="1">
        <v>665.0</v>
      </c>
      <c r="F670" s="2" t="str">
        <f t="shared" si="1"/>
        <v>INSERT INTO tblExamQuestionLink VALUES (seqExamQuestionLink.nextval, 14, 665);</v>
      </c>
    </row>
    <row r="671">
      <c r="A671" s="1">
        <v>666.0</v>
      </c>
      <c r="B671" s="1" t="s">
        <v>306</v>
      </c>
      <c r="C671" s="1">
        <v>14.0</v>
      </c>
      <c r="D671" s="1">
        <v>666.0</v>
      </c>
      <c r="F671" s="2" t="str">
        <f t="shared" si="1"/>
        <v>INSERT INTO tblExamQuestionLink VALUES (seqExamQuestionLink.nextval, 14, 666);</v>
      </c>
    </row>
    <row r="672">
      <c r="A672" s="1">
        <v>667.0</v>
      </c>
      <c r="B672" s="1" t="s">
        <v>306</v>
      </c>
      <c r="C672" s="1">
        <v>14.0</v>
      </c>
      <c r="D672" s="1">
        <v>667.0</v>
      </c>
      <c r="F672" s="2" t="str">
        <f t="shared" si="1"/>
        <v>INSERT INTO tblExamQuestionLink VALUES (seqExamQuestionLink.nextval, 14, 667);</v>
      </c>
    </row>
    <row r="673">
      <c r="A673" s="1">
        <v>668.0</v>
      </c>
      <c r="B673" s="1" t="s">
        <v>306</v>
      </c>
      <c r="C673" s="1">
        <v>14.0</v>
      </c>
      <c r="D673" s="1">
        <v>668.0</v>
      </c>
      <c r="F673" s="2" t="str">
        <f t="shared" si="1"/>
        <v>INSERT INTO tblExamQuestionLink VALUES (seqExamQuestionLink.nextval, 14, 668);</v>
      </c>
    </row>
    <row r="674">
      <c r="A674" s="1">
        <v>669.0</v>
      </c>
      <c r="B674" s="1" t="s">
        <v>306</v>
      </c>
      <c r="C674" s="1">
        <v>14.0</v>
      </c>
      <c r="D674" s="1">
        <v>669.0</v>
      </c>
      <c r="F674" s="2" t="str">
        <f t="shared" si="1"/>
        <v>INSERT INTO tblExamQuestionLink VALUES (seqExamQuestionLink.nextval, 14, 669);</v>
      </c>
    </row>
    <row r="675">
      <c r="A675" s="1">
        <v>670.0</v>
      </c>
      <c r="B675" s="1" t="s">
        <v>306</v>
      </c>
      <c r="C675" s="1">
        <v>14.0</v>
      </c>
      <c r="D675" s="1">
        <v>670.0</v>
      </c>
      <c r="F675" s="2" t="str">
        <f t="shared" si="1"/>
        <v>INSERT INTO tblExamQuestionLink VALUES (seqExamQuestionLink.nextval, 14, 670);</v>
      </c>
    </row>
    <row r="676">
      <c r="A676" s="1">
        <v>671.0</v>
      </c>
      <c r="B676" s="1" t="s">
        <v>306</v>
      </c>
      <c r="C676" s="1">
        <v>14.0</v>
      </c>
      <c r="D676" s="1">
        <v>671.0</v>
      </c>
      <c r="F676" s="2" t="str">
        <f t="shared" si="1"/>
        <v>INSERT INTO tblExamQuestionLink VALUES (seqExamQuestionLink.nextval, 14, 671);</v>
      </c>
    </row>
    <row r="677">
      <c r="A677" s="1">
        <v>672.0</v>
      </c>
      <c r="B677" s="1" t="s">
        <v>306</v>
      </c>
      <c r="C677" s="1">
        <v>14.0</v>
      </c>
      <c r="D677" s="1">
        <v>672.0</v>
      </c>
      <c r="F677" s="2" t="str">
        <f t="shared" si="1"/>
        <v>INSERT INTO tblExamQuestionLink VALUES (seqExamQuestionLink.nextval, 14, 672);</v>
      </c>
    </row>
    <row r="678">
      <c r="A678" s="1">
        <v>673.0</v>
      </c>
      <c r="B678" s="1" t="s">
        <v>306</v>
      </c>
      <c r="C678" s="1">
        <v>14.0</v>
      </c>
      <c r="D678" s="1">
        <v>673.0</v>
      </c>
      <c r="F678" s="2" t="str">
        <f t="shared" si="1"/>
        <v>INSERT INTO tblExamQuestionLink VALUES (seqExamQuestionLink.nextval, 14, 673);</v>
      </c>
    </row>
    <row r="679">
      <c r="A679" s="1">
        <v>674.0</v>
      </c>
      <c r="B679" s="1" t="s">
        <v>306</v>
      </c>
      <c r="C679" s="1">
        <v>14.0</v>
      </c>
      <c r="D679" s="1">
        <v>674.0</v>
      </c>
      <c r="F679" s="2" t="str">
        <f t="shared" si="1"/>
        <v>INSERT INTO tblExamQuestionLink VALUES (seqExamQuestionLink.nextval, 14, 674);</v>
      </c>
    </row>
    <row r="680">
      <c r="A680" s="1">
        <v>675.0</v>
      </c>
      <c r="B680" s="1" t="s">
        <v>306</v>
      </c>
      <c r="C680" s="1">
        <v>14.0</v>
      </c>
      <c r="D680" s="1">
        <v>675.0</v>
      </c>
      <c r="F680" s="2" t="str">
        <f t="shared" si="1"/>
        <v>INSERT INTO tblExamQuestionLink VALUES (seqExamQuestionLink.nextval, 14, 675);</v>
      </c>
    </row>
    <row r="681">
      <c r="A681" s="1">
        <v>676.0</v>
      </c>
      <c r="B681" s="1" t="s">
        <v>306</v>
      </c>
      <c r="C681" s="1">
        <v>14.0</v>
      </c>
      <c r="D681" s="1">
        <v>676.0</v>
      </c>
      <c r="F681" s="2" t="str">
        <f t="shared" si="1"/>
        <v>INSERT INTO tblExamQuestionLink VALUES (seqExamQuestionLink.nextval, 14, 676);</v>
      </c>
    </row>
    <row r="682">
      <c r="A682" s="1">
        <v>677.0</v>
      </c>
      <c r="B682" s="1" t="s">
        <v>306</v>
      </c>
      <c r="C682" s="1">
        <v>14.0</v>
      </c>
      <c r="D682" s="1">
        <v>677.0</v>
      </c>
      <c r="F682" s="2" t="str">
        <f t="shared" si="1"/>
        <v>INSERT INTO tblExamQuestionLink VALUES (seqExamQuestionLink.nextval, 14, 677);</v>
      </c>
    </row>
    <row r="683">
      <c r="A683" s="1">
        <v>678.0</v>
      </c>
      <c r="B683" s="1" t="s">
        <v>306</v>
      </c>
      <c r="C683" s="1">
        <v>14.0</v>
      </c>
      <c r="D683" s="1">
        <v>678.0</v>
      </c>
      <c r="F683" s="2" t="str">
        <f t="shared" si="1"/>
        <v>INSERT INTO tblExamQuestionLink VALUES (seqExamQuestionLink.nextval, 14, 678);</v>
      </c>
    </row>
    <row r="684">
      <c r="A684" s="1">
        <v>679.0</v>
      </c>
      <c r="B684" s="1" t="s">
        <v>306</v>
      </c>
      <c r="C684" s="1">
        <v>14.0</v>
      </c>
      <c r="D684" s="1">
        <v>679.0</v>
      </c>
      <c r="F684" s="2" t="str">
        <f t="shared" si="1"/>
        <v>INSERT INTO tblExamQuestionLink VALUES (seqExamQuestionLink.nextval, 14, 679);</v>
      </c>
    </row>
    <row r="685">
      <c r="A685" s="1">
        <v>680.0</v>
      </c>
      <c r="B685" s="1" t="s">
        <v>306</v>
      </c>
      <c r="C685" s="1">
        <v>14.0</v>
      </c>
      <c r="D685" s="1">
        <v>680.0</v>
      </c>
      <c r="F685" s="2" t="str">
        <f t="shared" si="1"/>
        <v>INSERT INTO tblExamQuestionLink VALUES (seqExamQuestionLink.nextval, 14, 680);</v>
      </c>
    </row>
    <row r="686">
      <c r="A686" s="1">
        <v>681.0</v>
      </c>
      <c r="B686" s="1" t="s">
        <v>306</v>
      </c>
      <c r="C686" s="1">
        <v>14.0</v>
      </c>
      <c r="D686" s="1">
        <v>681.0</v>
      </c>
      <c r="F686" s="2" t="str">
        <f t="shared" si="1"/>
        <v>INSERT INTO tblExamQuestionLink VALUES (seqExamQuestionLink.nextval, 14, 681);</v>
      </c>
    </row>
    <row r="687">
      <c r="A687" s="1">
        <v>682.0</v>
      </c>
      <c r="B687" s="1" t="s">
        <v>306</v>
      </c>
      <c r="C687" s="1">
        <v>14.0</v>
      </c>
      <c r="D687" s="1">
        <v>682.0</v>
      </c>
      <c r="F687" s="2" t="str">
        <f t="shared" si="1"/>
        <v>INSERT INTO tblExamQuestionLink VALUES (seqExamQuestionLink.nextval, 14, 682);</v>
      </c>
    </row>
    <row r="688">
      <c r="A688" s="1">
        <v>683.0</v>
      </c>
      <c r="B688" s="1" t="s">
        <v>306</v>
      </c>
      <c r="C688" s="1">
        <v>14.0</v>
      </c>
      <c r="D688" s="1">
        <v>683.0</v>
      </c>
      <c r="F688" s="2" t="str">
        <f t="shared" si="1"/>
        <v>INSERT INTO tblExamQuestionLink VALUES (seqExamQuestionLink.nextval, 14, 683);</v>
      </c>
    </row>
    <row r="689">
      <c r="A689" s="1">
        <v>684.0</v>
      </c>
      <c r="B689" s="1" t="s">
        <v>306</v>
      </c>
      <c r="C689" s="1">
        <v>14.0</v>
      </c>
      <c r="D689" s="1">
        <v>684.0</v>
      </c>
      <c r="F689" s="2" t="str">
        <f t="shared" si="1"/>
        <v>INSERT INTO tblExamQuestionLink VALUES (seqExamQuestionLink.nextval, 14, 684);</v>
      </c>
    </row>
    <row r="690">
      <c r="A690" s="1">
        <v>685.0</v>
      </c>
      <c r="B690" s="1" t="s">
        <v>306</v>
      </c>
      <c r="C690" s="1">
        <v>14.0</v>
      </c>
      <c r="D690" s="1">
        <v>685.0</v>
      </c>
      <c r="F690" s="2" t="str">
        <f t="shared" si="1"/>
        <v>INSERT INTO tblExamQuestionLink VALUES (seqExamQuestionLink.nextval, 14, 685);</v>
      </c>
    </row>
    <row r="691">
      <c r="A691" s="1">
        <v>686.0</v>
      </c>
      <c r="B691" s="1" t="s">
        <v>306</v>
      </c>
      <c r="C691" s="1">
        <v>14.0</v>
      </c>
      <c r="D691" s="1">
        <v>686.0</v>
      </c>
      <c r="F691" s="2" t="str">
        <f t="shared" si="1"/>
        <v>INSERT INTO tblExamQuestionLink VALUES (seqExamQuestionLink.nextval, 14, 686);</v>
      </c>
    </row>
    <row r="692">
      <c r="A692" s="1">
        <v>687.0</v>
      </c>
      <c r="B692" s="1" t="s">
        <v>306</v>
      </c>
      <c r="C692" s="1">
        <v>14.0</v>
      </c>
      <c r="D692" s="1">
        <v>687.0</v>
      </c>
      <c r="F692" s="2" t="str">
        <f t="shared" si="1"/>
        <v>INSERT INTO tblExamQuestionLink VALUES (seqExamQuestionLink.nextval, 14, 687);</v>
      </c>
    </row>
    <row r="693">
      <c r="A693" s="1">
        <v>688.0</v>
      </c>
      <c r="B693" s="1" t="s">
        <v>306</v>
      </c>
      <c r="C693" s="1">
        <v>14.0</v>
      </c>
      <c r="D693" s="1">
        <v>688.0</v>
      </c>
      <c r="F693" s="2" t="str">
        <f t="shared" si="1"/>
        <v>INSERT INTO tblExamQuestionLink VALUES (seqExamQuestionLink.nextval, 14, 688);</v>
      </c>
    </row>
    <row r="694">
      <c r="A694" s="1">
        <v>689.0</v>
      </c>
      <c r="B694" s="1" t="s">
        <v>306</v>
      </c>
      <c r="C694" s="1">
        <v>14.0</v>
      </c>
      <c r="D694" s="1">
        <v>689.0</v>
      </c>
      <c r="F694" s="2" t="str">
        <f t="shared" si="1"/>
        <v>INSERT INTO tblExamQuestionLink VALUES (seqExamQuestionLink.nextval, 14, 689);</v>
      </c>
    </row>
    <row r="695">
      <c r="A695" s="1">
        <v>690.0</v>
      </c>
      <c r="B695" s="1" t="s">
        <v>306</v>
      </c>
      <c r="C695" s="1">
        <v>14.0</v>
      </c>
      <c r="D695" s="1">
        <v>690.0</v>
      </c>
      <c r="F695" s="2" t="str">
        <f t="shared" si="1"/>
        <v>INSERT INTO tblExamQuestionLink VALUES (seqExamQuestionLink.nextval, 14, 690);</v>
      </c>
    </row>
    <row r="696">
      <c r="A696" s="1">
        <v>691.0</v>
      </c>
      <c r="B696" s="1" t="s">
        <v>306</v>
      </c>
      <c r="C696" s="1">
        <v>14.0</v>
      </c>
      <c r="D696" s="1">
        <v>691.0</v>
      </c>
      <c r="F696" s="2" t="str">
        <f t="shared" si="1"/>
        <v>INSERT INTO tblExamQuestionLink VALUES (seqExamQuestionLink.nextval, 14, 691);</v>
      </c>
    </row>
    <row r="697">
      <c r="A697" s="1">
        <v>692.0</v>
      </c>
      <c r="B697" s="1" t="s">
        <v>306</v>
      </c>
      <c r="C697" s="1">
        <v>14.0</v>
      </c>
      <c r="D697" s="1">
        <v>692.0</v>
      </c>
      <c r="F697" s="2" t="str">
        <f t="shared" si="1"/>
        <v>INSERT INTO tblExamQuestionLink VALUES (seqExamQuestionLink.nextval, 14, 692);</v>
      </c>
    </row>
    <row r="698">
      <c r="A698" s="1">
        <v>693.0</v>
      </c>
      <c r="B698" s="1" t="s">
        <v>306</v>
      </c>
      <c r="C698" s="1">
        <v>14.0</v>
      </c>
      <c r="D698" s="1">
        <v>693.0</v>
      </c>
      <c r="F698" s="2" t="str">
        <f t="shared" si="1"/>
        <v>INSERT INTO tblExamQuestionLink VALUES (seqExamQuestionLink.nextval, 14, 693);</v>
      </c>
    </row>
    <row r="699">
      <c r="A699" s="1">
        <v>694.0</v>
      </c>
      <c r="B699" s="1" t="s">
        <v>306</v>
      </c>
      <c r="C699" s="1">
        <v>14.0</v>
      </c>
      <c r="D699" s="1">
        <v>694.0</v>
      </c>
      <c r="F699" s="2" t="str">
        <f t="shared" si="1"/>
        <v>INSERT INTO tblExamQuestionLink VALUES (seqExamQuestionLink.nextval, 14, 694);</v>
      </c>
    </row>
    <row r="700">
      <c r="A700" s="1">
        <v>695.0</v>
      </c>
      <c r="B700" s="1" t="s">
        <v>306</v>
      </c>
      <c r="C700" s="1">
        <v>14.0</v>
      </c>
      <c r="D700" s="1">
        <v>695.0</v>
      </c>
      <c r="F700" s="2" t="str">
        <f t="shared" si="1"/>
        <v>INSERT INTO tblExamQuestionLink VALUES (seqExamQuestionLink.nextval, 14, 695);</v>
      </c>
    </row>
    <row r="701">
      <c r="A701" s="1">
        <v>696.0</v>
      </c>
      <c r="B701" s="1" t="s">
        <v>306</v>
      </c>
      <c r="C701" s="1">
        <v>14.0</v>
      </c>
      <c r="D701" s="1">
        <v>696.0</v>
      </c>
      <c r="F701" s="2" t="str">
        <f t="shared" si="1"/>
        <v>INSERT INTO tblExamQuestionLink VALUES (seqExamQuestionLink.nextval, 14, 696);</v>
      </c>
    </row>
    <row r="702">
      <c r="A702" s="1">
        <v>697.0</v>
      </c>
      <c r="B702" s="1" t="s">
        <v>306</v>
      </c>
      <c r="C702" s="1">
        <v>14.0</v>
      </c>
      <c r="D702" s="1">
        <v>697.0</v>
      </c>
      <c r="F702" s="2" t="str">
        <f t="shared" si="1"/>
        <v>INSERT INTO tblExamQuestionLink VALUES (seqExamQuestionLink.nextval, 14, 697);</v>
      </c>
    </row>
    <row r="703">
      <c r="A703" s="1">
        <v>698.0</v>
      </c>
      <c r="B703" s="1" t="s">
        <v>306</v>
      </c>
      <c r="C703" s="1">
        <v>14.0</v>
      </c>
      <c r="D703" s="1">
        <v>698.0</v>
      </c>
      <c r="F703" s="2" t="str">
        <f t="shared" si="1"/>
        <v>INSERT INTO tblExamQuestionLink VALUES (seqExamQuestionLink.nextval, 14, 698);</v>
      </c>
    </row>
    <row r="704">
      <c r="A704" s="1">
        <v>699.0</v>
      </c>
      <c r="B704" s="1" t="s">
        <v>306</v>
      </c>
      <c r="C704" s="1">
        <v>14.0</v>
      </c>
      <c r="D704" s="1">
        <v>699.0</v>
      </c>
      <c r="F704" s="2" t="str">
        <f t="shared" si="1"/>
        <v>INSERT INTO tblExamQuestionLink VALUES (seqExamQuestionLink.nextval, 14, 699);</v>
      </c>
    </row>
    <row r="705">
      <c r="A705" s="1">
        <v>700.0</v>
      </c>
      <c r="B705" s="1" t="s">
        <v>306</v>
      </c>
      <c r="C705" s="1">
        <v>14.0</v>
      </c>
      <c r="D705" s="1">
        <v>700.0</v>
      </c>
      <c r="F705" s="2" t="str">
        <f t="shared" si="1"/>
        <v>INSERT INTO tblExamQuestionLink VALUES (seqExamQuestionLink.nextval, 14, 700);</v>
      </c>
    </row>
    <row r="706">
      <c r="A706" s="1">
        <v>701.0</v>
      </c>
      <c r="B706" s="1" t="s">
        <v>306</v>
      </c>
      <c r="C706" s="1">
        <v>15.0</v>
      </c>
      <c r="D706" s="1">
        <v>701.0</v>
      </c>
      <c r="F706" s="2" t="str">
        <f t="shared" si="1"/>
        <v>INSERT INTO tblExamQuestionLink VALUES (seqExamQuestionLink.nextval, 15, 701);</v>
      </c>
    </row>
    <row r="707">
      <c r="A707" s="1">
        <v>702.0</v>
      </c>
      <c r="B707" s="1" t="s">
        <v>306</v>
      </c>
      <c r="C707" s="1">
        <v>15.0</v>
      </c>
      <c r="D707" s="1">
        <v>702.0</v>
      </c>
      <c r="F707" s="2" t="str">
        <f t="shared" si="1"/>
        <v>INSERT INTO tblExamQuestionLink VALUES (seqExamQuestionLink.nextval, 15, 702);</v>
      </c>
    </row>
    <row r="708">
      <c r="A708" s="1">
        <v>703.0</v>
      </c>
      <c r="B708" s="1" t="s">
        <v>306</v>
      </c>
      <c r="C708" s="1">
        <v>15.0</v>
      </c>
      <c r="D708" s="1">
        <v>703.0</v>
      </c>
      <c r="F708" s="2" t="str">
        <f t="shared" si="1"/>
        <v>INSERT INTO tblExamQuestionLink VALUES (seqExamQuestionLink.nextval, 15, 703);</v>
      </c>
    </row>
    <row r="709">
      <c r="A709" s="1">
        <v>704.0</v>
      </c>
      <c r="B709" s="1" t="s">
        <v>306</v>
      </c>
      <c r="C709" s="1">
        <v>15.0</v>
      </c>
      <c r="D709" s="1">
        <v>704.0</v>
      </c>
      <c r="F709" s="2" t="str">
        <f t="shared" si="1"/>
        <v>INSERT INTO tblExamQuestionLink VALUES (seqExamQuestionLink.nextval, 15, 704);</v>
      </c>
    </row>
    <row r="710">
      <c r="A710" s="1">
        <v>705.0</v>
      </c>
      <c r="B710" s="1" t="s">
        <v>306</v>
      </c>
      <c r="C710" s="1">
        <v>15.0</v>
      </c>
      <c r="D710" s="1">
        <v>705.0</v>
      </c>
      <c r="F710" s="2" t="str">
        <f t="shared" si="1"/>
        <v>INSERT INTO tblExamQuestionLink VALUES (seqExamQuestionLink.nextval, 15, 705);</v>
      </c>
    </row>
    <row r="711">
      <c r="A711" s="1">
        <v>706.0</v>
      </c>
      <c r="B711" s="1" t="s">
        <v>306</v>
      </c>
      <c r="C711" s="1">
        <v>15.0</v>
      </c>
      <c r="D711" s="1">
        <v>706.0</v>
      </c>
      <c r="F711" s="2" t="str">
        <f t="shared" si="1"/>
        <v>INSERT INTO tblExamQuestionLink VALUES (seqExamQuestionLink.nextval, 15, 706);</v>
      </c>
    </row>
    <row r="712">
      <c r="A712" s="1">
        <v>707.0</v>
      </c>
      <c r="B712" s="1" t="s">
        <v>306</v>
      </c>
      <c r="C712" s="1">
        <v>15.0</v>
      </c>
      <c r="D712" s="1">
        <v>707.0</v>
      </c>
      <c r="F712" s="2" t="str">
        <f t="shared" si="1"/>
        <v>INSERT INTO tblExamQuestionLink VALUES (seqExamQuestionLink.nextval, 15, 707);</v>
      </c>
    </row>
    <row r="713">
      <c r="A713" s="1">
        <v>708.0</v>
      </c>
      <c r="B713" s="1" t="s">
        <v>306</v>
      </c>
      <c r="C713" s="1">
        <v>15.0</v>
      </c>
      <c r="D713" s="1">
        <v>708.0</v>
      </c>
      <c r="F713" s="2" t="str">
        <f t="shared" si="1"/>
        <v>INSERT INTO tblExamQuestionLink VALUES (seqExamQuestionLink.nextval, 15, 708);</v>
      </c>
    </row>
    <row r="714">
      <c r="A714" s="1">
        <v>709.0</v>
      </c>
      <c r="B714" s="1" t="s">
        <v>306</v>
      </c>
      <c r="C714" s="1">
        <v>15.0</v>
      </c>
      <c r="D714" s="1">
        <v>709.0</v>
      </c>
      <c r="F714" s="2" t="str">
        <f t="shared" si="1"/>
        <v>INSERT INTO tblExamQuestionLink VALUES (seqExamQuestionLink.nextval, 15, 709);</v>
      </c>
    </row>
    <row r="715">
      <c r="A715" s="1">
        <v>710.0</v>
      </c>
      <c r="B715" s="1" t="s">
        <v>306</v>
      </c>
      <c r="C715" s="1">
        <v>15.0</v>
      </c>
      <c r="D715" s="1">
        <v>710.0</v>
      </c>
      <c r="F715" s="2" t="str">
        <f t="shared" si="1"/>
        <v>INSERT INTO tblExamQuestionLink VALUES (seqExamQuestionLink.nextval, 15, 710);</v>
      </c>
    </row>
    <row r="716">
      <c r="A716" s="1">
        <v>711.0</v>
      </c>
      <c r="B716" s="1" t="s">
        <v>306</v>
      </c>
      <c r="C716" s="1">
        <v>15.0</v>
      </c>
      <c r="D716" s="1">
        <v>711.0</v>
      </c>
      <c r="F716" s="2" t="str">
        <f t="shared" si="1"/>
        <v>INSERT INTO tblExamQuestionLink VALUES (seqExamQuestionLink.nextval, 15, 711);</v>
      </c>
    </row>
    <row r="717">
      <c r="A717" s="1">
        <v>712.0</v>
      </c>
      <c r="B717" s="1" t="s">
        <v>306</v>
      </c>
      <c r="C717" s="1">
        <v>15.0</v>
      </c>
      <c r="D717" s="1">
        <v>712.0</v>
      </c>
      <c r="F717" s="2" t="str">
        <f t="shared" si="1"/>
        <v>INSERT INTO tblExamQuestionLink VALUES (seqExamQuestionLink.nextval, 15, 712);</v>
      </c>
    </row>
    <row r="718">
      <c r="A718" s="1">
        <v>713.0</v>
      </c>
      <c r="B718" s="1" t="s">
        <v>306</v>
      </c>
      <c r="C718" s="1">
        <v>15.0</v>
      </c>
      <c r="D718" s="1">
        <v>713.0</v>
      </c>
      <c r="F718" s="2" t="str">
        <f t="shared" si="1"/>
        <v>INSERT INTO tblExamQuestionLink VALUES (seqExamQuestionLink.nextval, 15, 713);</v>
      </c>
    </row>
    <row r="719">
      <c r="A719" s="1">
        <v>714.0</v>
      </c>
      <c r="B719" s="1" t="s">
        <v>306</v>
      </c>
      <c r="C719" s="1">
        <v>15.0</v>
      </c>
      <c r="D719" s="1">
        <v>714.0</v>
      </c>
      <c r="F719" s="2" t="str">
        <f t="shared" si="1"/>
        <v>INSERT INTO tblExamQuestionLink VALUES (seqExamQuestionLink.nextval, 15, 714);</v>
      </c>
    </row>
    <row r="720">
      <c r="A720" s="1">
        <v>715.0</v>
      </c>
      <c r="B720" s="1" t="s">
        <v>306</v>
      </c>
      <c r="C720" s="1">
        <v>15.0</v>
      </c>
      <c r="D720" s="1">
        <v>715.0</v>
      </c>
      <c r="F720" s="2" t="str">
        <f t="shared" si="1"/>
        <v>INSERT INTO tblExamQuestionLink VALUES (seqExamQuestionLink.nextval, 15, 715);</v>
      </c>
    </row>
    <row r="721">
      <c r="A721" s="1">
        <v>716.0</v>
      </c>
      <c r="B721" s="1" t="s">
        <v>306</v>
      </c>
      <c r="C721" s="1">
        <v>15.0</v>
      </c>
      <c r="D721" s="1">
        <v>716.0</v>
      </c>
      <c r="F721" s="2" t="str">
        <f t="shared" si="1"/>
        <v>INSERT INTO tblExamQuestionLink VALUES (seqExamQuestionLink.nextval, 15, 716);</v>
      </c>
    </row>
    <row r="722">
      <c r="A722" s="1">
        <v>717.0</v>
      </c>
      <c r="B722" s="1" t="s">
        <v>306</v>
      </c>
      <c r="C722" s="1">
        <v>15.0</v>
      </c>
      <c r="D722" s="1">
        <v>717.0</v>
      </c>
      <c r="F722" s="2" t="str">
        <f t="shared" si="1"/>
        <v>INSERT INTO tblExamQuestionLink VALUES (seqExamQuestionLink.nextval, 15, 717);</v>
      </c>
    </row>
    <row r="723">
      <c r="A723" s="1">
        <v>718.0</v>
      </c>
      <c r="B723" s="1" t="s">
        <v>306</v>
      </c>
      <c r="C723" s="1">
        <v>15.0</v>
      </c>
      <c r="D723" s="1">
        <v>718.0</v>
      </c>
      <c r="F723" s="2" t="str">
        <f t="shared" si="1"/>
        <v>INSERT INTO tblExamQuestionLink VALUES (seqExamQuestionLink.nextval, 15, 718);</v>
      </c>
    </row>
    <row r="724">
      <c r="A724" s="1">
        <v>719.0</v>
      </c>
      <c r="B724" s="1" t="s">
        <v>306</v>
      </c>
      <c r="C724" s="1">
        <v>15.0</v>
      </c>
      <c r="D724" s="1">
        <v>719.0</v>
      </c>
      <c r="F724" s="2" t="str">
        <f t="shared" si="1"/>
        <v>INSERT INTO tblExamQuestionLink VALUES (seqExamQuestionLink.nextval, 15, 719);</v>
      </c>
    </row>
    <row r="725">
      <c r="A725" s="1">
        <v>720.0</v>
      </c>
      <c r="B725" s="1" t="s">
        <v>306</v>
      </c>
      <c r="C725" s="1">
        <v>15.0</v>
      </c>
      <c r="D725" s="1">
        <v>720.0</v>
      </c>
      <c r="F725" s="2" t="str">
        <f t="shared" si="1"/>
        <v>INSERT INTO tblExamQuestionLink VALUES (seqExamQuestionLink.nextval, 15, 720);</v>
      </c>
    </row>
    <row r="726">
      <c r="A726" s="1">
        <v>721.0</v>
      </c>
      <c r="B726" s="1" t="s">
        <v>306</v>
      </c>
      <c r="C726" s="1">
        <v>15.0</v>
      </c>
      <c r="D726" s="1">
        <v>721.0</v>
      </c>
      <c r="F726" s="2" t="str">
        <f t="shared" si="1"/>
        <v>INSERT INTO tblExamQuestionLink VALUES (seqExamQuestionLink.nextval, 15, 721);</v>
      </c>
    </row>
    <row r="727">
      <c r="A727" s="1">
        <v>722.0</v>
      </c>
      <c r="B727" s="1" t="s">
        <v>306</v>
      </c>
      <c r="C727" s="1">
        <v>15.0</v>
      </c>
      <c r="D727" s="1">
        <v>722.0</v>
      </c>
      <c r="F727" s="2" t="str">
        <f t="shared" si="1"/>
        <v>INSERT INTO tblExamQuestionLink VALUES (seqExamQuestionLink.nextval, 15, 722);</v>
      </c>
    </row>
    <row r="728">
      <c r="A728" s="1">
        <v>723.0</v>
      </c>
      <c r="B728" s="1" t="s">
        <v>306</v>
      </c>
      <c r="C728" s="1">
        <v>15.0</v>
      </c>
      <c r="D728" s="1">
        <v>723.0</v>
      </c>
      <c r="F728" s="2" t="str">
        <f t="shared" si="1"/>
        <v>INSERT INTO tblExamQuestionLink VALUES (seqExamQuestionLink.nextval, 15, 723);</v>
      </c>
    </row>
    <row r="729">
      <c r="A729" s="1">
        <v>724.0</v>
      </c>
      <c r="B729" s="1" t="s">
        <v>306</v>
      </c>
      <c r="C729" s="1">
        <v>15.0</v>
      </c>
      <c r="D729" s="1">
        <v>724.0</v>
      </c>
      <c r="F729" s="2" t="str">
        <f t="shared" si="1"/>
        <v>INSERT INTO tblExamQuestionLink VALUES (seqExamQuestionLink.nextval, 15, 724);</v>
      </c>
    </row>
    <row r="730">
      <c r="A730" s="1">
        <v>725.0</v>
      </c>
      <c r="B730" s="1" t="s">
        <v>306</v>
      </c>
      <c r="C730" s="1">
        <v>15.0</v>
      </c>
      <c r="D730" s="1">
        <v>725.0</v>
      </c>
      <c r="F730" s="2" t="str">
        <f t="shared" si="1"/>
        <v>INSERT INTO tblExamQuestionLink VALUES (seqExamQuestionLink.nextval, 15, 725);</v>
      </c>
    </row>
    <row r="731">
      <c r="A731" s="1">
        <v>726.0</v>
      </c>
      <c r="B731" s="1" t="s">
        <v>306</v>
      </c>
      <c r="C731" s="1">
        <v>15.0</v>
      </c>
      <c r="D731" s="1">
        <v>726.0</v>
      </c>
      <c r="F731" s="2" t="str">
        <f t="shared" si="1"/>
        <v>INSERT INTO tblExamQuestionLink VALUES (seqExamQuestionLink.nextval, 15, 726);</v>
      </c>
    </row>
    <row r="732">
      <c r="A732" s="1">
        <v>727.0</v>
      </c>
      <c r="B732" s="1" t="s">
        <v>306</v>
      </c>
      <c r="C732" s="1">
        <v>15.0</v>
      </c>
      <c r="D732" s="1">
        <v>727.0</v>
      </c>
      <c r="F732" s="2" t="str">
        <f t="shared" si="1"/>
        <v>INSERT INTO tblExamQuestionLink VALUES (seqExamQuestionLink.nextval, 15, 727);</v>
      </c>
    </row>
    <row r="733">
      <c r="A733" s="1">
        <v>728.0</v>
      </c>
      <c r="B733" s="1" t="s">
        <v>306</v>
      </c>
      <c r="C733" s="1">
        <v>15.0</v>
      </c>
      <c r="D733" s="1">
        <v>728.0</v>
      </c>
      <c r="F733" s="2" t="str">
        <f t="shared" si="1"/>
        <v>INSERT INTO tblExamQuestionLink VALUES (seqExamQuestionLink.nextval, 15, 728);</v>
      </c>
    </row>
    <row r="734">
      <c r="A734" s="1">
        <v>729.0</v>
      </c>
      <c r="B734" s="1" t="s">
        <v>306</v>
      </c>
      <c r="C734" s="1">
        <v>15.0</v>
      </c>
      <c r="D734" s="1">
        <v>729.0</v>
      </c>
      <c r="F734" s="2" t="str">
        <f t="shared" si="1"/>
        <v>INSERT INTO tblExamQuestionLink VALUES (seqExamQuestionLink.nextval, 15, 729);</v>
      </c>
    </row>
    <row r="735">
      <c r="A735" s="1">
        <v>730.0</v>
      </c>
      <c r="B735" s="1" t="s">
        <v>306</v>
      </c>
      <c r="C735" s="1">
        <v>15.0</v>
      </c>
      <c r="D735" s="1">
        <v>730.0</v>
      </c>
      <c r="F735" s="2" t="str">
        <f t="shared" si="1"/>
        <v>INSERT INTO tblExamQuestionLink VALUES (seqExamQuestionLink.nextval, 15, 730);</v>
      </c>
    </row>
    <row r="736">
      <c r="A736" s="1">
        <v>731.0</v>
      </c>
      <c r="B736" s="1" t="s">
        <v>306</v>
      </c>
      <c r="C736" s="1">
        <v>15.0</v>
      </c>
      <c r="D736" s="1">
        <v>731.0</v>
      </c>
      <c r="F736" s="2" t="str">
        <f t="shared" si="1"/>
        <v>INSERT INTO tblExamQuestionLink VALUES (seqExamQuestionLink.nextval, 15, 731);</v>
      </c>
    </row>
    <row r="737">
      <c r="A737" s="1">
        <v>732.0</v>
      </c>
      <c r="B737" s="1" t="s">
        <v>306</v>
      </c>
      <c r="C737" s="1">
        <v>15.0</v>
      </c>
      <c r="D737" s="1">
        <v>732.0</v>
      </c>
      <c r="F737" s="2" t="str">
        <f t="shared" si="1"/>
        <v>INSERT INTO tblExamQuestionLink VALUES (seqExamQuestionLink.nextval, 15, 732);</v>
      </c>
    </row>
    <row r="738">
      <c r="A738" s="1">
        <v>733.0</v>
      </c>
      <c r="B738" s="1" t="s">
        <v>306</v>
      </c>
      <c r="C738" s="1">
        <v>15.0</v>
      </c>
      <c r="D738" s="1">
        <v>733.0</v>
      </c>
      <c r="F738" s="2" t="str">
        <f t="shared" si="1"/>
        <v>INSERT INTO tblExamQuestionLink VALUES (seqExamQuestionLink.nextval, 15, 733);</v>
      </c>
    </row>
    <row r="739">
      <c r="A739" s="1">
        <v>734.0</v>
      </c>
      <c r="B739" s="1" t="s">
        <v>306</v>
      </c>
      <c r="C739" s="1">
        <v>15.0</v>
      </c>
      <c r="D739" s="1">
        <v>734.0</v>
      </c>
      <c r="F739" s="2" t="str">
        <f t="shared" si="1"/>
        <v>INSERT INTO tblExamQuestionLink VALUES (seqExamQuestionLink.nextval, 15, 734);</v>
      </c>
    </row>
    <row r="740">
      <c r="A740" s="1">
        <v>735.0</v>
      </c>
      <c r="B740" s="1" t="s">
        <v>306</v>
      </c>
      <c r="C740" s="1">
        <v>15.0</v>
      </c>
      <c r="D740" s="1">
        <v>735.0</v>
      </c>
      <c r="F740" s="2" t="str">
        <f t="shared" si="1"/>
        <v>INSERT INTO tblExamQuestionLink VALUES (seqExamQuestionLink.nextval, 15, 735);</v>
      </c>
    </row>
    <row r="741">
      <c r="A741" s="1">
        <v>736.0</v>
      </c>
      <c r="B741" s="1" t="s">
        <v>306</v>
      </c>
      <c r="C741" s="1">
        <v>15.0</v>
      </c>
      <c r="D741" s="1">
        <v>736.0</v>
      </c>
      <c r="F741" s="2" t="str">
        <f t="shared" si="1"/>
        <v>INSERT INTO tblExamQuestionLink VALUES (seqExamQuestionLink.nextval, 15, 736);</v>
      </c>
    </row>
    <row r="742">
      <c r="A742" s="1">
        <v>737.0</v>
      </c>
      <c r="B742" s="1" t="s">
        <v>306</v>
      </c>
      <c r="C742" s="1">
        <v>15.0</v>
      </c>
      <c r="D742" s="1">
        <v>737.0</v>
      </c>
      <c r="F742" s="2" t="str">
        <f t="shared" si="1"/>
        <v>INSERT INTO tblExamQuestionLink VALUES (seqExamQuestionLink.nextval, 15, 737);</v>
      </c>
    </row>
    <row r="743">
      <c r="A743" s="1">
        <v>738.0</v>
      </c>
      <c r="B743" s="1" t="s">
        <v>306</v>
      </c>
      <c r="C743" s="1">
        <v>15.0</v>
      </c>
      <c r="D743" s="1">
        <v>738.0</v>
      </c>
      <c r="F743" s="2" t="str">
        <f t="shared" si="1"/>
        <v>INSERT INTO tblExamQuestionLink VALUES (seqExamQuestionLink.nextval, 15, 738);</v>
      </c>
    </row>
    <row r="744">
      <c r="A744" s="1">
        <v>739.0</v>
      </c>
      <c r="B744" s="1" t="s">
        <v>306</v>
      </c>
      <c r="C744" s="1">
        <v>15.0</v>
      </c>
      <c r="D744" s="1">
        <v>739.0</v>
      </c>
      <c r="F744" s="2" t="str">
        <f t="shared" si="1"/>
        <v>INSERT INTO tblExamQuestionLink VALUES (seqExamQuestionLink.nextval, 15, 739);</v>
      </c>
    </row>
    <row r="745">
      <c r="A745" s="1">
        <v>740.0</v>
      </c>
      <c r="B745" s="1" t="s">
        <v>306</v>
      </c>
      <c r="C745" s="1">
        <v>15.0</v>
      </c>
      <c r="D745" s="1">
        <v>740.0</v>
      </c>
      <c r="F745" s="2" t="str">
        <f t="shared" si="1"/>
        <v>INSERT INTO tblExamQuestionLink VALUES (seqExamQuestionLink.nextval, 15, 740);</v>
      </c>
    </row>
    <row r="746">
      <c r="A746" s="1">
        <v>741.0</v>
      </c>
      <c r="B746" s="1" t="s">
        <v>306</v>
      </c>
      <c r="C746" s="1">
        <v>15.0</v>
      </c>
      <c r="D746" s="1">
        <v>741.0</v>
      </c>
      <c r="F746" s="2" t="str">
        <f t="shared" si="1"/>
        <v>INSERT INTO tblExamQuestionLink VALUES (seqExamQuestionLink.nextval, 15, 741);</v>
      </c>
    </row>
    <row r="747">
      <c r="A747" s="1">
        <v>742.0</v>
      </c>
      <c r="B747" s="1" t="s">
        <v>306</v>
      </c>
      <c r="C747" s="1">
        <v>15.0</v>
      </c>
      <c r="D747" s="1">
        <v>742.0</v>
      </c>
      <c r="F747" s="2" t="str">
        <f t="shared" si="1"/>
        <v>INSERT INTO tblExamQuestionLink VALUES (seqExamQuestionLink.nextval, 15, 742);</v>
      </c>
    </row>
    <row r="748">
      <c r="A748" s="1">
        <v>743.0</v>
      </c>
      <c r="B748" s="1" t="s">
        <v>306</v>
      </c>
      <c r="C748" s="1">
        <v>15.0</v>
      </c>
      <c r="D748" s="1">
        <v>743.0</v>
      </c>
      <c r="F748" s="2" t="str">
        <f t="shared" si="1"/>
        <v>INSERT INTO tblExamQuestionLink VALUES (seqExamQuestionLink.nextval, 15, 743);</v>
      </c>
    </row>
    <row r="749">
      <c r="A749" s="1">
        <v>744.0</v>
      </c>
      <c r="B749" s="1" t="s">
        <v>306</v>
      </c>
      <c r="C749" s="1">
        <v>15.0</v>
      </c>
      <c r="D749" s="1">
        <v>744.0</v>
      </c>
      <c r="F749" s="2" t="str">
        <f t="shared" si="1"/>
        <v>INSERT INTO tblExamQuestionLink VALUES (seqExamQuestionLink.nextval, 15, 744);</v>
      </c>
    </row>
    <row r="750">
      <c r="A750" s="1">
        <v>745.0</v>
      </c>
      <c r="B750" s="1" t="s">
        <v>306</v>
      </c>
      <c r="C750" s="1">
        <v>15.0</v>
      </c>
      <c r="D750" s="1">
        <v>745.0</v>
      </c>
      <c r="F750" s="2" t="str">
        <f t="shared" si="1"/>
        <v>INSERT INTO tblExamQuestionLink VALUES (seqExamQuestionLink.nextval, 15, 745);</v>
      </c>
    </row>
    <row r="751">
      <c r="A751" s="1">
        <v>746.0</v>
      </c>
      <c r="B751" s="1" t="s">
        <v>306</v>
      </c>
      <c r="C751" s="1">
        <v>15.0</v>
      </c>
      <c r="D751" s="1">
        <v>746.0</v>
      </c>
      <c r="F751" s="2" t="str">
        <f t="shared" si="1"/>
        <v>INSERT INTO tblExamQuestionLink VALUES (seqExamQuestionLink.nextval, 15, 746);</v>
      </c>
    </row>
    <row r="752">
      <c r="A752" s="1">
        <v>747.0</v>
      </c>
      <c r="B752" s="1" t="s">
        <v>306</v>
      </c>
      <c r="C752" s="1">
        <v>15.0</v>
      </c>
      <c r="D752" s="1">
        <v>747.0</v>
      </c>
      <c r="F752" s="2" t="str">
        <f t="shared" si="1"/>
        <v>INSERT INTO tblExamQuestionLink VALUES (seqExamQuestionLink.nextval, 15, 747);</v>
      </c>
    </row>
    <row r="753">
      <c r="A753" s="1">
        <v>748.0</v>
      </c>
      <c r="B753" s="1" t="s">
        <v>306</v>
      </c>
      <c r="C753" s="1">
        <v>15.0</v>
      </c>
      <c r="D753" s="1">
        <v>748.0</v>
      </c>
      <c r="F753" s="2" t="str">
        <f t="shared" si="1"/>
        <v>INSERT INTO tblExamQuestionLink VALUES (seqExamQuestionLink.nextval, 15, 748);</v>
      </c>
    </row>
    <row r="754">
      <c r="A754" s="1">
        <v>749.0</v>
      </c>
      <c r="B754" s="1" t="s">
        <v>306</v>
      </c>
      <c r="C754" s="1">
        <v>15.0</v>
      </c>
      <c r="D754" s="1">
        <v>749.0</v>
      </c>
      <c r="F754" s="2" t="str">
        <f t="shared" si="1"/>
        <v>INSERT INTO tblExamQuestionLink VALUES (seqExamQuestionLink.nextval, 15, 749);</v>
      </c>
    </row>
    <row r="755">
      <c r="A755" s="1">
        <v>750.0</v>
      </c>
      <c r="B755" s="1" t="s">
        <v>306</v>
      </c>
      <c r="C755" s="1">
        <v>15.0</v>
      </c>
      <c r="D755" s="1">
        <v>750.0</v>
      </c>
      <c r="F755" s="2" t="str">
        <f t="shared" si="1"/>
        <v>INSERT INTO tblExamQuestionLink VALUES (seqExamQuestionLink.nextval, 15, 750);</v>
      </c>
    </row>
    <row r="756">
      <c r="A756" s="1">
        <v>751.0</v>
      </c>
      <c r="B756" s="1" t="s">
        <v>306</v>
      </c>
      <c r="C756" s="1">
        <v>16.0</v>
      </c>
      <c r="D756" s="1">
        <v>751.0</v>
      </c>
      <c r="F756" s="2" t="str">
        <f t="shared" si="1"/>
        <v>INSERT INTO tblExamQuestionLink VALUES (seqExamQuestionLink.nextval, 16, 751);</v>
      </c>
    </row>
    <row r="757">
      <c r="A757" s="1">
        <v>752.0</v>
      </c>
      <c r="B757" s="1" t="s">
        <v>306</v>
      </c>
      <c r="C757" s="1">
        <v>16.0</v>
      </c>
      <c r="D757" s="1">
        <v>752.0</v>
      </c>
      <c r="F757" s="2" t="str">
        <f t="shared" si="1"/>
        <v>INSERT INTO tblExamQuestionLink VALUES (seqExamQuestionLink.nextval, 16, 752);</v>
      </c>
    </row>
    <row r="758">
      <c r="A758" s="1">
        <v>753.0</v>
      </c>
      <c r="B758" s="1" t="s">
        <v>306</v>
      </c>
      <c r="C758" s="1">
        <v>16.0</v>
      </c>
      <c r="D758" s="1">
        <v>753.0</v>
      </c>
      <c r="F758" s="2" t="str">
        <f t="shared" si="1"/>
        <v>INSERT INTO tblExamQuestionLink VALUES (seqExamQuestionLink.nextval, 16, 753);</v>
      </c>
    </row>
    <row r="759">
      <c r="A759" s="1">
        <v>754.0</v>
      </c>
      <c r="B759" s="1" t="s">
        <v>306</v>
      </c>
      <c r="C759" s="1">
        <v>16.0</v>
      </c>
      <c r="D759" s="1">
        <v>754.0</v>
      </c>
      <c r="F759" s="2" t="str">
        <f t="shared" si="1"/>
        <v>INSERT INTO tblExamQuestionLink VALUES (seqExamQuestionLink.nextval, 16, 754);</v>
      </c>
    </row>
    <row r="760">
      <c r="A760" s="1">
        <v>755.0</v>
      </c>
      <c r="B760" s="1" t="s">
        <v>306</v>
      </c>
      <c r="C760" s="1">
        <v>16.0</v>
      </c>
      <c r="D760" s="1">
        <v>755.0</v>
      </c>
      <c r="F760" s="2" t="str">
        <f t="shared" si="1"/>
        <v>INSERT INTO tblExamQuestionLink VALUES (seqExamQuestionLink.nextval, 16, 755);</v>
      </c>
    </row>
    <row r="761">
      <c r="A761" s="1">
        <v>756.0</v>
      </c>
      <c r="B761" s="1" t="s">
        <v>306</v>
      </c>
      <c r="C761" s="1">
        <v>16.0</v>
      </c>
      <c r="D761" s="1">
        <v>756.0</v>
      </c>
      <c r="F761" s="2" t="str">
        <f t="shared" si="1"/>
        <v>INSERT INTO tblExamQuestionLink VALUES (seqExamQuestionLink.nextval, 16, 756);</v>
      </c>
    </row>
    <row r="762">
      <c r="A762" s="1">
        <v>757.0</v>
      </c>
      <c r="B762" s="1" t="s">
        <v>306</v>
      </c>
      <c r="C762" s="1">
        <v>16.0</v>
      </c>
      <c r="D762" s="1">
        <v>757.0</v>
      </c>
      <c r="F762" s="2" t="str">
        <f t="shared" si="1"/>
        <v>INSERT INTO tblExamQuestionLink VALUES (seqExamQuestionLink.nextval, 16, 757);</v>
      </c>
    </row>
    <row r="763">
      <c r="A763" s="1">
        <v>758.0</v>
      </c>
      <c r="B763" s="1" t="s">
        <v>306</v>
      </c>
      <c r="C763" s="1">
        <v>16.0</v>
      </c>
      <c r="D763" s="1">
        <v>758.0</v>
      </c>
      <c r="F763" s="2" t="str">
        <f t="shared" si="1"/>
        <v>INSERT INTO tblExamQuestionLink VALUES (seqExamQuestionLink.nextval, 16, 758);</v>
      </c>
    </row>
    <row r="764">
      <c r="A764" s="1">
        <v>759.0</v>
      </c>
      <c r="B764" s="1" t="s">
        <v>306</v>
      </c>
      <c r="C764" s="1">
        <v>16.0</v>
      </c>
      <c r="D764" s="1">
        <v>759.0</v>
      </c>
      <c r="F764" s="2" t="str">
        <f t="shared" si="1"/>
        <v>INSERT INTO tblExamQuestionLink VALUES (seqExamQuestionLink.nextval, 16, 759);</v>
      </c>
    </row>
    <row r="765">
      <c r="A765" s="1">
        <v>760.0</v>
      </c>
      <c r="B765" s="1" t="s">
        <v>306</v>
      </c>
      <c r="C765" s="1">
        <v>16.0</v>
      </c>
      <c r="D765" s="1">
        <v>760.0</v>
      </c>
      <c r="F765" s="2" t="str">
        <f t="shared" si="1"/>
        <v>INSERT INTO tblExamQuestionLink VALUES (seqExamQuestionLink.nextval, 16, 760);</v>
      </c>
    </row>
    <row r="766">
      <c r="A766" s="1">
        <v>761.0</v>
      </c>
      <c r="B766" s="1" t="s">
        <v>306</v>
      </c>
      <c r="C766" s="1">
        <v>16.0</v>
      </c>
      <c r="D766" s="1">
        <v>761.0</v>
      </c>
      <c r="F766" s="2" t="str">
        <f t="shared" si="1"/>
        <v>INSERT INTO tblExamQuestionLink VALUES (seqExamQuestionLink.nextval, 16, 761);</v>
      </c>
    </row>
    <row r="767">
      <c r="A767" s="1">
        <v>762.0</v>
      </c>
      <c r="B767" s="1" t="s">
        <v>306</v>
      </c>
      <c r="C767" s="1">
        <v>16.0</v>
      </c>
      <c r="D767" s="1">
        <v>762.0</v>
      </c>
      <c r="F767" s="2" t="str">
        <f t="shared" si="1"/>
        <v>INSERT INTO tblExamQuestionLink VALUES (seqExamQuestionLink.nextval, 16, 762);</v>
      </c>
    </row>
    <row r="768">
      <c r="A768" s="1">
        <v>763.0</v>
      </c>
      <c r="B768" s="1" t="s">
        <v>306</v>
      </c>
      <c r="C768" s="1">
        <v>16.0</v>
      </c>
      <c r="D768" s="1">
        <v>763.0</v>
      </c>
      <c r="F768" s="2" t="str">
        <f t="shared" si="1"/>
        <v>INSERT INTO tblExamQuestionLink VALUES (seqExamQuestionLink.nextval, 16, 763);</v>
      </c>
    </row>
    <row r="769">
      <c r="A769" s="1">
        <v>764.0</v>
      </c>
      <c r="B769" s="1" t="s">
        <v>306</v>
      </c>
      <c r="C769" s="1">
        <v>16.0</v>
      </c>
      <c r="D769" s="1">
        <v>764.0</v>
      </c>
      <c r="F769" s="2" t="str">
        <f t="shared" si="1"/>
        <v>INSERT INTO tblExamQuestionLink VALUES (seqExamQuestionLink.nextval, 16, 764);</v>
      </c>
    </row>
    <row r="770">
      <c r="A770" s="1">
        <v>765.0</v>
      </c>
      <c r="B770" s="1" t="s">
        <v>306</v>
      </c>
      <c r="C770" s="1">
        <v>16.0</v>
      </c>
      <c r="D770" s="1">
        <v>765.0</v>
      </c>
      <c r="F770" s="2" t="str">
        <f t="shared" si="1"/>
        <v>INSERT INTO tblExamQuestionLink VALUES (seqExamQuestionLink.nextval, 16, 765);</v>
      </c>
    </row>
    <row r="771">
      <c r="A771" s="1">
        <v>766.0</v>
      </c>
      <c r="B771" s="1" t="s">
        <v>306</v>
      </c>
      <c r="C771" s="1">
        <v>16.0</v>
      </c>
      <c r="D771" s="1">
        <v>766.0</v>
      </c>
      <c r="F771" s="2" t="str">
        <f t="shared" si="1"/>
        <v>INSERT INTO tblExamQuestionLink VALUES (seqExamQuestionLink.nextval, 16, 766);</v>
      </c>
    </row>
    <row r="772">
      <c r="A772" s="1">
        <v>767.0</v>
      </c>
      <c r="B772" s="1" t="s">
        <v>306</v>
      </c>
      <c r="C772" s="1">
        <v>16.0</v>
      </c>
      <c r="D772" s="1">
        <v>767.0</v>
      </c>
      <c r="F772" s="2" t="str">
        <f t="shared" si="1"/>
        <v>INSERT INTO tblExamQuestionLink VALUES (seqExamQuestionLink.nextval, 16, 767);</v>
      </c>
    </row>
    <row r="773">
      <c r="A773" s="1">
        <v>768.0</v>
      </c>
      <c r="B773" s="1" t="s">
        <v>306</v>
      </c>
      <c r="C773" s="1">
        <v>16.0</v>
      </c>
      <c r="D773" s="1">
        <v>768.0</v>
      </c>
      <c r="F773" s="2" t="str">
        <f t="shared" si="1"/>
        <v>INSERT INTO tblExamQuestionLink VALUES (seqExamQuestionLink.nextval, 16, 768);</v>
      </c>
    </row>
    <row r="774">
      <c r="A774" s="1">
        <v>769.0</v>
      </c>
      <c r="B774" s="1" t="s">
        <v>306</v>
      </c>
      <c r="C774" s="1">
        <v>16.0</v>
      </c>
      <c r="D774" s="1">
        <v>769.0</v>
      </c>
      <c r="F774" s="2" t="str">
        <f t="shared" si="1"/>
        <v>INSERT INTO tblExamQuestionLink VALUES (seqExamQuestionLink.nextval, 16, 769);</v>
      </c>
    </row>
    <row r="775">
      <c r="A775" s="1">
        <v>770.0</v>
      </c>
      <c r="B775" s="1" t="s">
        <v>306</v>
      </c>
      <c r="C775" s="1">
        <v>16.0</v>
      </c>
      <c r="D775" s="1">
        <v>770.0</v>
      </c>
      <c r="F775" s="2" t="str">
        <f t="shared" si="1"/>
        <v>INSERT INTO tblExamQuestionLink VALUES (seqExamQuestionLink.nextval, 16, 770);</v>
      </c>
    </row>
    <row r="776">
      <c r="A776" s="1">
        <v>771.0</v>
      </c>
      <c r="B776" s="1" t="s">
        <v>306</v>
      </c>
      <c r="C776" s="1">
        <v>16.0</v>
      </c>
      <c r="D776" s="1">
        <v>771.0</v>
      </c>
      <c r="F776" s="2" t="str">
        <f t="shared" si="1"/>
        <v>INSERT INTO tblExamQuestionLink VALUES (seqExamQuestionLink.nextval, 16, 771);</v>
      </c>
    </row>
    <row r="777">
      <c r="A777" s="1">
        <v>772.0</v>
      </c>
      <c r="B777" s="1" t="s">
        <v>306</v>
      </c>
      <c r="C777" s="1">
        <v>16.0</v>
      </c>
      <c r="D777" s="1">
        <v>772.0</v>
      </c>
      <c r="F777" s="2" t="str">
        <f t="shared" si="1"/>
        <v>INSERT INTO tblExamQuestionLink VALUES (seqExamQuestionLink.nextval, 16, 772);</v>
      </c>
    </row>
    <row r="778">
      <c r="A778" s="1">
        <v>773.0</v>
      </c>
      <c r="B778" s="1" t="s">
        <v>306</v>
      </c>
      <c r="C778" s="1">
        <v>16.0</v>
      </c>
      <c r="D778" s="1">
        <v>773.0</v>
      </c>
      <c r="F778" s="2" t="str">
        <f t="shared" si="1"/>
        <v>INSERT INTO tblExamQuestionLink VALUES (seqExamQuestionLink.nextval, 16, 773);</v>
      </c>
    </row>
    <row r="779">
      <c r="A779" s="1">
        <v>774.0</v>
      </c>
      <c r="B779" s="1" t="s">
        <v>306</v>
      </c>
      <c r="C779" s="1">
        <v>16.0</v>
      </c>
      <c r="D779" s="1">
        <v>774.0</v>
      </c>
      <c r="F779" s="2" t="str">
        <f t="shared" si="1"/>
        <v>INSERT INTO tblExamQuestionLink VALUES (seqExamQuestionLink.nextval, 16, 774);</v>
      </c>
    </row>
    <row r="780">
      <c r="A780" s="1">
        <v>775.0</v>
      </c>
      <c r="B780" s="1" t="s">
        <v>306</v>
      </c>
      <c r="C780" s="1">
        <v>16.0</v>
      </c>
      <c r="D780" s="1">
        <v>775.0</v>
      </c>
      <c r="F780" s="2" t="str">
        <f t="shared" si="1"/>
        <v>INSERT INTO tblExamQuestionLink VALUES (seqExamQuestionLink.nextval, 16, 775);</v>
      </c>
    </row>
    <row r="781">
      <c r="A781" s="1">
        <v>776.0</v>
      </c>
      <c r="B781" s="1" t="s">
        <v>306</v>
      </c>
      <c r="C781" s="1">
        <v>16.0</v>
      </c>
      <c r="D781" s="1">
        <v>776.0</v>
      </c>
      <c r="F781" s="2" t="str">
        <f t="shared" si="1"/>
        <v>INSERT INTO tblExamQuestionLink VALUES (seqExamQuestionLink.nextval, 16, 776);</v>
      </c>
    </row>
    <row r="782">
      <c r="A782" s="1">
        <v>777.0</v>
      </c>
      <c r="B782" s="1" t="s">
        <v>306</v>
      </c>
      <c r="C782" s="1">
        <v>16.0</v>
      </c>
      <c r="D782" s="1">
        <v>777.0</v>
      </c>
      <c r="F782" s="2" t="str">
        <f t="shared" si="1"/>
        <v>INSERT INTO tblExamQuestionLink VALUES (seqExamQuestionLink.nextval, 16, 777);</v>
      </c>
    </row>
    <row r="783">
      <c r="A783" s="1">
        <v>778.0</v>
      </c>
      <c r="B783" s="1" t="s">
        <v>306</v>
      </c>
      <c r="C783" s="1">
        <v>16.0</v>
      </c>
      <c r="D783" s="1">
        <v>778.0</v>
      </c>
      <c r="F783" s="2" t="str">
        <f t="shared" si="1"/>
        <v>INSERT INTO tblExamQuestionLink VALUES (seqExamQuestionLink.nextval, 16, 778);</v>
      </c>
    </row>
    <row r="784">
      <c r="A784" s="1">
        <v>779.0</v>
      </c>
      <c r="B784" s="1" t="s">
        <v>306</v>
      </c>
      <c r="C784" s="1">
        <v>16.0</v>
      </c>
      <c r="D784" s="1">
        <v>779.0</v>
      </c>
      <c r="F784" s="2" t="str">
        <f t="shared" si="1"/>
        <v>INSERT INTO tblExamQuestionLink VALUES (seqExamQuestionLink.nextval, 16, 779);</v>
      </c>
    </row>
    <row r="785">
      <c r="A785" s="1">
        <v>780.0</v>
      </c>
      <c r="B785" s="1" t="s">
        <v>306</v>
      </c>
      <c r="C785" s="1">
        <v>16.0</v>
      </c>
      <c r="D785" s="1">
        <v>780.0</v>
      </c>
      <c r="F785" s="2" t="str">
        <f t="shared" si="1"/>
        <v>INSERT INTO tblExamQuestionLink VALUES (seqExamQuestionLink.nextval, 16, 780);</v>
      </c>
    </row>
    <row r="786">
      <c r="A786" s="1">
        <v>781.0</v>
      </c>
      <c r="B786" s="1" t="s">
        <v>306</v>
      </c>
      <c r="C786" s="1">
        <v>16.0</v>
      </c>
      <c r="D786" s="1">
        <v>781.0</v>
      </c>
      <c r="F786" s="2" t="str">
        <f t="shared" si="1"/>
        <v>INSERT INTO tblExamQuestionLink VALUES (seqExamQuestionLink.nextval, 16, 781);</v>
      </c>
    </row>
    <row r="787">
      <c r="A787" s="1">
        <v>782.0</v>
      </c>
      <c r="B787" s="1" t="s">
        <v>306</v>
      </c>
      <c r="C787" s="1">
        <v>16.0</v>
      </c>
      <c r="D787" s="1">
        <v>782.0</v>
      </c>
      <c r="F787" s="2" t="str">
        <f t="shared" si="1"/>
        <v>INSERT INTO tblExamQuestionLink VALUES (seqExamQuestionLink.nextval, 16, 782);</v>
      </c>
    </row>
    <row r="788">
      <c r="A788" s="1">
        <v>783.0</v>
      </c>
      <c r="B788" s="1" t="s">
        <v>306</v>
      </c>
      <c r="C788" s="1">
        <v>16.0</v>
      </c>
      <c r="D788" s="1">
        <v>783.0</v>
      </c>
      <c r="F788" s="2" t="str">
        <f t="shared" si="1"/>
        <v>INSERT INTO tblExamQuestionLink VALUES (seqExamQuestionLink.nextval, 16, 783);</v>
      </c>
    </row>
    <row r="789">
      <c r="A789" s="1">
        <v>784.0</v>
      </c>
      <c r="B789" s="1" t="s">
        <v>306</v>
      </c>
      <c r="C789" s="1">
        <v>16.0</v>
      </c>
      <c r="D789" s="1">
        <v>784.0</v>
      </c>
      <c r="F789" s="2" t="str">
        <f t="shared" si="1"/>
        <v>INSERT INTO tblExamQuestionLink VALUES (seqExamQuestionLink.nextval, 16, 784);</v>
      </c>
    </row>
    <row r="790">
      <c r="A790" s="1">
        <v>785.0</v>
      </c>
      <c r="B790" s="1" t="s">
        <v>306</v>
      </c>
      <c r="C790" s="1">
        <v>16.0</v>
      </c>
      <c r="D790" s="1">
        <v>785.0</v>
      </c>
      <c r="F790" s="2" t="str">
        <f t="shared" si="1"/>
        <v>INSERT INTO tblExamQuestionLink VALUES (seqExamQuestionLink.nextval, 16, 785);</v>
      </c>
    </row>
    <row r="791">
      <c r="A791" s="1">
        <v>786.0</v>
      </c>
      <c r="B791" s="1" t="s">
        <v>306</v>
      </c>
      <c r="C791" s="1">
        <v>16.0</v>
      </c>
      <c r="D791" s="1">
        <v>786.0</v>
      </c>
      <c r="F791" s="2" t="str">
        <f t="shared" si="1"/>
        <v>INSERT INTO tblExamQuestionLink VALUES (seqExamQuestionLink.nextval, 16, 786);</v>
      </c>
    </row>
    <row r="792">
      <c r="A792" s="1">
        <v>787.0</v>
      </c>
      <c r="B792" s="1" t="s">
        <v>306</v>
      </c>
      <c r="C792" s="1">
        <v>16.0</v>
      </c>
      <c r="D792" s="1">
        <v>787.0</v>
      </c>
      <c r="F792" s="2" t="str">
        <f t="shared" si="1"/>
        <v>INSERT INTO tblExamQuestionLink VALUES (seqExamQuestionLink.nextval, 16, 787);</v>
      </c>
    </row>
    <row r="793">
      <c r="A793" s="1">
        <v>788.0</v>
      </c>
      <c r="B793" s="1" t="s">
        <v>306</v>
      </c>
      <c r="C793" s="1">
        <v>16.0</v>
      </c>
      <c r="D793" s="1">
        <v>788.0</v>
      </c>
      <c r="F793" s="2" t="str">
        <f t="shared" si="1"/>
        <v>INSERT INTO tblExamQuestionLink VALUES (seqExamQuestionLink.nextval, 16, 788);</v>
      </c>
    </row>
    <row r="794">
      <c r="A794" s="1">
        <v>789.0</v>
      </c>
      <c r="B794" s="1" t="s">
        <v>306</v>
      </c>
      <c r="C794" s="1">
        <v>16.0</v>
      </c>
      <c r="D794" s="1">
        <v>789.0</v>
      </c>
      <c r="F794" s="2" t="str">
        <f t="shared" si="1"/>
        <v>INSERT INTO tblExamQuestionLink VALUES (seqExamQuestionLink.nextval, 16, 789);</v>
      </c>
    </row>
    <row r="795">
      <c r="A795" s="1">
        <v>790.0</v>
      </c>
      <c r="B795" s="1" t="s">
        <v>306</v>
      </c>
      <c r="C795" s="1">
        <v>16.0</v>
      </c>
      <c r="D795" s="1">
        <v>790.0</v>
      </c>
      <c r="F795" s="2" t="str">
        <f t="shared" si="1"/>
        <v>INSERT INTO tblExamQuestionLink VALUES (seqExamQuestionLink.nextval, 16, 790);</v>
      </c>
    </row>
    <row r="796">
      <c r="A796" s="1">
        <v>791.0</v>
      </c>
      <c r="B796" s="1" t="s">
        <v>306</v>
      </c>
      <c r="C796" s="1">
        <v>16.0</v>
      </c>
      <c r="D796" s="1">
        <v>791.0</v>
      </c>
      <c r="F796" s="2" t="str">
        <f t="shared" si="1"/>
        <v>INSERT INTO tblExamQuestionLink VALUES (seqExamQuestionLink.nextval, 16, 791);</v>
      </c>
    </row>
    <row r="797">
      <c r="A797" s="1">
        <v>792.0</v>
      </c>
      <c r="B797" s="1" t="s">
        <v>306</v>
      </c>
      <c r="C797" s="1">
        <v>16.0</v>
      </c>
      <c r="D797" s="1">
        <v>792.0</v>
      </c>
      <c r="F797" s="2" t="str">
        <f t="shared" si="1"/>
        <v>INSERT INTO tblExamQuestionLink VALUES (seqExamQuestionLink.nextval, 16, 792);</v>
      </c>
    </row>
    <row r="798">
      <c r="A798" s="1">
        <v>793.0</v>
      </c>
      <c r="B798" s="1" t="s">
        <v>306</v>
      </c>
      <c r="C798" s="1">
        <v>16.0</v>
      </c>
      <c r="D798" s="1">
        <v>793.0</v>
      </c>
      <c r="F798" s="2" t="str">
        <f t="shared" si="1"/>
        <v>INSERT INTO tblExamQuestionLink VALUES (seqExamQuestionLink.nextval, 16, 793);</v>
      </c>
    </row>
    <row r="799">
      <c r="A799" s="1">
        <v>794.0</v>
      </c>
      <c r="B799" s="1" t="s">
        <v>306</v>
      </c>
      <c r="C799" s="1">
        <v>16.0</v>
      </c>
      <c r="D799" s="1">
        <v>794.0</v>
      </c>
      <c r="F799" s="2" t="str">
        <f t="shared" si="1"/>
        <v>INSERT INTO tblExamQuestionLink VALUES (seqExamQuestionLink.nextval, 16, 794);</v>
      </c>
    </row>
    <row r="800">
      <c r="A800" s="1">
        <v>795.0</v>
      </c>
      <c r="B800" s="1" t="s">
        <v>306</v>
      </c>
      <c r="C800" s="1">
        <v>16.0</v>
      </c>
      <c r="D800" s="1">
        <v>795.0</v>
      </c>
      <c r="F800" s="2" t="str">
        <f t="shared" si="1"/>
        <v>INSERT INTO tblExamQuestionLink VALUES (seqExamQuestionLink.nextval, 16, 795);</v>
      </c>
    </row>
    <row r="801">
      <c r="A801" s="1">
        <v>796.0</v>
      </c>
      <c r="B801" s="1" t="s">
        <v>306</v>
      </c>
      <c r="C801" s="1">
        <v>16.0</v>
      </c>
      <c r="D801" s="1">
        <v>796.0</v>
      </c>
      <c r="F801" s="2" t="str">
        <f t="shared" si="1"/>
        <v>INSERT INTO tblExamQuestionLink VALUES (seqExamQuestionLink.nextval, 16, 796);</v>
      </c>
    </row>
    <row r="802">
      <c r="A802" s="1">
        <v>797.0</v>
      </c>
      <c r="B802" s="1" t="s">
        <v>306</v>
      </c>
      <c r="C802" s="1">
        <v>16.0</v>
      </c>
      <c r="D802" s="1">
        <v>797.0</v>
      </c>
      <c r="F802" s="2" t="str">
        <f t="shared" si="1"/>
        <v>INSERT INTO tblExamQuestionLink VALUES (seqExamQuestionLink.nextval, 16, 797);</v>
      </c>
    </row>
    <row r="803">
      <c r="A803" s="1">
        <v>798.0</v>
      </c>
      <c r="B803" s="1" t="s">
        <v>306</v>
      </c>
      <c r="C803" s="1">
        <v>16.0</v>
      </c>
      <c r="D803" s="1">
        <v>798.0</v>
      </c>
      <c r="F803" s="2" t="str">
        <f t="shared" si="1"/>
        <v>INSERT INTO tblExamQuestionLink VALUES (seqExamQuestionLink.nextval, 16, 798);</v>
      </c>
    </row>
    <row r="804">
      <c r="A804" s="1">
        <v>799.0</v>
      </c>
      <c r="B804" s="1" t="s">
        <v>306</v>
      </c>
      <c r="C804" s="1">
        <v>16.0</v>
      </c>
      <c r="D804" s="1">
        <v>799.0</v>
      </c>
      <c r="F804" s="2" t="str">
        <f t="shared" si="1"/>
        <v>INSERT INTO tblExamQuestionLink VALUES (seqExamQuestionLink.nextval, 16, 799);</v>
      </c>
    </row>
    <row r="805">
      <c r="A805" s="1">
        <v>800.0</v>
      </c>
      <c r="B805" s="1" t="s">
        <v>306</v>
      </c>
      <c r="C805" s="1">
        <v>16.0</v>
      </c>
      <c r="D805" s="1">
        <v>800.0</v>
      </c>
      <c r="F805" s="2" t="str">
        <f t="shared" si="1"/>
        <v>INSERT INTO tblExamQuestionLink VALUES (seqExamQuestionLink.nextval, 16, 800);</v>
      </c>
    </row>
    <row r="806">
      <c r="A806" s="1">
        <v>801.0</v>
      </c>
      <c r="B806" s="1" t="s">
        <v>306</v>
      </c>
      <c r="C806" s="1">
        <v>17.0</v>
      </c>
      <c r="D806" s="1">
        <v>801.0</v>
      </c>
      <c r="F806" s="2" t="str">
        <f t="shared" si="1"/>
        <v>INSERT INTO tblExamQuestionLink VALUES (seqExamQuestionLink.nextval, 17, 801);</v>
      </c>
    </row>
    <row r="807">
      <c r="A807" s="1">
        <v>802.0</v>
      </c>
      <c r="B807" s="1" t="s">
        <v>306</v>
      </c>
      <c r="C807" s="1">
        <v>17.0</v>
      </c>
      <c r="D807" s="1">
        <v>802.0</v>
      </c>
      <c r="F807" s="2" t="str">
        <f t="shared" si="1"/>
        <v>INSERT INTO tblExamQuestionLink VALUES (seqExamQuestionLink.nextval, 17, 802);</v>
      </c>
    </row>
    <row r="808">
      <c r="A808" s="1">
        <v>803.0</v>
      </c>
      <c r="B808" s="1" t="s">
        <v>306</v>
      </c>
      <c r="C808" s="1">
        <v>17.0</v>
      </c>
      <c r="D808" s="1">
        <v>803.0</v>
      </c>
      <c r="F808" s="2" t="str">
        <f t="shared" si="1"/>
        <v>INSERT INTO tblExamQuestionLink VALUES (seqExamQuestionLink.nextval, 17, 803);</v>
      </c>
    </row>
    <row r="809">
      <c r="A809" s="1">
        <v>804.0</v>
      </c>
      <c r="B809" s="1" t="s">
        <v>306</v>
      </c>
      <c r="C809" s="1">
        <v>17.0</v>
      </c>
      <c r="D809" s="1">
        <v>804.0</v>
      </c>
      <c r="F809" s="2" t="str">
        <f t="shared" si="1"/>
        <v>INSERT INTO tblExamQuestionLink VALUES (seqExamQuestionLink.nextval, 17, 804);</v>
      </c>
    </row>
    <row r="810">
      <c r="A810" s="1">
        <v>805.0</v>
      </c>
      <c r="B810" s="1" t="s">
        <v>306</v>
      </c>
      <c r="C810" s="1">
        <v>17.0</v>
      </c>
      <c r="D810" s="1">
        <v>805.0</v>
      </c>
      <c r="F810" s="2" t="str">
        <f t="shared" si="1"/>
        <v>INSERT INTO tblExamQuestionLink VALUES (seqExamQuestionLink.nextval, 17, 805);</v>
      </c>
    </row>
    <row r="811">
      <c r="A811" s="1">
        <v>806.0</v>
      </c>
      <c r="B811" s="1" t="s">
        <v>306</v>
      </c>
      <c r="C811" s="1">
        <v>17.0</v>
      </c>
      <c r="D811" s="1">
        <v>806.0</v>
      </c>
      <c r="F811" s="2" t="str">
        <f t="shared" si="1"/>
        <v>INSERT INTO tblExamQuestionLink VALUES (seqExamQuestionLink.nextval, 17, 806);</v>
      </c>
    </row>
    <row r="812">
      <c r="A812" s="1">
        <v>807.0</v>
      </c>
      <c r="B812" s="1" t="s">
        <v>306</v>
      </c>
      <c r="C812" s="1">
        <v>17.0</v>
      </c>
      <c r="D812" s="1">
        <v>807.0</v>
      </c>
      <c r="F812" s="2" t="str">
        <f t="shared" si="1"/>
        <v>INSERT INTO tblExamQuestionLink VALUES (seqExamQuestionLink.nextval, 17, 807);</v>
      </c>
    </row>
    <row r="813">
      <c r="A813" s="1">
        <v>808.0</v>
      </c>
      <c r="B813" s="1" t="s">
        <v>306</v>
      </c>
      <c r="C813" s="1">
        <v>17.0</v>
      </c>
      <c r="D813" s="1">
        <v>808.0</v>
      </c>
      <c r="F813" s="2" t="str">
        <f t="shared" si="1"/>
        <v>INSERT INTO tblExamQuestionLink VALUES (seqExamQuestionLink.nextval, 17, 808);</v>
      </c>
    </row>
    <row r="814">
      <c r="A814" s="1">
        <v>809.0</v>
      </c>
      <c r="B814" s="1" t="s">
        <v>306</v>
      </c>
      <c r="C814" s="1">
        <v>17.0</v>
      </c>
      <c r="D814" s="1">
        <v>809.0</v>
      </c>
      <c r="F814" s="2" t="str">
        <f t="shared" si="1"/>
        <v>INSERT INTO tblExamQuestionLink VALUES (seqExamQuestionLink.nextval, 17, 809);</v>
      </c>
    </row>
    <row r="815">
      <c r="A815" s="1">
        <v>810.0</v>
      </c>
      <c r="B815" s="1" t="s">
        <v>306</v>
      </c>
      <c r="C815" s="1">
        <v>17.0</v>
      </c>
      <c r="D815" s="1">
        <v>810.0</v>
      </c>
      <c r="F815" s="2" t="str">
        <f t="shared" si="1"/>
        <v>INSERT INTO tblExamQuestionLink VALUES (seqExamQuestionLink.nextval, 17, 810);</v>
      </c>
    </row>
    <row r="816">
      <c r="A816" s="1">
        <v>811.0</v>
      </c>
      <c r="B816" s="1" t="s">
        <v>306</v>
      </c>
      <c r="C816" s="1">
        <v>17.0</v>
      </c>
      <c r="D816" s="1">
        <v>811.0</v>
      </c>
      <c r="F816" s="2" t="str">
        <f t="shared" si="1"/>
        <v>INSERT INTO tblExamQuestionLink VALUES (seqExamQuestionLink.nextval, 17, 811);</v>
      </c>
    </row>
    <row r="817">
      <c r="A817" s="1">
        <v>812.0</v>
      </c>
      <c r="B817" s="1" t="s">
        <v>306</v>
      </c>
      <c r="C817" s="1">
        <v>17.0</v>
      </c>
      <c r="D817" s="1">
        <v>812.0</v>
      </c>
      <c r="F817" s="2" t="str">
        <f t="shared" si="1"/>
        <v>INSERT INTO tblExamQuestionLink VALUES (seqExamQuestionLink.nextval, 17, 812);</v>
      </c>
    </row>
    <row r="818">
      <c r="A818" s="1">
        <v>813.0</v>
      </c>
      <c r="B818" s="1" t="s">
        <v>306</v>
      </c>
      <c r="C818" s="1">
        <v>17.0</v>
      </c>
      <c r="D818" s="1">
        <v>813.0</v>
      </c>
      <c r="F818" s="2" t="str">
        <f t="shared" si="1"/>
        <v>INSERT INTO tblExamQuestionLink VALUES (seqExamQuestionLink.nextval, 17, 813);</v>
      </c>
    </row>
    <row r="819">
      <c r="A819" s="1">
        <v>814.0</v>
      </c>
      <c r="B819" s="1" t="s">
        <v>306</v>
      </c>
      <c r="C819" s="1">
        <v>17.0</v>
      </c>
      <c r="D819" s="1">
        <v>814.0</v>
      </c>
      <c r="F819" s="2" t="str">
        <f t="shared" si="1"/>
        <v>INSERT INTO tblExamQuestionLink VALUES (seqExamQuestionLink.nextval, 17, 814);</v>
      </c>
    </row>
    <row r="820">
      <c r="A820" s="1">
        <v>815.0</v>
      </c>
      <c r="B820" s="1" t="s">
        <v>306</v>
      </c>
      <c r="C820" s="1">
        <v>17.0</v>
      </c>
      <c r="D820" s="1">
        <v>815.0</v>
      </c>
      <c r="F820" s="2" t="str">
        <f t="shared" si="1"/>
        <v>INSERT INTO tblExamQuestionLink VALUES (seqExamQuestionLink.nextval, 17, 815);</v>
      </c>
    </row>
    <row r="821">
      <c r="A821" s="1">
        <v>816.0</v>
      </c>
      <c r="B821" s="1" t="s">
        <v>306</v>
      </c>
      <c r="C821" s="1">
        <v>17.0</v>
      </c>
      <c r="D821" s="1">
        <v>816.0</v>
      </c>
      <c r="F821" s="2" t="str">
        <f t="shared" si="1"/>
        <v>INSERT INTO tblExamQuestionLink VALUES (seqExamQuestionLink.nextval, 17, 816);</v>
      </c>
    </row>
    <row r="822">
      <c r="A822" s="1">
        <v>817.0</v>
      </c>
      <c r="B822" s="1" t="s">
        <v>306</v>
      </c>
      <c r="C822" s="1">
        <v>17.0</v>
      </c>
      <c r="D822" s="1">
        <v>817.0</v>
      </c>
      <c r="F822" s="2" t="str">
        <f t="shared" si="1"/>
        <v>INSERT INTO tblExamQuestionLink VALUES (seqExamQuestionLink.nextval, 17, 817);</v>
      </c>
    </row>
    <row r="823">
      <c r="A823" s="1">
        <v>818.0</v>
      </c>
      <c r="B823" s="1" t="s">
        <v>306</v>
      </c>
      <c r="C823" s="1">
        <v>17.0</v>
      </c>
      <c r="D823" s="1">
        <v>818.0</v>
      </c>
      <c r="F823" s="2" t="str">
        <f t="shared" si="1"/>
        <v>INSERT INTO tblExamQuestionLink VALUES (seqExamQuestionLink.nextval, 17, 818);</v>
      </c>
    </row>
    <row r="824">
      <c r="A824" s="1">
        <v>819.0</v>
      </c>
      <c r="B824" s="1" t="s">
        <v>306</v>
      </c>
      <c r="C824" s="1">
        <v>17.0</v>
      </c>
      <c r="D824" s="1">
        <v>819.0</v>
      </c>
      <c r="F824" s="2" t="str">
        <f t="shared" si="1"/>
        <v>INSERT INTO tblExamQuestionLink VALUES (seqExamQuestionLink.nextval, 17, 819);</v>
      </c>
    </row>
    <row r="825">
      <c r="A825" s="1">
        <v>820.0</v>
      </c>
      <c r="B825" s="1" t="s">
        <v>306</v>
      </c>
      <c r="C825" s="1">
        <v>17.0</v>
      </c>
      <c r="D825" s="1">
        <v>820.0</v>
      </c>
      <c r="F825" s="2" t="str">
        <f t="shared" si="1"/>
        <v>INSERT INTO tblExamQuestionLink VALUES (seqExamQuestionLink.nextval, 17, 820);</v>
      </c>
    </row>
    <row r="826">
      <c r="A826" s="1">
        <v>821.0</v>
      </c>
      <c r="B826" s="1" t="s">
        <v>306</v>
      </c>
      <c r="C826" s="1">
        <v>17.0</v>
      </c>
      <c r="D826" s="1">
        <v>821.0</v>
      </c>
      <c r="F826" s="2" t="str">
        <f t="shared" si="1"/>
        <v>INSERT INTO tblExamQuestionLink VALUES (seqExamQuestionLink.nextval, 17, 821);</v>
      </c>
    </row>
    <row r="827">
      <c r="A827" s="1">
        <v>822.0</v>
      </c>
      <c r="B827" s="1" t="s">
        <v>306</v>
      </c>
      <c r="C827" s="1">
        <v>17.0</v>
      </c>
      <c r="D827" s="1">
        <v>822.0</v>
      </c>
      <c r="F827" s="2" t="str">
        <f t="shared" si="1"/>
        <v>INSERT INTO tblExamQuestionLink VALUES (seqExamQuestionLink.nextval, 17, 822);</v>
      </c>
    </row>
    <row r="828">
      <c r="A828" s="1">
        <v>823.0</v>
      </c>
      <c r="B828" s="1" t="s">
        <v>306</v>
      </c>
      <c r="C828" s="1">
        <v>17.0</v>
      </c>
      <c r="D828" s="1">
        <v>823.0</v>
      </c>
      <c r="F828" s="2" t="str">
        <f t="shared" si="1"/>
        <v>INSERT INTO tblExamQuestionLink VALUES (seqExamQuestionLink.nextval, 17, 823);</v>
      </c>
    </row>
    <row r="829">
      <c r="A829" s="1">
        <v>824.0</v>
      </c>
      <c r="B829" s="1" t="s">
        <v>306</v>
      </c>
      <c r="C829" s="1">
        <v>17.0</v>
      </c>
      <c r="D829" s="1">
        <v>824.0</v>
      </c>
      <c r="F829" s="2" t="str">
        <f t="shared" si="1"/>
        <v>INSERT INTO tblExamQuestionLink VALUES (seqExamQuestionLink.nextval, 17, 824);</v>
      </c>
    </row>
    <row r="830">
      <c r="A830" s="1">
        <v>825.0</v>
      </c>
      <c r="B830" s="1" t="s">
        <v>306</v>
      </c>
      <c r="C830" s="1">
        <v>17.0</v>
      </c>
      <c r="D830" s="1">
        <v>825.0</v>
      </c>
      <c r="F830" s="2" t="str">
        <f t="shared" si="1"/>
        <v>INSERT INTO tblExamQuestionLink VALUES (seqExamQuestionLink.nextval, 17, 825);</v>
      </c>
    </row>
    <row r="831">
      <c r="A831" s="1">
        <v>826.0</v>
      </c>
      <c r="B831" s="1" t="s">
        <v>306</v>
      </c>
      <c r="C831" s="1">
        <v>17.0</v>
      </c>
      <c r="D831" s="1">
        <v>826.0</v>
      </c>
      <c r="F831" s="2" t="str">
        <f t="shared" si="1"/>
        <v>INSERT INTO tblExamQuestionLink VALUES (seqExamQuestionLink.nextval, 17, 826);</v>
      </c>
    </row>
    <row r="832">
      <c r="A832" s="1">
        <v>827.0</v>
      </c>
      <c r="B832" s="1" t="s">
        <v>306</v>
      </c>
      <c r="C832" s="1">
        <v>17.0</v>
      </c>
      <c r="D832" s="1">
        <v>827.0</v>
      </c>
      <c r="F832" s="2" t="str">
        <f t="shared" si="1"/>
        <v>INSERT INTO tblExamQuestionLink VALUES (seqExamQuestionLink.nextval, 17, 827);</v>
      </c>
    </row>
    <row r="833">
      <c r="A833" s="1">
        <v>828.0</v>
      </c>
      <c r="B833" s="1" t="s">
        <v>306</v>
      </c>
      <c r="C833" s="1">
        <v>17.0</v>
      </c>
      <c r="D833" s="1">
        <v>828.0</v>
      </c>
      <c r="F833" s="2" t="str">
        <f t="shared" si="1"/>
        <v>INSERT INTO tblExamQuestionLink VALUES (seqExamQuestionLink.nextval, 17, 828);</v>
      </c>
    </row>
    <row r="834">
      <c r="A834" s="1">
        <v>829.0</v>
      </c>
      <c r="B834" s="1" t="s">
        <v>306</v>
      </c>
      <c r="C834" s="1">
        <v>17.0</v>
      </c>
      <c r="D834" s="1">
        <v>829.0</v>
      </c>
      <c r="F834" s="2" t="str">
        <f t="shared" si="1"/>
        <v>INSERT INTO tblExamQuestionLink VALUES (seqExamQuestionLink.nextval, 17, 829);</v>
      </c>
    </row>
    <row r="835">
      <c r="A835" s="1">
        <v>830.0</v>
      </c>
      <c r="B835" s="1" t="s">
        <v>306</v>
      </c>
      <c r="C835" s="1">
        <v>17.0</v>
      </c>
      <c r="D835" s="1">
        <v>830.0</v>
      </c>
      <c r="F835" s="2" t="str">
        <f t="shared" si="1"/>
        <v>INSERT INTO tblExamQuestionLink VALUES (seqExamQuestionLink.nextval, 17, 830);</v>
      </c>
    </row>
    <row r="836">
      <c r="A836" s="1">
        <v>831.0</v>
      </c>
      <c r="B836" s="1" t="s">
        <v>306</v>
      </c>
      <c r="C836" s="1">
        <v>17.0</v>
      </c>
      <c r="D836" s="1">
        <v>831.0</v>
      </c>
      <c r="F836" s="2" t="str">
        <f t="shared" si="1"/>
        <v>INSERT INTO tblExamQuestionLink VALUES (seqExamQuestionLink.nextval, 17, 831);</v>
      </c>
    </row>
    <row r="837">
      <c r="A837" s="1">
        <v>832.0</v>
      </c>
      <c r="B837" s="1" t="s">
        <v>306</v>
      </c>
      <c r="C837" s="1">
        <v>17.0</v>
      </c>
      <c r="D837" s="1">
        <v>832.0</v>
      </c>
      <c r="F837" s="2" t="str">
        <f t="shared" si="1"/>
        <v>INSERT INTO tblExamQuestionLink VALUES (seqExamQuestionLink.nextval, 17, 832);</v>
      </c>
    </row>
    <row r="838">
      <c r="A838" s="1">
        <v>833.0</v>
      </c>
      <c r="B838" s="1" t="s">
        <v>306</v>
      </c>
      <c r="C838" s="1">
        <v>17.0</v>
      </c>
      <c r="D838" s="1">
        <v>833.0</v>
      </c>
      <c r="F838" s="2" t="str">
        <f t="shared" si="1"/>
        <v>INSERT INTO tblExamQuestionLink VALUES (seqExamQuestionLink.nextval, 17, 833);</v>
      </c>
    </row>
    <row r="839">
      <c r="A839" s="1">
        <v>834.0</v>
      </c>
      <c r="B839" s="1" t="s">
        <v>306</v>
      </c>
      <c r="C839" s="1">
        <v>17.0</v>
      </c>
      <c r="D839" s="1">
        <v>834.0</v>
      </c>
      <c r="F839" s="2" t="str">
        <f t="shared" si="1"/>
        <v>INSERT INTO tblExamQuestionLink VALUES (seqExamQuestionLink.nextval, 17, 834);</v>
      </c>
    </row>
    <row r="840">
      <c r="A840" s="1">
        <v>835.0</v>
      </c>
      <c r="B840" s="1" t="s">
        <v>306</v>
      </c>
      <c r="C840" s="1">
        <v>17.0</v>
      </c>
      <c r="D840" s="1">
        <v>835.0</v>
      </c>
      <c r="F840" s="2" t="str">
        <f t="shared" si="1"/>
        <v>INSERT INTO tblExamQuestionLink VALUES (seqExamQuestionLink.nextval, 17, 835);</v>
      </c>
    </row>
    <row r="841">
      <c r="A841" s="1">
        <v>836.0</v>
      </c>
      <c r="B841" s="1" t="s">
        <v>306</v>
      </c>
      <c r="C841" s="1">
        <v>17.0</v>
      </c>
      <c r="D841" s="1">
        <v>836.0</v>
      </c>
      <c r="F841" s="2" t="str">
        <f t="shared" si="1"/>
        <v>INSERT INTO tblExamQuestionLink VALUES (seqExamQuestionLink.nextval, 17, 836);</v>
      </c>
    </row>
    <row r="842">
      <c r="A842" s="1">
        <v>837.0</v>
      </c>
      <c r="B842" s="1" t="s">
        <v>306</v>
      </c>
      <c r="C842" s="1">
        <v>17.0</v>
      </c>
      <c r="D842" s="1">
        <v>837.0</v>
      </c>
      <c r="F842" s="2" t="str">
        <f t="shared" si="1"/>
        <v>INSERT INTO tblExamQuestionLink VALUES (seqExamQuestionLink.nextval, 17, 837);</v>
      </c>
    </row>
    <row r="843">
      <c r="A843" s="1">
        <v>838.0</v>
      </c>
      <c r="B843" s="1" t="s">
        <v>306</v>
      </c>
      <c r="C843" s="1">
        <v>17.0</v>
      </c>
      <c r="D843" s="1">
        <v>838.0</v>
      </c>
      <c r="F843" s="2" t="str">
        <f t="shared" si="1"/>
        <v>INSERT INTO tblExamQuestionLink VALUES (seqExamQuestionLink.nextval, 17, 838);</v>
      </c>
    </row>
    <row r="844">
      <c r="A844" s="1">
        <v>839.0</v>
      </c>
      <c r="B844" s="1" t="s">
        <v>306</v>
      </c>
      <c r="C844" s="1">
        <v>17.0</v>
      </c>
      <c r="D844" s="1">
        <v>839.0</v>
      </c>
      <c r="F844" s="2" t="str">
        <f t="shared" si="1"/>
        <v>INSERT INTO tblExamQuestionLink VALUES (seqExamQuestionLink.nextval, 17, 839);</v>
      </c>
    </row>
    <row r="845">
      <c r="A845" s="1">
        <v>840.0</v>
      </c>
      <c r="B845" s="1" t="s">
        <v>306</v>
      </c>
      <c r="C845" s="1">
        <v>17.0</v>
      </c>
      <c r="D845" s="1">
        <v>840.0</v>
      </c>
      <c r="F845" s="2" t="str">
        <f t="shared" si="1"/>
        <v>INSERT INTO tblExamQuestionLink VALUES (seqExamQuestionLink.nextval, 17, 840);</v>
      </c>
    </row>
    <row r="846">
      <c r="A846" s="1">
        <v>841.0</v>
      </c>
      <c r="B846" s="1" t="s">
        <v>306</v>
      </c>
      <c r="C846" s="1">
        <v>17.0</v>
      </c>
      <c r="D846" s="1">
        <v>841.0</v>
      </c>
      <c r="F846" s="2" t="str">
        <f t="shared" si="1"/>
        <v>INSERT INTO tblExamQuestionLink VALUES (seqExamQuestionLink.nextval, 17, 841);</v>
      </c>
    </row>
    <row r="847">
      <c r="A847" s="1">
        <v>842.0</v>
      </c>
      <c r="B847" s="1" t="s">
        <v>306</v>
      </c>
      <c r="C847" s="1">
        <v>17.0</v>
      </c>
      <c r="D847" s="1">
        <v>842.0</v>
      </c>
      <c r="F847" s="2" t="str">
        <f t="shared" si="1"/>
        <v>INSERT INTO tblExamQuestionLink VALUES (seqExamQuestionLink.nextval, 17, 842);</v>
      </c>
    </row>
    <row r="848">
      <c r="A848" s="1">
        <v>843.0</v>
      </c>
      <c r="B848" s="1" t="s">
        <v>306</v>
      </c>
      <c r="C848" s="1">
        <v>17.0</v>
      </c>
      <c r="D848" s="1">
        <v>843.0</v>
      </c>
      <c r="F848" s="2" t="str">
        <f t="shared" si="1"/>
        <v>INSERT INTO tblExamQuestionLink VALUES (seqExamQuestionLink.nextval, 17, 843);</v>
      </c>
    </row>
    <row r="849">
      <c r="A849" s="1">
        <v>844.0</v>
      </c>
      <c r="B849" s="1" t="s">
        <v>306</v>
      </c>
      <c r="C849" s="1">
        <v>17.0</v>
      </c>
      <c r="D849" s="1">
        <v>844.0</v>
      </c>
      <c r="F849" s="2" t="str">
        <f t="shared" si="1"/>
        <v>INSERT INTO tblExamQuestionLink VALUES (seqExamQuestionLink.nextval, 17, 844);</v>
      </c>
    </row>
    <row r="850">
      <c r="A850" s="1">
        <v>845.0</v>
      </c>
      <c r="B850" s="1" t="s">
        <v>306</v>
      </c>
      <c r="C850" s="1">
        <v>17.0</v>
      </c>
      <c r="D850" s="1">
        <v>845.0</v>
      </c>
      <c r="F850" s="2" t="str">
        <f t="shared" si="1"/>
        <v>INSERT INTO tblExamQuestionLink VALUES (seqExamQuestionLink.nextval, 17, 845);</v>
      </c>
    </row>
    <row r="851">
      <c r="A851" s="1">
        <v>846.0</v>
      </c>
      <c r="B851" s="1" t="s">
        <v>306</v>
      </c>
      <c r="C851" s="1">
        <v>17.0</v>
      </c>
      <c r="D851" s="1">
        <v>846.0</v>
      </c>
      <c r="F851" s="2" t="str">
        <f t="shared" si="1"/>
        <v>INSERT INTO tblExamQuestionLink VALUES (seqExamQuestionLink.nextval, 17, 846);</v>
      </c>
    </row>
    <row r="852">
      <c r="A852" s="1">
        <v>847.0</v>
      </c>
      <c r="B852" s="1" t="s">
        <v>306</v>
      </c>
      <c r="C852" s="1">
        <v>17.0</v>
      </c>
      <c r="D852" s="1">
        <v>847.0</v>
      </c>
      <c r="F852" s="2" t="str">
        <f t="shared" si="1"/>
        <v>INSERT INTO tblExamQuestionLink VALUES (seqExamQuestionLink.nextval, 17, 847);</v>
      </c>
    </row>
    <row r="853">
      <c r="A853" s="1">
        <v>848.0</v>
      </c>
      <c r="B853" s="1" t="s">
        <v>306</v>
      </c>
      <c r="C853" s="1">
        <v>17.0</v>
      </c>
      <c r="D853" s="1">
        <v>848.0</v>
      </c>
      <c r="F853" s="2" t="str">
        <f t="shared" si="1"/>
        <v>INSERT INTO tblExamQuestionLink VALUES (seqExamQuestionLink.nextval, 17, 848);</v>
      </c>
    </row>
    <row r="854">
      <c r="A854" s="1">
        <v>849.0</v>
      </c>
      <c r="B854" s="1" t="s">
        <v>306</v>
      </c>
      <c r="C854" s="1">
        <v>17.0</v>
      </c>
      <c r="D854" s="1">
        <v>849.0</v>
      </c>
      <c r="F854" s="2" t="str">
        <f t="shared" si="1"/>
        <v>INSERT INTO tblExamQuestionLink VALUES (seqExamQuestionLink.nextval, 17, 849);</v>
      </c>
    </row>
    <row r="855">
      <c r="A855" s="1">
        <v>850.0</v>
      </c>
      <c r="B855" s="1" t="s">
        <v>306</v>
      </c>
      <c r="C855" s="1">
        <v>17.0</v>
      </c>
      <c r="D855" s="1">
        <v>850.0</v>
      </c>
      <c r="F855" s="2" t="str">
        <f t="shared" si="1"/>
        <v>INSERT INTO tblExamQuestionLink VALUES (seqExamQuestionLink.nextval, 17, 850);</v>
      </c>
    </row>
    <row r="856">
      <c r="A856" s="1">
        <v>851.0</v>
      </c>
      <c r="B856" s="1" t="s">
        <v>306</v>
      </c>
      <c r="C856" s="1">
        <v>18.0</v>
      </c>
      <c r="D856" s="1">
        <v>851.0</v>
      </c>
      <c r="F856" s="2" t="str">
        <f t="shared" si="1"/>
        <v>INSERT INTO tblExamQuestionLink VALUES (seqExamQuestionLink.nextval, 18, 851);</v>
      </c>
    </row>
    <row r="857">
      <c r="A857" s="1">
        <v>852.0</v>
      </c>
      <c r="B857" s="1" t="s">
        <v>306</v>
      </c>
      <c r="C857" s="1">
        <v>18.0</v>
      </c>
      <c r="D857" s="1">
        <v>852.0</v>
      </c>
      <c r="F857" s="2" t="str">
        <f t="shared" si="1"/>
        <v>INSERT INTO tblExamQuestionLink VALUES (seqExamQuestionLink.nextval, 18, 852);</v>
      </c>
    </row>
    <row r="858">
      <c r="A858" s="1">
        <v>853.0</v>
      </c>
      <c r="B858" s="1" t="s">
        <v>306</v>
      </c>
      <c r="C858" s="1">
        <v>18.0</v>
      </c>
      <c r="D858" s="1">
        <v>853.0</v>
      </c>
      <c r="F858" s="2" t="str">
        <f t="shared" si="1"/>
        <v>INSERT INTO tblExamQuestionLink VALUES (seqExamQuestionLink.nextval, 18, 853);</v>
      </c>
    </row>
    <row r="859">
      <c r="A859" s="1">
        <v>854.0</v>
      </c>
      <c r="B859" s="1" t="s">
        <v>306</v>
      </c>
      <c r="C859" s="1">
        <v>18.0</v>
      </c>
      <c r="D859" s="1">
        <v>854.0</v>
      </c>
      <c r="F859" s="2" t="str">
        <f t="shared" si="1"/>
        <v>INSERT INTO tblExamQuestionLink VALUES (seqExamQuestionLink.nextval, 18, 854);</v>
      </c>
    </row>
    <row r="860">
      <c r="A860" s="1">
        <v>855.0</v>
      </c>
      <c r="B860" s="1" t="s">
        <v>306</v>
      </c>
      <c r="C860" s="1">
        <v>18.0</v>
      </c>
      <c r="D860" s="1">
        <v>855.0</v>
      </c>
      <c r="F860" s="2" t="str">
        <f t="shared" si="1"/>
        <v>INSERT INTO tblExamQuestionLink VALUES (seqExamQuestionLink.nextval, 18, 855);</v>
      </c>
    </row>
    <row r="861">
      <c r="A861" s="1">
        <v>856.0</v>
      </c>
      <c r="B861" s="1" t="s">
        <v>306</v>
      </c>
      <c r="C861" s="1">
        <v>18.0</v>
      </c>
      <c r="D861" s="1">
        <v>856.0</v>
      </c>
      <c r="F861" s="2" t="str">
        <f t="shared" si="1"/>
        <v>INSERT INTO tblExamQuestionLink VALUES (seqExamQuestionLink.nextval, 18, 856);</v>
      </c>
    </row>
    <row r="862">
      <c r="A862" s="1">
        <v>857.0</v>
      </c>
      <c r="B862" s="1" t="s">
        <v>306</v>
      </c>
      <c r="C862" s="1">
        <v>18.0</v>
      </c>
      <c r="D862" s="1">
        <v>857.0</v>
      </c>
      <c r="F862" s="2" t="str">
        <f t="shared" si="1"/>
        <v>INSERT INTO tblExamQuestionLink VALUES (seqExamQuestionLink.nextval, 18, 857);</v>
      </c>
    </row>
    <row r="863">
      <c r="A863" s="1">
        <v>858.0</v>
      </c>
      <c r="B863" s="1" t="s">
        <v>306</v>
      </c>
      <c r="C863" s="1">
        <v>18.0</v>
      </c>
      <c r="D863" s="1">
        <v>858.0</v>
      </c>
      <c r="F863" s="2" t="str">
        <f t="shared" si="1"/>
        <v>INSERT INTO tblExamQuestionLink VALUES (seqExamQuestionLink.nextval, 18, 858);</v>
      </c>
    </row>
    <row r="864">
      <c r="A864" s="1">
        <v>859.0</v>
      </c>
      <c r="B864" s="1" t="s">
        <v>306</v>
      </c>
      <c r="C864" s="1">
        <v>18.0</v>
      </c>
      <c r="D864" s="1">
        <v>859.0</v>
      </c>
      <c r="F864" s="2" t="str">
        <f t="shared" si="1"/>
        <v>INSERT INTO tblExamQuestionLink VALUES (seqExamQuestionLink.nextval, 18, 859);</v>
      </c>
    </row>
    <row r="865">
      <c r="A865" s="1">
        <v>860.0</v>
      </c>
      <c r="B865" s="1" t="s">
        <v>306</v>
      </c>
      <c r="C865" s="1">
        <v>18.0</v>
      </c>
      <c r="D865" s="1">
        <v>860.0</v>
      </c>
      <c r="F865" s="2" t="str">
        <f t="shared" si="1"/>
        <v>INSERT INTO tblExamQuestionLink VALUES (seqExamQuestionLink.nextval, 18, 860);</v>
      </c>
    </row>
    <row r="866">
      <c r="A866" s="1">
        <v>861.0</v>
      </c>
      <c r="B866" s="1" t="s">
        <v>306</v>
      </c>
      <c r="C866" s="1">
        <v>18.0</v>
      </c>
      <c r="D866" s="1">
        <v>861.0</v>
      </c>
      <c r="F866" s="2" t="str">
        <f t="shared" si="1"/>
        <v>INSERT INTO tblExamQuestionLink VALUES (seqExamQuestionLink.nextval, 18, 861);</v>
      </c>
    </row>
    <row r="867">
      <c r="A867" s="1">
        <v>862.0</v>
      </c>
      <c r="B867" s="1" t="s">
        <v>306</v>
      </c>
      <c r="C867" s="1">
        <v>18.0</v>
      </c>
      <c r="D867" s="1">
        <v>862.0</v>
      </c>
      <c r="F867" s="2" t="str">
        <f t="shared" si="1"/>
        <v>INSERT INTO tblExamQuestionLink VALUES (seqExamQuestionLink.nextval, 18, 862);</v>
      </c>
    </row>
    <row r="868">
      <c r="A868" s="1">
        <v>863.0</v>
      </c>
      <c r="B868" s="1" t="s">
        <v>306</v>
      </c>
      <c r="C868" s="1">
        <v>18.0</v>
      </c>
      <c r="D868" s="1">
        <v>863.0</v>
      </c>
      <c r="F868" s="2" t="str">
        <f t="shared" si="1"/>
        <v>INSERT INTO tblExamQuestionLink VALUES (seqExamQuestionLink.nextval, 18, 863);</v>
      </c>
    </row>
    <row r="869">
      <c r="A869" s="1">
        <v>864.0</v>
      </c>
      <c r="B869" s="1" t="s">
        <v>306</v>
      </c>
      <c r="C869" s="1">
        <v>18.0</v>
      </c>
      <c r="D869" s="1">
        <v>864.0</v>
      </c>
      <c r="F869" s="2" t="str">
        <f t="shared" si="1"/>
        <v>INSERT INTO tblExamQuestionLink VALUES (seqExamQuestionLink.nextval, 18, 864);</v>
      </c>
    </row>
    <row r="870">
      <c r="A870" s="1">
        <v>865.0</v>
      </c>
      <c r="B870" s="1" t="s">
        <v>306</v>
      </c>
      <c r="C870" s="1">
        <v>18.0</v>
      </c>
      <c r="D870" s="1">
        <v>865.0</v>
      </c>
      <c r="F870" s="2" t="str">
        <f t="shared" si="1"/>
        <v>INSERT INTO tblExamQuestionLink VALUES (seqExamQuestionLink.nextval, 18, 865);</v>
      </c>
    </row>
    <row r="871">
      <c r="A871" s="1">
        <v>866.0</v>
      </c>
      <c r="B871" s="1" t="s">
        <v>306</v>
      </c>
      <c r="C871" s="1">
        <v>18.0</v>
      </c>
      <c r="D871" s="1">
        <v>866.0</v>
      </c>
      <c r="F871" s="2" t="str">
        <f t="shared" si="1"/>
        <v>INSERT INTO tblExamQuestionLink VALUES (seqExamQuestionLink.nextval, 18, 866);</v>
      </c>
    </row>
    <row r="872">
      <c r="A872" s="1">
        <v>867.0</v>
      </c>
      <c r="B872" s="1" t="s">
        <v>306</v>
      </c>
      <c r="C872" s="1">
        <v>18.0</v>
      </c>
      <c r="D872" s="1">
        <v>867.0</v>
      </c>
      <c r="F872" s="2" t="str">
        <f t="shared" si="1"/>
        <v>INSERT INTO tblExamQuestionLink VALUES (seqExamQuestionLink.nextval, 18, 867);</v>
      </c>
    </row>
    <row r="873">
      <c r="A873" s="1">
        <v>868.0</v>
      </c>
      <c r="B873" s="1" t="s">
        <v>306</v>
      </c>
      <c r="C873" s="1">
        <v>18.0</v>
      </c>
      <c r="D873" s="1">
        <v>868.0</v>
      </c>
      <c r="F873" s="2" t="str">
        <f t="shared" si="1"/>
        <v>INSERT INTO tblExamQuestionLink VALUES (seqExamQuestionLink.nextval, 18, 868);</v>
      </c>
    </row>
    <row r="874">
      <c r="A874" s="1">
        <v>869.0</v>
      </c>
      <c r="B874" s="1" t="s">
        <v>306</v>
      </c>
      <c r="C874" s="1">
        <v>18.0</v>
      </c>
      <c r="D874" s="1">
        <v>869.0</v>
      </c>
      <c r="F874" s="2" t="str">
        <f t="shared" si="1"/>
        <v>INSERT INTO tblExamQuestionLink VALUES (seqExamQuestionLink.nextval, 18, 869);</v>
      </c>
    </row>
    <row r="875">
      <c r="A875" s="1">
        <v>870.0</v>
      </c>
      <c r="B875" s="1" t="s">
        <v>306</v>
      </c>
      <c r="C875" s="1">
        <v>18.0</v>
      </c>
      <c r="D875" s="1">
        <v>870.0</v>
      </c>
      <c r="F875" s="2" t="str">
        <f t="shared" si="1"/>
        <v>INSERT INTO tblExamQuestionLink VALUES (seqExamQuestionLink.nextval, 18, 870);</v>
      </c>
    </row>
    <row r="876">
      <c r="A876" s="1">
        <v>871.0</v>
      </c>
      <c r="B876" s="1" t="s">
        <v>306</v>
      </c>
      <c r="C876" s="1">
        <v>18.0</v>
      </c>
      <c r="D876" s="1">
        <v>871.0</v>
      </c>
      <c r="F876" s="2" t="str">
        <f t="shared" si="1"/>
        <v>INSERT INTO tblExamQuestionLink VALUES (seqExamQuestionLink.nextval, 18, 871);</v>
      </c>
    </row>
    <row r="877">
      <c r="A877" s="1">
        <v>872.0</v>
      </c>
      <c r="B877" s="1" t="s">
        <v>306</v>
      </c>
      <c r="C877" s="1">
        <v>18.0</v>
      </c>
      <c r="D877" s="1">
        <v>872.0</v>
      </c>
      <c r="F877" s="2" t="str">
        <f t="shared" si="1"/>
        <v>INSERT INTO tblExamQuestionLink VALUES (seqExamQuestionLink.nextval, 18, 872);</v>
      </c>
    </row>
    <row r="878">
      <c r="A878" s="1">
        <v>873.0</v>
      </c>
      <c r="B878" s="1" t="s">
        <v>306</v>
      </c>
      <c r="C878" s="1">
        <v>18.0</v>
      </c>
      <c r="D878" s="1">
        <v>873.0</v>
      </c>
      <c r="F878" s="2" t="str">
        <f t="shared" si="1"/>
        <v>INSERT INTO tblExamQuestionLink VALUES (seqExamQuestionLink.nextval, 18, 873);</v>
      </c>
    </row>
    <row r="879">
      <c r="A879" s="1">
        <v>874.0</v>
      </c>
      <c r="B879" s="1" t="s">
        <v>306</v>
      </c>
      <c r="C879" s="1">
        <v>18.0</v>
      </c>
      <c r="D879" s="1">
        <v>874.0</v>
      </c>
      <c r="F879" s="2" t="str">
        <f t="shared" si="1"/>
        <v>INSERT INTO tblExamQuestionLink VALUES (seqExamQuestionLink.nextval, 18, 874);</v>
      </c>
    </row>
    <row r="880">
      <c r="A880" s="1">
        <v>875.0</v>
      </c>
      <c r="B880" s="1" t="s">
        <v>306</v>
      </c>
      <c r="C880" s="1">
        <v>18.0</v>
      </c>
      <c r="D880" s="1">
        <v>875.0</v>
      </c>
      <c r="F880" s="2" t="str">
        <f t="shared" si="1"/>
        <v>INSERT INTO tblExamQuestionLink VALUES (seqExamQuestionLink.nextval, 18, 875);</v>
      </c>
    </row>
    <row r="881">
      <c r="A881" s="1">
        <v>876.0</v>
      </c>
      <c r="B881" s="1" t="s">
        <v>306</v>
      </c>
      <c r="C881" s="1">
        <v>18.0</v>
      </c>
      <c r="D881" s="1">
        <v>876.0</v>
      </c>
      <c r="F881" s="2" t="str">
        <f t="shared" si="1"/>
        <v>INSERT INTO tblExamQuestionLink VALUES (seqExamQuestionLink.nextval, 18, 876);</v>
      </c>
    </row>
    <row r="882">
      <c r="A882" s="1">
        <v>877.0</v>
      </c>
      <c r="B882" s="1" t="s">
        <v>306</v>
      </c>
      <c r="C882" s="1">
        <v>18.0</v>
      </c>
      <c r="D882" s="1">
        <v>877.0</v>
      </c>
      <c r="F882" s="2" t="str">
        <f t="shared" si="1"/>
        <v>INSERT INTO tblExamQuestionLink VALUES (seqExamQuestionLink.nextval, 18, 877);</v>
      </c>
    </row>
    <row r="883">
      <c r="A883" s="1">
        <v>878.0</v>
      </c>
      <c r="B883" s="1" t="s">
        <v>306</v>
      </c>
      <c r="C883" s="1">
        <v>18.0</v>
      </c>
      <c r="D883" s="1">
        <v>878.0</v>
      </c>
      <c r="F883" s="2" t="str">
        <f t="shared" si="1"/>
        <v>INSERT INTO tblExamQuestionLink VALUES (seqExamQuestionLink.nextval, 18, 878);</v>
      </c>
    </row>
    <row r="884">
      <c r="A884" s="1">
        <v>879.0</v>
      </c>
      <c r="B884" s="1" t="s">
        <v>306</v>
      </c>
      <c r="C884" s="1">
        <v>18.0</v>
      </c>
      <c r="D884" s="1">
        <v>879.0</v>
      </c>
      <c r="F884" s="2" t="str">
        <f t="shared" si="1"/>
        <v>INSERT INTO tblExamQuestionLink VALUES (seqExamQuestionLink.nextval, 18, 879);</v>
      </c>
    </row>
    <row r="885">
      <c r="A885" s="1">
        <v>880.0</v>
      </c>
      <c r="B885" s="1" t="s">
        <v>306</v>
      </c>
      <c r="C885" s="1">
        <v>18.0</v>
      </c>
      <c r="D885" s="1">
        <v>880.0</v>
      </c>
      <c r="F885" s="2" t="str">
        <f t="shared" si="1"/>
        <v>INSERT INTO tblExamQuestionLink VALUES (seqExamQuestionLink.nextval, 18, 880);</v>
      </c>
    </row>
    <row r="886">
      <c r="A886" s="1">
        <v>881.0</v>
      </c>
      <c r="B886" s="1" t="s">
        <v>306</v>
      </c>
      <c r="C886" s="1">
        <v>18.0</v>
      </c>
      <c r="D886" s="1">
        <v>881.0</v>
      </c>
      <c r="F886" s="2" t="str">
        <f t="shared" si="1"/>
        <v>INSERT INTO tblExamQuestionLink VALUES (seqExamQuestionLink.nextval, 18, 881);</v>
      </c>
    </row>
    <row r="887">
      <c r="A887" s="1">
        <v>882.0</v>
      </c>
      <c r="B887" s="1" t="s">
        <v>306</v>
      </c>
      <c r="C887" s="1">
        <v>18.0</v>
      </c>
      <c r="D887" s="1">
        <v>882.0</v>
      </c>
      <c r="F887" s="2" t="str">
        <f t="shared" si="1"/>
        <v>INSERT INTO tblExamQuestionLink VALUES (seqExamQuestionLink.nextval, 18, 882);</v>
      </c>
    </row>
    <row r="888">
      <c r="A888" s="1">
        <v>883.0</v>
      </c>
      <c r="B888" s="1" t="s">
        <v>306</v>
      </c>
      <c r="C888" s="1">
        <v>18.0</v>
      </c>
      <c r="D888" s="1">
        <v>883.0</v>
      </c>
      <c r="F888" s="2" t="str">
        <f t="shared" si="1"/>
        <v>INSERT INTO tblExamQuestionLink VALUES (seqExamQuestionLink.nextval, 18, 883);</v>
      </c>
    </row>
    <row r="889">
      <c r="A889" s="1">
        <v>884.0</v>
      </c>
      <c r="B889" s="1" t="s">
        <v>306</v>
      </c>
      <c r="C889" s="1">
        <v>18.0</v>
      </c>
      <c r="D889" s="1">
        <v>884.0</v>
      </c>
      <c r="F889" s="2" t="str">
        <f t="shared" si="1"/>
        <v>INSERT INTO tblExamQuestionLink VALUES (seqExamQuestionLink.nextval, 18, 884);</v>
      </c>
    </row>
    <row r="890">
      <c r="A890" s="1">
        <v>885.0</v>
      </c>
      <c r="B890" s="1" t="s">
        <v>306</v>
      </c>
      <c r="C890" s="1">
        <v>18.0</v>
      </c>
      <c r="D890" s="1">
        <v>885.0</v>
      </c>
      <c r="F890" s="2" t="str">
        <f t="shared" si="1"/>
        <v>INSERT INTO tblExamQuestionLink VALUES (seqExamQuestionLink.nextval, 18, 885);</v>
      </c>
    </row>
    <row r="891">
      <c r="A891" s="1">
        <v>886.0</v>
      </c>
      <c r="B891" s="1" t="s">
        <v>306</v>
      </c>
      <c r="C891" s="1">
        <v>18.0</v>
      </c>
      <c r="D891" s="1">
        <v>886.0</v>
      </c>
      <c r="F891" s="2" t="str">
        <f t="shared" si="1"/>
        <v>INSERT INTO tblExamQuestionLink VALUES (seqExamQuestionLink.nextval, 18, 886);</v>
      </c>
    </row>
    <row r="892">
      <c r="A892" s="1">
        <v>887.0</v>
      </c>
      <c r="B892" s="1" t="s">
        <v>306</v>
      </c>
      <c r="C892" s="1">
        <v>18.0</v>
      </c>
      <c r="D892" s="1">
        <v>887.0</v>
      </c>
      <c r="F892" s="2" t="str">
        <f t="shared" si="1"/>
        <v>INSERT INTO tblExamQuestionLink VALUES (seqExamQuestionLink.nextval, 18, 887);</v>
      </c>
    </row>
    <row r="893">
      <c r="A893" s="1">
        <v>888.0</v>
      </c>
      <c r="B893" s="1" t="s">
        <v>306</v>
      </c>
      <c r="C893" s="1">
        <v>18.0</v>
      </c>
      <c r="D893" s="1">
        <v>888.0</v>
      </c>
      <c r="F893" s="2" t="str">
        <f t="shared" si="1"/>
        <v>INSERT INTO tblExamQuestionLink VALUES (seqExamQuestionLink.nextval, 18, 888);</v>
      </c>
    </row>
    <row r="894">
      <c r="A894" s="1">
        <v>889.0</v>
      </c>
      <c r="B894" s="1" t="s">
        <v>306</v>
      </c>
      <c r="C894" s="1">
        <v>18.0</v>
      </c>
      <c r="D894" s="1">
        <v>889.0</v>
      </c>
      <c r="F894" s="2" t="str">
        <f t="shared" si="1"/>
        <v>INSERT INTO tblExamQuestionLink VALUES (seqExamQuestionLink.nextval, 18, 889);</v>
      </c>
    </row>
    <row r="895">
      <c r="A895" s="1">
        <v>890.0</v>
      </c>
      <c r="B895" s="1" t="s">
        <v>306</v>
      </c>
      <c r="C895" s="1">
        <v>18.0</v>
      </c>
      <c r="D895" s="1">
        <v>890.0</v>
      </c>
      <c r="F895" s="2" t="str">
        <f t="shared" si="1"/>
        <v>INSERT INTO tblExamQuestionLink VALUES (seqExamQuestionLink.nextval, 18, 890);</v>
      </c>
    </row>
    <row r="896">
      <c r="A896" s="1">
        <v>891.0</v>
      </c>
      <c r="B896" s="1" t="s">
        <v>306</v>
      </c>
      <c r="C896" s="1">
        <v>18.0</v>
      </c>
      <c r="D896" s="1">
        <v>891.0</v>
      </c>
      <c r="F896" s="2" t="str">
        <f t="shared" si="1"/>
        <v>INSERT INTO tblExamQuestionLink VALUES (seqExamQuestionLink.nextval, 18, 891);</v>
      </c>
    </row>
    <row r="897">
      <c r="A897" s="1">
        <v>892.0</v>
      </c>
      <c r="B897" s="1" t="s">
        <v>306</v>
      </c>
      <c r="C897" s="1">
        <v>18.0</v>
      </c>
      <c r="D897" s="1">
        <v>892.0</v>
      </c>
      <c r="F897" s="2" t="str">
        <f t="shared" si="1"/>
        <v>INSERT INTO tblExamQuestionLink VALUES (seqExamQuestionLink.nextval, 18, 892);</v>
      </c>
    </row>
    <row r="898">
      <c r="A898" s="1">
        <v>893.0</v>
      </c>
      <c r="B898" s="1" t="s">
        <v>306</v>
      </c>
      <c r="C898" s="1">
        <v>18.0</v>
      </c>
      <c r="D898" s="1">
        <v>893.0</v>
      </c>
      <c r="F898" s="2" t="str">
        <f t="shared" si="1"/>
        <v>INSERT INTO tblExamQuestionLink VALUES (seqExamQuestionLink.nextval, 18, 893);</v>
      </c>
    </row>
    <row r="899">
      <c r="A899" s="1">
        <v>894.0</v>
      </c>
      <c r="B899" s="1" t="s">
        <v>306</v>
      </c>
      <c r="C899" s="1">
        <v>18.0</v>
      </c>
      <c r="D899" s="1">
        <v>894.0</v>
      </c>
      <c r="F899" s="2" t="str">
        <f t="shared" si="1"/>
        <v>INSERT INTO tblExamQuestionLink VALUES (seqExamQuestionLink.nextval, 18, 894);</v>
      </c>
    </row>
    <row r="900">
      <c r="A900" s="1">
        <v>895.0</v>
      </c>
      <c r="B900" s="1" t="s">
        <v>306</v>
      </c>
      <c r="C900" s="1">
        <v>18.0</v>
      </c>
      <c r="D900" s="1">
        <v>895.0</v>
      </c>
      <c r="F900" s="2" t="str">
        <f t="shared" si="1"/>
        <v>INSERT INTO tblExamQuestionLink VALUES (seqExamQuestionLink.nextval, 18, 895);</v>
      </c>
    </row>
    <row r="901">
      <c r="A901" s="1">
        <v>896.0</v>
      </c>
      <c r="B901" s="1" t="s">
        <v>306</v>
      </c>
      <c r="C901" s="1">
        <v>18.0</v>
      </c>
      <c r="D901" s="1">
        <v>896.0</v>
      </c>
      <c r="F901" s="2" t="str">
        <f t="shared" si="1"/>
        <v>INSERT INTO tblExamQuestionLink VALUES (seqExamQuestionLink.nextval, 18, 896);</v>
      </c>
    </row>
    <row r="902">
      <c r="A902" s="1">
        <v>897.0</v>
      </c>
      <c r="B902" s="1" t="s">
        <v>306</v>
      </c>
      <c r="C902" s="1">
        <v>18.0</v>
      </c>
      <c r="D902" s="1">
        <v>897.0</v>
      </c>
      <c r="F902" s="2" t="str">
        <f t="shared" si="1"/>
        <v>INSERT INTO tblExamQuestionLink VALUES (seqExamQuestionLink.nextval, 18, 897);</v>
      </c>
    </row>
    <row r="903">
      <c r="A903" s="1">
        <v>898.0</v>
      </c>
      <c r="B903" s="1" t="s">
        <v>306</v>
      </c>
      <c r="C903" s="1">
        <v>18.0</v>
      </c>
      <c r="D903" s="1">
        <v>898.0</v>
      </c>
      <c r="F903" s="2" t="str">
        <f t="shared" si="1"/>
        <v>INSERT INTO tblExamQuestionLink VALUES (seqExamQuestionLink.nextval, 18, 898);</v>
      </c>
    </row>
    <row r="904">
      <c r="A904" s="1">
        <v>899.0</v>
      </c>
      <c r="B904" s="1" t="s">
        <v>306</v>
      </c>
      <c r="C904" s="1">
        <v>18.0</v>
      </c>
      <c r="D904" s="1">
        <v>899.0</v>
      </c>
      <c r="F904" s="2" t="str">
        <f t="shared" si="1"/>
        <v>INSERT INTO tblExamQuestionLink VALUES (seqExamQuestionLink.nextval, 18, 899);</v>
      </c>
    </row>
    <row r="905">
      <c r="A905" s="1">
        <v>900.0</v>
      </c>
      <c r="B905" s="1" t="s">
        <v>306</v>
      </c>
      <c r="C905" s="1">
        <v>18.0</v>
      </c>
      <c r="D905" s="1">
        <v>900.0</v>
      </c>
      <c r="F905" s="2" t="str">
        <f t="shared" si="1"/>
        <v>INSERT INTO tblExamQuestionLink VALUES (seqExamQuestionLink.nextval, 18, 900);</v>
      </c>
    </row>
    <row r="906">
      <c r="A906" s="1">
        <v>901.0</v>
      </c>
      <c r="B906" s="1" t="s">
        <v>306</v>
      </c>
      <c r="C906" s="1">
        <v>19.0</v>
      </c>
      <c r="D906" s="1">
        <v>901.0</v>
      </c>
      <c r="F906" s="2" t="str">
        <f t="shared" si="1"/>
        <v>INSERT INTO tblExamQuestionLink VALUES (seqExamQuestionLink.nextval, 19, 901);</v>
      </c>
    </row>
    <row r="907">
      <c r="A907" s="1">
        <v>902.0</v>
      </c>
      <c r="B907" s="1" t="s">
        <v>306</v>
      </c>
      <c r="C907" s="1">
        <v>19.0</v>
      </c>
      <c r="D907" s="1">
        <v>902.0</v>
      </c>
      <c r="F907" s="2" t="str">
        <f t="shared" si="1"/>
        <v>INSERT INTO tblExamQuestionLink VALUES (seqExamQuestionLink.nextval, 19, 902);</v>
      </c>
    </row>
    <row r="908">
      <c r="A908" s="1">
        <v>903.0</v>
      </c>
      <c r="B908" s="1" t="s">
        <v>306</v>
      </c>
      <c r="C908" s="1">
        <v>19.0</v>
      </c>
      <c r="D908" s="1">
        <v>903.0</v>
      </c>
      <c r="F908" s="2" t="str">
        <f t="shared" si="1"/>
        <v>INSERT INTO tblExamQuestionLink VALUES (seqExamQuestionLink.nextval, 19, 903);</v>
      </c>
    </row>
    <row r="909">
      <c r="A909" s="1">
        <v>904.0</v>
      </c>
      <c r="B909" s="1" t="s">
        <v>306</v>
      </c>
      <c r="C909" s="1">
        <v>19.0</v>
      </c>
      <c r="D909" s="1">
        <v>904.0</v>
      </c>
      <c r="F909" s="2" t="str">
        <f t="shared" si="1"/>
        <v>INSERT INTO tblExamQuestionLink VALUES (seqExamQuestionLink.nextval, 19, 904);</v>
      </c>
    </row>
    <row r="910">
      <c r="A910" s="1">
        <v>905.0</v>
      </c>
      <c r="B910" s="1" t="s">
        <v>306</v>
      </c>
      <c r="C910" s="1">
        <v>19.0</v>
      </c>
      <c r="D910" s="1">
        <v>905.0</v>
      </c>
      <c r="F910" s="2" t="str">
        <f t="shared" si="1"/>
        <v>INSERT INTO tblExamQuestionLink VALUES (seqExamQuestionLink.nextval, 19, 905);</v>
      </c>
    </row>
    <row r="911">
      <c r="A911" s="1">
        <v>906.0</v>
      </c>
      <c r="B911" s="1" t="s">
        <v>306</v>
      </c>
      <c r="C911" s="1">
        <v>19.0</v>
      </c>
      <c r="D911" s="1">
        <v>906.0</v>
      </c>
      <c r="F911" s="2" t="str">
        <f t="shared" si="1"/>
        <v>INSERT INTO tblExamQuestionLink VALUES (seqExamQuestionLink.nextval, 19, 906);</v>
      </c>
    </row>
    <row r="912">
      <c r="A912" s="1">
        <v>907.0</v>
      </c>
      <c r="B912" s="1" t="s">
        <v>306</v>
      </c>
      <c r="C912" s="1">
        <v>19.0</v>
      </c>
      <c r="D912" s="1">
        <v>907.0</v>
      </c>
      <c r="F912" s="2" t="str">
        <f t="shared" si="1"/>
        <v>INSERT INTO tblExamQuestionLink VALUES (seqExamQuestionLink.nextval, 19, 907);</v>
      </c>
    </row>
    <row r="913">
      <c r="A913" s="1">
        <v>908.0</v>
      </c>
      <c r="B913" s="1" t="s">
        <v>306</v>
      </c>
      <c r="C913" s="1">
        <v>19.0</v>
      </c>
      <c r="D913" s="1">
        <v>908.0</v>
      </c>
      <c r="F913" s="2" t="str">
        <f t="shared" si="1"/>
        <v>INSERT INTO tblExamQuestionLink VALUES (seqExamQuestionLink.nextval, 19, 908);</v>
      </c>
    </row>
    <row r="914">
      <c r="A914" s="1">
        <v>909.0</v>
      </c>
      <c r="B914" s="1" t="s">
        <v>306</v>
      </c>
      <c r="C914" s="1">
        <v>19.0</v>
      </c>
      <c r="D914" s="1">
        <v>909.0</v>
      </c>
      <c r="F914" s="2" t="str">
        <f t="shared" si="1"/>
        <v>INSERT INTO tblExamQuestionLink VALUES (seqExamQuestionLink.nextval, 19, 909);</v>
      </c>
    </row>
    <row r="915">
      <c r="A915" s="1">
        <v>910.0</v>
      </c>
      <c r="B915" s="1" t="s">
        <v>306</v>
      </c>
      <c r="C915" s="1">
        <v>19.0</v>
      </c>
      <c r="D915" s="1">
        <v>910.0</v>
      </c>
      <c r="F915" s="2" t="str">
        <f t="shared" si="1"/>
        <v>INSERT INTO tblExamQuestionLink VALUES (seqExamQuestionLink.nextval, 19, 910);</v>
      </c>
    </row>
    <row r="916">
      <c r="A916" s="1">
        <v>911.0</v>
      </c>
      <c r="B916" s="1" t="s">
        <v>306</v>
      </c>
      <c r="C916" s="1">
        <v>19.0</v>
      </c>
      <c r="D916" s="1">
        <v>911.0</v>
      </c>
      <c r="F916" s="2" t="str">
        <f t="shared" si="1"/>
        <v>INSERT INTO tblExamQuestionLink VALUES (seqExamQuestionLink.nextval, 19, 911);</v>
      </c>
    </row>
    <row r="917">
      <c r="A917" s="1">
        <v>912.0</v>
      </c>
      <c r="B917" s="1" t="s">
        <v>306</v>
      </c>
      <c r="C917" s="1">
        <v>19.0</v>
      </c>
      <c r="D917" s="1">
        <v>912.0</v>
      </c>
      <c r="F917" s="2" t="str">
        <f t="shared" si="1"/>
        <v>INSERT INTO tblExamQuestionLink VALUES (seqExamQuestionLink.nextval, 19, 912);</v>
      </c>
    </row>
    <row r="918">
      <c r="A918" s="1">
        <v>913.0</v>
      </c>
      <c r="B918" s="1" t="s">
        <v>306</v>
      </c>
      <c r="C918" s="1">
        <v>19.0</v>
      </c>
      <c r="D918" s="1">
        <v>913.0</v>
      </c>
      <c r="F918" s="2" t="str">
        <f t="shared" si="1"/>
        <v>INSERT INTO tblExamQuestionLink VALUES (seqExamQuestionLink.nextval, 19, 913);</v>
      </c>
    </row>
    <row r="919">
      <c r="A919" s="1">
        <v>914.0</v>
      </c>
      <c r="B919" s="1" t="s">
        <v>306</v>
      </c>
      <c r="C919" s="1">
        <v>19.0</v>
      </c>
      <c r="D919" s="1">
        <v>914.0</v>
      </c>
      <c r="F919" s="2" t="str">
        <f t="shared" si="1"/>
        <v>INSERT INTO tblExamQuestionLink VALUES (seqExamQuestionLink.nextval, 19, 914);</v>
      </c>
    </row>
    <row r="920">
      <c r="A920" s="1">
        <v>915.0</v>
      </c>
      <c r="B920" s="1" t="s">
        <v>306</v>
      </c>
      <c r="C920" s="1">
        <v>19.0</v>
      </c>
      <c r="D920" s="1">
        <v>915.0</v>
      </c>
      <c r="F920" s="2" t="str">
        <f t="shared" si="1"/>
        <v>INSERT INTO tblExamQuestionLink VALUES (seqExamQuestionLink.nextval, 19, 915);</v>
      </c>
    </row>
    <row r="921">
      <c r="A921" s="1">
        <v>916.0</v>
      </c>
      <c r="B921" s="1" t="s">
        <v>306</v>
      </c>
      <c r="C921" s="1">
        <v>19.0</v>
      </c>
      <c r="D921" s="1">
        <v>916.0</v>
      </c>
      <c r="F921" s="2" t="str">
        <f t="shared" si="1"/>
        <v>INSERT INTO tblExamQuestionLink VALUES (seqExamQuestionLink.nextval, 19, 916);</v>
      </c>
    </row>
    <row r="922">
      <c r="A922" s="1">
        <v>917.0</v>
      </c>
      <c r="B922" s="1" t="s">
        <v>306</v>
      </c>
      <c r="C922" s="1">
        <v>19.0</v>
      </c>
      <c r="D922" s="1">
        <v>917.0</v>
      </c>
      <c r="F922" s="2" t="str">
        <f t="shared" si="1"/>
        <v>INSERT INTO tblExamQuestionLink VALUES (seqExamQuestionLink.nextval, 19, 917);</v>
      </c>
    </row>
    <row r="923">
      <c r="A923" s="1">
        <v>918.0</v>
      </c>
      <c r="B923" s="1" t="s">
        <v>306</v>
      </c>
      <c r="C923" s="1">
        <v>19.0</v>
      </c>
      <c r="D923" s="1">
        <v>918.0</v>
      </c>
      <c r="F923" s="2" t="str">
        <f t="shared" si="1"/>
        <v>INSERT INTO tblExamQuestionLink VALUES (seqExamQuestionLink.nextval, 19, 918);</v>
      </c>
    </row>
    <row r="924">
      <c r="A924" s="1">
        <v>919.0</v>
      </c>
      <c r="B924" s="1" t="s">
        <v>306</v>
      </c>
      <c r="C924" s="1">
        <v>19.0</v>
      </c>
      <c r="D924" s="1">
        <v>919.0</v>
      </c>
      <c r="F924" s="2" t="str">
        <f t="shared" si="1"/>
        <v>INSERT INTO tblExamQuestionLink VALUES (seqExamQuestionLink.nextval, 19, 919);</v>
      </c>
    </row>
    <row r="925">
      <c r="A925" s="1">
        <v>920.0</v>
      </c>
      <c r="B925" s="1" t="s">
        <v>306</v>
      </c>
      <c r="C925" s="1">
        <v>19.0</v>
      </c>
      <c r="D925" s="1">
        <v>920.0</v>
      </c>
      <c r="F925" s="2" t="str">
        <f t="shared" si="1"/>
        <v>INSERT INTO tblExamQuestionLink VALUES (seqExamQuestionLink.nextval, 19, 920);</v>
      </c>
    </row>
    <row r="926">
      <c r="A926" s="1">
        <v>921.0</v>
      </c>
      <c r="B926" s="1" t="s">
        <v>306</v>
      </c>
      <c r="C926" s="1">
        <v>19.0</v>
      </c>
      <c r="D926" s="1">
        <v>921.0</v>
      </c>
      <c r="F926" s="2" t="str">
        <f t="shared" si="1"/>
        <v>INSERT INTO tblExamQuestionLink VALUES (seqExamQuestionLink.nextval, 19, 921);</v>
      </c>
    </row>
    <row r="927">
      <c r="A927" s="1">
        <v>922.0</v>
      </c>
      <c r="B927" s="1" t="s">
        <v>306</v>
      </c>
      <c r="C927" s="1">
        <v>19.0</v>
      </c>
      <c r="D927" s="1">
        <v>922.0</v>
      </c>
      <c r="F927" s="2" t="str">
        <f t="shared" si="1"/>
        <v>INSERT INTO tblExamQuestionLink VALUES (seqExamQuestionLink.nextval, 19, 922);</v>
      </c>
    </row>
    <row r="928">
      <c r="A928" s="1">
        <v>923.0</v>
      </c>
      <c r="B928" s="1" t="s">
        <v>306</v>
      </c>
      <c r="C928" s="1">
        <v>19.0</v>
      </c>
      <c r="D928" s="1">
        <v>923.0</v>
      </c>
      <c r="F928" s="2" t="str">
        <f t="shared" si="1"/>
        <v>INSERT INTO tblExamQuestionLink VALUES (seqExamQuestionLink.nextval, 19, 923);</v>
      </c>
    </row>
    <row r="929">
      <c r="A929" s="1">
        <v>924.0</v>
      </c>
      <c r="B929" s="1" t="s">
        <v>306</v>
      </c>
      <c r="C929" s="1">
        <v>19.0</v>
      </c>
      <c r="D929" s="1">
        <v>924.0</v>
      </c>
      <c r="F929" s="2" t="str">
        <f t="shared" si="1"/>
        <v>INSERT INTO tblExamQuestionLink VALUES (seqExamQuestionLink.nextval, 19, 924);</v>
      </c>
    </row>
    <row r="930">
      <c r="A930" s="1">
        <v>925.0</v>
      </c>
      <c r="B930" s="1" t="s">
        <v>306</v>
      </c>
      <c r="C930" s="1">
        <v>19.0</v>
      </c>
      <c r="D930" s="1">
        <v>925.0</v>
      </c>
      <c r="F930" s="2" t="str">
        <f t="shared" si="1"/>
        <v>INSERT INTO tblExamQuestionLink VALUES (seqExamQuestionLink.nextval, 19, 925);</v>
      </c>
    </row>
    <row r="931">
      <c r="A931" s="1">
        <v>926.0</v>
      </c>
      <c r="B931" s="1" t="s">
        <v>306</v>
      </c>
      <c r="C931" s="1">
        <v>19.0</v>
      </c>
      <c r="D931" s="1">
        <v>926.0</v>
      </c>
      <c r="F931" s="2" t="str">
        <f t="shared" si="1"/>
        <v>INSERT INTO tblExamQuestionLink VALUES (seqExamQuestionLink.nextval, 19, 926);</v>
      </c>
    </row>
    <row r="932">
      <c r="A932" s="1">
        <v>927.0</v>
      </c>
      <c r="B932" s="1" t="s">
        <v>306</v>
      </c>
      <c r="C932" s="1">
        <v>19.0</v>
      </c>
      <c r="D932" s="1">
        <v>927.0</v>
      </c>
      <c r="F932" s="2" t="str">
        <f t="shared" si="1"/>
        <v>INSERT INTO tblExamQuestionLink VALUES (seqExamQuestionLink.nextval, 19, 927);</v>
      </c>
    </row>
    <row r="933">
      <c r="A933" s="1">
        <v>928.0</v>
      </c>
      <c r="B933" s="1" t="s">
        <v>306</v>
      </c>
      <c r="C933" s="1">
        <v>19.0</v>
      </c>
      <c r="D933" s="1">
        <v>928.0</v>
      </c>
      <c r="F933" s="2" t="str">
        <f t="shared" si="1"/>
        <v>INSERT INTO tblExamQuestionLink VALUES (seqExamQuestionLink.nextval, 19, 928);</v>
      </c>
    </row>
    <row r="934">
      <c r="A934" s="1">
        <v>929.0</v>
      </c>
      <c r="B934" s="1" t="s">
        <v>306</v>
      </c>
      <c r="C934" s="1">
        <v>19.0</v>
      </c>
      <c r="D934" s="1">
        <v>929.0</v>
      </c>
      <c r="F934" s="2" t="str">
        <f t="shared" si="1"/>
        <v>INSERT INTO tblExamQuestionLink VALUES (seqExamQuestionLink.nextval, 19, 929);</v>
      </c>
    </row>
    <row r="935">
      <c r="A935" s="1">
        <v>930.0</v>
      </c>
      <c r="B935" s="1" t="s">
        <v>306</v>
      </c>
      <c r="C935" s="1">
        <v>19.0</v>
      </c>
      <c r="D935" s="1">
        <v>930.0</v>
      </c>
      <c r="F935" s="2" t="str">
        <f t="shared" si="1"/>
        <v>INSERT INTO tblExamQuestionLink VALUES (seqExamQuestionLink.nextval, 19, 930);</v>
      </c>
    </row>
    <row r="936">
      <c r="A936" s="1">
        <v>931.0</v>
      </c>
      <c r="B936" s="1" t="s">
        <v>306</v>
      </c>
      <c r="C936" s="1">
        <v>19.0</v>
      </c>
      <c r="D936" s="1">
        <v>931.0</v>
      </c>
      <c r="F936" s="2" t="str">
        <f t="shared" si="1"/>
        <v>INSERT INTO tblExamQuestionLink VALUES (seqExamQuestionLink.nextval, 19, 931);</v>
      </c>
    </row>
    <row r="937">
      <c r="A937" s="1">
        <v>932.0</v>
      </c>
      <c r="B937" s="1" t="s">
        <v>306</v>
      </c>
      <c r="C937" s="1">
        <v>19.0</v>
      </c>
      <c r="D937" s="1">
        <v>932.0</v>
      </c>
      <c r="F937" s="2" t="str">
        <f t="shared" si="1"/>
        <v>INSERT INTO tblExamQuestionLink VALUES (seqExamQuestionLink.nextval, 19, 932);</v>
      </c>
    </row>
    <row r="938">
      <c r="A938" s="1">
        <v>933.0</v>
      </c>
      <c r="B938" s="1" t="s">
        <v>306</v>
      </c>
      <c r="C938" s="1">
        <v>19.0</v>
      </c>
      <c r="D938" s="1">
        <v>933.0</v>
      </c>
      <c r="F938" s="2" t="str">
        <f t="shared" si="1"/>
        <v>INSERT INTO tblExamQuestionLink VALUES (seqExamQuestionLink.nextval, 19, 933);</v>
      </c>
    </row>
    <row r="939">
      <c r="A939" s="1">
        <v>934.0</v>
      </c>
      <c r="B939" s="1" t="s">
        <v>306</v>
      </c>
      <c r="C939" s="1">
        <v>19.0</v>
      </c>
      <c r="D939" s="1">
        <v>934.0</v>
      </c>
      <c r="F939" s="2" t="str">
        <f t="shared" si="1"/>
        <v>INSERT INTO tblExamQuestionLink VALUES (seqExamQuestionLink.nextval, 19, 934);</v>
      </c>
    </row>
    <row r="940">
      <c r="A940" s="1">
        <v>935.0</v>
      </c>
      <c r="B940" s="1" t="s">
        <v>306</v>
      </c>
      <c r="C940" s="1">
        <v>19.0</v>
      </c>
      <c r="D940" s="1">
        <v>935.0</v>
      </c>
      <c r="F940" s="2" t="str">
        <f t="shared" si="1"/>
        <v>INSERT INTO tblExamQuestionLink VALUES (seqExamQuestionLink.nextval, 19, 935);</v>
      </c>
    </row>
    <row r="941">
      <c r="A941" s="1">
        <v>936.0</v>
      </c>
      <c r="B941" s="1" t="s">
        <v>306</v>
      </c>
      <c r="C941" s="1">
        <v>19.0</v>
      </c>
      <c r="D941" s="1">
        <v>936.0</v>
      </c>
      <c r="F941" s="2" t="str">
        <f t="shared" si="1"/>
        <v>INSERT INTO tblExamQuestionLink VALUES (seqExamQuestionLink.nextval, 19, 936);</v>
      </c>
    </row>
    <row r="942">
      <c r="A942" s="1">
        <v>937.0</v>
      </c>
      <c r="B942" s="1" t="s">
        <v>306</v>
      </c>
      <c r="C942" s="1">
        <v>19.0</v>
      </c>
      <c r="D942" s="1">
        <v>937.0</v>
      </c>
      <c r="F942" s="2" t="str">
        <f t="shared" si="1"/>
        <v>INSERT INTO tblExamQuestionLink VALUES (seqExamQuestionLink.nextval, 19, 937);</v>
      </c>
    </row>
    <row r="943">
      <c r="A943" s="1">
        <v>938.0</v>
      </c>
      <c r="B943" s="1" t="s">
        <v>306</v>
      </c>
      <c r="C943" s="1">
        <v>19.0</v>
      </c>
      <c r="D943" s="1">
        <v>938.0</v>
      </c>
      <c r="F943" s="2" t="str">
        <f t="shared" si="1"/>
        <v>INSERT INTO tblExamQuestionLink VALUES (seqExamQuestionLink.nextval, 19, 938);</v>
      </c>
    </row>
    <row r="944">
      <c r="A944" s="1">
        <v>939.0</v>
      </c>
      <c r="B944" s="1" t="s">
        <v>306</v>
      </c>
      <c r="C944" s="1">
        <v>19.0</v>
      </c>
      <c r="D944" s="1">
        <v>939.0</v>
      </c>
      <c r="F944" s="2" t="str">
        <f t="shared" si="1"/>
        <v>INSERT INTO tblExamQuestionLink VALUES (seqExamQuestionLink.nextval, 19, 939);</v>
      </c>
    </row>
    <row r="945">
      <c r="A945" s="1">
        <v>940.0</v>
      </c>
      <c r="B945" s="1" t="s">
        <v>306</v>
      </c>
      <c r="C945" s="1">
        <v>19.0</v>
      </c>
      <c r="D945" s="1">
        <v>940.0</v>
      </c>
      <c r="F945" s="2" t="str">
        <f t="shared" si="1"/>
        <v>INSERT INTO tblExamQuestionLink VALUES (seqExamQuestionLink.nextval, 19, 940);</v>
      </c>
    </row>
    <row r="946">
      <c r="A946" s="1">
        <v>941.0</v>
      </c>
      <c r="B946" s="1" t="s">
        <v>306</v>
      </c>
      <c r="C946" s="1">
        <v>19.0</v>
      </c>
      <c r="D946" s="1">
        <v>941.0</v>
      </c>
      <c r="F946" s="2" t="str">
        <f t="shared" si="1"/>
        <v>INSERT INTO tblExamQuestionLink VALUES (seqExamQuestionLink.nextval, 19, 941);</v>
      </c>
    </row>
    <row r="947">
      <c r="A947" s="1">
        <v>942.0</v>
      </c>
      <c r="B947" s="1" t="s">
        <v>306</v>
      </c>
      <c r="C947" s="1">
        <v>19.0</v>
      </c>
      <c r="D947" s="1">
        <v>942.0</v>
      </c>
      <c r="F947" s="2" t="str">
        <f t="shared" si="1"/>
        <v>INSERT INTO tblExamQuestionLink VALUES (seqExamQuestionLink.nextval, 19, 942);</v>
      </c>
    </row>
    <row r="948">
      <c r="A948" s="1">
        <v>943.0</v>
      </c>
      <c r="B948" s="1" t="s">
        <v>306</v>
      </c>
      <c r="C948" s="1">
        <v>19.0</v>
      </c>
      <c r="D948" s="1">
        <v>943.0</v>
      </c>
      <c r="F948" s="2" t="str">
        <f t="shared" si="1"/>
        <v>INSERT INTO tblExamQuestionLink VALUES (seqExamQuestionLink.nextval, 19, 943);</v>
      </c>
    </row>
    <row r="949">
      <c r="A949" s="1">
        <v>944.0</v>
      </c>
      <c r="B949" s="1" t="s">
        <v>306</v>
      </c>
      <c r="C949" s="1">
        <v>19.0</v>
      </c>
      <c r="D949" s="1">
        <v>944.0</v>
      </c>
      <c r="F949" s="2" t="str">
        <f t="shared" si="1"/>
        <v>INSERT INTO tblExamQuestionLink VALUES (seqExamQuestionLink.nextval, 19, 944);</v>
      </c>
    </row>
    <row r="950">
      <c r="A950" s="1">
        <v>945.0</v>
      </c>
      <c r="B950" s="1" t="s">
        <v>306</v>
      </c>
      <c r="C950" s="1">
        <v>19.0</v>
      </c>
      <c r="D950" s="1">
        <v>945.0</v>
      </c>
      <c r="F950" s="2" t="str">
        <f t="shared" si="1"/>
        <v>INSERT INTO tblExamQuestionLink VALUES (seqExamQuestionLink.nextval, 19, 945);</v>
      </c>
    </row>
    <row r="951">
      <c r="A951" s="1">
        <v>946.0</v>
      </c>
      <c r="B951" s="1" t="s">
        <v>306</v>
      </c>
      <c r="C951" s="1">
        <v>19.0</v>
      </c>
      <c r="D951" s="1">
        <v>946.0</v>
      </c>
      <c r="F951" s="2" t="str">
        <f t="shared" si="1"/>
        <v>INSERT INTO tblExamQuestionLink VALUES (seqExamQuestionLink.nextval, 19, 946);</v>
      </c>
    </row>
    <row r="952">
      <c r="A952" s="1">
        <v>947.0</v>
      </c>
      <c r="B952" s="1" t="s">
        <v>306</v>
      </c>
      <c r="C952" s="1">
        <v>19.0</v>
      </c>
      <c r="D952" s="1">
        <v>947.0</v>
      </c>
      <c r="F952" s="2" t="str">
        <f t="shared" si="1"/>
        <v>INSERT INTO tblExamQuestionLink VALUES (seqExamQuestionLink.nextval, 19, 947);</v>
      </c>
    </row>
    <row r="953">
      <c r="A953" s="1">
        <v>948.0</v>
      </c>
      <c r="B953" s="1" t="s">
        <v>306</v>
      </c>
      <c r="C953" s="1">
        <v>19.0</v>
      </c>
      <c r="D953" s="1">
        <v>948.0</v>
      </c>
      <c r="F953" s="2" t="str">
        <f t="shared" si="1"/>
        <v>INSERT INTO tblExamQuestionLink VALUES (seqExamQuestionLink.nextval, 19, 948);</v>
      </c>
    </row>
    <row r="954">
      <c r="A954" s="1">
        <v>949.0</v>
      </c>
      <c r="B954" s="1" t="s">
        <v>306</v>
      </c>
      <c r="C954" s="1">
        <v>19.0</v>
      </c>
      <c r="D954" s="1">
        <v>949.0</v>
      </c>
      <c r="F954" s="2" t="str">
        <f t="shared" si="1"/>
        <v>INSERT INTO tblExamQuestionLink VALUES (seqExamQuestionLink.nextval, 19, 949);</v>
      </c>
    </row>
    <row r="955">
      <c r="A955" s="1">
        <v>950.0</v>
      </c>
      <c r="B955" s="1" t="s">
        <v>306</v>
      </c>
      <c r="C955" s="1">
        <v>19.0</v>
      </c>
      <c r="D955" s="1">
        <v>950.0</v>
      </c>
      <c r="F955" s="2" t="str">
        <f t="shared" si="1"/>
        <v>INSERT INTO tblExamQuestionLink VALUES (seqExamQuestionLink.nextval, 19, 950);</v>
      </c>
    </row>
    <row r="956">
      <c r="A956" s="1">
        <v>951.0</v>
      </c>
      <c r="B956" s="1" t="s">
        <v>306</v>
      </c>
      <c r="C956" s="1">
        <v>20.0</v>
      </c>
      <c r="D956" s="1">
        <v>951.0</v>
      </c>
      <c r="F956" s="2" t="str">
        <f t="shared" si="1"/>
        <v>INSERT INTO tblExamQuestionLink VALUES (seqExamQuestionLink.nextval, 20, 951);</v>
      </c>
    </row>
    <row r="957">
      <c r="A957" s="1">
        <v>952.0</v>
      </c>
      <c r="B957" s="1" t="s">
        <v>306</v>
      </c>
      <c r="C957" s="1">
        <v>20.0</v>
      </c>
      <c r="D957" s="1">
        <v>952.0</v>
      </c>
      <c r="F957" s="2" t="str">
        <f t="shared" si="1"/>
        <v>INSERT INTO tblExamQuestionLink VALUES (seqExamQuestionLink.nextval, 20, 952);</v>
      </c>
    </row>
    <row r="958">
      <c r="A958" s="1">
        <v>953.0</v>
      </c>
      <c r="B958" s="1" t="s">
        <v>306</v>
      </c>
      <c r="C958" s="1">
        <v>20.0</v>
      </c>
      <c r="D958" s="1">
        <v>953.0</v>
      </c>
      <c r="F958" s="2" t="str">
        <f t="shared" si="1"/>
        <v>INSERT INTO tblExamQuestionLink VALUES (seqExamQuestionLink.nextval, 20, 953);</v>
      </c>
    </row>
    <row r="959">
      <c r="A959" s="1">
        <v>954.0</v>
      </c>
      <c r="B959" s="1" t="s">
        <v>306</v>
      </c>
      <c r="C959" s="1">
        <v>20.0</v>
      </c>
      <c r="D959" s="1">
        <v>954.0</v>
      </c>
      <c r="F959" s="2" t="str">
        <f t="shared" si="1"/>
        <v>INSERT INTO tblExamQuestionLink VALUES (seqExamQuestionLink.nextval, 20, 954);</v>
      </c>
    </row>
    <row r="960">
      <c r="A960" s="1">
        <v>955.0</v>
      </c>
      <c r="B960" s="1" t="s">
        <v>306</v>
      </c>
      <c r="C960" s="1">
        <v>20.0</v>
      </c>
      <c r="D960" s="1">
        <v>955.0</v>
      </c>
      <c r="F960" s="2" t="str">
        <f t="shared" si="1"/>
        <v>INSERT INTO tblExamQuestionLink VALUES (seqExamQuestionLink.nextval, 20, 955);</v>
      </c>
    </row>
    <row r="961">
      <c r="A961" s="1">
        <v>956.0</v>
      </c>
      <c r="B961" s="1" t="s">
        <v>306</v>
      </c>
      <c r="C961" s="1">
        <v>20.0</v>
      </c>
      <c r="D961" s="1">
        <v>956.0</v>
      </c>
      <c r="F961" s="2" t="str">
        <f t="shared" si="1"/>
        <v>INSERT INTO tblExamQuestionLink VALUES (seqExamQuestionLink.nextval, 20, 956);</v>
      </c>
    </row>
    <row r="962">
      <c r="A962" s="1">
        <v>957.0</v>
      </c>
      <c r="B962" s="1" t="s">
        <v>306</v>
      </c>
      <c r="C962" s="1">
        <v>20.0</v>
      </c>
      <c r="D962" s="1">
        <v>957.0</v>
      </c>
      <c r="F962" s="2" t="str">
        <f t="shared" si="1"/>
        <v>INSERT INTO tblExamQuestionLink VALUES (seqExamQuestionLink.nextval, 20, 957);</v>
      </c>
    </row>
    <row r="963">
      <c r="A963" s="1">
        <v>958.0</v>
      </c>
      <c r="B963" s="1" t="s">
        <v>306</v>
      </c>
      <c r="C963" s="1">
        <v>20.0</v>
      </c>
      <c r="D963" s="1">
        <v>958.0</v>
      </c>
      <c r="F963" s="2" t="str">
        <f t="shared" si="1"/>
        <v>INSERT INTO tblExamQuestionLink VALUES (seqExamQuestionLink.nextval, 20, 958);</v>
      </c>
    </row>
    <row r="964">
      <c r="A964" s="1">
        <v>959.0</v>
      </c>
      <c r="B964" s="1" t="s">
        <v>306</v>
      </c>
      <c r="C964" s="1">
        <v>20.0</v>
      </c>
      <c r="D964" s="1">
        <v>959.0</v>
      </c>
      <c r="F964" s="2" t="str">
        <f t="shared" si="1"/>
        <v>INSERT INTO tblExamQuestionLink VALUES (seqExamQuestionLink.nextval, 20, 959);</v>
      </c>
    </row>
    <row r="965">
      <c r="A965" s="1">
        <v>960.0</v>
      </c>
      <c r="B965" s="1" t="s">
        <v>306</v>
      </c>
      <c r="C965" s="1">
        <v>20.0</v>
      </c>
      <c r="D965" s="1">
        <v>960.0</v>
      </c>
      <c r="F965" s="2" t="str">
        <f t="shared" si="1"/>
        <v>INSERT INTO tblExamQuestionLink VALUES (seqExamQuestionLink.nextval, 20, 960);</v>
      </c>
    </row>
    <row r="966">
      <c r="A966" s="1">
        <v>961.0</v>
      </c>
      <c r="B966" s="1" t="s">
        <v>306</v>
      </c>
      <c r="C966" s="1">
        <v>20.0</v>
      </c>
      <c r="D966" s="1">
        <v>961.0</v>
      </c>
      <c r="F966" s="2" t="str">
        <f t="shared" si="1"/>
        <v>INSERT INTO tblExamQuestionLink VALUES (seqExamQuestionLink.nextval, 20, 961);</v>
      </c>
    </row>
    <row r="967">
      <c r="A967" s="1">
        <v>962.0</v>
      </c>
      <c r="B967" s="1" t="s">
        <v>306</v>
      </c>
      <c r="C967" s="1">
        <v>20.0</v>
      </c>
      <c r="D967" s="1">
        <v>962.0</v>
      </c>
      <c r="F967" s="2" t="str">
        <f t="shared" si="1"/>
        <v>INSERT INTO tblExamQuestionLink VALUES (seqExamQuestionLink.nextval, 20, 962);</v>
      </c>
    </row>
    <row r="968">
      <c r="A968" s="1">
        <v>963.0</v>
      </c>
      <c r="B968" s="1" t="s">
        <v>306</v>
      </c>
      <c r="C968" s="1">
        <v>20.0</v>
      </c>
      <c r="D968" s="1">
        <v>963.0</v>
      </c>
      <c r="F968" s="2" t="str">
        <f t="shared" si="1"/>
        <v>INSERT INTO tblExamQuestionLink VALUES (seqExamQuestionLink.nextval, 20, 963);</v>
      </c>
    </row>
    <row r="969">
      <c r="A969" s="1">
        <v>964.0</v>
      </c>
      <c r="B969" s="1" t="s">
        <v>306</v>
      </c>
      <c r="C969" s="1">
        <v>20.0</v>
      </c>
      <c r="D969" s="1">
        <v>964.0</v>
      </c>
      <c r="F969" s="2" t="str">
        <f t="shared" si="1"/>
        <v>INSERT INTO tblExamQuestionLink VALUES (seqExamQuestionLink.nextval, 20, 964);</v>
      </c>
    </row>
    <row r="970">
      <c r="A970" s="1">
        <v>965.0</v>
      </c>
      <c r="B970" s="1" t="s">
        <v>306</v>
      </c>
      <c r="C970" s="1">
        <v>20.0</v>
      </c>
      <c r="D970" s="1">
        <v>965.0</v>
      </c>
      <c r="F970" s="2" t="str">
        <f t="shared" si="1"/>
        <v>INSERT INTO tblExamQuestionLink VALUES (seqExamQuestionLink.nextval, 20, 965);</v>
      </c>
    </row>
    <row r="971">
      <c r="A971" s="1">
        <v>966.0</v>
      </c>
      <c r="B971" s="1" t="s">
        <v>306</v>
      </c>
      <c r="C971" s="1">
        <v>20.0</v>
      </c>
      <c r="D971" s="1">
        <v>966.0</v>
      </c>
      <c r="F971" s="2" t="str">
        <f t="shared" si="1"/>
        <v>INSERT INTO tblExamQuestionLink VALUES (seqExamQuestionLink.nextval, 20, 966);</v>
      </c>
    </row>
    <row r="972">
      <c r="A972" s="1">
        <v>967.0</v>
      </c>
      <c r="B972" s="1" t="s">
        <v>306</v>
      </c>
      <c r="C972" s="1">
        <v>20.0</v>
      </c>
      <c r="D972" s="1">
        <v>967.0</v>
      </c>
      <c r="F972" s="2" t="str">
        <f t="shared" si="1"/>
        <v>INSERT INTO tblExamQuestionLink VALUES (seqExamQuestionLink.nextval, 20, 967);</v>
      </c>
    </row>
    <row r="973">
      <c r="A973" s="1">
        <v>968.0</v>
      </c>
      <c r="B973" s="1" t="s">
        <v>306</v>
      </c>
      <c r="C973" s="1">
        <v>20.0</v>
      </c>
      <c r="D973" s="1">
        <v>968.0</v>
      </c>
      <c r="F973" s="2" t="str">
        <f t="shared" si="1"/>
        <v>INSERT INTO tblExamQuestionLink VALUES (seqExamQuestionLink.nextval, 20, 968);</v>
      </c>
    </row>
    <row r="974">
      <c r="A974" s="1">
        <v>969.0</v>
      </c>
      <c r="B974" s="1" t="s">
        <v>306</v>
      </c>
      <c r="C974" s="1">
        <v>20.0</v>
      </c>
      <c r="D974" s="1">
        <v>969.0</v>
      </c>
      <c r="F974" s="2" t="str">
        <f t="shared" si="1"/>
        <v>INSERT INTO tblExamQuestionLink VALUES (seqExamQuestionLink.nextval, 20, 969);</v>
      </c>
    </row>
    <row r="975">
      <c r="A975" s="1">
        <v>970.0</v>
      </c>
      <c r="B975" s="1" t="s">
        <v>306</v>
      </c>
      <c r="C975" s="1">
        <v>20.0</v>
      </c>
      <c r="D975" s="1">
        <v>970.0</v>
      </c>
      <c r="F975" s="2" t="str">
        <f t="shared" si="1"/>
        <v>INSERT INTO tblExamQuestionLink VALUES (seqExamQuestionLink.nextval, 20, 970);</v>
      </c>
    </row>
    <row r="976">
      <c r="A976" s="1">
        <v>971.0</v>
      </c>
      <c r="B976" s="1" t="s">
        <v>306</v>
      </c>
      <c r="C976" s="1">
        <v>20.0</v>
      </c>
      <c r="D976" s="1">
        <v>971.0</v>
      </c>
      <c r="F976" s="2" t="str">
        <f t="shared" si="1"/>
        <v>INSERT INTO tblExamQuestionLink VALUES (seqExamQuestionLink.nextval, 20, 971);</v>
      </c>
    </row>
    <row r="977">
      <c r="A977" s="1">
        <v>972.0</v>
      </c>
      <c r="B977" s="1" t="s">
        <v>306</v>
      </c>
      <c r="C977" s="1">
        <v>20.0</v>
      </c>
      <c r="D977" s="1">
        <v>972.0</v>
      </c>
      <c r="F977" s="2" t="str">
        <f t="shared" si="1"/>
        <v>INSERT INTO tblExamQuestionLink VALUES (seqExamQuestionLink.nextval, 20, 972);</v>
      </c>
    </row>
    <row r="978">
      <c r="A978" s="1">
        <v>973.0</v>
      </c>
      <c r="B978" s="1" t="s">
        <v>306</v>
      </c>
      <c r="C978" s="1">
        <v>20.0</v>
      </c>
      <c r="D978" s="1">
        <v>973.0</v>
      </c>
      <c r="F978" s="2" t="str">
        <f t="shared" si="1"/>
        <v>INSERT INTO tblExamQuestionLink VALUES (seqExamQuestionLink.nextval, 20, 973);</v>
      </c>
    </row>
    <row r="979">
      <c r="A979" s="1">
        <v>974.0</v>
      </c>
      <c r="B979" s="1" t="s">
        <v>306</v>
      </c>
      <c r="C979" s="1">
        <v>20.0</v>
      </c>
      <c r="D979" s="1">
        <v>974.0</v>
      </c>
      <c r="F979" s="2" t="str">
        <f t="shared" si="1"/>
        <v>INSERT INTO tblExamQuestionLink VALUES (seqExamQuestionLink.nextval, 20, 974);</v>
      </c>
    </row>
    <row r="980">
      <c r="A980" s="1">
        <v>975.0</v>
      </c>
      <c r="B980" s="1" t="s">
        <v>306</v>
      </c>
      <c r="C980" s="1">
        <v>20.0</v>
      </c>
      <c r="D980" s="1">
        <v>975.0</v>
      </c>
      <c r="F980" s="2" t="str">
        <f t="shared" si="1"/>
        <v>INSERT INTO tblExamQuestionLink VALUES (seqExamQuestionLink.nextval, 20, 975);</v>
      </c>
    </row>
    <row r="981">
      <c r="A981" s="1">
        <v>976.0</v>
      </c>
      <c r="B981" s="1" t="s">
        <v>306</v>
      </c>
      <c r="C981" s="1">
        <v>20.0</v>
      </c>
      <c r="D981" s="1">
        <v>976.0</v>
      </c>
      <c r="F981" s="2" t="str">
        <f t="shared" si="1"/>
        <v>INSERT INTO tblExamQuestionLink VALUES (seqExamQuestionLink.nextval, 20, 976);</v>
      </c>
    </row>
    <row r="982">
      <c r="A982" s="1">
        <v>977.0</v>
      </c>
      <c r="B982" s="1" t="s">
        <v>306</v>
      </c>
      <c r="C982" s="1">
        <v>20.0</v>
      </c>
      <c r="D982" s="1">
        <v>977.0</v>
      </c>
      <c r="F982" s="2" t="str">
        <f t="shared" si="1"/>
        <v>INSERT INTO tblExamQuestionLink VALUES (seqExamQuestionLink.nextval, 20, 977);</v>
      </c>
    </row>
    <row r="983">
      <c r="A983" s="1">
        <v>978.0</v>
      </c>
      <c r="B983" s="1" t="s">
        <v>306</v>
      </c>
      <c r="C983" s="1">
        <v>20.0</v>
      </c>
      <c r="D983" s="1">
        <v>978.0</v>
      </c>
      <c r="F983" s="2" t="str">
        <f t="shared" si="1"/>
        <v>INSERT INTO tblExamQuestionLink VALUES (seqExamQuestionLink.nextval, 20, 978);</v>
      </c>
    </row>
    <row r="984">
      <c r="A984" s="1">
        <v>979.0</v>
      </c>
      <c r="B984" s="1" t="s">
        <v>306</v>
      </c>
      <c r="C984" s="1">
        <v>20.0</v>
      </c>
      <c r="D984" s="1">
        <v>979.0</v>
      </c>
      <c r="F984" s="2" t="str">
        <f t="shared" si="1"/>
        <v>INSERT INTO tblExamQuestionLink VALUES (seqExamQuestionLink.nextval, 20, 979);</v>
      </c>
    </row>
    <row r="985">
      <c r="A985" s="1">
        <v>980.0</v>
      </c>
      <c r="B985" s="1" t="s">
        <v>306</v>
      </c>
      <c r="C985" s="1">
        <v>20.0</v>
      </c>
      <c r="D985" s="1">
        <v>980.0</v>
      </c>
      <c r="F985" s="2" t="str">
        <f t="shared" si="1"/>
        <v>INSERT INTO tblExamQuestionLink VALUES (seqExamQuestionLink.nextval, 20, 980);</v>
      </c>
    </row>
    <row r="986">
      <c r="A986" s="1">
        <v>981.0</v>
      </c>
      <c r="B986" s="1" t="s">
        <v>306</v>
      </c>
      <c r="C986" s="1">
        <v>20.0</v>
      </c>
      <c r="D986" s="1">
        <v>981.0</v>
      </c>
      <c r="F986" s="2" t="str">
        <f t="shared" si="1"/>
        <v>INSERT INTO tblExamQuestionLink VALUES (seqExamQuestionLink.nextval, 20, 981);</v>
      </c>
    </row>
    <row r="987">
      <c r="A987" s="1">
        <v>982.0</v>
      </c>
      <c r="B987" s="1" t="s">
        <v>306</v>
      </c>
      <c r="C987" s="1">
        <v>20.0</v>
      </c>
      <c r="D987" s="1">
        <v>982.0</v>
      </c>
      <c r="F987" s="2" t="str">
        <f t="shared" si="1"/>
        <v>INSERT INTO tblExamQuestionLink VALUES (seqExamQuestionLink.nextval, 20, 982);</v>
      </c>
    </row>
    <row r="988">
      <c r="A988" s="1">
        <v>983.0</v>
      </c>
      <c r="B988" s="1" t="s">
        <v>306</v>
      </c>
      <c r="C988" s="1">
        <v>20.0</v>
      </c>
      <c r="D988" s="1">
        <v>983.0</v>
      </c>
      <c r="F988" s="2" t="str">
        <f t="shared" si="1"/>
        <v>INSERT INTO tblExamQuestionLink VALUES (seqExamQuestionLink.nextval, 20, 983);</v>
      </c>
    </row>
    <row r="989">
      <c r="A989" s="1">
        <v>984.0</v>
      </c>
      <c r="B989" s="1" t="s">
        <v>306</v>
      </c>
      <c r="C989" s="1">
        <v>20.0</v>
      </c>
      <c r="D989" s="1">
        <v>984.0</v>
      </c>
      <c r="F989" s="2" t="str">
        <f t="shared" si="1"/>
        <v>INSERT INTO tblExamQuestionLink VALUES (seqExamQuestionLink.nextval, 20, 984);</v>
      </c>
    </row>
    <row r="990">
      <c r="A990" s="1">
        <v>985.0</v>
      </c>
      <c r="B990" s="1" t="s">
        <v>306</v>
      </c>
      <c r="C990" s="1">
        <v>20.0</v>
      </c>
      <c r="D990" s="1">
        <v>985.0</v>
      </c>
      <c r="F990" s="2" t="str">
        <f t="shared" si="1"/>
        <v>INSERT INTO tblExamQuestionLink VALUES (seqExamQuestionLink.nextval, 20, 985);</v>
      </c>
    </row>
    <row r="991">
      <c r="A991" s="1">
        <v>986.0</v>
      </c>
      <c r="B991" s="1" t="s">
        <v>306</v>
      </c>
      <c r="C991" s="1">
        <v>20.0</v>
      </c>
      <c r="D991" s="1">
        <v>986.0</v>
      </c>
      <c r="F991" s="2" t="str">
        <f t="shared" si="1"/>
        <v>INSERT INTO tblExamQuestionLink VALUES (seqExamQuestionLink.nextval, 20, 986);</v>
      </c>
    </row>
    <row r="992">
      <c r="A992" s="1">
        <v>987.0</v>
      </c>
      <c r="B992" s="1" t="s">
        <v>306</v>
      </c>
      <c r="C992" s="1">
        <v>20.0</v>
      </c>
      <c r="D992" s="1">
        <v>987.0</v>
      </c>
      <c r="F992" s="2" t="str">
        <f t="shared" si="1"/>
        <v>INSERT INTO tblExamQuestionLink VALUES (seqExamQuestionLink.nextval, 20, 987);</v>
      </c>
    </row>
    <row r="993">
      <c r="A993" s="1">
        <v>988.0</v>
      </c>
      <c r="B993" s="1" t="s">
        <v>306</v>
      </c>
      <c r="C993" s="1">
        <v>20.0</v>
      </c>
      <c r="D993" s="1">
        <v>988.0</v>
      </c>
      <c r="F993" s="2" t="str">
        <f t="shared" si="1"/>
        <v>INSERT INTO tblExamQuestionLink VALUES (seqExamQuestionLink.nextval, 20, 988);</v>
      </c>
    </row>
    <row r="994">
      <c r="A994" s="1">
        <v>989.0</v>
      </c>
      <c r="B994" s="1" t="s">
        <v>306</v>
      </c>
      <c r="C994" s="1">
        <v>20.0</v>
      </c>
      <c r="D994" s="1">
        <v>989.0</v>
      </c>
      <c r="F994" s="2" t="str">
        <f t="shared" si="1"/>
        <v>INSERT INTO tblExamQuestionLink VALUES (seqExamQuestionLink.nextval, 20, 989);</v>
      </c>
    </row>
    <row r="995">
      <c r="A995" s="1">
        <v>990.0</v>
      </c>
      <c r="B995" s="1" t="s">
        <v>306</v>
      </c>
      <c r="C995" s="1">
        <v>20.0</v>
      </c>
      <c r="D995" s="1">
        <v>990.0</v>
      </c>
      <c r="F995" s="2" t="str">
        <f t="shared" si="1"/>
        <v>INSERT INTO tblExamQuestionLink VALUES (seqExamQuestionLink.nextval, 20, 990);</v>
      </c>
    </row>
    <row r="996">
      <c r="A996" s="1">
        <v>991.0</v>
      </c>
      <c r="B996" s="1" t="s">
        <v>306</v>
      </c>
      <c r="C996" s="1">
        <v>20.0</v>
      </c>
      <c r="D996" s="1">
        <v>991.0</v>
      </c>
      <c r="F996" s="2" t="str">
        <f t="shared" si="1"/>
        <v>INSERT INTO tblExamQuestionLink VALUES (seqExamQuestionLink.nextval, 20, 991);</v>
      </c>
    </row>
    <row r="997">
      <c r="A997" s="1">
        <v>992.0</v>
      </c>
      <c r="B997" s="1" t="s">
        <v>306</v>
      </c>
      <c r="C997" s="1">
        <v>20.0</v>
      </c>
      <c r="D997" s="1">
        <v>992.0</v>
      </c>
      <c r="F997" s="2" t="str">
        <f t="shared" si="1"/>
        <v>INSERT INTO tblExamQuestionLink VALUES (seqExamQuestionLink.nextval, 20, 992);</v>
      </c>
    </row>
    <row r="998">
      <c r="A998" s="1">
        <v>993.0</v>
      </c>
      <c r="B998" s="1" t="s">
        <v>306</v>
      </c>
      <c r="C998" s="1">
        <v>20.0</v>
      </c>
      <c r="D998" s="1">
        <v>993.0</v>
      </c>
      <c r="F998" s="2" t="str">
        <f t="shared" si="1"/>
        <v>INSERT INTO tblExamQuestionLink VALUES (seqExamQuestionLink.nextval, 20, 993);</v>
      </c>
    </row>
    <row r="999">
      <c r="A999" s="1">
        <v>994.0</v>
      </c>
      <c r="B999" s="1" t="s">
        <v>306</v>
      </c>
      <c r="C999" s="1">
        <v>20.0</v>
      </c>
      <c r="D999" s="1">
        <v>994.0</v>
      </c>
      <c r="F999" s="2" t="str">
        <f t="shared" si="1"/>
        <v>INSERT INTO tblExamQuestionLink VALUES (seqExamQuestionLink.nextval, 20, 994);</v>
      </c>
    </row>
    <row r="1000">
      <c r="A1000" s="1">
        <v>995.0</v>
      </c>
      <c r="B1000" s="1" t="s">
        <v>306</v>
      </c>
      <c r="C1000" s="1">
        <v>20.0</v>
      </c>
      <c r="D1000" s="1">
        <v>995.0</v>
      </c>
      <c r="F1000" s="2" t="str">
        <f t="shared" si="1"/>
        <v>INSERT INTO tblExamQuestionLink VALUES (seqExamQuestionLink.nextval, 20, 995);</v>
      </c>
    </row>
    <row r="1001">
      <c r="A1001" s="1">
        <v>996.0</v>
      </c>
      <c r="B1001" s="1" t="s">
        <v>306</v>
      </c>
      <c r="C1001" s="1">
        <v>20.0</v>
      </c>
      <c r="D1001" s="1">
        <v>996.0</v>
      </c>
      <c r="F1001" s="2" t="str">
        <f t="shared" si="1"/>
        <v>INSERT INTO tblExamQuestionLink VALUES (seqExamQuestionLink.nextval, 20, 996);</v>
      </c>
    </row>
    <row r="1002">
      <c r="A1002" s="1">
        <v>997.0</v>
      </c>
      <c r="B1002" s="1" t="s">
        <v>306</v>
      </c>
      <c r="C1002" s="1">
        <v>20.0</v>
      </c>
      <c r="D1002" s="1">
        <v>997.0</v>
      </c>
      <c r="F1002" s="2" t="str">
        <f t="shared" si="1"/>
        <v>INSERT INTO tblExamQuestionLink VALUES (seqExamQuestionLink.nextval, 20, 997);</v>
      </c>
    </row>
    <row r="1003">
      <c r="A1003" s="1">
        <v>998.0</v>
      </c>
      <c r="B1003" s="1" t="s">
        <v>306</v>
      </c>
      <c r="C1003" s="1">
        <v>20.0</v>
      </c>
      <c r="D1003" s="1">
        <v>998.0</v>
      </c>
      <c r="F1003" s="2" t="str">
        <f t="shared" si="1"/>
        <v>INSERT INTO tblExamQuestionLink VALUES (seqExamQuestionLink.nextval, 20, 998);</v>
      </c>
    </row>
    <row r="1004">
      <c r="A1004" s="1">
        <v>999.0</v>
      </c>
      <c r="B1004" s="1" t="s">
        <v>306</v>
      </c>
      <c r="C1004" s="1">
        <v>20.0</v>
      </c>
      <c r="D1004" s="1">
        <v>999.0</v>
      </c>
      <c r="F1004" s="2" t="str">
        <f t="shared" si="1"/>
        <v>INSERT INTO tblExamQuestionLink VALUES (seqExamQuestionLink.nextval, 20, 999);</v>
      </c>
    </row>
    <row r="1005">
      <c r="A1005" s="1">
        <v>1000.0</v>
      </c>
      <c r="B1005" s="1" t="s">
        <v>306</v>
      </c>
      <c r="C1005" s="1">
        <v>20.0</v>
      </c>
      <c r="D1005" s="1">
        <v>1000.0</v>
      </c>
      <c r="F1005" s="2" t="str">
        <f t="shared" si="1"/>
        <v>INSERT INTO tblExamQuestionLink VALUES (seqExamQuestionLink.nextval, 20, 1000);</v>
      </c>
    </row>
    <row r="1006">
      <c r="A1006" s="1">
        <v>1001.0</v>
      </c>
      <c r="B1006" s="1" t="s">
        <v>306</v>
      </c>
      <c r="C1006" s="1">
        <v>21.0</v>
      </c>
      <c r="D1006" s="1">
        <v>1.0</v>
      </c>
      <c r="F1006" s="2" t="str">
        <f t="shared" si="1"/>
        <v>INSERT INTO tblExamQuestionLink VALUES (seqExamQuestionLink.nextval, 21, 1);</v>
      </c>
    </row>
    <row r="1007">
      <c r="A1007" s="1">
        <v>1002.0</v>
      </c>
      <c r="B1007" s="1" t="s">
        <v>306</v>
      </c>
      <c r="C1007" s="1">
        <v>21.0</v>
      </c>
      <c r="D1007" s="1">
        <v>2.0</v>
      </c>
      <c r="F1007" s="2" t="str">
        <f t="shared" si="1"/>
        <v>INSERT INTO tblExamQuestionLink VALUES (seqExamQuestionLink.nextval, 21, 2);</v>
      </c>
    </row>
    <row r="1008">
      <c r="A1008" s="1">
        <v>1003.0</v>
      </c>
      <c r="B1008" s="1" t="s">
        <v>306</v>
      </c>
      <c r="C1008" s="1">
        <v>21.0</v>
      </c>
      <c r="D1008" s="1">
        <v>3.0</v>
      </c>
      <c r="F1008" s="2" t="str">
        <f t="shared" si="1"/>
        <v>INSERT INTO tblExamQuestionLink VALUES (seqExamQuestionLink.nextval, 21, 3);</v>
      </c>
    </row>
    <row r="1009">
      <c r="A1009" s="1">
        <v>1004.0</v>
      </c>
      <c r="B1009" s="1" t="s">
        <v>306</v>
      </c>
      <c r="C1009" s="1">
        <v>21.0</v>
      </c>
      <c r="D1009" s="1">
        <v>4.0</v>
      </c>
      <c r="F1009" s="2" t="str">
        <f t="shared" si="1"/>
        <v>INSERT INTO tblExamQuestionLink VALUES (seqExamQuestionLink.nextval, 21, 4);</v>
      </c>
    </row>
    <row r="1010">
      <c r="A1010" s="1">
        <v>1005.0</v>
      </c>
      <c r="B1010" s="1" t="s">
        <v>306</v>
      </c>
      <c r="C1010" s="1">
        <v>21.0</v>
      </c>
      <c r="D1010" s="1">
        <v>5.0</v>
      </c>
      <c r="F1010" s="2" t="str">
        <f t="shared" si="1"/>
        <v>INSERT INTO tblExamQuestionLink VALUES (seqExamQuestionLink.nextval, 21, 5);</v>
      </c>
    </row>
    <row r="1011">
      <c r="A1011" s="1">
        <v>1006.0</v>
      </c>
      <c r="B1011" s="1" t="s">
        <v>306</v>
      </c>
      <c r="C1011" s="1">
        <v>21.0</v>
      </c>
      <c r="D1011" s="1">
        <v>6.0</v>
      </c>
      <c r="F1011" s="2" t="str">
        <f t="shared" si="1"/>
        <v>INSERT INTO tblExamQuestionLink VALUES (seqExamQuestionLink.nextval, 21, 6);</v>
      </c>
    </row>
    <row r="1012">
      <c r="A1012" s="1">
        <v>1007.0</v>
      </c>
      <c r="B1012" s="1" t="s">
        <v>306</v>
      </c>
      <c r="C1012" s="1">
        <v>21.0</v>
      </c>
      <c r="D1012" s="1">
        <v>7.0</v>
      </c>
      <c r="F1012" s="2" t="str">
        <f t="shared" si="1"/>
        <v>INSERT INTO tblExamQuestionLink VALUES (seqExamQuestionLink.nextval, 21, 7);</v>
      </c>
    </row>
    <row r="1013">
      <c r="A1013" s="1">
        <v>1008.0</v>
      </c>
      <c r="B1013" s="1" t="s">
        <v>306</v>
      </c>
      <c r="C1013" s="1">
        <v>21.0</v>
      </c>
      <c r="D1013" s="1">
        <v>8.0</v>
      </c>
      <c r="F1013" s="2" t="str">
        <f t="shared" si="1"/>
        <v>INSERT INTO tblExamQuestionLink VALUES (seqExamQuestionLink.nextval, 21, 8);</v>
      </c>
    </row>
    <row r="1014">
      <c r="A1014" s="1">
        <v>1009.0</v>
      </c>
      <c r="B1014" s="1" t="s">
        <v>306</v>
      </c>
      <c r="C1014" s="1">
        <v>21.0</v>
      </c>
      <c r="D1014" s="1">
        <v>9.0</v>
      </c>
      <c r="F1014" s="2" t="str">
        <f t="shared" si="1"/>
        <v>INSERT INTO tblExamQuestionLink VALUES (seqExamQuestionLink.nextval, 21, 9);</v>
      </c>
    </row>
    <row r="1015">
      <c r="A1015" s="1">
        <v>1010.0</v>
      </c>
      <c r="B1015" s="1" t="s">
        <v>306</v>
      </c>
      <c r="C1015" s="1">
        <v>21.0</v>
      </c>
      <c r="D1015" s="1">
        <v>10.0</v>
      </c>
      <c r="F1015" s="2" t="str">
        <f t="shared" si="1"/>
        <v>INSERT INTO tblExamQuestionLink VALUES (seqExamQuestionLink.nextval, 21, 10);</v>
      </c>
    </row>
    <row r="1016">
      <c r="A1016" s="1">
        <v>1011.0</v>
      </c>
      <c r="B1016" s="1" t="s">
        <v>306</v>
      </c>
      <c r="C1016" s="1">
        <v>21.0</v>
      </c>
      <c r="D1016" s="1">
        <v>11.0</v>
      </c>
      <c r="F1016" s="2" t="str">
        <f t="shared" si="1"/>
        <v>INSERT INTO tblExamQuestionLink VALUES (seqExamQuestionLink.nextval, 21, 11);</v>
      </c>
    </row>
    <row r="1017">
      <c r="A1017" s="1">
        <v>1012.0</v>
      </c>
      <c r="B1017" s="1" t="s">
        <v>306</v>
      </c>
      <c r="C1017" s="1">
        <v>21.0</v>
      </c>
      <c r="D1017" s="1">
        <v>12.0</v>
      </c>
      <c r="F1017" s="2" t="str">
        <f t="shared" si="1"/>
        <v>INSERT INTO tblExamQuestionLink VALUES (seqExamQuestionLink.nextval, 21, 12);</v>
      </c>
    </row>
    <row r="1018">
      <c r="A1018" s="1">
        <v>1013.0</v>
      </c>
      <c r="B1018" s="1" t="s">
        <v>306</v>
      </c>
      <c r="C1018" s="1">
        <v>21.0</v>
      </c>
      <c r="D1018" s="1">
        <v>13.0</v>
      </c>
      <c r="F1018" s="2" t="str">
        <f t="shared" si="1"/>
        <v>INSERT INTO tblExamQuestionLink VALUES (seqExamQuestionLink.nextval, 21, 13);</v>
      </c>
    </row>
    <row r="1019">
      <c r="A1019" s="1">
        <v>1014.0</v>
      </c>
      <c r="B1019" s="1" t="s">
        <v>306</v>
      </c>
      <c r="C1019" s="1">
        <v>21.0</v>
      </c>
      <c r="D1019" s="1">
        <v>14.0</v>
      </c>
      <c r="F1019" s="2" t="str">
        <f t="shared" si="1"/>
        <v>INSERT INTO tblExamQuestionLink VALUES (seqExamQuestionLink.nextval, 21, 14);</v>
      </c>
    </row>
    <row r="1020">
      <c r="A1020" s="1">
        <v>1015.0</v>
      </c>
      <c r="B1020" s="1" t="s">
        <v>306</v>
      </c>
      <c r="C1020" s="1">
        <v>21.0</v>
      </c>
      <c r="D1020" s="1">
        <v>15.0</v>
      </c>
      <c r="F1020" s="2" t="str">
        <f t="shared" si="1"/>
        <v>INSERT INTO tblExamQuestionLink VALUES (seqExamQuestionLink.nextval, 21, 15);</v>
      </c>
    </row>
    <row r="1021">
      <c r="A1021" s="1">
        <v>1016.0</v>
      </c>
      <c r="B1021" s="1" t="s">
        <v>306</v>
      </c>
      <c r="C1021" s="1">
        <v>21.0</v>
      </c>
      <c r="D1021" s="1">
        <v>16.0</v>
      </c>
      <c r="F1021" s="2" t="str">
        <f t="shared" si="1"/>
        <v>INSERT INTO tblExamQuestionLink VALUES (seqExamQuestionLink.nextval, 21, 16);</v>
      </c>
    </row>
    <row r="1022">
      <c r="A1022" s="1">
        <v>1017.0</v>
      </c>
      <c r="B1022" s="1" t="s">
        <v>306</v>
      </c>
      <c r="C1022" s="1">
        <v>21.0</v>
      </c>
      <c r="D1022" s="1">
        <v>17.0</v>
      </c>
      <c r="F1022" s="2" t="str">
        <f t="shared" si="1"/>
        <v>INSERT INTO tblExamQuestionLink VALUES (seqExamQuestionLink.nextval, 21, 17);</v>
      </c>
    </row>
    <row r="1023">
      <c r="A1023" s="1">
        <v>1018.0</v>
      </c>
      <c r="B1023" s="1" t="s">
        <v>306</v>
      </c>
      <c r="C1023" s="1">
        <v>21.0</v>
      </c>
      <c r="D1023" s="1">
        <v>18.0</v>
      </c>
      <c r="F1023" s="2" t="str">
        <f t="shared" si="1"/>
        <v>INSERT INTO tblExamQuestionLink VALUES (seqExamQuestionLink.nextval, 21, 18);</v>
      </c>
    </row>
    <row r="1024">
      <c r="A1024" s="1">
        <v>1019.0</v>
      </c>
      <c r="B1024" s="1" t="s">
        <v>306</v>
      </c>
      <c r="C1024" s="1">
        <v>21.0</v>
      </c>
      <c r="D1024" s="1">
        <v>19.0</v>
      </c>
      <c r="F1024" s="2" t="str">
        <f t="shared" si="1"/>
        <v>INSERT INTO tblExamQuestionLink VALUES (seqExamQuestionLink.nextval, 21, 19);</v>
      </c>
    </row>
    <row r="1025">
      <c r="A1025" s="1">
        <v>1020.0</v>
      </c>
      <c r="B1025" s="1" t="s">
        <v>306</v>
      </c>
      <c r="C1025" s="1">
        <v>21.0</v>
      </c>
      <c r="D1025" s="1">
        <v>20.0</v>
      </c>
      <c r="F1025" s="2" t="str">
        <f t="shared" si="1"/>
        <v>INSERT INTO tblExamQuestionLink VALUES (seqExamQuestionLink.nextval, 21, 20);</v>
      </c>
    </row>
    <row r="1026">
      <c r="A1026" s="1">
        <v>1021.0</v>
      </c>
      <c r="B1026" s="1" t="s">
        <v>306</v>
      </c>
      <c r="C1026" s="1">
        <v>21.0</v>
      </c>
      <c r="D1026" s="1">
        <v>21.0</v>
      </c>
      <c r="F1026" s="2" t="str">
        <f t="shared" si="1"/>
        <v>INSERT INTO tblExamQuestionLink VALUES (seqExamQuestionLink.nextval, 21, 21);</v>
      </c>
    </row>
    <row r="1027">
      <c r="A1027" s="1">
        <v>1022.0</v>
      </c>
      <c r="B1027" s="1" t="s">
        <v>306</v>
      </c>
      <c r="C1027" s="1">
        <v>21.0</v>
      </c>
      <c r="D1027" s="1">
        <v>22.0</v>
      </c>
      <c r="F1027" s="2" t="str">
        <f t="shared" si="1"/>
        <v>INSERT INTO tblExamQuestionLink VALUES (seqExamQuestionLink.nextval, 21, 22);</v>
      </c>
    </row>
    <row r="1028">
      <c r="A1028" s="1">
        <v>1023.0</v>
      </c>
      <c r="B1028" s="1" t="s">
        <v>306</v>
      </c>
      <c r="C1028" s="1">
        <v>21.0</v>
      </c>
      <c r="D1028" s="1">
        <v>23.0</v>
      </c>
      <c r="F1028" s="2" t="str">
        <f t="shared" si="1"/>
        <v>INSERT INTO tblExamQuestionLink VALUES (seqExamQuestionLink.nextval, 21, 23);</v>
      </c>
    </row>
    <row r="1029">
      <c r="A1029" s="1">
        <v>1024.0</v>
      </c>
      <c r="B1029" s="1" t="s">
        <v>306</v>
      </c>
      <c r="C1029" s="1">
        <v>21.0</v>
      </c>
      <c r="D1029" s="1">
        <v>24.0</v>
      </c>
      <c r="F1029" s="2" t="str">
        <f t="shared" si="1"/>
        <v>INSERT INTO tblExamQuestionLink VALUES (seqExamQuestionLink.nextval, 21, 24);</v>
      </c>
    </row>
    <row r="1030">
      <c r="A1030" s="1">
        <v>1025.0</v>
      </c>
      <c r="B1030" s="1" t="s">
        <v>306</v>
      </c>
      <c r="C1030" s="1">
        <v>21.0</v>
      </c>
      <c r="D1030" s="1">
        <v>25.0</v>
      </c>
      <c r="F1030" s="2" t="str">
        <f t="shared" si="1"/>
        <v>INSERT INTO tblExamQuestionLink VALUES (seqExamQuestionLink.nextval, 21, 25);</v>
      </c>
    </row>
    <row r="1031">
      <c r="A1031" s="1">
        <v>1026.0</v>
      </c>
      <c r="B1031" s="1" t="s">
        <v>306</v>
      </c>
      <c r="C1031" s="1">
        <v>21.0</v>
      </c>
      <c r="D1031" s="1">
        <v>26.0</v>
      </c>
      <c r="F1031" s="2" t="str">
        <f t="shared" si="1"/>
        <v>INSERT INTO tblExamQuestionLink VALUES (seqExamQuestionLink.nextval, 21, 26);</v>
      </c>
    </row>
    <row r="1032">
      <c r="A1032" s="1">
        <v>1027.0</v>
      </c>
      <c r="B1032" s="1" t="s">
        <v>306</v>
      </c>
      <c r="C1032" s="1">
        <v>21.0</v>
      </c>
      <c r="D1032" s="1">
        <v>27.0</v>
      </c>
      <c r="F1032" s="2" t="str">
        <f t="shared" si="1"/>
        <v>INSERT INTO tblExamQuestionLink VALUES (seqExamQuestionLink.nextval, 21, 27);</v>
      </c>
    </row>
    <row r="1033">
      <c r="A1033" s="1">
        <v>1028.0</v>
      </c>
      <c r="B1033" s="1" t="s">
        <v>306</v>
      </c>
      <c r="C1033" s="1">
        <v>21.0</v>
      </c>
      <c r="D1033" s="1">
        <v>28.0</v>
      </c>
      <c r="F1033" s="2" t="str">
        <f t="shared" si="1"/>
        <v>INSERT INTO tblExamQuestionLink VALUES (seqExamQuestionLink.nextval, 21, 28);</v>
      </c>
    </row>
    <row r="1034">
      <c r="A1034" s="1">
        <v>1029.0</v>
      </c>
      <c r="B1034" s="1" t="s">
        <v>306</v>
      </c>
      <c r="C1034" s="1">
        <v>21.0</v>
      </c>
      <c r="D1034" s="1">
        <v>29.0</v>
      </c>
      <c r="F1034" s="2" t="str">
        <f t="shared" si="1"/>
        <v>INSERT INTO tblExamQuestionLink VALUES (seqExamQuestionLink.nextval, 21, 29);</v>
      </c>
    </row>
    <row r="1035">
      <c r="A1035" s="1">
        <v>1030.0</v>
      </c>
      <c r="B1035" s="1" t="s">
        <v>306</v>
      </c>
      <c r="C1035" s="1">
        <v>21.0</v>
      </c>
      <c r="D1035" s="1">
        <v>30.0</v>
      </c>
      <c r="F1035" s="2" t="str">
        <f t="shared" si="1"/>
        <v>INSERT INTO tblExamQuestionLink VALUES (seqExamQuestionLink.nextval, 21, 30);</v>
      </c>
    </row>
    <row r="1036">
      <c r="A1036" s="1">
        <v>1031.0</v>
      </c>
      <c r="B1036" s="1" t="s">
        <v>306</v>
      </c>
      <c r="C1036" s="1">
        <v>21.0</v>
      </c>
      <c r="D1036" s="1">
        <v>31.0</v>
      </c>
      <c r="F1036" s="2" t="str">
        <f t="shared" si="1"/>
        <v>INSERT INTO tblExamQuestionLink VALUES (seqExamQuestionLink.nextval, 21, 31);</v>
      </c>
    </row>
    <row r="1037">
      <c r="A1037" s="1">
        <v>1032.0</v>
      </c>
      <c r="B1037" s="1" t="s">
        <v>306</v>
      </c>
      <c r="C1037" s="1">
        <v>21.0</v>
      </c>
      <c r="D1037" s="1">
        <v>32.0</v>
      </c>
      <c r="F1037" s="2" t="str">
        <f t="shared" si="1"/>
        <v>INSERT INTO tblExamQuestionLink VALUES (seqExamQuestionLink.nextval, 21, 32);</v>
      </c>
    </row>
    <row r="1038">
      <c r="A1038" s="1">
        <v>1033.0</v>
      </c>
      <c r="B1038" s="1" t="s">
        <v>306</v>
      </c>
      <c r="C1038" s="1">
        <v>21.0</v>
      </c>
      <c r="D1038" s="1">
        <v>33.0</v>
      </c>
      <c r="F1038" s="2" t="str">
        <f t="shared" si="1"/>
        <v>INSERT INTO tblExamQuestionLink VALUES (seqExamQuestionLink.nextval, 21, 33);</v>
      </c>
    </row>
    <row r="1039">
      <c r="A1039" s="1">
        <v>1034.0</v>
      </c>
      <c r="B1039" s="1" t="s">
        <v>306</v>
      </c>
      <c r="C1039" s="1">
        <v>21.0</v>
      </c>
      <c r="D1039" s="1">
        <v>34.0</v>
      </c>
      <c r="F1039" s="2" t="str">
        <f t="shared" si="1"/>
        <v>INSERT INTO tblExamQuestionLink VALUES (seqExamQuestionLink.nextval, 21, 34);</v>
      </c>
    </row>
    <row r="1040">
      <c r="A1040" s="1">
        <v>1035.0</v>
      </c>
      <c r="B1040" s="1" t="s">
        <v>306</v>
      </c>
      <c r="C1040" s="1">
        <v>21.0</v>
      </c>
      <c r="D1040" s="1">
        <v>35.0</v>
      </c>
      <c r="F1040" s="2" t="str">
        <f t="shared" si="1"/>
        <v>INSERT INTO tblExamQuestionLink VALUES (seqExamQuestionLink.nextval, 21, 35);</v>
      </c>
    </row>
    <row r="1041">
      <c r="A1041" s="1">
        <v>1036.0</v>
      </c>
      <c r="B1041" s="1" t="s">
        <v>306</v>
      </c>
      <c r="C1041" s="1">
        <v>21.0</v>
      </c>
      <c r="D1041" s="1">
        <v>36.0</v>
      </c>
      <c r="F1041" s="2" t="str">
        <f t="shared" si="1"/>
        <v>INSERT INTO tblExamQuestionLink VALUES (seqExamQuestionLink.nextval, 21, 36);</v>
      </c>
    </row>
    <row r="1042">
      <c r="A1042" s="1">
        <v>1037.0</v>
      </c>
      <c r="B1042" s="1" t="s">
        <v>306</v>
      </c>
      <c r="C1042" s="1">
        <v>21.0</v>
      </c>
      <c r="D1042" s="1">
        <v>37.0</v>
      </c>
      <c r="F1042" s="2" t="str">
        <f t="shared" si="1"/>
        <v>INSERT INTO tblExamQuestionLink VALUES (seqExamQuestionLink.nextval, 21, 37);</v>
      </c>
    </row>
    <row r="1043">
      <c r="A1043" s="1">
        <v>1038.0</v>
      </c>
      <c r="B1043" s="1" t="s">
        <v>306</v>
      </c>
      <c r="C1043" s="1">
        <v>21.0</v>
      </c>
      <c r="D1043" s="1">
        <v>38.0</v>
      </c>
      <c r="F1043" s="2" t="str">
        <f t="shared" si="1"/>
        <v>INSERT INTO tblExamQuestionLink VALUES (seqExamQuestionLink.nextval, 21, 38);</v>
      </c>
    </row>
    <row r="1044">
      <c r="A1044" s="1">
        <v>1039.0</v>
      </c>
      <c r="B1044" s="1" t="s">
        <v>306</v>
      </c>
      <c r="C1044" s="1">
        <v>21.0</v>
      </c>
      <c r="D1044" s="1">
        <v>39.0</v>
      </c>
      <c r="F1044" s="2" t="str">
        <f t="shared" si="1"/>
        <v>INSERT INTO tblExamQuestionLink VALUES (seqExamQuestionLink.nextval, 21, 39);</v>
      </c>
    </row>
    <row r="1045">
      <c r="A1045" s="1">
        <v>1040.0</v>
      </c>
      <c r="B1045" s="1" t="s">
        <v>306</v>
      </c>
      <c r="C1045" s="1">
        <v>21.0</v>
      </c>
      <c r="D1045" s="1">
        <v>40.0</v>
      </c>
      <c r="F1045" s="2" t="str">
        <f t="shared" si="1"/>
        <v>INSERT INTO tblExamQuestionLink VALUES (seqExamQuestionLink.nextval, 21, 40);</v>
      </c>
    </row>
    <row r="1046">
      <c r="A1046" s="1">
        <v>1041.0</v>
      </c>
      <c r="B1046" s="1" t="s">
        <v>306</v>
      </c>
      <c r="C1046" s="1">
        <v>21.0</v>
      </c>
      <c r="D1046" s="1">
        <v>41.0</v>
      </c>
      <c r="F1046" s="2" t="str">
        <f t="shared" si="1"/>
        <v>INSERT INTO tblExamQuestionLink VALUES (seqExamQuestionLink.nextval, 21, 41);</v>
      </c>
    </row>
    <row r="1047">
      <c r="A1047" s="1">
        <v>1042.0</v>
      </c>
      <c r="B1047" s="1" t="s">
        <v>306</v>
      </c>
      <c r="C1047" s="1">
        <v>21.0</v>
      </c>
      <c r="D1047" s="1">
        <v>42.0</v>
      </c>
      <c r="F1047" s="2" t="str">
        <f t="shared" si="1"/>
        <v>INSERT INTO tblExamQuestionLink VALUES (seqExamQuestionLink.nextval, 21, 42);</v>
      </c>
    </row>
    <row r="1048">
      <c r="A1048" s="1">
        <v>1043.0</v>
      </c>
      <c r="B1048" s="1" t="s">
        <v>306</v>
      </c>
      <c r="C1048" s="1">
        <v>21.0</v>
      </c>
      <c r="D1048" s="1">
        <v>43.0</v>
      </c>
      <c r="F1048" s="2" t="str">
        <f t="shared" si="1"/>
        <v>INSERT INTO tblExamQuestionLink VALUES (seqExamQuestionLink.nextval, 21, 43);</v>
      </c>
    </row>
    <row r="1049">
      <c r="A1049" s="1">
        <v>1044.0</v>
      </c>
      <c r="B1049" s="1" t="s">
        <v>306</v>
      </c>
      <c r="C1049" s="1">
        <v>21.0</v>
      </c>
      <c r="D1049" s="1">
        <v>44.0</v>
      </c>
      <c r="F1049" s="2" t="str">
        <f t="shared" si="1"/>
        <v>INSERT INTO tblExamQuestionLink VALUES (seqExamQuestionLink.nextval, 21, 44);</v>
      </c>
    </row>
    <row r="1050">
      <c r="A1050" s="1">
        <v>1045.0</v>
      </c>
      <c r="B1050" s="1" t="s">
        <v>306</v>
      </c>
      <c r="C1050" s="1">
        <v>21.0</v>
      </c>
      <c r="D1050" s="1">
        <v>45.0</v>
      </c>
      <c r="F1050" s="2" t="str">
        <f t="shared" si="1"/>
        <v>INSERT INTO tblExamQuestionLink VALUES (seqExamQuestionLink.nextval, 21, 45);</v>
      </c>
    </row>
    <row r="1051">
      <c r="A1051" s="1">
        <v>1046.0</v>
      </c>
      <c r="B1051" s="1" t="s">
        <v>306</v>
      </c>
      <c r="C1051" s="1">
        <v>21.0</v>
      </c>
      <c r="D1051" s="1">
        <v>46.0</v>
      </c>
      <c r="F1051" s="2" t="str">
        <f t="shared" si="1"/>
        <v>INSERT INTO tblExamQuestionLink VALUES (seqExamQuestionLink.nextval, 21, 46);</v>
      </c>
    </row>
    <row r="1052">
      <c r="A1052" s="1">
        <v>1047.0</v>
      </c>
      <c r="B1052" s="1" t="s">
        <v>306</v>
      </c>
      <c r="C1052" s="1">
        <v>21.0</v>
      </c>
      <c r="D1052" s="1">
        <v>47.0</v>
      </c>
      <c r="F1052" s="2" t="str">
        <f t="shared" si="1"/>
        <v>INSERT INTO tblExamQuestionLink VALUES (seqExamQuestionLink.nextval, 21, 47);</v>
      </c>
    </row>
    <row r="1053">
      <c r="A1053" s="1">
        <v>1048.0</v>
      </c>
      <c r="B1053" s="1" t="s">
        <v>306</v>
      </c>
      <c r="C1053" s="1">
        <v>21.0</v>
      </c>
      <c r="D1053" s="1">
        <v>48.0</v>
      </c>
      <c r="F1053" s="2" t="str">
        <f t="shared" si="1"/>
        <v>INSERT INTO tblExamQuestionLink VALUES (seqExamQuestionLink.nextval, 21, 48);</v>
      </c>
    </row>
    <row r="1054">
      <c r="A1054" s="1">
        <v>1049.0</v>
      </c>
      <c r="B1054" s="1" t="s">
        <v>306</v>
      </c>
      <c r="C1054" s="1">
        <v>21.0</v>
      </c>
      <c r="D1054" s="1">
        <v>49.0</v>
      </c>
      <c r="F1054" s="2" t="str">
        <f t="shared" si="1"/>
        <v>INSERT INTO tblExamQuestionLink VALUES (seqExamQuestionLink.nextval, 21, 49);</v>
      </c>
    </row>
    <row r="1055">
      <c r="A1055" s="1">
        <v>1050.0</v>
      </c>
      <c r="B1055" s="1" t="s">
        <v>306</v>
      </c>
      <c r="C1055" s="1">
        <v>21.0</v>
      </c>
      <c r="D1055" s="1">
        <v>50.0</v>
      </c>
      <c r="F1055" s="2" t="str">
        <f t="shared" si="1"/>
        <v>INSERT INTO tblExamQuestionLink VALUES (seqExamQuestionLink.nextval, 21, 50);</v>
      </c>
    </row>
    <row r="1056">
      <c r="A1056" s="1">
        <v>1051.0</v>
      </c>
      <c r="B1056" s="1" t="s">
        <v>306</v>
      </c>
      <c r="C1056" s="1">
        <v>22.0</v>
      </c>
      <c r="D1056" s="1">
        <v>51.0</v>
      </c>
      <c r="F1056" s="2" t="str">
        <f t="shared" si="1"/>
        <v>INSERT INTO tblExamQuestionLink VALUES (seqExamQuestionLink.nextval, 22, 51);</v>
      </c>
    </row>
    <row r="1057">
      <c r="A1057" s="1">
        <v>1052.0</v>
      </c>
      <c r="B1057" s="1" t="s">
        <v>306</v>
      </c>
      <c r="C1057" s="1">
        <v>22.0</v>
      </c>
      <c r="D1057" s="1">
        <v>52.0</v>
      </c>
      <c r="F1057" s="2" t="str">
        <f t="shared" si="1"/>
        <v>INSERT INTO tblExamQuestionLink VALUES (seqExamQuestionLink.nextval, 22, 52);</v>
      </c>
    </row>
    <row r="1058">
      <c r="A1058" s="1">
        <v>1053.0</v>
      </c>
      <c r="B1058" s="1" t="s">
        <v>306</v>
      </c>
      <c r="C1058" s="1">
        <v>22.0</v>
      </c>
      <c r="D1058" s="1">
        <v>53.0</v>
      </c>
      <c r="F1058" s="2" t="str">
        <f t="shared" si="1"/>
        <v>INSERT INTO tblExamQuestionLink VALUES (seqExamQuestionLink.nextval, 22, 53);</v>
      </c>
    </row>
    <row r="1059">
      <c r="A1059" s="1">
        <v>1054.0</v>
      </c>
      <c r="B1059" s="1" t="s">
        <v>306</v>
      </c>
      <c r="C1059" s="1">
        <v>22.0</v>
      </c>
      <c r="D1059" s="1">
        <v>54.0</v>
      </c>
      <c r="F1059" s="2" t="str">
        <f t="shared" si="1"/>
        <v>INSERT INTO tblExamQuestionLink VALUES (seqExamQuestionLink.nextval, 22, 54);</v>
      </c>
    </row>
    <row r="1060">
      <c r="A1060" s="1">
        <v>1055.0</v>
      </c>
      <c r="B1060" s="1" t="s">
        <v>306</v>
      </c>
      <c r="C1060" s="1">
        <v>22.0</v>
      </c>
      <c r="D1060" s="1">
        <v>55.0</v>
      </c>
      <c r="F1060" s="2" t="str">
        <f t="shared" si="1"/>
        <v>INSERT INTO tblExamQuestionLink VALUES (seqExamQuestionLink.nextval, 22, 55);</v>
      </c>
    </row>
    <row r="1061">
      <c r="A1061" s="1">
        <v>1056.0</v>
      </c>
      <c r="B1061" s="1" t="s">
        <v>306</v>
      </c>
      <c r="C1061" s="1">
        <v>22.0</v>
      </c>
      <c r="D1061" s="1">
        <v>56.0</v>
      </c>
      <c r="F1061" s="2" t="str">
        <f t="shared" si="1"/>
        <v>INSERT INTO tblExamQuestionLink VALUES (seqExamQuestionLink.nextval, 22, 56);</v>
      </c>
    </row>
    <row r="1062">
      <c r="A1062" s="1">
        <v>1057.0</v>
      </c>
      <c r="B1062" s="1" t="s">
        <v>306</v>
      </c>
      <c r="C1062" s="1">
        <v>22.0</v>
      </c>
      <c r="D1062" s="1">
        <v>57.0</v>
      </c>
      <c r="F1062" s="2" t="str">
        <f t="shared" si="1"/>
        <v>INSERT INTO tblExamQuestionLink VALUES (seqExamQuestionLink.nextval, 22, 57);</v>
      </c>
    </row>
    <row r="1063">
      <c r="A1063" s="1">
        <v>1058.0</v>
      </c>
      <c r="B1063" s="1" t="s">
        <v>306</v>
      </c>
      <c r="C1063" s="1">
        <v>22.0</v>
      </c>
      <c r="D1063" s="1">
        <v>58.0</v>
      </c>
      <c r="F1063" s="2" t="str">
        <f t="shared" si="1"/>
        <v>INSERT INTO tblExamQuestionLink VALUES (seqExamQuestionLink.nextval, 22, 58);</v>
      </c>
    </row>
    <row r="1064">
      <c r="A1064" s="1">
        <v>1059.0</v>
      </c>
      <c r="B1064" s="1" t="s">
        <v>306</v>
      </c>
      <c r="C1064" s="1">
        <v>22.0</v>
      </c>
      <c r="D1064" s="1">
        <v>59.0</v>
      </c>
      <c r="F1064" s="2" t="str">
        <f t="shared" si="1"/>
        <v>INSERT INTO tblExamQuestionLink VALUES (seqExamQuestionLink.nextval, 22, 59);</v>
      </c>
    </row>
    <row r="1065">
      <c r="A1065" s="1">
        <v>1060.0</v>
      </c>
      <c r="B1065" s="1" t="s">
        <v>306</v>
      </c>
      <c r="C1065" s="1">
        <v>22.0</v>
      </c>
      <c r="D1065" s="1">
        <v>60.0</v>
      </c>
      <c r="F1065" s="2" t="str">
        <f t="shared" si="1"/>
        <v>INSERT INTO tblExamQuestionLink VALUES (seqExamQuestionLink.nextval, 22, 60);</v>
      </c>
    </row>
    <row r="1066">
      <c r="A1066" s="1">
        <v>1061.0</v>
      </c>
      <c r="B1066" s="1" t="s">
        <v>306</v>
      </c>
      <c r="C1066" s="1">
        <v>22.0</v>
      </c>
      <c r="D1066" s="1">
        <v>61.0</v>
      </c>
      <c r="F1066" s="2" t="str">
        <f t="shared" si="1"/>
        <v>INSERT INTO tblExamQuestionLink VALUES (seqExamQuestionLink.nextval, 22, 61);</v>
      </c>
    </row>
    <row r="1067">
      <c r="A1067" s="1">
        <v>1062.0</v>
      </c>
      <c r="B1067" s="1" t="s">
        <v>306</v>
      </c>
      <c r="C1067" s="1">
        <v>22.0</v>
      </c>
      <c r="D1067" s="1">
        <v>62.0</v>
      </c>
      <c r="F1067" s="2" t="str">
        <f t="shared" si="1"/>
        <v>INSERT INTO tblExamQuestionLink VALUES (seqExamQuestionLink.nextval, 22, 62);</v>
      </c>
    </row>
    <row r="1068">
      <c r="A1068" s="1">
        <v>1063.0</v>
      </c>
      <c r="B1068" s="1" t="s">
        <v>306</v>
      </c>
      <c r="C1068" s="1">
        <v>22.0</v>
      </c>
      <c r="D1068" s="1">
        <v>63.0</v>
      </c>
      <c r="F1068" s="2" t="str">
        <f t="shared" si="1"/>
        <v>INSERT INTO tblExamQuestionLink VALUES (seqExamQuestionLink.nextval, 22, 63);</v>
      </c>
    </row>
    <row r="1069">
      <c r="A1069" s="1">
        <v>1064.0</v>
      </c>
      <c r="B1069" s="1" t="s">
        <v>306</v>
      </c>
      <c r="C1069" s="1">
        <v>22.0</v>
      </c>
      <c r="D1069" s="1">
        <v>64.0</v>
      </c>
      <c r="F1069" s="2" t="str">
        <f t="shared" si="1"/>
        <v>INSERT INTO tblExamQuestionLink VALUES (seqExamQuestionLink.nextval, 22, 64);</v>
      </c>
    </row>
    <row r="1070">
      <c r="A1070" s="1">
        <v>1065.0</v>
      </c>
      <c r="B1070" s="1" t="s">
        <v>306</v>
      </c>
      <c r="C1070" s="1">
        <v>22.0</v>
      </c>
      <c r="D1070" s="1">
        <v>65.0</v>
      </c>
      <c r="F1070" s="2" t="str">
        <f t="shared" si="1"/>
        <v>INSERT INTO tblExamQuestionLink VALUES (seqExamQuestionLink.nextval, 22, 65);</v>
      </c>
    </row>
    <row r="1071">
      <c r="A1071" s="1">
        <v>1066.0</v>
      </c>
      <c r="B1071" s="1" t="s">
        <v>306</v>
      </c>
      <c r="C1071" s="1">
        <v>22.0</v>
      </c>
      <c r="D1071" s="1">
        <v>66.0</v>
      </c>
      <c r="F1071" s="2" t="str">
        <f t="shared" si="1"/>
        <v>INSERT INTO tblExamQuestionLink VALUES (seqExamQuestionLink.nextval, 22, 66);</v>
      </c>
    </row>
    <row r="1072">
      <c r="A1072" s="1">
        <v>1067.0</v>
      </c>
      <c r="B1072" s="1" t="s">
        <v>306</v>
      </c>
      <c r="C1072" s="1">
        <v>22.0</v>
      </c>
      <c r="D1072" s="1">
        <v>67.0</v>
      </c>
      <c r="F1072" s="2" t="str">
        <f t="shared" si="1"/>
        <v>INSERT INTO tblExamQuestionLink VALUES (seqExamQuestionLink.nextval, 22, 67);</v>
      </c>
    </row>
    <row r="1073">
      <c r="A1073" s="1">
        <v>1068.0</v>
      </c>
      <c r="B1073" s="1" t="s">
        <v>306</v>
      </c>
      <c r="C1073" s="1">
        <v>22.0</v>
      </c>
      <c r="D1073" s="1">
        <v>68.0</v>
      </c>
      <c r="F1073" s="2" t="str">
        <f t="shared" si="1"/>
        <v>INSERT INTO tblExamQuestionLink VALUES (seqExamQuestionLink.nextval, 22, 68);</v>
      </c>
    </row>
    <row r="1074">
      <c r="A1074" s="1">
        <v>1069.0</v>
      </c>
      <c r="B1074" s="1" t="s">
        <v>306</v>
      </c>
      <c r="C1074" s="1">
        <v>22.0</v>
      </c>
      <c r="D1074" s="1">
        <v>69.0</v>
      </c>
      <c r="F1074" s="2" t="str">
        <f t="shared" si="1"/>
        <v>INSERT INTO tblExamQuestionLink VALUES (seqExamQuestionLink.nextval, 22, 69);</v>
      </c>
    </row>
    <row r="1075">
      <c r="A1075" s="1">
        <v>1070.0</v>
      </c>
      <c r="B1075" s="1" t="s">
        <v>306</v>
      </c>
      <c r="C1075" s="1">
        <v>22.0</v>
      </c>
      <c r="D1075" s="1">
        <v>70.0</v>
      </c>
      <c r="F1075" s="2" t="str">
        <f t="shared" si="1"/>
        <v>INSERT INTO tblExamQuestionLink VALUES (seqExamQuestionLink.nextval, 22, 70);</v>
      </c>
    </row>
    <row r="1076">
      <c r="A1076" s="1">
        <v>1071.0</v>
      </c>
      <c r="B1076" s="1" t="s">
        <v>306</v>
      </c>
      <c r="C1076" s="1">
        <v>22.0</v>
      </c>
      <c r="D1076" s="1">
        <v>71.0</v>
      </c>
      <c r="F1076" s="2" t="str">
        <f t="shared" si="1"/>
        <v>INSERT INTO tblExamQuestionLink VALUES (seqExamQuestionLink.nextval, 22, 71);</v>
      </c>
    </row>
    <row r="1077">
      <c r="A1077" s="1">
        <v>1072.0</v>
      </c>
      <c r="B1077" s="1" t="s">
        <v>306</v>
      </c>
      <c r="C1077" s="1">
        <v>22.0</v>
      </c>
      <c r="D1077" s="1">
        <v>72.0</v>
      </c>
      <c r="F1077" s="2" t="str">
        <f t="shared" si="1"/>
        <v>INSERT INTO tblExamQuestionLink VALUES (seqExamQuestionLink.nextval, 22, 72);</v>
      </c>
    </row>
    <row r="1078">
      <c r="A1078" s="1">
        <v>1073.0</v>
      </c>
      <c r="B1078" s="1" t="s">
        <v>306</v>
      </c>
      <c r="C1078" s="1">
        <v>22.0</v>
      </c>
      <c r="D1078" s="1">
        <v>73.0</v>
      </c>
      <c r="F1078" s="2" t="str">
        <f t="shared" si="1"/>
        <v>INSERT INTO tblExamQuestionLink VALUES (seqExamQuestionLink.nextval, 22, 73);</v>
      </c>
    </row>
    <row r="1079">
      <c r="A1079" s="1">
        <v>1074.0</v>
      </c>
      <c r="B1079" s="1" t="s">
        <v>306</v>
      </c>
      <c r="C1079" s="1">
        <v>22.0</v>
      </c>
      <c r="D1079" s="1">
        <v>74.0</v>
      </c>
      <c r="F1079" s="2" t="str">
        <f t="shared" si="1"/>
        <v>INSERT INTO tblExamQuestionLink VALUES (seqExamQuestionLink.nextval, 22, 74);</v>
      </c>
    </row>
    <row r="1080">
      <c r="A1080" s="1">
        <v>1075.0</v>
      </c>
      <c r="B1080" s="1" t="s">
        <v>306</v>
      </c>
      <c r="C1080" s="1">
        <v>22.0</v>
      </c>
      <c r="D1080" s="1">
        <v>75.0</v>
      </c>
      <c r="F1080" s="2" t="str">
        <f t="shared" si="1"/>
        <v>INSERT INTO tblExamQuestionLink VALUES (seqExamQuestionLink.nextval, 22, 75);</v>
      </c>
    </row>
    <row r="1081">
      <c r="A1081" s="1">
        <v>1076.0</v>
      </c>
      <c r="B1081" s="1" t="s">
        <v>306</v>
      </c>
      <c r="C1081" s="1">
        <v>22.0</v>
      </c>
      <c r="D1081" s="1">
        <v>76.0</v>
      </c>
      <c r="F1081" s="2" t="str">
        <f t="shared" si="1"/>
        <v>INSERT INTO tblExamQuestionLink VALUES (seqExamQuestionLink.nextval, 22, 76);</v>
      </c>
    </row>
    <row r="1082">
      <c r="A1082" s="1">
        <v>1077.0</v>
      </c>
      <c r="B1082" s="1" t="s">
        <v>306</v>
      </c>
      <c r="C1082" s="1">
        <v>22.0</v>
      </c>
      <c r="D1082" s="1">
        <v>77.0</v>
      </c>
      <c r="F1082" s="2" t="str">
        <f t="shared" si="1"/>
        <v>INSERT INTO tblExamQuestionLink VALUES (seqExamQuestionLink.nextval, 22, 77);</v>
      </c>
    </row>
    <row r="1083">
      <c r="A1083" s="1">
        <v>1078.0</v>
      </c>
      <c r="B1083" s="1" t="s">
        <v>306</v>
      </c>
      <c r="C1083" s="1">
        <v>22.0</v>
      </c>
      <c r="D1083" s="1">
        <v>78.0</v>
      </c>
      <c r="F1083" s="2" t="str">
        <f t="shared" si="1"/>
        <v>INSERT INTO tblExamQuestionLink VALUES (seqExamQuestionLink.nextval, 22, 78);</v>
      </c>
    </row>
    <row r="1084">
      <c r="A1084" s="1">
        <v>1079.0</v>
      </c>
      <c r="B1084" s="1" t="s">
        <v>306</v>
      </c>
      <c r="C1084" s="1">
        <v>22.0</v>
      </c>
      <c r="D1084" s="1">
        <v>79.0</v>
      </c>
      <c r="F1084" s="2" t="str">
        <f t="shared" si="1"/>
        <v>INSERT INTO tblExamQuestionLink VALUES (seqExamQuestionLink.nextval, 22, 79);</v>
      </c>
    </row>
    <row r="1085">
      <c r="A1085" s="1">
        <v>1080.0</v>
      </c>
      <c r="B1085" s="1" t="s">
        <v>306</v>
      </c>
      <c r="C1085" s="1">
        <v>22.0</v>
      </c>
      <c r="D1085" s="1">
        <v>80.0</v>
      </c>
      <c r="F1085" s="2" t="str">
        <f t="shared" si="1"/>
        <v>INSERT INTO tblExamQuestionLink VALUES (seqExamQuestionLink.nextval, 22, 80);</v>
      </c>
    </row>
    <row r="1086">
      <c r="A1086" s="1">
        <v>1081.0</v>
      </c>
      <c r="B1086" s="1" t="s">
        <v>306</v>
      </c>
      <c r="C1086" s="1">
        <v>22.0</v>
      </c>
      <c r="D1086" s="1">
        <v>81.0</v>
      </c>
      <c r="F1086" s="2" t="str">
        <f t="shared" si="1"/>
        <v>INSERT INTO tblExamQuestionLink VALUES (seqExamQuestionLink.nextval, 22, 81);</v>
      </c>
    </row>
    <row r="1087">
      <c r="A1087" s="1">
        <v>1082.0</v>
      </c>
      <c r="B1087" s="1" t="s">
        <v>306</v>
      </c>
      <c r="C1087" s="1">
        <v>22.0</v>
      </c>
      <c r="D1087" s="1">
        <v>82.0</v>
      </c>
      <c r="F1087" s="2" t="str">
        <f t="shared" si="1"/>
        <v>INSERT INTO tblExamQuestionLink VALUES (seqExamQuestionLink.nextval, 22, 82);</v>
      </c>
    </row>
    <row r="1088">
      <c r="A1088" s="1">
        <v>1083.0</v>
      </c>
      <c r="B1088" s="1" t="s">
        <v>306</v>
      </c>
      <c r="C1088" s="1">
        <v>22.0</v>
      </c>
      <c r="D1088" s="1">
        <v>83.0</v>
      </c>
      <c r="F1088" s="2" t="str">
        <f t="shared" si="1"/>
        <v>INSERT INTO tblExamQuestionLink VALUES (seqExamQuestionLink.nextval, 22, 83);</v>
      </c>
    </row>
    <row r="1089">
      <c r="A1089" s="1">
        <v>1084.0</v>
      </c>
      <c r="B1089" s="1" t="s">
        <v>306</v>
      </c>
      <c r="C1089" s="1">
        <v>22.0</v>
      </c>
      <c r="D1089" s="1">
        <v>84.0</v>
      </c>
      <c r="F1089" s="2" t="str">
        <f t="shared" si="1"/>
        <v>INSERT INTO tblExamQuestionLink VALUES (seqExamQuestionLink.nextval, 22, 84);</v>
      </c>
    </row>
    <row r="1090">
      <c r="A1090" s="1">
        <v>1085.0</v>
      </c>
      <c r="B1090" s="1" t="s">
        <v>306</v>
      </c>
      <c r="C1090" s="1">
        <v>22.0</v>
      </c>
      <c r="D1090" s="1">
        <v>85.0</v>
      </c>
      <c r="F1090" s="2" t="str">
        <f t="shared" si="1"/>
        <v>INSERT INTO tblExamQuestionLink VALUES (seqExamQuestionLink.nextval, 22, 85);</v>
      </c>
    </row>
    <row r="1091">
      <c r="A1091" s="1">
        <v>1086.0</v>
      </c>
      <c r="B1091" s="1" t="s">
        <v>306</v>
      </c>
      <c r="C1091" s="1">
        <v>22.0</v>
      </c>
      <c r="D1091" s="1">
        <v>86.0</v>
      </c>
      <c r="F1091" s="2" t="str">
        <f t="shared" si="1"/>
        <v>INSERT INTO tblExamQuestionLink VALUES (seqExamQuestionLink.nextval, 22, 86);</v>
      </c>
    </row>
    <row r="1092">
      <c r="A1092" s="1">
        <v>1087.0</v>
      </c>
      <c r="B1092" s="1" t="s">
        <v>306</v>
      </c>
      <c r="C1092" s="1">
        <v>22.0</v>
      </c>
      <c r="D1092" s="1">
        <v>87.0</v>
      </c>
      <c r="F1092" s="2" t="str">
        <f t="shared" si="1"/>
        <v>INSERT INTO tblExamQuestionLink VALUES (seqExamQuestionLink.nextval, 22, 87);</v>
      </c>
    </row>
    <row r="1093">
      <c r="A1093" s="1">
        <v>1088.0</v>
      </c>
      <c r="B1093" s="1" t="s">
        <v>306</v>
      </c>
      <c r="C1093" s="1">
        <v>22.0</v>
      </c>
      <c r="D1093" s="1">
        <v>88.0</v>
      </c>
      <c r="F1093" s="2" t="str">
        <f t="shared" si="1"/>
        <v>INSERT INTO tblExamQuestionLink VALUES (seqExamQuestionLink.nextval, 22, 88);</v>
      </c>
    </row>
    <row r="1094">
      <c r="A1094" s="1">
        <v>1089.0</v>
      </c>
      <c r="B1094" s="1" t="s">
        <v>306</v>
      </c>
      <c r="C1094" s="1">
        <v>22.0</v>
      </c>
      <c r="D1094" s="1">
        <v>89.0</v>
      </c>
      <c r="F1094" s="2" t="str">
        <f t="shared" si="1"/>
        <v>INSERT INTO tblExamQuestionLink VALUES (seqExamQuestionLink.nextval, 22, 89);</v>
      </c>
    </row>
    <row r="1095">
      <c r="A1095" s="1">
        <v>1090.0</v>
      </c>
      <c r="B1095" s="1" t="s">
        <v>306</v>
      </c>
      <c r="C1095" s="1">
        <v>22.0</v>
      </c>
      <c r="D1095" s="1">
        <v>90.0</v>
      </c>
      <c r="F1095" s="2" t="str">
        <f t="shared" si="1"/>
        <v>INSERT INTO tblExamQuestionLink VALUES (seqExamQuestionLink.nextval, 22, 90);</v>
      </c>
    </row>
    <row r="1096">
      <c r="A1096" s="1">
        <v>1091.0</v>
      </c>
      <c r="B1096" s="1" t="s">
        <v>306</v>
      </c>
      <c r="C1096" s="1">
        <v>22.0</v>
      </c>
      <c r="D1096" s="1">
        <v>91.0</v>
      </c>
      <c r="F1096" s="2" t="str">
        <f t="shared" si="1"/>
        <v>INSERT INTO tblExamQuestionLink VALUES (seqExamQuestionLink.nextval, 22, 91);</v>
      </c>
    </row>
    <row r="1097">
      <c r="A1097" s="1">
        <v>1092.0</v>
      </c>
      <c r="B1097" s="1" t="s">
        <v>306</v>
      </c>
      <c r="C1097" s="1">
        <v>22.0</v>
      </c>
      <c r="D1097" s="1">
        <v>92.0</v>
      </c>
      <c r="F1097" s="2" t="str">
        <f t="shared" si="1"/>
        <v>INSERT INTO tblExamQuestionLink VALUES (seqExamQuestionLink.nextval, 22, 92);</v>
      </c>
    </row>
    <row r="1098">
      <c r="A1098" s="1">
        <v>1093.0</v>
      </c>
      <c r="B1098" s="1" t="s">
        <v>306</v>
      </c>
      <c r="C1098" s="1">
        <v>22.0</v>
      </c>
      <c r="D1098" s="1">
        <v>93.0</v>
      </c>
      <c r="F1098" s="2" t="str">
        <f t="shared" si="1"/>
        <v>INSERT INTO tblExamQuestionLink VALUES (seqExamQuestionLink.nextval, 22, 93);</v>
      </c>
    </row>
    <row r="1099">
      <c r="A1099" s="1">
        <v>1094.0</v>
      </c>
      <c r="B1099" s="1" t="s">
        <v>306</v>
      </c>
      <c r="C1099" s="1">
        <v>22.0</v>
      </c>
      <c r="D1099" s="1">
        <v>94.0</v>
      </c>
      <c r="F1099" s="2" t="str">
        <f t="shared" si="1"/>
        <v>INSERT INTO tblExamQuestionLink VALUES (seqExamQuestionLink.nextval, 22, 94);</v>
      </c>
    </row>
    <row r="1100">
      <c r="A1100" s="1">
        <v>1095.0</v>
      </c>
      <c r="B1100" s="1" t="s">
        <v>306</v>
      </c>
      <c r="C1100" s="1">
        <v>22.0</v>
      </c>
      <c r="D1100" s="1">
        <v>95.0</v>
      </c>
      <c r="F1100" s="2" t="str">
        <f t="shared" si="1"/>
        <v>INSERT INTO tblExamQuestionLink VALUES (seqExamQuestionLink.nextval, 22, 95);</v>
      </c>
    </row>
    <row r="1101">
      <c r="A1101" s="1">
        <v>1096.0</v>
      </c>
      <c r="B1101" s="1" t="s">
        <v>306</v>
      </c>
      <c r="C1101" s="1">
        <v>22.0</v>
      </c>
      <c r="D1101" s="1">
        <v>96.0</v>
      </c>
      <c r="F1101" s="2" t="str">
        <f t="shared" si="1"/>
        <v>INSERT INTO tblExamQuestionLink VALUES (seqExamQuestionLink.nextval, 22, 96);</v>
      </c>
    </row>
    <row r="1102">
      <c r="A1102" s="1">
        <v>1097.0</v>
      </c>
      <c r="B1102" s="1" t="s">
        <v>306</v>
      </c>
      <c r="C1102" s="1">
        <v>22.0</v>
      </c>
      <c r="D1102" s="1">
        <v>97.0</v>
      </c>
      <c r="F1102" s="2" t="str">
        <f t="shared" si="1"/>
        <v>INSERT INTO tblExamQuestionLink VALUES (seqExamQuestionLink.nextval, 22, 97);</v>
      </c>
    </row>
    <row r="1103">
      <c r="A1103" s="1">
        <v>1098.0</v>
      </c>
      <c r="B1103" s="1" t="s">
        <v>306</v>
      </c>
      <c r="C1103" s="1">
        <v>22.0</v>
      </c>
      <c r="D1103" s="1">
        <v>98.0</v>
      </c>
      <c r="F1103" s="2" t="str">
        <f t="shared" si="1"/>
        <v>INSERT INTO tblExamQuestionLink VALUES (seqExamQuestionLink.nextval, 22, 98);</v>
      </c>
    </row>
    <row r="1104">
      <c r="A1104" s="1">
        <v>1099.0</v>
      </c>
      <c r="B1104" s="1" t="s">
        <v>306</v>
      </c>
      <c r="C1104" s="1">
        <v>22.0</v>
      </c>
      <c r="D1104" s="1">
        <v>99.0</v>
      </c>
      <c r="F1104" s="2" t="str">
        <f t="shared" si="1"/>
        <v>INSERT INTO tblExamQuestionLink VALUES (seqExamQuestionLink.nextval, 22, 99);</v>
      </c>
    </row>
    <row r="1105">
      <c r="A1105" s="1">
        <v>1100.0</v>
      </c>
      <c r="B1105" s="1" t="s">
        <v>306</v>
      </c>
      <c r="C1105" s="1">
        <v>22.0</v>
      </c>
      <c r="D1105" s="1">
        <v>100.0</v>
      </c>
      <c r="F1105" s="2" t="str">
        <f t="shared" si="1"/>
        <v>INSERT INTO tblExamQuestionLink VALUES (seqExamQuestionLink.nextval, 22, 100);</v>
      </c>
    </row>
    <row r="1106">
      <c r="A1106" s="1">
        <v>1101.0</v>
      </c>
      <c r="B1106" s="1" t="s">
        <v>306</v>
      </c>
      <c r="C1106" s="1">
        <v>23.0</v>
      </c>
      <c r="D1106" s="1">
        <v>101.0</v>
      </c>
      <c r="F1106" s="2" t="str">
        <f t="shared" si="1"/>
        <v>INSERT INTO tblExamQuestionLink VALUES (seqExamQuestionLink.nextval, 23, 101);</v>
      </c>
    </row>
    <row r="1107">
      <c r="A1107" s="1">
        <v>1102.0</v>
      </c>
      <c r="B1107" s="1" t="s">
        <v>306</v>
      </c>
      <c r="C1107" s="1">
        <v>23.0</v>
      </c>
      <c r="D1107" s="1">
        <v>102.0</v>
      </c>
      <c r="F1107" s="2" t="str">
        <f t="shared" si="1"/>
        <v>INSERT INTO tblExamQuestionLink VALUES (seqExamQuestionLink.nextval, 23, 102);</v>
      </c>
    </row>
    <row r="1108">
      <c r="A1108" s="1">
        <v>1103.0</v>
      </c>
      <c r="B1108" s="1" t="s">
        <v>306</v>
      </c>
      <c r="C1108" s="1">
        <v>23.0</v>
      </c>
      <c r="D1108" s="1">
        <v>103.0</v>
      </c>
      <c r="F1108" s="2" t="str">
        <f t="shared" si="1"/>
        <v>INSERT INTO tblExamQuestionLink VALUES (seqExamQuestionLink.nextval, 23, 103);</v>
      </c>
    </row>
    <row r="1109">
      <c r="A1109" s="1">
        <v>1104.0</v>
      </c>
      <c r="B1109" s="1" t="s">
        <v>306</v>
      </c>
      <c r="C1109" s="1">
        <v>23.0</v>
      </c>
      <c r="D1109" s="1">
        <v>104.0</v>
      </c>
      <c r="F1109" s="2" t="str">
        <f t="shared" si="1"/>
        <v>INSERT INTO tblExamQuestionLink VALUES (seqExamQuestionLink.nextval, 23, 104);</v>
      </c>
    </row>
    <row r="1110">
      <c r="A1110" s="1">
        <v>1105.0</v>
      </c>
      <c r="B1110" s="1" t="s">
        <v>306</v>
      </c>
      <c r="C1110" s="1">
        <v>23.0</v>
      </c>
      <c r="D1110" s="1">
        <v>105.0</v>
      </c>
      <c r="F1110" s="2" t="str">
        <f t="shared" si="1"/>
        <v>INSERT INTO tblExamQuestionLink VALUES (seqExamQuestionLink.nextval, 23, 105);</v>
      </c>
    </row>
    <row r="1111">
      <c r="A1111" s="1">
        <v>1106.0</v>
      </c>
      <c r="B1111" s="1" t="s">
        <v>306</v>
      </c>
      <c r="C1111" s="1">
        <v>23.0</v>
      </c>
      <c r="D1111" s="1">
        <v>106.0</v>
      </c>
      <c r="F1111" s="2" t="str">
        <f t="shared" si="1"/>
        <v>INSERT INTO tblExamQuestionLink VALUES (seqExamQuestionLink.nextval, 23, 106);</v>
      </c>
    </row>
    <row r="1112">
      <c r="A1112" s="1">
        <v>1107.0</v>
      </c>
      <c r="B1112" s="1" t="s">
        <v>306</v>
      </c>
      <c r="C1112" s="1">
        <v>23.0</v>
      </c>
      <c r="D1112" s="1">
        <v>107.0</v>
      </c>
      <c r="F1112" s="2" t="str">
        <f t="shared" si="1"/>
        <v>INSERT INTO tblExamQuestionLink VALUES (seqExamQuestionLink.nextval, 23, 107);</v>
      </c>
    </row>
    <row r="1113">
      <c r="A1113" s="1">
        <v>1108.0</v>
      </c>
      <c r="B1113" s="1" t="s">
        <v>306</v>
      </c>
      <c r="C1113" s="1">
        <v>23.0</v>
      </c>
      <c r="D1113" s="1">
        <v>108.0</v>
      </c>
      <c r="F1113" s="2" t="str">
        <f t="shared" si="1"/>
        <v>INSERT INTO tblExamQuestionLink VALUES (seqExamQuestionLink.nextval, 23, 108);</v>
      </c>
    </row>
    <row r="1114">
      <c r="A1114" s="1">
        <v>1109.0</v>
      </c>
      <c r="B1114" s="1" t="s">
        <v>306</v>
      </c>
      <c r="C1114" s="1">
        <v>23.0</v>
      </c>
      <c r="D1114" s="1">
        <v>109.0</v>
      </c>
      <c r="F1114" s="2" t="str">
        <f t="shared" si="1"/>
        <v>INSERT INTO tblExamQuestionLink VALUES (seqExamQuestionLink.nextval, 23, 109);</v>
      </c>
    </row>
    <row r="1115">
      <c r="A1115" s="1">
        <v>1110.0</v>
      </c>
      <c r="B1115" s="1" t="s">
        <v>306</v>
      </c>
      <c r="C1115" s="1">
        <v>23.0</v>
      </c>
      <c r="D1115" s="1">
        <v>110.0</v>
      </c>
      <c r="F1115" s="2" t="str">
        <f t="shared" si="1"/>
        <v>INSERT INTO tblExamQuestionLink VALUES (seqExamQuestionLink.nextval, 23, 110);</v>
      </c>
    </row>
    <row r="1116">
      <c r="A1116" s="1">
        <v>1111.0</v>
      </c>
      <c r="B1116" s="1" t="s">
        <v>306</v>
      </c>
      <c r="C1116" s="1">
        <v>23.0</v>
      </c>
      <c r="D1116" s="1">
        <v>111.0</v>
      </c>
      <c r="F1116" s="2" t="str">
        <f t="shared" si="1"/>
        <v>INSERT INTO tblExamQuestionLink VALUES (seqExamQuestionLink.nextval, 23, 111);</v>
      </c>
    </row>
    <row r="1117">
      <c r="A1117" s="1">
        <v>1112.0</v>
      </c>
      <c r="B1117" s="1" t="s">
        <v>306</v>
      </c>
      <c r="C1117" s="1">
        <v>23.0</v>
      </c>
      <c r="D1117" s="1">
        <v>112.0</v>
      </c>
      <c r="F1117" s="2" t="str">
        <f t="shared" si="1"/>
        <v>INSERT INTO tblExamQuestionLink VALUES (seqExamQuestionLink.nextval, 23, 112);</v>
      </c>
    </row>
    <row r="1118">
      <c r="A1118" s="1">
        <v>1113.0</v>
      </c>
      <c r="B1118" s="1" t="s">
        <v>306</v>
      </c>
      <c r="C1118" s="1">
        <v>23.0</v>
      </c>
      <c r="D1118" s="1">
        <v>113.0</v>
      </c>
      <c r="F1118" s="2" t="str">
        <f t="shared" si="1"/>
        <v>INSERT INTO tblExamQuestionLink VALUES (seqExamQuestionLink.nextval, 23, 113);</v>
      </c>
    </row>
    <row r="1119">
      <c r="A1119" s="1">
        <v>1114.0</v>
      </c>
      <c r="B1119" s="1" t="s">
        <v>306</v>
      </c>
      <c r="C1119" s="1">
        <v>23.0</v>
      </c>
      <c r="D1119" s="1">
        <v>114.0</v>
      </c>
      <c r="F1119" s="2" t="str">
        <f t="shared" si="1"/>
        <v>INSERT INTO tblExamQuestionLink VALUES (seqExamQuestionLink.nextval, 23, 114);</v>
      </c>
    </row>
    <row r="1120">
      <c r="A1120" s="1">
        <v>1115.0</v>
      </c>
      <c r="B1120" s="1" t="s">
        <v>306</v>
      </c>
      <c r="C1120" s="1">
        <v>23.0</v>
      </c>
      <c r="D1120" s="1">
        <v>115.0</v>
      </c>
      <c r="F1120" s="2" t="str">
        <f t="shared" si="1"/>
        <v>INSERT INTO tblExamQuestionLink VALUES (seqExamQuestionLink.nextval, 23, 115);</v>
      </c>
    </row>
    <row r="1121">
      <c r="A1121" s="1">
        <v>1116.0</v>
      </c>
      <c r="B1121" s="1" t="s">
        <v>306</v>
      </c>
      <c r="C1121" s="1">
        <v>23.0</v>
      </c>
      <c r="D1121" s="1">
        <v>116.0</v>
      </c>
      <c r="F1121" s="2" t="str">
        <f t="shared" si="1"/>
        <v>INSERT INTO tblExamQuestionLink VALUES (seqExamQuestionLink.nextval, 23, 116);</v>
      </c>
    </row>
    <row r="1122">
      <c r="A1122" s="1">
        <v>1117.0</v>
      </c>
      <c r="B1122" s="1" t="s">
        <v>306</v>
      </c>
      <c r="C1122" s="1">
        <v>23.0</v>
      </c>
      <c r="D1122" s="1">
        <v>117.0</v>
      </c>
      <c r="F1122" s="2" t="str">
        <f t="shared" si="1"/>
        <v>INSERT INTO tblExamQuestionLink VALUES (seqExamQuestionLink.nextval, 23, 117);</v>
      </c>
    </row>
    <row r="1123">
      <c r="A1123" s="1">
        <v>1118.0</v>
      </c>
      <c r="B1123" s="1" t="s">
        <v>306</v>
      </c>
      <c r="C1123" s="1">
        <v>23.0</v>
      </c>
      <c r="D1123" s="1">
        <v>118.0</v>
      </c>
      <c r="F1123" s="2" t="str">
        <f t="shared" si="1"/>
        <v>INSERT INTO tblExamQuestionLink VALUES (seqExamQuestionLink.nextval, 23, 118);</v>
      </c>
    </row>
    <row r="1124">
      <c r="A1124" s="1">
        <v>1119.0</v>
      </c>
      <c r="B1124" s="1" t="s">
        <v>306</v>
      </c>
      <c r="C1124" s="1">
        <v>23.0</v>
      </c>
      <c r="D1124" s="1">
        <v>119.0</v>
      </c>
      <c r="F1124" s="2" t="str">
        <f t="shared" si="1"/>
        <v>INSERT INTO tblExamQuestionLink VALUES (seqExamQuestionLink.nextval, 23, 119);</v>
      </c>
    </row>
    <row r="1125">
      <c r="A1125" s="1">
        <v>1120.0</v>
      </c>
      <c r="B1125" s="1" t="s">
        <v>306</v>
      </c>
      <c r="C1125" s="1">
        <v>23.0</v>
      </c>
      <c r="D1125" s="1">
        <v>120.0</v>
      </c>
      <c r="F1125" s="2" t="str">
        <f t="shared" si="1"/>
        <v>INSERT INTO tblExamQuestionLink VALUES (seqExamQuestionLink.nextval, 23, 120);</v>
      </c>
    </row>
    <row r="1126">
      <c r="A1126" s="1">
        <v>1121.0</v>
      </c>
      <c r="B1126" s="1" t="s">
        <v>306</v>
      </c>
      <c r="C1126" s="1">
        <v>23.0</v>
      </c>
      <c r="D1126" s="1">
        <v>121.0</v>
      </c>
      <c r="F1126" s="2" t="str">
        <f t="shared" si="1"/>
        <v>INSERT INTO tblExamQuestionLink VALUES (seqExamQuestionLink.nextval, 23, 121);</v>
      </c>
    </row>
    <row r="1127">
      <c r="A1127" s="1">
        <v>1122.0</v>
      </c>
      <c r="B1127" s="1" t="s">
        <v>306</v>
      </c>
      <c r="C1127" s="1">
        <v>23.0</v>
      </c>
      <c r="D1127" s="1">
        <v>122.0</v>
      </c>
      <c r="F1127" s="2" t="str">
        <f t="shared" si="1"/>
        <v>INSERT INTO tblExamQuestionLink VALUES (seqExamQuestionLink.nextval, 23, 122);</v>
      </c>
    </row>
    <row r="1128">
      <c r="A1128" s="1">
        <v>1123.0</v>
      </c>
      <c r="B1128" s="1" t="s">
        <v>306</v>
      </c>
      <c r="C1128" s="1">
        <v>23.0</v>
      </c>
      <c r="D1128" s="1">
        <v>123.0</v>
      </c>
      <c r="F1128" s="2" t="str">
        <f t="shared" si="1"/>
        <v>INSERT INTO tblExamQuestionLink VALUES (seqExamQuestionLink.nextval, 23, 123);</v>
      </c>
    </row>
    <row r="1129">
      <c r="A1129" s="1">
        <v>1124.0</v>
      </c>
      <c r="B1129" s="1" t="s">
        <v>306</v>
      </c>
      <c r="C1129" s="1">
        <v>23.0</v>
      </c>
      <c r="D1129" s="1">
        <v>124.0</v>
      </c>
      <c r="F1129" s="2" t="str">
        <f t="shared" si="1"/>
        <v>INSERT INTO tblExamQuestionLink VALUES (seqExamQuestionLink.nextval, 23, 124);</v>
      </c>
    </row>
    <row r="1130">
      <c r="A1130" s="1">
        <v>1125.0</v>
      </c>
      <c r="B1130" s="1" t="s">
        <v>306</v>
      </c>
      <c r="C1130" s="1">
        <v>23.0</v>
      </c>
      <c r="D1130" s="1">
        <v>125.0</v>
      </c>
      <c r="F1130" s="2" t="str">
        <f t="shared" si="1"/>
        <v>INSERT INTO tblExamQuestionLink VALUES (seqExamQuestionLink.nextval, 23, 125);</v>
      </c>
    </row>
    <row r="1131">
      <c r="A1131" s="1">
        <v>1126.0</v>
      </c>
      <c r="B1131" s="1" t="s">
        <v>306</v>
      </c>
      <c r="C1131" s="1">
        <v>23.0</v>
      </c>
      <c r="D1131" s="1">
        <v>126.0</v>
      </c>
      <c r="F1131" s="2" t="str">
        <f t="shared" si="1"/>
        <v>INSERT INTO tblExamQuestionLink VALUES (seqExamQuestionLink.nextval, 23, 126);</v>
      </c>
    </row>
    <row r="1132">
      <c r="A1132" s="1">
        <v>1127.0</v>
      </c>
      <c r="B1132" s="1" t="s">
        <v>306</v>
      </c>
      <c r="C1132" s="1">
        <v>23.0</v>
      </c>
      <c r="D1132" s="1">
        <v>127.0</v>
      </c>
      <c r="F1132" s="2" t="str">
        <f t="shared" si="1"/>
        <v>INSERT INTO tblExamQuestionLink VALUES (seqExamQuestionLink.nextval, 23, 127);</v>
      </c>
    </row>
    <row r="1133">
      <c r="A1133" s="1">
        <v>1128.0</v>
      </c>
      <c r="B1133" s="1" t="s">
        <v>306</v>
      </c>
      <c r="C1133" s="1">
        <v>23.0</v>
      </c>
      <c r="D1133" s="1">
        <v>128.0</v>
      </c>
      <c r="F1133" s="2" t="str">
        <f t="shared" si="1"/>
        <v>INSERT INTO tblExamQuestionLink VALUES (seqExamQuestionLink.nextval, 23, 128);</v>
      </c>
    </row>
    <row r="1134">
      <c r="A1134" s="1">
        <v>1129.0</v>
      </c>
      <c r="B1134" s="1" t="s">
        <v>306</v>
      </c>
      <c r="C1134" s="1">
        <v>23.0</v>
      </c>
      <c r="D1134" s="1">
        <v>129.0</v>
      </c>
      <c r="F1134" s="2" t="str">
        <f t="shared" si="1"/>
        <v>INSERT INTO tblExamQuestionLink VALUES (seqExamQuestionLink.nextval, 23, 129);</v>
      </c>
    </row>
    <row r="1135">
      <c r="A1135" s="1">
        <v>1130.0</v>
      </c>
      <c r="B1135" s="1" t="s">
        <v>306</v>
      </c>
      <c r="C1135" s="1">
        <v>23.0</v>
      </c>
      <c r="D1135" s="1">
        <v>130.0</v>
      </c>
      <c r="F1135" s="2" t="str">
        <f t="shared" si="1"/>
        <v>INSERT INTO tblExamQuestionLink VALUES (seqExamQuestionLink.nextval, 23, 130);</v>
      </c>
    </row>
    <row r="1136">
      <c r="A1136" s="1">
        <v>1131.0</v>
      </c>
      <c r="B1136" s="1" t="s">
        <v>306</v>
      </c>
      <c r="C1136" s="1">
        <v>23.0</v>
      </c>
      <c r="D1136" s="1">
        <v>131.0</v>
      </c>
      <c r="F1136" s="2" t="str">
        <f t="shared" si="1"/>
        <v>INSERT INTO tblExamQuestionLink VALUES (seqExamQuestionLink.nextval, 23, 131);</v>
      </c>
    </row>
    <row r="1137">
      <c r="A1137" s="1">
        <v>1132.0</v>
      </c>
      <c r="B1137" s="1" t="s">
        <v>306</v>
      </c>
      <c r="C1137" s="1">
        <v>23.0</v>
      </c>
      <c r="D1137" s="1">
        <v>132.0</v>
      </c>
      <c r="F1137" s="2" t="str">
        <f t="shared" si="1"/>
        <v>INSERT INTO tblExamQuestionLink VALUES (seqExamQuestionLink.nextval, 23, 132);</v>
      </c>
    </row>
    <row r="1138">
      <c r="A1138" s="1">
        <v>1133.0</v>
      </c>
      <c r="B1138" s="1" t="s">
        <v>306</v>
      </c>
      <c r="C1138" s="1">
        <v>23.0</v>
      </c>
      <c r="D1138" s="1">
        <v>133.0</v>
      </c>
      <c r="F1138" s="2" t="str">
        <f t="shared" si="1"/>
        <v>INSERT INTO tblExamQuestionLink VALUES (seqExamQuestionLink.nextval, 23, 133);</v>
      </c>
    </row>
    <row r="1139">
      <c r="A1139" s="1">
        <v>1134.0</v>
      </c>
      <c r="B1139" s="1" t="s">
        <v>306</v>
      </c>
      <c r="C1139" s="1">
        <v>23.0</v>
      </c>
      <c r="D1139" s="1">
        <v>134.0</v>
      </c>
      <c r="F1139" s="2" t="str">
        <f t="shared" si="1"/>
        <v>INSERT INTO tblExamQuestionLink VALUES (seqExamQuestionLink.nextval, 23, 134);</v>
      </c>
    </row>
    <row r="1140">
      <c r="A1140" s="1">
        <v>1135.0</v>
      </c>
      <c r="B1140" s="1" t="s">
        <v>306</v>
      </c>
      <c r="C1140" s="1">
        <v>23.0</v>
      </c>
      <c r="D1140" s="1">
        <v>135.0</v>
      </c>
      <c r="F1140" s="2" t="str">
        <f t="shared" si="1"/>
        <v>INSERT INTO tblExamQuestionLink VALUES (seqExamQuestionLink.nextval, 23, 135);</v>
      </c>
    </row>
    <row r="1141">
      <c r="A1141" s="1">
        <v>1136.0</v>
      </c>
      <c r="B1141" s="1" t="s">
        <v>306</v>
      </c>
      <c r="C1141" s="1">
        <v>23.0</v>
      </c>
      <c r="D1141" s="1">
        <v>136.0</v>
      </c>
      <c r="F1141" s="2" t="str">
        <f t="shared" si="1"/>
        <v>INSERT INTO tblExamQuestionLink VALUES (seqExamQuestionLink.nextval, 23, 136);</v>
      </c>
    </row>
    <row r="1142">
      <c r="A1142" s="1">
        <v>1137.0</v>
      </c>
      <c r="B1142" s="1" t="s">
        <v>306</v>
      </c>
      <c r="C1142" s="1">
        <v>23.0</v>
      </c>
      <c r="D1142" s="1">
        <v>137.0</v>
      </c>
      <c r="F1142" s="2" t="str">
        <f t="shared" si="1"/>
        <v>INSERT INTO tblExamQuestionLink VALUES (seqExamQuestionLink.nextval, 23, 137);</v>
      </c>
    </row>
    <row r="1143">
      <c r="A1143" s="1">
        <v>1138.0</v>
      </c>
      <c r="B1143" s="1" t="s">
        <v>306</v>
      </c>
      <c r="C1143" s="1">
        <v>23.0</v>
      </c>
      <c r="D1143" s="1">
        <v>138.0</v>
      </c>
      <c r="F1143" s="2" t="str">
        <f t="shared" si="1"/>
        <v>INSERT INTO tblExamQuestionLink VALUES (seqExamQuestionLink.nextval, 23, 138);</v>
      </c>
    </row>
    <row r="1144">
      <c r="A1144" s="1">
        <v>1139.0</v>
      </c>
      <c r="B1144" s="1" t="s">
        <v>306</v>
      </c>
      <c r="C1144" s="1">
        <v>23.0</v>
      </c>
      <c r="D1144" s="1">
        <v>139.0</v>
      </c>
      <c r="F1144" s="2" t="str">
        <f t="shared" si="1"/>
        <v>INSERT INTO tblExamQuestionLink VALUES (seqExamQuestionLink.nextval, 23, 139);</v>
      </c>
    </row>
    <row r="1145">
      <c r="A1145" s="1">
        <v>1140.0</v>
      </c>
      <c r="B1145" s="1" t="s">
        <v>306</v>
      </c>
      <c r="C1145" s="1">
        <v>23.0</v>
      </c>
      <c r="D1145" s="1">
        <v>140.0</v>
      </c>
      <c r="F1145" s="2" t="str">
        <f t="shared" si="1"/>
        <v>INSERT INTO tblExamQuestionLink VALUES (seqExamQuestionLink.nextval, 23, 140);</v>
      </c>
    </row>
    <row r="1146">
      <c r="A1146" s="1">
        <v>1141.0</v>
      </c>
      <c r="B1146" s="1" t="s">
        <v>306</v>
      </c>
      <c r="C1146" s="1">
        <v>23.0</v>
      </c>
      <c r="D1146" s="1">
        <v>141.0</v>
      </c>
      <c r="F1146" s="2" t="str">
        <f t="shared" si="1"/>
        <v>INSERT INTO tblExamQuestionLink VALUES (seqExamQuestionLink.nextval, 23, 141);</v>
      </c>
    </row>
    <row r="1147">
      <c r="A1147" s="1">
        <v>1142.0</v>
      </c>
      <c r="B1147" s="1" t="s">
        <v>306</v>
      </c>
      <c r="C1147" s="1">
        <v>23.0</v>
      </c>
      <c r="D1147" s="1">
        <v>142.0</v>
      </c>
      <c r="F1147" s="2" t="str">
        <f t="shared" si="1"/>
        <v>INSERT INTO tblExamQuestionLink VALUES (seqExamQuestionLink.nextval, 23, 142);</v>
      </c>
    </row>
    <row r="1148">
      <c r="A1148" s="1">
        <v>1143.0</v>
      </c>
      <c r="B1148" s="1" t="s">
        <v>306</v>
      </c>
      <c r="C1148" s="1">
        <v>23.0</v>
      </c>
      <c r="D1148" s="1">
        <v>143.0</v>
      </c>
      <c r="F1148" s="2" t="str">
        <f t="shared" si="1"/>
        <v>INSERT INTO tblExamQuestionLink VALUES (seqExamQuestionLink.nextval, 23, 143);</v>
      </c>
    </row>
    <row r="1149">
      <c r="A1149" s="1">
        <v>1144.0</v>
      </c>
      <c r="B1149" s="1" t="s">
        <v>306</v>
      </c>
      <c r="C1149" s="1">
        <v>23.0</v>
      </c>
      <c r="D1149" s="1">
        <v>144.0</v>
      </c>
      <c r="F1149" s="2" t="str">
        <f t="shared" si="1"/>
        <v>INSERT INTO tblExamQuestionLink VALUES (seqExamQuestionLink.nextval, 23, 144);</v>
      </c>
    </row>
    <row r="1150">
      <c r="A1150" s="1">
        <v>1145.0</v>
      </c>
      <c r="B1150" s="1" t="s">
        <v>306</v>
      </c>
      <c r="C1150" s="1">
        <v>23.0</v>
      </c>
      <c r="D1150" s="1">
        <v>145.0</v>
      </c>
      <c r="F1150" s="2" t="str">
        <f t="shared" si="1"/>
        <v>INSERT INTO tblExamQuestionLink VALUES (seqExamQuestionLink.nextval, 23, 145);</v>
      </c>
    </row>
    <row r="1151">
      <c r="A1151" s="1">
        <v>1146.0</v>
      </c>
      <c r="B1151" s="1" t="s">
        <v>306</v>
      </c>
      <c r="C1151" s="1">
        <v>23.0</v>
      </c>
      <c r="D1151" s="1">
        <v>146.0</v>
      </c>
      <c r="F1151" s="2" t="str">
        <f t="shared" si="1"/>
        <v>INSERT INTO tblExamQuestionLink VALUES (seqExamQuestionLink.nextval, 23, 146);</v>
      </c>
    </row>
    <row r="1152">
      <c r="A1152" s="1">
        <v>1147.0</v>
      </c>
      <c r="B1152" s="1" t="s">
        <v>306</v>
      </c>
      <c r="C1152" s="1">
        <v>23.0</v>
      </c>
      <c r="D1152" s="1">
        <v>147.0</v>
      </c>
      <c r="F1152" s="2" t="str">
        <f t="shared" si="1"/>
        <v>INSERT INTO tblExamQuestionLink VALUES (seqExamQuestionLink.nextval, 23, 147);</v>
      </c>
    </row>
    <row r="1153">
      <c r="A1153" s="1">
        <v>1148.0</v>
      </c>
      <c r="B1153" s="1" t="s">
        <v>306</v>
      </c>
      <c r="C1153" s="1">
        <v>23.0</v>
      </c>
      <c r="D1153" s="1">
        <v>148.0</v>
      </c>
      <c r="F1153" s="2" t="str">
        <f t="shared" si="1"/>
        <v>INSERT INTO tblExamQuestionLink VALUES (seqExamQuestionLink.nextval, 23, 148);</v>
      </c>
    </row>
    <row r="1154">
      <c r="A1154" s="1">
        <v>1149.0</v>
      </c>
      <c r="B1154" s="1" t="s">
        <v>306</v>
      </c>
      <c r="C1154" s="1">
        <v>23.0</v>
      </c>
      <c r="D1154" s="1">
        <v>149.0</v>
      </c>
      <c r="F1154" s="2" t="str">
        <f t="shared" si="1"/>
        <v>INSERT INTO tblExamQuestionLink VALUES (seqExamQuestionLink.nextval, 23, 149);</v>
      </c>
    </row>
    <row r="1155">
      <c r="A1155" s="1">
        <v>1150.0</v>
      </c>
      <c r="B1155" s="1" t="s">
        <v>306</v>
      </c>
      <c r="C1155" s="1">
        <v>23.0</v>
      </c>
      <c r="D1155" s="1">
        <v>150.0</v>
      </c>
      <c r="F1155" s="2" t="str">
        <f t="shared" si="1"/>
        <v>INSERT INTO tblExamQuestionLink VALUES (seqExamQuestionLink.nextval, 23, 150);</v>
      </c>
    </row>
    <row r="1156">
      <c r="A1156" s="1">
        <v>1151.0</v>
      </c>
      <c r="B1156" s="1" t="s">
        <v>306</v>
      </c>
      <c r="C1156" s="1">
        <v>24.0</v>
      </c>
      <c r="D1156" s="1">
        <v>151.0</v>
      </c>
      <c r="F1156" s="2" t="str">
        <f t="shared" si="1"/>
        <v>INSERT INTO tblExamQuestionLink VALUES (seqExamQuestionLink.nextval, 24, 151);</v>
      </c>
    </row>
    <row r="1157">
      <c r="A1157" s="1">
        <v>1152.0</v>
      </c>
      <c r="B1157" s="1" t="s">
        <v>306</v>
      </c>
      <c r="C1157" s="1">
        <v>24.0</v>
      </c>
      <c r="D1157" s="1">
        <v>152.0</v>
      </c>
      <c r="F1157" s="2" t="str">
        <f t="shared" si="1"/>
        <v>INSERT INTO tblExamQuestionLink VALUES (seqExamQuestionLink.nextval, 24, 152);</v>
      </c>
    </row>
    <row r="1158">
      <c r="A1158" s="1">
        <v>1153.0</v>
      </c>
      <c r="B1158" s="1" t="s">
        <v>306</v>
      </c>
      <c r="C1158" s="1">
        <v>24.0</v>
      </c>
      <c r="D1158" s="1">
        <v>153.0</v>
      </c>
      <c r="F1158" s="2" t="str">
        <f t="shared" si="1"/>
        <v>INSERT INTO tblExamQuestionLink VALUES (seqExamQuestionLink.nextval, 24, 153);</v>
      </c>
    </row>
    <row r="1159">
      <c r="A1159" s="1">
        <v>1154.0</v>
      </c>
      <c r="B1159" s="1" t="s">
        <v>306</v>
      </c>
      <c r="C1159" s="1">
        <v>24.0</v>
      </c>
      <c r="D1159" s="1">
        <v>154.0</v>
      </c>
      <c r="F1159" s="2" t="str">
        <f t="shared" si="1"/>
        <v>INSERT INTO tblExamQuestionLink VALUES (seqExamQuestionLink.nextval, 24, 154);</v>
      </c>
    </row>
    <row r="1160">
      <c r="A1160" s="1">
        <v>1155.0</v>
      </c>
      <c r="B1160" s="1" t="s">
        <v>306</v>
      </c>
      <c r="C1160" s="1">
        <v>24.0</v>
      </c>
      <c r="D1160" s="1">
        <v>155.0</v>
      </c>
      <c r="F1160" s="2" t="str">
        <f t="shared" si="1"/>
        <v>INSERT INTO tblExamQuestionLink VALUES (seqExamQuestionLink.nextval, 24, 155);</v>
      </c>
    </row>
    <row r="1161">
      <c r="A1161" s="1">
        <v>1156.0</v>
      </c>
      <c r="B1161" s="1" t="s">
        <v>306</v>
      </c>
      <c r="C1161" s="1">
        <v>24.0</v>
      </c>
      <c r="D1161" s="1">
        <v>156.0</v>
      </c>
      <c r="F1161" s="2" t="str">
        <f t="shared" si="1"/>
        <v>INSERT INTO tblExamQuestionLink VALUES (seqExamQuestionLink.nextval, 24, 156);</v>
      </c>
    </row>
    <row r="1162">
      <c r="A1162" s="1">
        <v>1157.0</v>
      </c>
      <c r="B1162" s="1" t="s">
        <v>306</v>
      </c>
      <c r="C1162" s="1">
        <v>24.0</v>
      </c>
      <c r="D1162" s="1">
        <v>157.0</v>
      </c>
      <c r="F1162" s="2" t="str">
        <f t="shared" si="1"/>
        <v>INSERT INTO tblExamQuestionLink VALUES (seqExamQuestionLink.nextval, 24, 157);</v>
      </c>
    </row>
    <row r="1163">
      <c r="A1163" s="1">
        <v>1158.0</v>
      </c>
      <c r="B1163" s="1" t="s">
        <v>306</v>
      </c>
      <c r="C1163" s="1">
        <v>24.0</v>
      </c>
      <c r="D1163" s="1">
        <v>158.0</v>
      </c>
      <c r="F1163" s="2" t="str">
        <f t="shared" si="1"/>
        <v>INSERT INTO tblExamQuestionLink VALUES (seqExamQuestionLink.nextval, 24, 158);</v>
      </c>
    </row>
    <row r="1164">
      <c r="A1164" s="1">
        <v>1159.0</v>
      </c>
      <c r="B1164" s="1" t="s">
        <v>306</v>
      </c>
      <c r="C1164" s="1">
        <v>24.0</v>
      </c>
      <c r="D1164" s="1">
        <v>159.0</v>
      </c>
      <c r="F1164" s="2" t="str">
        <f t="shared" si="1"/>
        <v>INSERT INTO tblExamQuestionLink VALUES (seqExamQuestionLink.nextval, 24, 159);</v>
      </c>
    </row>
    <row r="1165">
      <c r="A1165" s="1">
        <v>1160.0</v>
      </c>
      <c r="B1165" s="1" t="s">
        <v>306</v>
      </c>
      <c r="C1165" s="1">
        <v>24.0</v>
      </c>
      <c r="D1165" s="1">
        <v>160.0</v>
      </c>
      <c r="F1165" s="2" t="str">
        <f t="shared" si="1"/>
        <v>INSERT INTO tblExamQuestionLink VALUES (seqExamQuestionLink.nextval, 24, 160);</v>
      </c>
    </row>
    <row r="1166">
      <c r="A1166" s="1">
        <v>1161.0</v>
      </c>
      <c r="B1166" s="1" t="s">
        <v>306</v>
      </c>
      <c r="C1166" s="1">
        <v>24.0</v>
      </c>
      <c r="D1166" s="1">
        <v>161.0</v>
      </c>
      <c r="F1166" s="2" t="str">
        <f t="shared" si="1"/>
        <v>INSERT INTO tblExamQuestionLink VALUES (seqExamQuestionLink.nextval, 24, 161);</v>
      </c>
    </row>
    <row r="1167">
      <c r="A1167" s="1">
        <v>1162.0</v>
      </c>
      <c r="B1167" s="1" t="s">
        <v>306</v>
      </c>
      <c r="C1167" s="1">
        <v>24.0</v>
      </c>
      <c r="D1167" s="1">
        <v>162.0</v>
      </c>
      <c r="F1167" s="2" t="str">
        <f t="shared" si="1"/>
        <v>INSERT INTO tblExamQuestionLink VALUES (seqExamQuestionLink.nextval, 24, 162);</v>
      </c>
    </row>
    <row r="1168">
      <c r="A1168" s="1">
        <v>1163.0</v>
      </c>
      <c r="B1168" s="1" t="s">
        <v>306</v>
      </c>
      <c r="C1168" s="1">
        <v>24.0</v>
      </c>
      <c r="D1168" s="1">
        <v>163.0</v>
      </c>
      <c r="F1168" s="2" t="str">
        <f t="shared" si="1"/>
        <v>INSERT INTO tblExamQuestionLink VALUES (seqExamQuestionLink.nextval, 24, 163);</v>
      </c>
    </row>
    <row r="1169">
      <c r="A1169" s="1">
        <v>1164.0</v>
      </c>
      <c r="B1169" s="1" t="s">
        <v>306</v>
      </c>
      <c r="C1169" s="1">
        <v>24.0</v>
      </c>
      <c r="D1169" s="1">
        <v>164.0</v>
      </c>
      <c r="F1169" s="2" t="str">
        <f t="shared" si="1"/>
        <v>INSERT INTO tblExamQuestionLink VALUES (seqExamQuestionLink.nextval, 24, 164);</v>
      </c>
    </row>
    <row r="1170">
      <c r="A1170" s="1">
        <v>1165.0</v>
      </c>
      <c r="B1170" s="1" t="s">
        <v>306</v>
      </c>
      <c r="C1170" s="1">
        <v>24.0</v>
      </c>
      <c r="D1170" s="1">
        <v>165.0</v>
      </c>
      <c r="F1170" s="2" t="str">
        <f t="shared" si="1"/>
        <v>INSERT INTO tblExamQuestionLink VALUES (seqExamQuestionLink.nextval, 24, 165);</v>
      </c>
    </row>
    <row r="1171">
      <c r="A1171" s="1">
        <v>1166.0</v>
      </c>
      <c r="B1171" s="1" t="s">
        <v>306</v>
      </c>
      <c r="C1171" s="1">
        <v>24.0</v>
      </c>
      <c r="D1171" s="1">
        <v>166.0</v>
      </c>
      <c r="F1171" s="2" t="str">
        <f t="shared" si="1"/>
        <v>INSERT INTO tblExamQuestionLink VALUES (seqExamQuestionLink.nextval, 24, 166);</v>
      </c>
    </row>
    <row r="1172">
      <c r="A1172" s="1">
        <v>1167.0</v>
      </c>
      <c r="B1172" s="1" t="s">
        <v>306</v>
      </c>
      <c r="C1172" s="1">
        <v>24.0</v>
      </c>
      <c r="D1172" s="1">
        <v>167.0</v>
      </c>
      <c r="F1172" s="2" t="str">
        <f t="shared" si="1"/>
        <v>INSERT INTO tblExamQuestionLink VALUES (seqExamQuestionLink.nextval, 24, 167);</v>
      </c>
    </row>
    <row r="1173">
      <c r="A1173" s="1">
        <v>1168.0</v>
      </c>
      <c r="B1173" s="1" t="s">
        <v>306</v>
      </c>
      <c r="C1173" s="1">
        <v>24.0</v>
      </c>
      <c r="D1173" s="1">
        <v>168.0</v>
      </c>
      <c r="F1173" s="2" t="str">
        <f t="shared" si="1"/>
        <v>INSERT INTO tblExamQuestionLink VALUES (seqExamQuestionLink.nextval, 24, 168);</v>
      </c>
    </row>
    <row r="1174">
      <c r="A1174" s="1">
        <v>1169.0</v>
      </c>
      <c r="B1174" s="1" t="s">
        <v>306</v>
      </c>
      <c r="C1174" s="1">
        <v>24.0</v>
      </c>
      <c r="D1174" s="1">
        <v>169.0</v>
      </c>
      <c r="F1174" s="2" t="str">
        <f t="shared" si="1"/>
        <v>INSERT INTO tblExamQuestionLink VALUES (seqExamQuestionLink.nextval, 24, 169);</v>
      </c>
    </row>
    <row r="1175">
      <c r="A1175" s="1">
        <v>1170.0</v>
      </c>
      <c r="B1175" s="1" t="s">
        <v>306</v>
      </c>
      <c r="C1175" s="1">
        <v>24.0</v>
      </c>
      <c r="D1175" s="1">
        <v>170.0</v>
      </c>
      <c r="F1175" s="2" t="str">
        <f t="shared" si="1"/>
        <v>INSERT INTO tblExamQuestionLink VALUES (seqExamQuestionLink.nextval, 24, 170);</v>
      </c>
    </row>
    <row r="1176">
      <c r="A1176" s="1">
        <v>1171.0</v>
      </c>
      <c r="B1176" s="1" t="s">
        <v>306</v>
      </c>
      <c r="C1176" s="1">
        <v>24.0</v>
      </c>
      <c r="D1176" s="1">
        <v>171.0</v>
      </c>
      <c r="F1176" s="2" t="str">
        <f t="shared" si="1"/>
        <v>INSERT INTO tblExamQuestionLink VALUES (seqExamQuestionLink.nextval, 24, 171);</v>
      </c>
    </row>
    <row r="1177">
      <c r="A1177" s="1">
        <v>1172.0</v>
      </c>
      <c r="B1177" s="1" t="s">
        <v>306</v>
      </c>
      <c r="C1177" s="1">
        <v>24.0</v>
      </c>
      <c r="D1177" s="1">
        <v>172.0</v>
      </c>
      <c r="F1177" s="2" t="str">
        <f t="shared" si="1"/>
        <v>INSERT INTO tblExamQuestionLink VALUES (seqExamQuestionLink.nextval, 24, 172);</v>
      </c>
    </row>
    <row r="1178">
      <c r="A1178" s="1">
        <v>1173.0</v>
      </c>
      <c r="B1178" s="1" t="s">
        <v>306</v>
      </c>
      <c r="C1178" s="1">
        <v>24.0</v>
      </c>
      <c r="D1178" s="1">
        <v>173.0</v>
      </c>
      <c r="F1178" s="2" t="str">
        <f t="shared" si="1"/>
        <v>INSERT INTO tblExamQuestionLink VALUES (seqExamQuestionLink.nextval, 24, 173);</v>
      </c>
    </row>
    <row r="1179">
      <c r="A1179" s="1">
        <v>1174.0</v>
      </c>
      <c r="B1179" s="1" t="s">
        <v>306</v>
      </c>
      <c r="C1179" s="1">
        <v>24.0</v>
      </c>
      <c r="D1179" s="1">
        <v>174.0</v>
      </c>
      <c r="F1179" s="2" t="str">
        <f t="shared" si="1"/>
        <v>INSERT INTO tblExamQuestionLink VALUES (seqExamQuestionLink.nextval, 24, 174);</v>
      </c>
    </row>
    <row r="1180">
      <c r="A1180" s="1">
        <v>1175.0</v>
      </c>
      <c r="B1180" s="1" t="s">
        <v>306</v>
      </c>
      <c r="C1180" s="1">
        <v>24.0</v>
      </c>
      <c r="D1180" s="1">
        <v>175.0</v>
      </c>
      <c r="F1180" s="2" t="str">
        <f t="shared" si="1"/>
        <v>INSERT INTO tblExamQuestionLink VALUES (seqExamQuestionLink.nextval, 24, 175);</v>
      </c>
    </row>
    <row r="1181">
      <c r="A1181" s="1">
        <v>1176.0</v>
      </c>
      <c r="B1181" s="1" t="s">
        <v>306</v>
      </c>
      <c r="C1181" s="1">
        <v>24.0</v>
      </c>
      <c r="D1181" s="1">
        <v>176.0</v>
      </c>
      <c r="F1181" s="2" t="str">
        <f t="shared" si="1"/>
        <v>INSERT INTO tblExamQuestionLink VALUES (seqExamQuestionLink.nextval, 24, 176);</v>
      </c>
    </row>
    <row r="1182">
      <c r="A1182" s="1">
        <v>1177.0</v>
      </c>
      <c r="B1182" s="1" t="s">
        <v>306</v>
      </c>
      <c r="C1182" s="1">
        <v>24.0</v>
      </c>
      <c r="D1182" s="1">
        <v>177.0</v>
      </c>
      <c r="F1182" s="2" t="str">
        <f t="shared" si="1"/>
        <v>INSERT INTO tblExamQuestionLink VALUES (seqExamQuestionLink.nextval, 24, 177);</v>
      </c>
    </row>
    <row r="1183">
      <c r="A1183" s="1">
        <v>1178.0</v>
      </c>
      <c r="B1183" s="1" t="s">
        <v>306</v>
      </c>
      <c r="C1183" s="1">
        <v>24.0</v>
      </c>
      <c r="D1183" s="1">
        <v>178.0</v>
      </c>
      <c r="F1183" s="2" t="str">
        <f t="shared" si="1"/>
        <v>INSERT INTO tblExamQuestionLink VALUES (seqExamQuestionLink.nextval, 24, 178);</v>
      </c>
    </row>
    <row r="1184">
      <c r="A1184" s="1">
        <v>1179.0</v>
      </c>
      <c r="B1184" s="1" t="s">
        <v>306</v>
      </c>
      <c r="C1184" s="1">
        <v>24.0</v>
      </c>
      <c r="D1184" s="1">
        <v>179.0</v>
      </c>
      <c r="F1184" s="2" t="str">
        <f t="shared" si="1"/>
        <v>INSERT INTO tblExamQuestionLink VALUES (seqExamQuestionLink.nextval, 24, 179);</v>
      </c>
    </row>
    <row r="1185">
      <c r="A1185" s="1">
        <v>1180.0</v>
      </c>
      <c r="B1185" s="1" t="s">
        <v>306</v>
      </c>
      <c r="C1185" s="1">
        <v>24.0</v>
      </c>
      <c r="D1185" s="1">
        <v>180.0</v>
      </c>
      <c r="F1185" s="2" t="str">
        <f t="shared" si="1"/>
        <v>INSERT INTO tblExamQuestionLink VALUES (seqExamQuestionLink.nextval, 24, 180);</v>
      </c>
    </row>
    <row r="1186">
      <c r="A1186" s="1">
        <v>1181.0</v>
      </c>
      <c r="B1186" s="1" t="s">
        <v>306</v>
      </c>
      <c r="C1186" s="1">
        <v>24.0</v>
      </c>
      <c r="D1186" s="1">
        <v>181.0</v>
      </c>
      <c r="F1186" s="2" t="str">
        <f t="shared" si="1"/>
        <v>INSERT INTO tblExamQuestionLink VALUES (seqExamQuestionLink.nextval, 24, 181);</v>
      </c>
    </row>
    <row r="1187">
      <c r="A1187" s="1">
        <v>1182.0</v>
      </c>
      <c r="B1187" s="1" t="s">
        <v>306</v>
      </c>
      <c r="C1187" s="1">
        <v>24.0</v>
      </c>
      <c r="D1187" s="1">
        <v>182.0</v>
      </c>
      <c r="F1187" s="2" t="str">
        <f t="shared" si="1"/>
        <v>INSERT INTO tblExamQuestionLink VALUES (seqExamQuestionLink.nextval, 24, 182);</v>
      </c>
    </row>
    <row r="1188">
      <c r="A1188" s="1">
        <v>1183.0</v>
      </c>
      <c r="B1188" s="1" t="s">
        <v>306</v>
      </c>
      <c r="C1188" s="1">
        <v>24.0</v>
      </c>
      <c r="D1188" s="1">
        <v>183.0</v>
      </c>
      <c r="F1188" s="2" t="str">
        <f t="shared" si="1"/>
        <v>INSERT INTO tblExamQuestionLink VALUES (seqExamQuestionLink.nextval, 24, 183);</v>
      </c>
    </row>
    <row r="1189">
      <c r="A1189" s="1">
        <v>1184.0</v>
      </c>
      <c r="B1189" s="1" t="s">
        <v>306</v>
      </c>
      <c r="C1189" s="1">
        <v>24.0</v>
      </c>
      <c r="D1189" s="1">
        <v>184.0</v>
      </c>
      <c r="F1189" s="2" t="str">
        <f t="shared" si="1"/>
        <v>INSERT INTO tblExamQuestionLink VALUES (seqExamQuestionLink.nextval, 24, 184);</v>
      </c>
    </row>
    <row r="1190">
      <c r="A1190" s="1">
        <v>1185.0</v>
      </c>
      <c r="B1190" s="1" t="s">
        <v>306</v>
      </c>
      <c r="C1190" s="1">
        <v>24.0</v>
      </c>
      <c r="D1190" s="1">
        <v>185.0</v>
      </c>
      <c r="F1190" s="2" t="str">
        <f t="shared" si="1"/>
        <v>INSERT INTO tblExamQuestionLink VALUES (seqExamQuestionLink.nextval, 24, 185);</v>
      </c>
    </row>
    <row r="1191">
      <c r="A1191" s="1">
        <v>1186.0</v>
      </c>
      <c r="B1191" s="1" t="s">
        <v>306</v>
      </c>
      <c r="C1191" s="1">
        <v>24.0</v>
      </c>
      <c r="D1191" s="1">
        <v>186.0</v>
      </c>
      <c r="F1191" s="2" t="str">
        <f t="shared" si="1"/>
        <v>INSERT INTO tblExamQuestionLink VALUES (seqExamQuestionLink.nextval, 24, 186);</v>
      </c>
    </row>
    <row r="1192">
      <c r="A1192" s="1">
        <v>1187.0</v>
      </c>
      <c r="B1192" s="1" t="s">
        <v>306</v>
      </c>
      <c r="C1192" s="1">
        <v>24.0</v>
      </c>
      <c r="D1192" s="1">
        <v>187.0</v>
      </c>
      <c r="F1192" s="2" t="str">
        <f t="shared" si="1"/>
        <v>INSERT INTO tblExamQuestionLink VALUES (seqExamQuestionLink.nextval, 24, 187);</v>
      </c>
    </row>
    <row r="1193">
      <c r="A1193" s="1">
        <v>1188.0</v>
      </c>
      <c r="B1193" s="1" t="s">
        <v>306</v>
      </c>
      <c r="C1193" s="1">
        <v>24.0</v>
      </c>
      <c r="D1193" s="1">
        <v>188.0</v>
      </c>
      <c r="F1193" s="2" t="str">
        <f t="shared" si="1"/>
        <v>INSERT INTO tblExamQuestionLink VALUES (seqExamQuestionLink.nextval, 24, 188);</v>
      </c>
    </row>
    <row r="1194">
      <c r="A1194" s="1">
        <v>1189.0</v>
      </c>
      <c r="B1194" s="1" t="s">
        <v>306</v>
      </c>
      <c r="C1194" s="1">
        <v>24.0</v>
      </c>
      <c r="D1194" s="1">
        <v>189.0</v>
      </c>
      <c r="F1194" s="2" t="str">
        <f t="shared" si="1"/>
        <v>INSERT INTO tblExamQuestionLink VALUES (seqExamQuestionLink.nextval, 24, 189);</v>
      </c>
    </row>
    <row r="1195">
      <c r="A1195" s="1">
        <v>1190.0</v>
      </c>
      <c r="B1195" s="1" t="s">
        <v>306</v>
      </c>
      <c r="C1195" s="1">
        <v>24.0</v>
      </c>
      <c r="D1195" s="1">
        <v>190.0</v>
      </c>
      <c r="F1195" s="2" t="str">
        <f t="shared" si="1"/>
        <v>INSERT INTO tblExamQuestionLink VALUES (seqExamQuestionLink.nextval, 24, 190);</v>
      </c>
    </row>
    <row r="1196">
      <c r="A1196" s="1">
        <v>1191.0</v>
      </c>
      <c r="B1196" s="1" t="s">
        <v>306</v>
      </c>
      <c r="C1196" s="1">
        <v>24.0</v>
      </c>
      <c r="D1196" s="1">
        <v>191.0</v>
      </c>
      <c r="F1196" s="2" t="str">
        <f t="shared" si="1"/>
        <v>INSERT INTO tblExamQuestionLink VALUES (seqExamQuestionLink.nextval, 24, 191);</v>
      </c>
    </row>
    <row r="1197">
      <c r="A1197" s="1">
        <v>1192.0</v>
      </c>
      <c r="B1197" s="1" t="s">
        <v>306</v>
      </c>
      <c r="C1197" s="1">
        <v>24.0</v>
      </c>
      <c r="D1197" s="1">
        <v>192.0</v>
      </c>
      <c r="F1197" s="2" t="str">
        <f t="shared" si="1"/>
        <v>INSERT INTO tblExamQuestionLink VALUES (seqExamQuestionLink.nextval, 24, 192);</v>
      </c>
    </row>
    <row r="1198">
      <c r="A1198" s="1">
        <v>1193.0</v>
      </c>
      <c r="B1198" s="1" t="s">
        <v>306</v>
      </c>
      <c r="C1198" s="1">
        <v>24.0</v>
      </c>
      <c r="D1198" s="1">
        <v>193.0</v>
      </c>
      <c r="F1198" s="2" t="str">
        <f t="shared" si="1"/>
        <v>INSERT INTO tblExamQuestionLink VALUES (seqExamQuestionLink.nextval, 24, 193);</v>
      </c>
    </row>
    <row r="1199">
      <c r="A1199" s="1">
        <v>1194.0</v>
      </c>
      <c r="B1199" s="1" t="s">
        <v>306</v>
      </c>
      <c r="C1199" s="1">
        <v>24.0</v>
      </c>
      <c r="D1199" s="1">
        <v>194.0</v>
      </c>
      <c r="F1199" s="2" t="str">
        <f t="shared" si="1"/>
        <v>INSERT INTO tblExamQuestionLink VALUES (seqExamQuestionLink.nextval, 24, 194);</v>
      </c>
    </row>
    <row r="1200">
      <c r="A1200" s="1">
        <v>1195.0</v>
      </c>
      <c r="B1200" s="1" t="s">
        <v>306</v>
      </c>
      <c r="C1200" s="1">
        <v>24.0</v>
      </c>
      <c r="D1200" s="1">
        <v>195.0</v>
      </c>
      <c r="F1200" s="2" t="str">
        <f t="shared" si="1"/>
        <v>INSERT INTO tblExamQuestionLink VALUES (seqExamQuestionLink.nextval, 24, 195);</v>
      </c>
    </row>
    <row r="1201">
      <c r="A1201" s="1">
        <v>1196.0</v>
      </c>
      <c r="B1201" s="1" t="s">
        <v>306</v>
      </c>
      <c r="C1201" s="1">
        <v>24.0</v>
      </c>
      <c r="D1201" s="1">
        <v>196.0</v>
      </c>
      <c r="F1201" s="2" t="str">
        <f t="shared" si="1"/>
        <v>INSERT INTO tblExamQuestionLink VALUES (seqExamQuestionLink.nextval, 24, 196);</v>
      </c>
    </row>
    <row r="1202">
      <c r="A1202" s="1">
        <v>1197.0</v>
      </c>
      <c r="B1202" s="1" t="s">
        <v>306</v>
      </c>
      <c r="C1202" s="1">
        <v>24.0</v>
      </c>
      <c r="D1202" s="1">
        <v>197.0</v>
      </c>
      <c r="F1202" s="2" t="str">
        <f t="shared" si="1"/>
        <v>INSERT INTO tblExamQuestionLink VALUES (seqExamQuestionLink.nextval, 24, 197);</v>
      </c>
    </row>
    <row r="1203">
      <c r="A1203" s="1">
        <v>1198.0</v>
      </c>
      <c r="B1203" s="1" t="s">
        <v>306</v>
      </c>
      <c r="C1203" s="1">
        <v>24.0</v>
      </c>
      <c r="D1203" s="1">
        <v>198.0</v>
      </c>
      <c r="F1203" s="2" t="str">
        <f t="shared" si="1"/>
        <v>INSERT INTO tblExamQuestionLink VALUES (seqExamQuestionLink.nextval, 24, 198);</v>
      </c>
    </row>
    <row r="1204">
      <c r="A1204" s="1">
        <v>1199.0</v>
      </c>
      <c r="B1204" s="1" t="s">
        <v>306</v>
      </c>
      <c r="C1204" s="1">
        <v>24.0</v>
      </c>
      <c r="D1204" s="1">
        <v>199.0</v>
      </c>
      <c r="F1204" s="2" t="str">
        <f t="shared" si="1"/>
        <v>INSERT INTO tblExamQuestionLink VALUES (seqExamQuestionLink.nextval, 24, 199);</v>
      </c>
    </row>
    <row r="1205">
      <c r="A1205" s="1">
        <v>1200.0</v>
      </c>
      <c r="B1205" s="1" t="s">
        <v>306</v>
      </c>
      <c r="C1205" s="1">
        <v>24.0</v>
      </c>
      <c r="D1205" s="1">
        <v>200.0</v>
      </c>
      <c r="F1205" s="2" t="str">
        <f t="shared" si="1"/>
        <v>INSERT INTO tblExamQuestionLink VALUES (seqExamQuestionLink.nextval, 24, 200);</v>
      </c>
    </row>
    <row r="1206">
      <c r="A1206" s="1">
        <v>1201.0</v>
      </c>
      <c r="B1206" s="1" t="s">
        <v>306</v>
      </c>
      <c r="C1206" s="1">
        <v>25.0</v>
      </c>
      <c r="D1206" s="1">
        <v>201.0</v>
      </c>
      <c r="F1206" s="2" t="str">
        <f t="shared" si="1"/>
        <v>INSERT INTO tblExamQuestionLink VALUES (seqExamQuestionLink.nextval, 25, 201);</v>
      </c>
    </row>
    <row r="1207">
      <c r="A1207" s="1">
        <v>1202.0</v>
      </c>
      <c r="B1207" s="1" t="s">
        <v>306</v>
      </c>
      <c r="C1207" s="1">
        <v>25.0</v>
      </c>
      <c r="D1207" s="1">
        <v>202.0</v>
      </c>
      <c r="F1207" s="2" t="str">
        <f t="shared" si="1"/>
        <v>INSERT INTO tblExamQuestionLink VALUES (seqExamQuestionLink.nextval, 25, 202);</v>
      </c>
    </row>
    <row r="1208">
      <c r="A1208" s="1">
        <v>1203.0</v>
      </c>
      <c r="B1208" s="1" t="s">
        <v>306</v>
      </c>
      <c r="C1208" s="1">
        <v>25.0</v>
      </c>
      <c r="D1208" s="1">
        <v>203.0</v>
      </c>
      <c r="F1208" s="2" t="str">
        <f t="shared" si="1"/>
        <v>INSERT INTO tblExamQuestionLink VALUES (seqExamQuestionLink.nextval, 25, 203);</v>
      </c>
    </row>
    <row r="1209">
      <c r="A1209" s="1">
        <v>1204.0</v>
      </c>
      <c r="B1209" s="1" t="s">
        <v>306</v>
      </c>
      <c r="C1209" s="1">
        <v>25.0</v>
      </c>
      <c r="D1209" s="1">
        <v>204.0</v>
      </c>
      <c r="F1209" s="2" t="str">
        <f t="shared" si="1"/>
        <v>INSERT INTO tblExamQuestionLink VALUES (seqExamQuestionLink.nextval, 25, 204);</v>
      </c>
    </row>
    <row r="1210">
      <c r="A1210" s="1">
        <v>1205.0</v>
      </c>
      <c r="B1210" s="1" t="s">
        <v>306</v>
      </c>
      <c r="C1210" s="1">
        <v>25.0</v>
      </c>
      <c r="D1210" s="1">
        <v>205.0</v>
      </c>
      <c r="F1210" s="2" t="str">
        <f t="shared" si="1"/>
        <v>INSERT INTO tblExamQuestionLink VALUES (seqExamQuestionLink.nextval, 25, 205);</v>
      </c>
    </row>
    <row r="1211">
      <c r="A1211" s="1">
        <v>1206.0</v>
      </c>
      <c r="B1211" s="1" t="s">
        <v>306</v>
      </c>
      <c r="C1211" s="1">
        <v>25.0</v>
      </c>
      <c r="D1211" s="1">
        <v>206.0</v>
      </c>
      <c r="F1211" s="2" t="str">
        <f t="shared" si="1"/>
        <v>INSERT INTO tblExamQuestionLink VALUES (seqExamQuestionLink.nextval, 25, 206);</v>
      </c>
    </row>
    <row r="1212">
      <c r="A1212" s="1">
        <v>1207.0</v>
      </c>
      <c r="B1212" s="1" t="s">
        <v>306</v>
      </c>
      <c r="C1212" s="1">
        <v>25.0</v>
      </c>
      <c r="D1212" s="1">
        <v>207.0</v>
      </c>
      <c r="F1212" s="2" t="str">
        <f t="shared" si="1"/>
        <v>INSERT INTO tblExamQuestionLink VALUES (seqExamQuestionLink.nextval, 25, 207);</v>
      </c>
    </row>
    <row r="1213">
      <c r="A1213" s="1">
        <v>1208.0</v>
      </c>
      <c r="B1213" s="1" t="s">
        <v>306</v>
      </c>
      <c r="C1213" s="1">
        <v>25.0</v>
      </c>
      <c r="D1213" s="1">
        <v>208.0</v>
      </c>
      <c r="F1213" s="2" t="str">
        <f t="shared" si="1"/>
        <v>INSERT INTO tblExamQuestionLink VALUES (seqExamQuestionLink.nextval, 25, 208);</v>
      </c>
    </row>
    <row r="1214">
      <c r="A1214" s="1">
        <v>1209.0</v>
      </c>
      <c r="B1214" s="1" t="s">
        <v>306</v>
      </c>
      <c r="C1214" s="1">
        <v>25.0</v>
      </c>
      <c r="D1214" s="1">
        <v>209.0</v>
      </c>
      <c r="F1214" s="2" t="str">
        <f t="shared" si="1"/>
        <v>INSERT INTO tblExamQuestionLink VALUES (seqExamQuestionLink.nextval, 25, 209);</v>
      </c>
    </row>
    <row r="1215">
      <c r="A1215" s="1">
        <v>1210.0</v>
      </c>
      <c r="B1215" s="1" t="s">
        <v>306</v>
      </c>
      <c r="C1215" s="1">
        <v>25.0</v>
      </c>
      <c r="D1215" s="1">
        <v>210.0</v>
      </c>
      <c r="F1215" s="2" t="str">
        <f t="shared" si="1"/>
        <v>INSERT INTO tblExamQuestionLink VALUES (seqExamQuestionLink.nextval, 25, 210);</v>
      </c>
    </row>
    <row r="1216">
      <c r="A1216" s="1">
        <v>1211.0</v>
      </c>
      <c r="B1216" s="1" t="s">
        <v>306</v>
      </c>
      <c r="C1216" s="1">
        <v>25.0</v>
      </c>
      <c r="D1216" s="1">
        <v>211.0</v>
      </c>
      <c r="F1216" s="2" t="str">
        <f t="shared" si="1"/>
        <v>INSERT INTO tblExamQuestionLink VALUES (seqExamQuestionLink.nextval, 25, 211);</v>
      </c>
    </row>
    <row r="1217">
      <c r="A1217" s="1">
        <v>1212.0</v>
      </c>
      <c r="B1217" s="1" t="s">
        <v>306</v>
      </c>
      <c r="C1217" s="1">
        <v>25.0</v>
      </c>
      <c r="D1217" s="1">
        <v>212.0</v>
      </c>
      <c r="F1217" s="2" t="str">
        <f t="shared" si="1"/>
        <v>INSERT INTO tblExamQuestionLink VALUES (seqExamQuestionLink.nextval, 25, 212);</v>
      </c>
    </row>
    <row r="1218">
      <c r="A1218" s="1">
        <v>1213.0</v>
      </c>
      <c r="B1218" s="1" t="s">
        <v>306</v>
      </c>
      <c r="C1218" s="1">
        <v>25.0</v>
      </c>
      <c r="D1218" s="1">
        <v>213.0</v>
      </c>
      <c r="F1218" s="2" t="str">
        <f t="shared" si="1"/>
        <v>INSERT INTO tblExamQuestionLink VALUES (seqExamQuestionLink.nextval, 25, 213);</v>
      </c>
    </row>
    <row r="1219">
      <c r="A1219" s="1">
        <v>1214.0</v>
      </c>
      <c r="B1219" s="1" t="s">
        <v>306</v>
      </c>
      <c r="C1219" s="1">
        <v>25.0</v>
      </c>
      <c r="D1219" s="1">
        <v>214.0</v>
      </c>
      <c r="F1219" s="2" t="str">
        <f t="shared" si="1"/>
        <v>INSERT INTO tblExamQuestionLink VALUES (seqExamQuestionLink.nextval, 25, 214);</v>
      </c>
    </row>
    <row r="1220">
      <c r="A1220" s="1">
        <v>1215.0</v>
      </c>
      <c r="B1220" s="1" t="s">
        <v>306</v>
      </c>
      <c r="C1220" s="1">
        <v>25.0</v>
      </c>
      <c r="D1220" s="1">
        <v>215.0</v>
      </c>
      <c r="F1220" s="2" t="str">
        <f t="shared" si="1"/>
        <v>INSERT INTO tblExamQuestionLink VALUES (seqExamQuestionLink.nextval, 25, 215);</v>
      </c>
    </row>
    <row r="1221">
      <c r="A1221" s="1">
        <v>1216.0</v>
      </c>
      <c r="B1221" s="1" t="s">
        <v>306</v>
      </c>
      <c r="C1221" s="1">
        <v>25.0</v>
      </c>
      <c r="D1221" s="1">
        <v>216.0</v>
      </c>
      <c r="F1221" s="2" t="str">
        <f t="shared" si="1"/>
        <v>INSERT INTO tblExamQuestionLink VALUES (seqExamQuestionLink.nextval, 25, 216);</v>
      </c>
    </row>
    <row r="1222">
      <c r="A1222" s="1">
        <v>1217.0</v>
      </c>
      <c r="B1222" s="1" t="s">
        <v>306</v>
      </c>
      <c r="C1222" s="1">
        <v>25.0</v>
      </c>
      <c r="D1222" s="1">
        <v>217.0</v>
      </c>
      <c r="F1222" s="2" t="str">
        <f t="shared" si="1"/>
        <v>INSERT INTO tblExamQuestionLink VALUES (seqExamQuestionLink.nextval, 25, 217);</v>
      </c>
    </row>
    <row r="1223">
      <c r="A1223" s="1">
        <v>1218.0</v>
      </c>
      <c r="B1223" s="1" t="s">
        <v>306</v>
      </c>
      <c r="C1223" s="1">
        <v>25.0</v>
      </c>
      <c r="D1223" s="1">
        <v>218.0</v>
      </c>
      <c r="F1223" s="2" t="str">
        <f t="shared" si="1"/>
        <v>INSERT INTO tblExamQuestionLink VALUES (seqExamQuestionLink.nextval, 25, 218);</v>
      </c>
    </row>
    <row r="1224">
      <c r="A1224" s="1">
        <v>1219.0</v>
      </c>
      <c r="B1224" s="1" t="s">
        <v>306</v>
      </c>
      <c r="C1224" s="1">
        <v>25.0</v>
      </c>
      <c r="D1224" s="1">
        <v>219.0</v>
      </c>
      <c r="F1224" s="2" t="str">
        <f t="shared" si="1"/>
        <v>INSERT INTO tblExamQuestionLink VALUES (seqExamQuestionLink.nextval, 25, 219);</v>
      </c>
    </row>
    <row r="1225">
      <c r="A1225" s="1">
        <v>1220.0</v>
      </c>
      <c r="B1225" s="1" t="s">
        <v>306</v>
      </c>
      <c r="C1225" s="1">
        <v>25.0</v>
      </c>
      <c r="D1225" s="1">
        <v>220.0</v>
      </c>
      <c r="F1225" s="2" t="str">
        <f t="shared" si="1"/>
        <v>INSERT INTO tblExamQuestionLink VALUES (seqExamQuestionLink.nextval, 25, 220);</v>
      </c>
    </row>
    <row r="1226">
      <c r="A1226" s="1">
        <v>1221.0</v>
      </c>
      <c r="B1226" s="1" t="s">
        <v>306</v>
      </c>
      <c r="C1226" s="1">
        <v>25.0</v>
      </c>
      <c r="D1226" s="1">
        <v>221.0</v>
      </c>
      <c r="F1226" s="2" t="str">
        <f t="shared" si="1"/>
        <v>INSERT INTO tblExamQuestionLink VALUES (seqExamQuestionLink.nextval, 25, 221);</v>
      </c>
    </row>
    <row r="1227">
      <c r="A1227" s="1">
        <v>1222.0</v>
      </c>
      <c r="B1227" s="1" t="s">
        <v>306</v>
      </c>
      <c r="C1227" s="1">
        <v>25.0</v>
      </c>
      <c r="D1227" s="1">
        <v>222.0</v>
      </c>
      <c r="F1227" s="2" t="str">
        <f t="shared" si="1"/>
        <v>INSERT INTO tblExamQuestionLink VALUES (seqExamQuestionLink.nextval, 25, 222);</v>
      </c>
    </row>
    <row r="1228">
      <c r="A1228" s="1">
        <v>1223.0</v>
      </c>
      <c r="B1228" s="1" t="s">
        <v>306</v>
      </c>
      <c r="C1228" s="1">
        <v>25.0</v>
      </c>
      <c r="D1228" s="1">
        <v>223.0</v>
      </c>
      <c r="F1228" s="2" t="str">
        <f t="shared" si="1"/>
        <v>INSERT INTO tblExamQuestionLink VALUES (seqExamQuestionLink.nextval, 25, 223);</v>
      </c>
    </row>
    <row r="1229">
      <c r="A1229" s="1">
        <v>1224.0</v>
      </c>
      <c r="B1229" s="1" t="s">
        <v>306</v>
      </c>
      <c r="C1229" s="1">
        <v>25.0</v>
      </c>
      <c r="D1229" s="1">
        <v>224.0</v>
      </c>
      <c r="F1229" s="2" t="str">
        <f t="shared" si="1"/>
        <v>INSERT INTO tblExamQuestionLink VALUES (seqExamQuestionLink.nextval, 25, 224);</v>
      </c>
    </row>
    <row r="1230">
      <c r="A1230" s="1">
        <v>1225.0</v>
      </c>
      <c r="B1230" s="1" t="s">
        <v>306</v>
      </c>
      <c r="C1230" s="1">
        <v>25.0</v>
      </c>
      <c r="D1230" s="1">
        <v>225.0</v>
      </c>
      <c r="F1230" s="2" t="str">
        <f t="shared" si="1"/>
        <v>INSERT INTO tblExamQuestionLink VALUES (seqExamQuestionLink.nextval, 25, 225);</v>
      </c>
    </row>
    <row r="1231">
      <c r="A1231" s="1">
        <v>1226.0</v>
      </c>
      <c r="B1231" s="1" t="s">
        <v>306</v>
      </c>
      <c r="C1231" s="1">
        <v>25.0</v>
      </c>
      <c r="D1231" s="1">
        <v>226.0</v>
      </c>
      <c r="F1231" s="2" t="str">
        <f t="shared" si="1"/>
        <v>INSERT INTO tblExamQuestionLink VALUES (seqExamQuestionLink.nextval, 25, 226);</v>
      </c>
    </row>
    <row r="1232">
      <c r="A1232" s="1">
        <v>1227.0</v>
      </c>
      <c r="B1232" s="1" t="s">
        <v>306</v>
      </c>
      <c r="C1232" s="1">
        <v>25.0</v>
      </c>
      <c r="D1232" s="1">
        <v>227.0</v>
      </c>
      <c r="F1232" s="2" t="str">
        <f t="shared" si="1"/>
        <v>INSERT INTO tblExamQuestionLink VALUES (seqExamQuestionLink.nextval, 25, 227);</v>
      </c>
    </row>
    <row r="1233">
      <c r="A1233" s="1">
        <v>1228.0</v>
      </c>
      <c r="B1233" s="1" t="s">
        <v>306</v>
      </c>
      <c r="C1233" s="1">
        <v>25.0</v>
      </c>
      <c r="D1233" s="1">
        <v>228.0</v>
      </c>
      <c r="F1233" s="2" t="str">
        <f t="shared" si="1"/>
        <v>INSERT INTO tblExamQuestionLink VALUES (seqExamQuestionLink.nextval, 25, 228);</v>
      </c>
    </row>
    <row r="1234">
      <c r="A1234" s="1">
        <v>1229.0</v>
      </c>
      <c r="B1234" s="1" t="s">
        <v>306</v>
      </c>
      <c r="C1234" s="1">
        <v>25.0</v>
      </c>
      <c r="D1234" s="1">
        <v>229.0</v>
      </c>
      <c r="F1234" s="2" t="str">
        <f t="shared" si="1"/>
        <v>INSERT INTO tblExamQuestionLink VALUES (seqExamQuestionLink.nextval, 25, 229);</v>
      </c>
    </row>
    <row r="1235">
      <c r="A1235" s="1">
        <v>1230.0</v>
      </c>
      <c r="B1235" s="1" t="s">
        <v>306</v>
      </c>
      <c r="C1235" s="1">
        <v>25.0</v>
      </c>
      <c r="D1235" s="1">
        <v>230.0</v>
      </c>
      <c r="F1235" s="2" t="str">
        <f t="shared" si="1"/>
        <v>INSERT INTO tblExamQuestionLink VALUES (seqExamQuestionLink.nextval, 25, 230);</v>
      </c>
    </row>
    <row r="1236">
      <c r="A1236" s="1">
        <v>1231.0</v>
      </c>
      <c r="B1236" s="1" t="s">
        <v>306</v>
      </c>
      <c r="C1236" s="1">
        <v>25.0</v>
      </c>
      <c r="D1236" s="1">
        <v>231.0</v>
      </c>
      <c r="F1236" s="2" t="str">
        <f t="shared" si="1"/>
        <v>INSERT INTO tblExamQuestionLink VALUES (seqExamQuestionLink.nextval, 25, 231);</v>
      </c>
    </row>
    <row r="1237">
      <c r="A1237" s="1">
        <v>1232.0</v>
      </c>
      <c r="B1237" s="1" t="s">
        <v>306</v>
      </c>
      <c r="C1237" s="1">
        <v>25.0</v>
      </c>
      <c r="D1237" s="1">
        <v>232.0</v>
      </c>
      <c r="F1237" s="2" t="str">
        <f t="shared" si="1"/>
        <v>INSERT INTO tblExamQuestionLink VALUES (seqExamQuestionLink.nextval, 25, 232);</v>
      </c>
    </row>
    <row r="1238">
      <c r="A1238" s="1">
        <v>1233.0</v>
      </c>
      <c r="B1238" s="1" t="s">
        <v>306</v>
      </c>
      <c r="C1238" s="1">
        <v>25.0</v>
      </c>
      <c r="D1238" s="1">
        <v>233.0</v>
      </c>
      <c r="F1238" s="2" t="str">
        <f t="shared" si="1"/>
        <v>INSERT INTO tblExamQuestionLink VALUES (seqExamQuestionLink.nextval, 25, 233);</v>
      </c>
    </row>
    <row r="1239">
      <c r="A1239" s="1">
        <v>1234.0</v>
      </c>
      <c r="B1239" s="1" t="s">
        <v>306</v>
      </c>
      <c r="C1239" s="1">
        <v>25.0</v>
      </c>
      <c r="D1239" s="1">
        <v>234.0</v>
      </c>
      <c r="F1239" s="2" t="str">
        <f t="shared" si="1"/>
        <v>INSERT INTO tblExamQuestionLink VALUES (seqExamQuestionLink.nextval, 25, 234);</v>
      </c>
    </row>
    <row r="1240">
      <c r="A1240" s="1">
        <v>1235.0</v>
      </c>
      <c r="B1240" s="1" t="s">
        <v>306</v>
      </c>
      <c r="C1240" s="1">
        <v>25.0</v>
      </c>
      <c r="D1240" s="1">
        <v>235.0</v>
      </c>
      <c r="F1240" s="2" t="str">
        <f t="shared" si="1"/>
        <v>INSERT INTO tblExamQuestionLink VALUES (seqExamQuestionLink.nextval, 25, 235);</v>
      </c>
    </row>
    <row r="1241">
      <c r="A1241" s="1">
        <v>1236.0</v>
      </c>
      <c r="B1241" s="1" t="s">
        <v>306</v>
      </c>
      <c r="C1241" s="1">
        <v>25.0</v>
      </c>
      <c r="D1241" s="1">
        <v>236.0</v>
      </c>
      <c r="F1241" s="2" t="str">
        <f t="shared" si="1"/>
        <v>INSERT INTO tblExamQuestionLink VALUES (seqExamQuestionLink.nextval, 25, 236);</v>
      </c>
    </row>
    <row r="1242">
      <c r="A1242" s="1">
        <v>1237.0</v>
      </c>
      <c r="B1242" s="1" t="s">
        <v>306</v>
      </c>
      <c r="C1242" s="1">
        <v>25.0</v>
      </c>
      <c r="D1242" s="1">
        <v>237.0</v>
      </c>
      <c r="F1242" s="2" t="str">
        <f t="shared" si="1"/>
        <v>INSERT INTO tblExamQuestionLink VALUES (seqExamQuestionLink.nextval, 25, 237);</v>
      </c>
    </row>
    <row r="1243">
      <c r="A1243" s="1">
        <v>1238.0</v>
      </c>
      <c r="B1243" s="1" t="s">
        <v>306</v>
      </c>
      <c r="C1243" s="1">
        <v>25.0</v>
      </c>
      <c r="D1243" s="1">
        <v>238.0</v>
      </c>
      <c r="F1243" s="2" t="str">
        <f t="shared" si="1"/>
        <v>INSERT INTO tblExamQuestionLink VALUES (seqExamQuestionLink.nextval, 25, 238);</v>
      </c>
    </row>
    <row r="1244">
      <c r="A1244" s="1">
        <v>1239.0</v>
      </c>
      <c r="B1244" s="1" t="s">
        <v>306</v>
      </c>
      <c r="C1244" s="1">
        <v>25.0</v>
      </c>
      <c r="D1244" s="1">
        <v>239.0</v>
      </c>
      <c r="F1244" s="2" t="str">
        <f t="shared" si="1"/>
        <v>INSERT INTO tblExamQuestionLink VALUES (seqExamQuestionLink.nextval, 25, 239);</v>
      </c>
    </row>
    <row r="1245">
      <c r="A1245" s="1">
        <v>1240.0</v>
      </c>
      <c r="B1245" s="1" t="s">
        <v>306</v>
      </c>
      <c r="C1245" s="1">
        <v>25.0</v>
      </c>
      <c r="D1245" s="1">
        <v>240.0</v>
      </c>
      <c r="F1245" s="2" t="str">
        <f t="shared" si="1"/>
        <v>INSERT INTO tblExamQuestionLink VALUES (seqExamQuestionLink.nextval, 25, 240);</v>
      </c>
    </row>
    <row r="1246">
      <c r="A1246" s="1">
        <v>1241.0</v>
      </c>
      <c r="B1246" s="1" t="s">
        <v>306</v>
      </c>
      <c r="C1246" s="1">
        <v>25.0</v>
      </c>
      <c r="D1246" s="1">
        <v>241.0</v>
      </c>
      <c r="F1246" s="2" t="str">
        <f t="shared" si="1"/>
        <v>INSERT INTO tblExamQuestionLink VALUES (seqExamQuestionLink.nextval, 25, 241);</v>
      </c>
    </row>
    <row r="1247">
      <c r="A1247" s="1">
        <v>1242.0</v>
      </c>
      <c r="B1247" s="1" t="s">
        <v>306</v>
      </c>
      <c r="C1247" s="1">
        <v>25.0</v>
      </c>
      <c r="D1247" s="1">
        <v>242.0</v>
      </c>
      <c r="F1247" s="2" t="str">
        <f t="shared" si="1"/>
        <v>INSERT INTO tblExamQuestionLink VALUES (seqExamQuestionLink.nextval, 25, 242);</v>
      </c>
    </row>
    <row r="1248">
      <c r="A1248" s="1">
        <v>1243.0</v>
      </c>
      <c r="B1248" s="1" t="s">
        <v>306</v>
      </c>
      <c r="C1248" s="1">
        <v>25.0</v>
      </c>
      <c r="D1248" s="1">
        <v>243.0</v>
      </c>
      <c r="F1248" s="2" t="str">
        <f t="shared" si="1"/>
        <v>INSERT INTO tblExamQuestionLink VALUES (seqExamQuestionLink.nextval, 25, 243);</v>
      </c>
    </row>
    <row r="1249">
      <c r="A1249" s="1">
        <v>1244.0</v>
      </c>
      <c r="B1249" s="1" t="s">
        <v>306</v>
      </c>
      <c r="C1249" s="1">
        <v>25.0</v>
      </c>
      <c r="D1249" s="1">
        <v>244.0</v>
      </c>
      <c r="F1249" s="2" t="str">
        <f t="shared" si="1"/>
        <v>INSERT INTO tblExamQuestionLink VALUES (seqExamQuestionLink.nextval, 25, 244);</v>
      </c>
    </row>
    <row r="1250">
      <c r="A1250" s="1">
        <v>1245.0</v>
      </c>
      <c r="B1250" s="1" t="s">
        <v>306</v>
      </c>
      <c r="C1250" s="1">
        <v>25.0</v>
      </c>
      <c r="D1250" s="1">
        <v>245.0</v>
      </c>
      <c r="F1250" s="2" t="str">
        <f t="shared" si="1"/>
        <v>INSERT INTO tblExamQuestionLink VALUES (seqExamQuestionLink.nextval, 25, 245);</v>
      </c>
    </row>
    <row r="1251">
      <c r="A1251" s="1">
        <v>1246.0</v>
      </c>
      <c r="B1251" s="1" t="s">
        <v>306</v>
      </c>
      <c r="C1251" s="1">
        <v>25.0</v>
      </c>
      <c r="D1251" s="1">
        <v>246.0</v>
      </c>
      <c r="F1251" s="2" t="str">
        <f t="shared" si="1"/>
        <v>INSERT INTO tblExamQuestionLink VALUES (seqExamQuestionLink.nextval, 25, 246);</v>
      </c>
    </row>
    <row r="1252">
      <c r="A1252" s="1">
        <v>1247.0</v>
      </c>
      <c r="B1252" s="1" t="s">
        <v>306</v>
      </c>
      <c r="C1252" s="1">
        <v>25.0</v>
      </c>
      <c r="D1252" s="1">
        <v>247.0</v>
      </c>
      <c r="F1252" s="2" t="str">
        <f t="shared" si="1"/>
        <v>INSERT INTO tblExamQuestionLink VALUES (seqExamQuestionLink.nextval, 25, 247);</v>
      </c>
    </row>
    <row r="1253">
      <c r="A1253" s="1">
        <v>1248.0</v>
      </c>
      <c r="B1253" s="1" t="s">
        <v>306</v>
      </c>
      <c r="C1253" s="1">
        <v>25.0</v>
      </c>
      <c r="D1253" s="1">
        <v>248.0</v>
      </c>
      <c r="F1253" s="2" t="str">
        <f t="shared" si="1"/>
        <v>INSERT INTO tblExamQuestionLink VALUES (seqExamQuestionLink.nextval, 25, 248);</v>
      </c>
    </row>
    <row r="1254">
      <c r="A1254" s="1">
        <v>1249.0</v>
      </c>
      <c r="B1254" s="1" t="s">
        <v>306</v>
      </c>
      <c r="C1254" s="1">
        <v>25.0</v>
      </c>
      <c r="D1254" s="1">
        <v>249.0</v>
      </c>
      <c r="F1254" s="2" t="str">
        <f t="shared" si="1"/>
        <v>INSERT INTO tblExamQuestionLink VALUES (seqExamQuestionLink.nextval, 25, 249);</v>
      </c>
    </row>
    <row r="1255">
      <c r="A1255" s="1">
        <v>1250.0</v>
      </c>
      <c r="B1255" s="1" t="s">
        <v>306</v>
      </c>
      <c r="C1255" s="1">
        <v>25.0</v>
      </c>
      <c r="D1255" s="1">
        <v>250.0</v>
      </c>
      <c r="F1255" s="2" t="str">
        <f t="shared" si="1"/>
        <v>INSERT INTO tblExamQuestionLink VALUES (seqExamQuestionLink.nextval, 25, 250);</v>
      </c>
    </row>
    <row r="1256">
      <c r="A1256" s="1">
        <v>1251.0</v>
      </c>
      <c r="B1256" s="1" t="s">
        <v>306</v>
      </c>
      <c r="C1256" s="1">
        <v>26.0</v>
      </c>
      <c r="D1256" s="1">
        <v>251.0</v>
      </c>
      <c r="F1256" s="2" t="str">
        <f t="shared" si="1"/>
        <v>INSERT INTO tblExamQuestionLink VALUES (seqExamQuestionLink.nextval, 26, 251);</v>
      </c>
    </row>
    <row r="1257">
      <c r="A1257" s="1">
        <v>1252.0</v>
      </c>
      <c r="B1257" s="1" t="s">
        <v>306</v>
      </c>
      <c r="C1257" s="1">
        <v>26.0</v>
      </c>
      <c r="D1257" s="1">
        <v>252.0</v>
      </c>
      <c r="F1257" s="2" t="str">
        <f t="shared" si="1"/>
        <v>INSERT INTO tblExamQuestionLink VALUES (seqExamQuestionLink.nextval, 26, 252);</v>
      </c>
    </row>
    <row r="1258">
      <c r="A1258" s="1">
        <v>1253.0</v>
      </c>
      <c r="B1258" s="1" t="s">
        <v>306</v>
      </c>
      <c r="C1258" s="1">
        <v>26.0</v>
      </c>
      <c r="D1258" s="1">
        <v>253.0</v>
      </c>
      <c r="F1258" s="2" t="str">
        <f t="shared" si="1"/>
        <v>INSERT INTO tblExamQuestionLink VALUES (seqExamQuestionLink.nextval, 26, 253);</v>
      </c>
    </row>
    <row r="1259">
      <c r="A1259" s="1">
        <v>1254.0</v>
      </c>
      <c r="B1259" s="1" t="s">
        <v>306</v>
      </c>
      <c r="C1259" s="1">
        <v>26.0</v>
      </c>
      <c r="D1259" s="1">
        <v>254.0</v>
      </c>
      <c r="F1259" s="2" t="str">
        <f t="shared" si="1"/>
        <v>INSERT INTO tblExamQuestionLink VALUES (seqExamQuestionLink.nextval, 26, 254);</v>
      </c>
    </row>
    <row r="1260">
      <c r="A1260" s="1">
        <v>1255.0</v>
      </c>
      <c r="B1260" s="1" t="s">
        <v>306</v>
      </c>
      <c r="C1260" s="1">
        <v>26.0</v>
      </c>
      <c r="D1260" s="1">
        <v>255.0</v>
      </c>
      <c r="F1260" s="2" t="str">
        <f t="shared" si="1"/>
        <v>INSERT INTO tblExamQuestionLink VALUES (seqExamQuestionLink.nextval, 26, 255);</v>
      </c>
    </row>
    <row r="1261">
      <c r="A1261" s="1">
        <v>1256.0</v>
      </c>
      <c r="B1261" s="1" t="s">
        <v>306</v>
      </c>
      <c r="C1261" s="1">
        <v>26.0</v>
      </c>
      <c r="D1261" s="1">
        <v>256.0</v>
      </c>
      <c r="F1261" s="2" t="str">
        <f t="shared" si="1"/>
        <v>INSERT INTO tblExamQuestionLink VALUES (seqExamQuestionLink.nextval, 26, 256);</v>
      </c>
    </row>
    <row r="1262">
      <c r="A1262" s="1">
        <v>1257.0</v>
      </c>
      <c r="B1262" s="1" t="s">
        <v>306</v>
      </c>
      <c r="C1262" s="1">
        <v>26.0</v>
      </c>
      <c r="D1262" s="1">
        <v>257.0</v>
      </c>
      <c r="F1262" s="2" t="str">
        <f t="shared" si="1"/>
        <v>INSERT INTO tblExamQuestionLink VALUES (seqExamQuestionLink.nextval, 26, 257);</v>
      </c>
    </row>
    <row r="1263">
      <c r="A1263" s="1">
        <v>1258.0</v>
      </c>
      <c r="B1263" s="1" t="s">
        <v>306</v>
      </c>
      <c r="C1263" s="1">
        <v>26.0</v>
      </c>
      <c r="D1263" s="1">
        <v>258.0</v>
      </c>
      <c r="F1263" s="2" t="str">
        <f t="shared" si="1"/>
        <v>INSERT INTO tblExamQuestionLink VALUES (seqExamQuestionLink.nextval, 26, 258);</v>
      </c>
    </row>
    <row r="1264">
      <c r="A1264" s="1">
        <v>1259.0</v>
      </c>
      <c r="B1264" s="1" t="s">
        <v>306</v>
      </c>
      <c r="C1264" s="1">
        <v>26.0</v>
      </c>
      <c r="D1264" s="1">
        <v>259.0</v>
      </c>
      <c r="F1264" s="2" t="str">
        <f t="shared" si="1"/>
        <v>INSERT INTO tblExamQuestionLink VALUES (seqExamQuestionLink.nextval, 26, 259);</v>
      </c>
    </row>
    <row r="1265">
      <c r="A1265" s="1">
        <v>1260.0</v>
      </c>
      <c r="B1265" s="1" t="s">
        <v>306</v>
      </c>
      <c r="C1265" s="1">
        <v>26.0</v>
      </c>
      <c r="D1265" s="1">
        <v>260.0</v>
      </c>
      <c r="F1265" s="2" t="str">
        <f t="shared" si="1"/>
        <v>INSERT INTO tblExamQuestionLink VALUES (seqExamQuestionLink.nextval, 26, 260);</v>
      </c>
    </row>
    <row r="1266">
      <c r="A1266" s="1">
        <v>1261.0</v>
      </c>
      <c r="B1266" s="1" t="s">
        <v>306</v>
      </c>
      <c r="C1266" s="1">
        <v>26.0</v>
      </c>
      <c r="D1266" s="1">
        <v>261.0</v>
      </c>
      <c r="F1266" s="2" t="str">
        <f t="shared" si="1"/>
        <v>INSERT INTO tblExamQuestionLink VALUES (seqExamQuestionLink.nextval, 26, 261);</v>
      </c>
    </row>
    <row r="1267">
      <c r="A1267" s="1">
        <v>1262.0</v>
      </c>
      <c r="B1267" s="1" t="s">
        <v>306</v>
      </c>
      <c r="C1267" s="1">
        <v>26.0</v>
      </c>
      <c r="D1267" s="1">
        <v>262.0</v>
      </c>
      <c r="F1267" s="2" t="str">
        <f t="shared" si="1"/>
        <v>INSERT INTO tblExamQuestionLink VALUES (seqExamQuestionLink.nextval, 26, 262);</v>
      </c>
    </row>
    <row r="1268">
      <c r="A1268" s="1">
        <v>1263.0</v>
      </c>
      <c r="B1268" s="1" t="s">
        <v>306</v>
      </c>
      <c r="C1268" s="1">
        <v>26.0</v>
      </c>
      <c r="D1268" s="1">
        <v>263.0</v>
      </c>
      <c r="F1268" s="2" t="str">
        <f t="shared" si="1"/>
        <v>INSERT INTO tblExamQuestionLink VALUES (seqExamQuestionLink.nextval, 26, 263);</v>
      </c>
    </row>
    <row r="1269">
      <c r="A1269" s="1">
        <v>1264.0</v>
      </c>
      <c r="B1269" s="1" t="s">
        <v>306</v>
      </c>
      <c r="C1269" s="1">
        <v>26.0</v>
      </c>
      <c r="D1269" s="1">
        <v>264.0</v>
      </c>
      <c r="F1269" s="2" t="str">
        <f t="shared" si="1"/>
        <v>INSERT INTO tblExamQuestionLink VALUES (seqExamQuestionLink.nextval, 26, 264);</v>
      </c>
    </row>
    <row r="1270">
      <c r="A1270" s="1">
        <v>1265.0</v>
      </c>
      <c r="B1270" s="1" t="s">
        <v>306</v>
      </c>
      <c r="C1270" s="1">
        <v>26.0</v>
      </c>
      <c r="D1270" s="1">
        <v>265.0</v>
      </c>
      <c r="F1270" s="2" t="str">
        <f t="shared" si="1"/>
        <v>INSERT INTO tblExamQuestionLink VALUES (seqExamQuestionLink.nextval, 26, 265);</v>
      </c>
    </row>
    <row r="1271">
      <c r="A1271" s="1">
        <v>1266.0</v>
      </c>
      <c r="B1271" s="1" t="s">
        <v>306</v>
      </c>
      <c r="C1271" s="1">
        <v>26.0</v>
      </c>
      <c r="D1271" s="1">
        <v>266.0</v>
      </c>
      <c r="F1271" s="2" t="str">
        <f t="shared" si="1"/>
        <v>INSERT INTO tblExamQuestionLink VALUES (seqExamQuestionLink.nextval, 26, 266);</v>
      </c>
    </row>
    <row r="1272">
      <c r="A1272" s="1">
        <v>1267.0</v>
      </c>
      <c r="B1272" s="1" t="s">
        <v>306</v>
      </c>
      <c r="C1272" s="1">
        <v>26.0</v>
      </c>
      <c r="D1272" s="1">
        <v>267.0</v>
      </c>
      <c r="F1272" s="2" t="str">
        <f t="shared" si="1"/>
        <v>INSERT INTO tblExamQuestionLink VALUES (seqExamQuestionLink.nextval, 26, 267);</v>
      </c>
    </row>
    <row r="1273">
      <c r="A1273" s="1">
        <v>1268.0</v>
      </c>
      <c r="B1273" s="1" t="s">
        <v>306</v>
      </c>
      <c r="C1273" s="1">
        <v>26.0</v>
      </c>
      <c r="D1273" s="1">
        <v>268.0</v>
      </c>
      <c r="F1273" s="2" t="str">
        <f t="shared" si="1"/>
        <v>INSERT INTO tblExamQuestionLink VALUES (seqExamQuestionLink.nextval, 26, 268);</v>
      </c>
    </row>
    <row r="1274">
      <c r="A1274" s="1">
        <v>1269.0</v>
      </c>
      <c r="B1274" s="1" t="s">
        <v>306</v>
      </c>
      <c r="C1274" s="1">
        <v>26.0</v>
      </c>
      <c r="D1274" s="1">
        <v>269.0</v>
      </c>
      <c r="F1274" s="2" t="str">
        <f t="shared" si="1"/>
        <v>INSERT INTO tblExamQuestionLink VALUES (seqExamQuestionLink.nextval, 26, 269);</v>
      </c>
    </row>
    <row r="1275">
      <c r="A1275" s="1">
        <v>1270.0</v>
      </c>
      <c r="B1275" s="1" t="s">
        <v>306</v>
      </c>
      <c r="C1275" s="1">
        <v>26.0</v>
      </c>
      <c r="D1275" s="1">
        <v>270.0</v>
      </c>
      <c r="F1275" s="2" t="str">
        <f t="shared" si="1"/>
        <v>INSERT INTO tblExamQuestionLink VALUES (seqExamQuestionLink.nextval, 26, 270);</v>
      </c>
    </row>
    <row r="1276">
      <c r="A1276" s="1">
        <v>1271.0</v>
      </c>
      <c r="B1276" s="1" t="s">
        <v>306</v>
      </c>
      <c r="C1276" s="1">
        <v>26.0</v>
      </c>
      <c r="D1276" s="1">
        <v>271.0</v>
      </c>
      <c r="F1276" s="2" t="str">
        <f t="shared" si="1"/>
        <v>INSERT INTO tblExamQuestionLink VALUES (seqExamQuestionLink.nextval, 26, 271);</v>
      </c>
    </row>
    <row r="1277">
      <c r="A1277" s="1">
        <v>1272.0</v>
      </c>
      <c r="B1277" s="1" t="s">
        <v>306</v>
      </c>
      <c r="C1277" s="1">
        <v>26.0</v>
      </c>
      <c r="D1277" s="1">
        <v>272.0</v>
      </c>
      <c r="F1277" s="2" t="str">
        <f t="shared" si="1"/>
        <v>INSERT INTO tblExamQuestionLink VALUES (seqExamQuestionLink.nextval, 26, 272);</v>
      </c>
    </row>
    <row r="1278">
      <c r="A1278" s="1">
        <v>1273.0</v>
      </c>
      <c r="B1278" s="1" t="s">
        <v>306</v>
      </c>
      <c r="C1278" s="1">
        <v>26.0</v>
      </c>
      <c r="D1278" s="1">
        <v>273.0</v>
      </c>
      <c r="F1278" s="2" t="str">
        <f t="shared" si="1"/>
        <v>INSERT INTO tblExamQuestionLink VALUES (seqExamQuestionLink.nextval, 26, 273);</v>
      </c>
    </row>
    <row r="1279">
      <c r="A1279" s="1">
        <v>1274.0</v>
      </c>
      <c r="B1279" s="1" t="s">
        <v>306</v>
      </c>
      <c r="C1279" s="1">
        <v>26.0</v>
      </c>
      <c r="D1279" s="1">
        <v>274.0</v>
      </c>
      <c r="F1279" s="2" t="str">
        <f t="shared" si="1"/>
        <v>INSERT INTO tblExamQuestionLink VALUES (seqExamQuestionLink.nextval, 26, 274);</v>
      </c>
    </row>
    <row r="1280">
      <c r="A1280" s="1">
        <v>1275.0</v>
      </c>
      <c r="B1280" s="1" t="s">
        <v>306</v>
      </c>
      <c r="C1280" s="1">
        <v>26.0</v>
      </c>
      <c r="D1280" s="1">
        <v>275.0</v>
      </c>
      <c r="F1280" s="2" t="str">
        <f t="shared" si="1"/>
        <v>INSERT INTO tblExamQuestionLink VALUES (seqExamQuestionLink.nextval, 26, 275);</v>
      </c>
    </row>
    <row r="1281">
      <c r="A1281" s="1">
        <v>1276.0</v>
      </c>
      <c r="B1281" s="1" t="s">
        <v>306</v>
      </c>
      <c r="C1281" s="1">
        <v>26.0</v>
      </c>
      <c r="D1281" s="1">
        <v>276.0</v>
      </c>
      <c r="F1281" s="2" t="str">
        <f t="shared" si="1"/>
        <v>INSERT INTO tblExamQuestionLink VALUES (seqExamQuestionLink.nextval, 26, 276);</v>
      </c>
    </row>
    <row r="1282">
      <c r="A1282" s="1">
        <v>1277.0</v>
      </c>
      <c r="B1282" s="1" t="s">
        <v>306</v>
      </c>
      <c r="C1282" s="1">
        <v>26.0</v>
      </c>
      <c r="D1282" s="1">
        <v>277.0</v>
      </c>
      <c r="F1282" s="2" t="str">
        <f t="shared" si="1"/>
        <v>INSERT INTO tblExamQuestionLink VALUES (seqExamQuestionLink.nextval, 26, 277);</v>
      </c>
    </row>
    <row r="1283">
      <c r="A1283" s="1">
        <v>1278.0</v>
      </c>
      <c r="B1283" s="1" t="s">
        <v>306</v>
      </c>
      <c r="C1283" s="1">
        <v>26.0</v>
      </c>
      <c r="D1283" s="1">
        <v>278.0</v>
      </c>
      <c r="F1283" s="2" t="str">
        <f t="shared" si="1"/>
        <v>INSERT INTO tblExamQuestionLink VALUES (seqExamQuestionLink.nextval, 26, 278);</v>
      </c>
    </row>
    <row r="1284">
      <c r="A1284" s="1">
        <v>1279.0</v>
      </c>
      <c r="B1284" s="1" t="s">
        <v>306</v>
      </c>
      <c r="C1284" s="1">
        <v>26.0</v>
      </c>
      <c r="D1284" s="1">
        <v>279.0</v>
      </c>
      <c r="F1284" s="2" t="str">
        <f t="shared" si="1"/>
        <v>INSERT INTO tblExamQuestionLink VALUES (seqExamQuestionLink.nextval, 26, 279);</v>
      </c>
    </row>
    <row r="1285">
      <c r="A1285" s="1">
        <v>1280.0</v>
      </c>
      <c r="B1285" s="1" t="s">
        <v>306</v>
      </c>
      <c r="C1285" s="1">
        <v>26.0</v>
      </c>
      <c r="D1285" s="1">
        <v>280.0</v>
      </c>
      <c r="F1285" s="2" t="str">
        <f t="shared" si="1"/>
        <v>INSERT INTO tblExamQuestionLink VALUES (seqExamQuestionLink.nextval, 26, 280);</v>
      </c>
    </row>
    <row r="1286">
      <c r="A1286" s="1">
        <v>1281.0</v>
      </c>
      <c r="B1286" s="1" t="s">
        <v>306</v>
      </c>
      <c r="C1286" s="1">
        <v>26.0</v>
      </c>
      <c r="D1286" s="1">
        <v>281.0</v>
      </c>
      <c r="F1286" s="2" t="str">
        <f t="shared" si="1"/>
        <v>INSERT INTO tblExamQuestionLink VALUES (seqExamQuestionLink.nextval, 26, 281);</v>
      </c>
    </row>
    <row r="1287">
      <c r="A1287" s="1">
        <v>1282.0</v>
      </c>
      <c r="B1287" s="1" t="s">
        <v>306</v>
      </c>
      <c r="C1287" s="1">
        <v>26.0</v>
      </c>
      <c r="D1287" s="1">
        <v>282.0</v>
      </c>
      <c r="F1287" s="2" t="str">
        <f t="shared" si="1"/>
        <v>INSERT INTO tblExamQuestionLink VALUES (seqExamQuestionLink.nextval, 26, 282);</v>
      </c>
    </row>
    <row r="1288">
      <c r="A1288" s="1">
        <v>1283.0</v>
      </c>
      <c r="B1288" s="1" t="s">
        <v>306</v>
      </c>
      <c r="C1288" s="1">
        <v>26.0</v>
      </c>
      <c r="D1288" s="1">
        <v>283.0</v>
      </c>
      <c r="F1288" s="2" t="str">
        <f t="shared" si="1"/>
        <v>INSERT INTO tblExamQuestionLink VALUES (seqExamQuestionLink.nextval, 26, 283);</v>
      </c>
    </row>
    <row r="1289">
      <c r="A1289" s="1">
        <v>1284.0</v>
      </c>
      <c r="B1289" s="1" t="s">
        <v>306</v>
      </c>
      <c r="C1289" s="1">
        <v>26.0</v>
      </c>
      <c r="D1289" s="1">
        <v>284.0</v>
      </c>
      <c r="F1289" s="2" t="str">
        <f t="shared" si="1"/>
        <v>INSERT INTO tblExamQuestionLink VALUES (seqExamQuestionLink.nextval, 26, 284);</v>
      </c>
    </row>
    <row r="1290">
      <c r="A1290" s="1">
        <v>1285.0</v>
      </c>
      <c r="B1290" s="1" t="s">
        <v>306</v>
      </c>
      <c r="C1290" s="1">
        <v>26.0</v>
      </c>
      <c r="D1290" s="1">
        <v>285.0</v>
      </c>
      <c r="F1290" s="2" t="str">
        <f t="shared" si="1"/>
        <v>INSERT INTO tblExamQuestionLink VALUES (seqExamQuestionLink.nextval, 26, 285);</v>
      </c>
    </row>
    <row r="1291">
      <c r="A1291" s="1">
        <v>1286.0</v>
      </c>
      <c r="B1291" s="1" t="s">
        <v>306</v>
      </c>
      <c r="C1291" s="1">
        <v>26.0</v>
      </c>
      <c r="D1291" s="1">
        <v>286.0</v>
      </c>
      <c r="F1291" s="2" t="str">
        <f t="shared" si="1"/>
        <v>INSERT INTO tblExamQuestionLink VALUES (seqExamQuestionLink.nextval, 26, 286);</v>
      </c>
    </row>
    <row r="1292">
      <c r="A1292" s="1">
        <v>1287.0</v>
      </c>
      <c r="B1292" s="1" t="s">
        <v>306</v>
      </c>
      <c r="C1292" s="1">
        <v>26.0</v>
      </c>
      <c r="D1292" s="1">
        <v>287.0</v>
      </c>
      <c r="F1292" s="2" t="str">
        <f t="shared" si="1"/>
        <v>INSERT INTO tblExamQuestionLink VALUES (seqExamQuestionLink.nextval, 26, 287);</v>
      </c>
    </row>
    <row r="1293">
      <c r="A1293" s="1">
        <v>1288.0</v>
      </c>
      <c r="B1293" s="1" t="s">
        <v>306</v>
      </c>
      <c r="C1293" s="1">
        <v>26.0</v>
      </c>
      <c r="D1293" s="1">
        <v>288.0</v>
      </c>
      <c r="F1293" s="2" t="str">
        <f t="shared" si="1"/>
        <v>INSERT INTO tblExamQuestionLink VALUES (seqExamQuestionLink.nextval, 26, 288);</v>
      </c>
    </row>
    <row r="1294">
      <c r="A1294" s="1">
        <v>1289.0</v>
      </c>
      <c r="B1294" s="1" t="s">
        <v>306</v>
      </c>
      <c r="C1294" s="1">
        <v>26.0</v>
      </c>
      <c r="D1294" s="1">
        <v>289.0</v>
      </c>
      <c r="F1294" s="2" t="str">
        <f t="shared" si="1"/>
        <v>INSERT INTO tblExamQuestionLink VALUES (seqExamQuestionLink.nextval, 26, 289);</v>
      </c>
    </row>
    <row r="1295">
      <c r="A1295" s="1">
        <v>1290.0</v>
      </c>
      <c r="B1295" s="1" t="s">
        <v>306</v>
      </c>
      <c r="C1295" s="1">
        <v>26.0</v>
      </c>
      <c r="D1295" s="1">
        <v>290.0</v>
      </c>
      <c r="F1295" s="2" t="str">
        <f t="shared" si="1"/>
        <v>INSERT INTO tblExamQuestionLink VALUES (seqExamQuestionLink.nextval, 26, 290);</v>
      </c>
    </row>
    <row r="1296">
      <c r="A1296" s="1">
        <v>1291.0</v>
      </c>
      <c r="B1296" s="1" t="s">
        <v>306</v>
      </c>
      <c r="C1296" s="1">
        <v>26.0</v>
      </c>
      <c r="D1296" s="1">
        <v>291.0</v>
      </c>
      <c r="F1296" s="2" t="str">
        <f t="shared" si="1"/>
        <v>INSERT INTO tblExamQuestionLink VALUES (seqExamQuestionLink.nextval, 26, 291);</v>
      </c>
    </row>
    <row r="1297">
      <c r="A1297" s="1">
        <v>1292.0</v>
      </c>
      <c r="B1297" s="1" t="s">
        <v>306</v>
      </c>
      <c r="C1297" s="1">
        <v>26.0</v>
      </c>
      <c r="D1297" s="1">
        <v>292.0</v>
      </c>
      <c r="F1297" s="2" t="str">
        <f t="shared" si="1"/>
        <v>INSERT INTO tblExamQuestionLink VALUES (seqExamQuestionLink.nextval, 26, 292);</v>
      </c>
    </row>
    <row r="1298">
      <c r="A1298" s="1">
        <v>1293.0</v>
      </c>
      <c r="B1298" s="1" t="s">
        <v>306</v>
      </c>
      <c r="C1298" s="1">
        <v>26.0</v>
      </c>
      <c r="D1298" s="1">
        <v>293.0</v>
      </c>
      <c r="F1298" s="2" t="str">
        <f t="shared" si="1"/>
        <v>INSERT INTO tblExamQuestionLink VALUES (seqExamQuestionLink.nextval, 26, 293);</v>
      </c>
    </row>
    <row r="1299">
      <c r="A1299" s="1">
        <v>1294.0</v>
      </c>
      <c r="B1299" s="1" t="s">
        <v>306</v>
      </c>
      <c r="C1299" s="1">
        <v>26.0</v>
      </c>
      <c r="D1299" s="1">
        <v>294.0</v>
      </c>
      <c r="F1299" s="2" t="str">
        <f t="shared" si="1"/>
        <v>INSERT INTO tblExamQuestionLink VALUES (seqExamQuestionLink.nextval, 26, 294);</v>
      </c>
    </row>
    <row r="1300">
      <c r="A1300" s="1">
        <v>1295.0</v>
      </c>
      <c r="B1300" s="1" t="s">
        <v>306</v>
      </c>
      <c r="C1300" s="1">
        <v>26.0</v>
      </c>
      <c r="D1300" s="1">
        <v>295.0</v>
      </c>
      <c r="F1300" s="2" t="str">
        <f t="shared" si="1"/>
        <v>INSERT INTO tblExamQuestionLink VALUES (seqExamQuestionLink.nextval, 26, 295);</v>
      </c>
    </row>
    <row r="1301">
      <c r="A1301" s="1">
        <v>1296.0</v>
      </c>
      <c r="B1301" s="1" t="s">
        <v>306</v>
      </c>
      <c r="C1301" s="1">
        <v>26.0</v>
      </c>
      <c r="D1301" s="1">
        <v>296.0</v>
      </c>
      <c r="F1301" s="2" t="str">
        <f t="shared" si="1"/>
        <v>INSERT INTO tblExamQuestionLink VALUES (seqExamQuestionLink.nextval, 26, 296);</v>
      </c>
    </row>
    <row r="1302">
      <c r="A1302" s="1">
        <v>1297.0</v>
      </c>
      <c r="B1302" s="1" t="s">
        <v>306</v>
      </c>
      <c r="C1302" s="1">
        <v>26.0</v>
      </c>
      <c r="D1302" s="1">
        <v>297.0</v>
      </c>
      <c r="F1302" s="2" t="str">
        <f t="shared" si="1"/>
        <v>INSERT INTO tblExamQuestionLink VALUES (seqExamQuestionLink.nextval, 26, 297);</v>
      </c>
    </row>
    <row r="1303">
      <c r="A1303" s="1">
        <v>1298.0</v>
      </c>
      <c r="B1303" s="1" t="s">
        <v>306</v>
      </c>
      <c r="C1303" s="1">
        <v>26.0</v>
      </c>
      <c r="D1303" s="1">
        <v>298.0</v>
      </c>
      <c r="F1303" s="2" t="str">
        <f t="shared" si="1"/>
        <v>INSERT INTO tblExamQuestionLink VALUES (seqExamQuestionLink.nextval, 26, 298);</v>
      </c>
    </row>
    <row r="1304">
      <c r="A1304" s="1">
        <v>1299.0</v>
      </c>
      <c r="B1304" s="1" t="s">
        <v>306</v>
      </c>
      <c r="C1304" s="1">
        <v>26.0</v>
      </c>
      <c r="D1304" s="1">
        <v>299.0</v>
      </c>
      <c r="F1304" s="2" t="str">
        <f t="shared" si="1"/>
        <v>INSERT INTO tblExamQuestionLink VALUES (seqExamQuestionLink.nextval, 26, 299);</v>
      </c>
    </row>
    <row r="1305">
      <c r="A1305" s="1">
        <v>1300.0</v>
      </c>
      <c r="B1305" s="1" t="s">
        <v>306</v>
      </c>
      <c r="C1305" s="1">
        <v>26.0</v>
      </c>
      <c r="D1305" s="1">
        <v>300.0</v>
      </c>
      <c r="F1305" s="2" t="str">
        <f t="shared" si="1"/>
        <v>INSERT INTO tblExamQuestionLink VALUES (seqExamQuestionLink.nextval, 26, 300);</v>
      </c>
    </row>
    <row r="1306">
      <c r="A1306" s="1">
        <v>1301.0</v>
      </c>
      <c r="B1306" s="1" t="s">
        <v>306</v>
      </c>
      <c r="C1306" s="1">
        <v>27.0</v>
      </c>
      <c r="D1306" s="1">
        <v>301.0</v>
      </c>
      <c r="F1306" s="2" t="str">
        <f t="shared" si="1"/>
        <v>INSERT INTO tblExamQuestionLink VALUES (seqExamQuestionLink.nextval, 27, 301);</v>
      </c>
    </row>
    <row r="1307">
      <c r="A1307" s="1">
        <v>1302.0</v>
      </c>
      <c r="B1307" s="1" t="s">
        <v>306</v>
      </c>
      <c r="C1307" s="1">
        <v>27.0</v>
      </c>
      <c r="D1307" s="1">
        <v>302.0</v>
      </c>
      <c r="F1307" s="2" t="str">
        <f t="shared" si="1"/>
        <v>INSERT INTO tblExamQuestionLink VALUES (seqExamQuestionLink.nextval, 27, 302);</v>
      </c>
    </row>
    <row r="1308">
      <c r="A1308" s="1">
        <v>1303.0</v>
      </c>
      <c r="B1308" s="1" t="s">
        <v>306</v>
      </c>
      <c r="C1308" s="1">
        <v>27.0</v>
      </c>
      <c r="D1308" s="1">
        <v>303.0</v>
      </c>
      <c r="F1308" s="2" t="str">
        <f t="shared" si="1"/>
        <v>INSERT INTO tblExamQuestionLink VALUES (seqExamQuestionLink.nextval, 27, 303);</v>
      </c>
    </row>
    <row r="1309">
      <c r="A1309" s="1">
        <v>1304.0</v>
      </c>
      <c r="B1309" s="1" t="s">
        <v>306</v>
      </c>
      <c r="C1309" s="1">
        <v>27.0</v>
      </c>
      <c r="D1309" s="1">
        <v>304.0</v>
      </c>
      <c r="F1309" s="2" t="str">
        <f t="shared" si="1"/>
        <v>INSERT INTO tblExamQuestionLink VALUES (seqExamQuestionLink.nextval, 27, 304);</v>
      </c>
    </row>
    <row r="1310">
      <c r="A1310" s="1">
        <v>1305.0</v>
      </c>
      <c r="B1310" s="1" t="s">
        <v>306</v>
      </c>
      <c r="C1310" s="1">
        <v>27.0</v>
      </c>
      <c r="D1310" s="1">
        <v>305.0</v>
      </c>
      <c r="F1310" s="2" t="str">
        <f t="shared" si="1"/>
        <v>INSERT INTO tblExamQuestionLink VALUES (seqExamQuestionLink.nextval, 27, 305);</v>
      </c>
    </row>
    <row r="1311">
      <c r="A1311" s="1">
        <v>1306.0</v>
      </c>
      <c r="B1311" s="1" t="s">
        <v>306</v>
      </c>
      <c r="C1311" s="1">
        <v>27.0</v>
      </c>
      <c r="D1311" s="1">
        <v>306.0</v>
      </c>
      <c r="F1311" s="2" t="str">
        <f t="shared" si="1"/>
        <v>INSERT INTO tblExamQuestionLink VALUES (seqExamQuestionLink.nextval, 27, 306);</v>
      </c>
    </row>
    <row r="1312">
      <c r="A1312" s="1">
        <v>1307.0</v>
      </c>
      <c r="B1312" s="1" t="s">
        <v>306</v>
      </c>
      <c r="C1312" s="1">
        <v>27.0</v>
      </c>
      <c r="D1312" s="1">
        <v>307.0</v>
      </c>
      <c r="F1312" s="2" t="str">
        <f t="shared" si="1"/>
        <v>INSERT INTO tblExamQuestionLink VALUES (seqExamQuestionLink.nextval, 27, 307);</v>
      </c>
    </row>
    <row r="1313">
      <c r="A1313" s="1">
        <v>1308.0</v>
      </c>
      <c r="B1313" s="1" t="s">
        <v>306</v>
      </c>
      <c r="C1313" s="1">
        <v>27.0</v>
      </c>
      <c r="D1313" s="1">
        <v>308.0</v>
      </c>
      <c r="F1313" s="2" t="str">
        <f t="shared" si="1"/>
        <v>INSERT INTO tblExamQuestionLink VALUES (seqExamQuestionLink.nextval, 27, 308);</v>
      </c>
    </row>
    <row r="1314">
      <c r="A1314" s="1">
        <v>1309.0</v>
      </c>
      <c r="B1314" s="1" t="s">
        <v>306</v>
      </c>
      <c r="C1314" s="1">
        <v>27.0</v>
      </c>
      <c r="D1314" s="1">
        <v>309.0</v>
      </c>
      <c r="F1314" s="2" t="str">
        <f t="shared" si="1"/>
        <v>INSERT INTO tblExamQuestionLink VALUES (seqExamQuestionLink.nextval, 27, 309);</v>
      </c>
    </row>
    <row r="1315">
      <c r="A1315" s="1">
        <v>1310.0</v>
      </c>
      <c r="B1315" s="1" t="s">
        <v>306</v>
      </c>
      <c r="C1315" s="1">
        <v>27.0</v>
      </c>
      <c r="D1315" s="1">
        <v>310.0</v>
      </c>
      <c r="F1315" s="2" t="str">
        <f t="shared" si="1"/>
        <v>INSERT INTO tblExamQuestionLink VALUES (seqExamQuestionLink.nextval, 27, 310);</v>
      </c>
    </row>
    <row r="1316">
      <c r="A1316" s="1">
        <v>1311.0</v>
      </c>
      <c r="B1316" s="1" t="s">
        <v>306</v>
      </c>
      <c r="C1316" s="1">
        <v>27.0</v>
      </c>
      <c r="D1316" s="1">
        <v>311.0</v>
      </c>
      <c r="F1316" s="2" t="str">
        <f t="shared" si="1"/>
        <v>INSERT INTO tblExamQuestionLink VALUES (seqExamQuestionLink.nextval, 27, 311);</v>
      </c>
    </row>
    <row r="1317">
      <c r="A1317" s="1">
        <v>1312.0</v>
      </c>
      <c r="B1317" s="1" t="s">
        <v>306</v>
      </c>
      <c r="C1317" s="1">
        <v>27.0</v>
      </c>
      <c r="D1317" s="1">
        <v>312.0</v>
      </c>
      <c r="F1317" s="2" t="str">
        <f t="shared" si="1"/>
        <v>INSERT INTO tblExamQuestionLink VALUES (seqExamQuestionLink.nextval, 27, 312);</v>
      </c>
    </row>
    <row r="1318">
      <c r="A1318" s="1">
        <v>1313.0</v>
      </c>
      <c r="B1318" s="1" t="s">
        <v>306</v>
      </c>
      <c r="C1318" s="1">
        <v>27.0</v>
      </c>
      <c r="D1318" s="1">
        <v>313.0</v>
      </c>
      <c r="F1318" s="2" t="str">
        <f t="shared" si="1"/>
        <v>INSERT INTO tblExamQuestionLink VALUES (seqExamQuestionLink.nextval, 27, 313);</v>
      </c>
    </row>
    <row r="1319">
      <c r="A1319" s="1">
        <v>1314.0</v>
      </c>
      <c r="B1319" s="1" t="s">
        <v>306</v>
      </c>
      <c r="C1319" s="1">
        <v>27.0</v>
      </c>
      <c r="D1319" s="1">
        <v>314.0</v>
      </c>
      <c r="F1319" s="2" t="str">
        <f t="shared" si="1"/>
        <v>INSERT INTO tblExamQuestionLink VALUES (seqExamQuestionLink.nextval, 27, 314);</v>
      </c>
    </row>
    <row r="1320">
      <c r="A1320" s="1">
        <v>1315.0</v>
      </c>
      <c r="B1320" s="1" t="s">
        <v>306</v>
      </c>
      <c r="C1320" s="1">
        <v>27.0</v>
      </c>
      <c r="D1320" s="1">
        <v>315.0</v>
      </c>
      <c r="F1320" s="2" t="str">
        <f t="shared" si="1"/>
        <v>INSERT INTO tblExamQuestionLink VALUES (seqExamQuestionLink.nextval, 27, 315);</v>
      </c>
    </row>
    <row r="1321">
      <c r="A1321" s="1">
        <v>1316.0</v>
      </c>
      <c r="B1321" s="1" t="s">
        <v>306</v>
      </c>
      <c r="C1321" s="1">
        <v>27.0</v>
      </c>
      <c r="D1321" s="1">
        <v>316.0</v>
      </c>
      <c r="F1321" s="2" t="str">
        <f t="shared" si="1"/>
        <v>INSERT INTO tblExamQuestionLink VALUES (seqExamQuestionLink.nextval, 27, 316);</v>
      </c>
    </row>
    <row r="1322">
      <c r="A1322" s="1">
        <v>1317.0</v>
      </c>
      <c r="B1322" s="1" t="s">
        <v>306</v>
      </c>
      <c r="C1322" s="1">
        <v>27.0</v>
      </c>
      <c r="D1322" s="1">
        <v>317.0</v>
      </c>
      <c r="F1322" s="2" t="str">
        <f t="shared" si="1"/>
        <v>INSERT INTO tblExamQuestionLink VALUES (seqExamQuestionLink.nextval, 27, 317);</v>
      </c>
    </row>
    <row r="1323">
      <c r="A1323" s="1">
        <v>1318.0</v>
      </c>
      <c r="B1323" s="1" t="s">
        <v>306</v>
      </c>
      <c r="C1323" s="1">
        <v>27.0</v>
      </c>
      <c r="D1323" s="1">
        <v>318.0</v>
      </c>
      <c r="F1323" s="2" t="str">
        <f t="shared" si="1"/>
        <v>INSERT INTO tblExamQuestionLink VALUES (seqExamQuestionLink.nextval, 27, 318);</v>
      </c>
    </row>
    <row r="1324">
      <c r="A1324" s="1">
        <v>1319.0</v>
      </c>
      <c r="B1324" s="1" t="s">
        <v>306</v>
      </c>
      <c r="C1324" s="1">
        <v>27.0</v>
      </c>
      <c r="D1324" s="1">
        <v>319.0</v>
      </c>
      <c r="F1324" s="2" t="str">
        <f t="shared" si="1"/>
        <v>INSERT INTO tblExamQuestionLink VALUES (seqExamQuestionLink.nextval, 27, 319);</v>
      </c>
    </row>
    <row r="1325">
      <c r="A1325" s="1">
        <v>1320.0</v>
      </c>
      <c r="B1325" s="1" t="s">
        <v>306</v>
      </c>
      <c r="C1325" s="1">
        <v>27.0</v>
      </c>
      <c r="D1325" s="1">
        <v>320.0</v>
      </c>
      <c r="F1325" s="2" t="str">
        <f t="shared" si="1"/>
        <v>INSERT INTO tblExamQuestionLink VALUES (seqExamQuestionLink.nextval, 27, 320);</v>
      </c>
    </row>
    <row r="1326">
      <c r="A1326" s="1">
        <v>1321.0</v>
      </c>
      <c r="B1326" s="1" t="s">
        <v>306</v>
      </c>
      <c r="C1326" s="1">
        <v>27.0</v>
      </c>
      <c r="D1326" s="1">
        <v>321.0</v>
      </c>
      <c r="F1326" s="2" t="str">
        <f t="shared" si="1"/>
        <v>INSERT INTO tblExamQuestionLink VALUES (seqExamQuestionLink.nextval, 27, 321);</v>
      </c>
    </row>
    <row r="1327">
      <c r="A1327" s="1">
        <v>1322.0</v>
      </c>
      <c r="B1327" s="1" t="s">
        <v>306</v>
      </c>
      <c r="C1327" s="1">
        <v>27.0</v>
      </c>
      <c r="D1327" s="1">
        <v>322.0</v>
      </c>
      <c r="F1327" s="2" t="str">
        <f t="shared" si="1"/>
        <v>INSERT INTO tblExamQuestionLink VALUES (seqExamQuestionLink.nextval, 27, 322);</v>
      </c>
    </row>
    <row r="1328">
      <c r="A1328" s="1">
        <v>1323.0</v>
      </c>
      <c r="B1328" s="1" t="s">
        <v>306</v>
      </c>
      <c r="C1328" s="1">
        <v>27.0</v>
      </c>
      <c r="D1328" s="1">
        <v>323.0</v>
      </c>
      <c r="F1328" s="2" t="str">
        <f t="shared" si="1"/>
        <v>INSERT INTO tblExamQuestionLink VALUES (seqExamQuestionLink.nextval, 27, 323);</v>
      </c>
    </row>
    <row r="1329">
      <c r="A1329" s="1">
        <v>1324.0</v>
      </c>
      <c r="B1329" s="1" t="s">
        <v>306</v>
      </c>
      <c r="C1329" s="1">
        <v>27.0</v>
      </c>
      <c r="D1329" s="1">
        <v>324.0</v>
      </c>
      <c r="F1329" s="2" t="str">
        <f t="shared" si="1"/>
        <v>INSERT INTO tblExamQuestionLink VALUES (seqExamQuestionLink.nextval, 27, 324);</v>
      </c>
    </row>
    <row r="1330">
      <c r="A1330" s="1">
        <v>1325.0</v>
      </c>
      <c r="B1330" s="1" t="s">
        <v>306</v>
      </c>
      <c r="C1330" s="1">
        <v>27.0</v>
      </c>
      <c r="D1330" s="1">
        <v>325.0</v>
      </c>
      <c r="F1330" s="2" t="str">
        <f t="shared" si="1"/>
        <v>INSERT INTO tblExamQuestionLink VALUES (seqExamQuestionLink.nextval, 27, 325);</v>
      </c>
    </row>
    <row r="1331">
      <c r="A1331" s="1">
        <v>1326.0</v>
      </c>
      <c r="B1331" s="1" t="s">
        <v>306</v>
      </c>
      <c r="C1331" s="1">
        <v>27.0</v>
      </c>
      <c r="D1331" s="1">
        <v>326.0</v>
      </c>
      <c r="F1331" s="2" t="str">
        <f t="shared" si="1"/>
        <v>INSERT INTO tblExamQuestionLink VALUES (seqExamQuestionLink.nextval, 27, 326);</v>
      </c>
    </row>
    <row r="1332">
      <c r="A1332" s="1">
        <v>1327.0</v>
      </c>
      <c r="B1332" s="1" t="s">
        <v>306</v>
      </c>
      <c r="C1332" s="1">
        <v>27.0</v>
      </c>
      <c r="D1332" s="1">
        <v>327.0</v>
      </c>
      <c r="F1332" s="2" t="str">
        <f t="shared" si="1"/>
        <v>INSERT INTO tblExamQuestionLink VALUES (seqExamQuestionLink.nextval, 27, 327);</v>
      </c>
    </row>
    <row r="1333">
      <c r="A1333" s="1">
        <v>1328.0</v>
      </c>
      <c r="B1333" s="1" t="s">
        <v>306</v>
      </c>
      <c r="C1333" s="1">
        <v>27.0</v>
      </c>
      <c r="D1333" s="1">
        <v>328.0</v>
      </c>
      <c r="F1333" s="2" t="str">
        <f t="shared" si="1"/>
        <v>INSERT INTO tblExamQuestionLink VALUES (seqExamQuestionLink.nextval, 27, 328);</v>
      </c>
    </row>
    <row r="1334">
      <c r="A1334" s="1">
        <v>1329.0</v>
      </c>
      <c r="B1334" s="1" t="s">
        <v>306</v>
      </c>
      <c r="C1334" s="1">
        <v>27.0</v>
      </c>
      <c r="D1334" s="1">
        <v>329.0</v>
      </c>
      <c r="F1334" s="2" t="str">
        <f t="shared" si="1"/>
        <v>INSERT INTO tblExamQuestionLink VALUES (seqExamQuestionLink.nextval, 27, 329);</v>
      </c>
    </row>
    <row r="1335">
      <c r="A1335" s="1">
        <v>1330.0</v>
      </c>
      <c r="B1335" s="1" t="s">
        <v>306</v>
      </c>
      <c r="C1335" s="1">
        <v>27.0</v>
      </c>
      <c r="D1335" s="1">
        <v>330.0</v>
      </c>
      <c r="F1335" s="2" t="str">
        <f t="shared" si="1"/>
        <v>INSERT INTO tblExamQuestionLink VALUES (seqExamQuestionLink.nextval, 27, 330);</v>
      </c>
    </row>
    <row r="1336">
      <c r="A1336" s="1">
        <v>1331.0</v>
      </c>
      <c r="B1336" s="1" t="s">
        <v>306</v>
      </c>
      <c r="C1336" s="1">
        <v>27.0</v>
      </c>
      <c r="D1336" s="1">
        <v>331.0</v>
      </c>
      <c r="F1336" s="2" t="str">
        <f t="shared" si="1"/>
        <v>INSERT INTO tblExamQuestionLink VALUES (seqExamQuestionLink.nextval, 27, 331);</v>
      </c>
    </row>
    <row r="1337">
      <c r="A1337" s="1">
        <v>1332.0</v>
      </c>
      <c r="B1337" s="1" t="s">
        <v>306</v>
      </c>
      <c r="C1337" s="1">
        <v>27.0</v>
      </c>
      <c r="D1337" s="1">
        <v>332.0</v>
      </c>
      <c r="F1337" s="2" t="str">
        <f t="shared" si="1"/>
        <v>INSERT INTO tblExamQuestionLink VALUES (seqExamQuestionLink.nextval, 27, 332);</v>
      </c>
    </row>
    <row r="1338">
      <c r="A1338" s="1">
        <v>1333.0</v>
      </c>
      <c r="B1338" s="1" t="s">
        <v>306</v>
      </c>
      <c r="C1338" s="1">
        <v>27.0</v>
      </c>
      <c r="D1338" s="1">
        <v>333.0</v>
      </c>
      <c r="F1338" s="2" t="str">
        <f t="shared" si="1"/>
        <v>INSERT INTO tblExamQuestionLink VALUES (seqExamQuestionLink.nextval, 27, 333);</v>
      </c>
    </row>
    <row r="1339">
      <c r="A1339" s="1">
        <v>1334.0</v>
      </c>
      <c r="B1339" s="1" t="s">
        <v>306</v>
      </c>
      <c r="C1339" s="1">
        <v>27.0</v>
      </c>
      <c r="D1339" s="1">
        <v>334.0</v>
      </c>
      <c r="F1339" s="2" t="str">
        <f t="shared" si="1"/>
        <v>INSERT INTO tblExamQuestionLink VALUES (seqExamQuestionLink.nextval, 27, 334);</v>
      </c>
    </row>
    <row r="1340">
      <c r="A1340" s="1">
        <v>1335.0</v>
      </c>
      <c r="B1340" s="1" t="s">
        <v>306</v>
      </c>
      <c r="C1340" s="1">
        <v>27.0</v>
      </c>
      <c r="D1340" s="1">
        <v>335.0</v>
      </c>
      <c r="F1340" s="2" t="str">
        <f t="shared" si="1"/>
        <v>INSERT INTO tblExamQuestionLink VALUES (seqExamQuestionLink.nextval, 27, 335);</v>
      </c>
    </row>
    <row r="1341">
      <c r="A1341" s="1">
        <v>1336.0</v>
      </c>
      <c r="B1341" s="1" t="s">
        <v>306</v>
      </c>
      <c r="C1341" s="1">
        <v>27.0</v>
      </c>
      <c r="D1341" s="1">
        <v>336.0</v>
      </c>
      <c r="F1341" s="2" t="str">
        <f t="shared" si="1"/>
        <v>INSERT INTO tblExamQuestionLink VALUES (seqExamQuestionLink.nextval, 27, 336);</v>
      </c>
    </row>
    <row r="1342">
      <c r="A1342" s="1">
        <v>1337.0</v>
      </c>
      <c r="B1342" s="1" t="s">
        <v>306</v>
      </c>
      <c r="C1342" s="1">
        <v>27.0</v>
      </c>
      <c r="D1342" s="1">
        <v>337.0</v>
      </c>
      <c r="F1342" s="2" t="str">
        <f t="shared" si="1"/>
        <v>INSERT INTO tblExamQuestionLink VALUES (seqExamQuestionLink.nextval, 27, 337);</v>
      </c>
    </row>
    <row r="1343">
      <c r="A1343" s="1">
        <v>1338.0</v>
      </c>
      <c r="B1343" s="1" t="s">
        <v>306</v>
      </c>
      <c r="C1343" s="1">
        <v>27.0</v>
      </c>
      <c r="D1343" s="1">
        <v>338.0</v>
      </c>
      <c r="F1343" s="2" t="str">
        <f t="shared" si="1"/>
        <v>INSERT INTO tblExamQuestionLink VALUES (seqExamQuestionLink.nextval, 27, 338);</v>
      </c>
    </row>
    <row r="1344">
      <c r="A1344" s="1">
        <v>1339.0</v>
      </c>
      <c r="B1344" s="1" t="s">
        <v>306</v>
      </c>
      <c r="C1344" s="1">
        <v>27.0</v>
      </c>
      <c r="D1344" s="1">
        <v>339.0</v>
      </c>
      <c r="F1344" s="2" t="str">
        <f t="shared" si="1"/>
        <v>INSERT INTO tblExamQuestionLink VALUES (seqExamQuestionLink.nextval, 27, 339);</v>
      </c>
    </row>
    <row r="1345">
      <c r="A1345" s="1">
        <v>1340.0</v>
      </c>
      <c r="B1345" s="1" t="s">
        <v>306</v>
      </c>
      <c r="C1345" s="1">
        <v>27.0</v>
      </c>
      <c r="D1345" s="1">
        <v>340.0</v>
      </c>
      <c r="F1345" s="2" t="str">
        <f t="shared" si="1"/>
        <v>INSERT INTO tblExamQuestionLink VALUES (seqExamQuestionLink.nextval, 27, 340);</v>
      </c>
    </row>
    <row r="1346">
      <c r="A1346" s="1">
        <v>1341.0</v>
      </c>
      <c r="B1346" s="1" t="s">
        <v>306</v>
      </c>
      <c r="C1346" s="1">
        <v>27.0</v>
      </c>
      <c r="D1346" s="1">
        <v>341.0</v>
      </c>
      <c r="F1346" s="2" t="str">
        <f t="shared" si="1"/>
        <v>INSERT INTO tblExamQuestionLink VALUES (seqExamQuestionLink.nextval, 27, 341);</v>
      </c>
    </row>
    <row r="1347">
      <c r="A1347" s="1">
        <v>1342.0</v>
      </c>
      <c r="B1347" s="1" t="s">
        <v>306</v>
      </c>
      <c r="C1347" s="1">
        <v>27.0</v>
      </c>
      <c r="D1347" s="1">
        <v>342.0</v>
      </c>
      <c r="F1347" s="2" t="str">
        <f t="shared" si="1"/>
        <v>INSERT INTO tblExamQuestionLink VALUES (seqExamQuestionLink.nextval, 27, 342);</v>
      </c>
    </row>
    <row r="1348">
      <c r="A1348" s="1">
        <v>1343.0</v>
      </c>
      <c r="B1348" s="1" t="s">
        <v>306</v>
      </c>
      <c r="C1348" s="1">
        <v>27.0</v>
      </c>
      <c r="D1348" s="1">
        <v>343.0</v>
      </c>
      <c r="F1348" s="2" t="str">
        <f t="shared" si="1"/>
        <v>INSERT INTO tblExamQuestionLink VALUES (seqExamQuestionLink.nextval, 27, 343);</v>
      </c>
    </row>
    <row r="1349">
      <c r="A1349" s="1">
        <v>1344.0</v>
      </c>
      <c r="B1349" s="1" t="s">
        <v>306</v>
      </c>
      <c r="C1349" s="1">
        <v>27.0</v>
      </c>
      <c r="D1349" s="1">
        <v>344.0</v>
      </c>
      <c r="F1349" s="2" t="str">
        <f t="shared" si="1"/>
        <v>INSERT INTO tblExamQuestionLink VALUES (seqExamQuestionLink.nextval, 27, 344);</v>
      </c>
    </row>
    <row r="1350">
      <c r="A1350" s="1">
        <v>1345.0</v>
      </c>
      <c r="B1350" s="1" t="s">
        <v>306</v>
      </c>
      <c r="C1350" s="1">
        <v>27.0</v>
      </c>
      <c r="D1350" s="1">
        <v>345.0</v>
      </c>
      <c r="F1350" s="2" t="str">
        <f t="shared" si="1"/>
        <v>INSERT INTO tblExamQuestionLink VALUES (seqExamQuestionLink.nextval, 27, 345);</v>
      </c>
    </row>
    <row r="1351">
      <c r="A1351" s="1">
        <v>1346.0</v>
      </c>
      <c r="B1351" s="1" t="s">
        <v>306</v>
      </c>
      <c r="C1351" s="1">
        <v>27.0</v>
      </c>
      <c r="D1351" s="1">
        <v>346.0</v>
      </c>
      <c r="F1351" s="2" t="str">
        <f t="shared" si="1"/>
        <v>INSERT INTO tblExamQuestionLink VALUES (seqExamQuestionLink.nextval, 27, 346);</v>
      </c>
    </row>
    <row r="1352">
      <c r="A1352" s="1">
        <v>1347.0</v>
      </c>
      <c r="B1352" s="1" t="s">
        <v>306</v>
      </c>
      <c r="C1352" s="1">
        <v>27.0</v>
      </c>
      <c r="D1352" s="1">
        <v>347.0</v>
      </c>
      <c r="F1352" s="2" t="str">
        <f t="shared" si="1"/>
        <v>INSERT INTO tblExamQuestionLink VALUES (seqExamQuestionLink.nextval, 27, 347);</v>
      </c>
    </row>
    <row r="1353">
      <c r="A1353" s="1">
        <v>1348.0</v>
      </c>
      <c r="B1353" s="1" t="s">
        <v>306</v>
      </c>
      <c r="C1353" s="1">
        <v>27.0</v>
      </c>
      <c r="D1353" s="1">
        <v>348.0</v>
      </c>
      <c r="F1353" s="2" t="str">
        <f t="shared" si="1"/>
        <v>INSERT INTO tblExamQuestionLink VALUES (seqExamQuestionLink.nextval, 27, 348);</v>
      </c>
    </row>
    <row r="1354">
      <c r="A1354" s="1">
        <v>1349.0</v>
      </c>
      <c r="B1354" s="1" t="s">
        <v>306</v>
      </c>
      <c r="C1354" s="1">
        <v>27.0</v>
      </c>
      <c r="D1354" s="1">
        <v>349.0</v>
      </c>
      <c r="F1354" s="2" t="str">
        <f t="shared" si="1"/>
        <v>INSERT INTO tblExamQuestionLink VALUES (seqExamQuestionLink.nextval, 27, 349);</v>
      </c>
    </row>
    <row r="1355">
      <c r="A1355" s="1">
        <v>1350.0</v>
      </c>
      <c r="B1355" s="1" t="s">
        <v>306</v>
      </c>
      <c r="C1355" s="1">
        <v>27.0</v>
      </c>
      <c r="D1355" s="1">
        <v>350.0</v>
      </c>
      <c r="F1355" s="2" t="str">
        <f t="shared" si="1"/>
        <v>INSERT INTO tblExamQuestionLink VALUES (seqExamQuestionLink.nextval, 27, 350);</v>
      </c>
    </row>
    <row r="1356">
      <c r="A1356" s="1">
        <v>1351.0</v>
      </c>
      <c r="B1356" s="1" t="s">
        <v>306</v>
      </c>
      <c r="C1356" s="1">
        <v>28.0</v>
      </c>
      <c r="D1356" s="1">
        <v>351.0</v>
      </c>
      <c r="F1356" s="2" t="str">
        <f t="shared" si="1"/>
        <v>INSERT INTO tblExamQuestionLink VALUES (seqExamQuestionLink.nextval, 28, 351);</v>
      </c>
    </row>
    <row r="1357">
      <c r="A1357" s="1">
        <v>1352.0</v>
      </c>
      <c r="B1357" s="1" t="s">
        <v>306</v>
      </c>
      <c r="C1357" s="1">
        <v>28.0</v>
      </c>
      <c r="D1357" s="1">
        <v>352.0</v>
      </c>
      <c r="F1357" s="2" t="str">
        <f t="shared" si="1"/>
        <v>INSERT INTO tblExamQuestionLink VALUES (seqExamQuestionLink.nextval, 28, 352);</v>
      </c>
    </row>
    <row r="1358">
      <c r="A1358" s="1">
        <v>1353.0</v>
      </c>
      <c r="B1358" s="1" t="s">
        <v>306</v>
      </c>
      <c r="C1358" s="1">
        <v>28.0</v>
      </c>
      <c r="D1358" s="1">
        <v>353.0</v>
      </c>
      <c r="F1358" s="2" t="str">
        <f t="shared" si="1"/>
        <v>INSERT INTO tblExamQuestionLink VALUES (seqExamQuestionLink.nextval, 28, 353);</v>
      </c>
    </row>
    <row r="1359">
      <c r="A1359" s="1">
        <v>1354.0</v>
      </c>
      <c r="B1359" s="1" t="s">
        <v>306</v>
      </c>
      <c r="C1359" s="1">
        <v>28.0</v>
      </c>
      <c r="D1359" s="1">
        <v>354.0</v>
      </c>
      <c r="F1359" s="2" t="str">
        <f t="shared" si="1"/>
        <v>INSERT INTO tblExamQuestionLink VALUES (seqExamQuestionLink.nextval, 28, 354);</v>
      </c>
    </row>
    <row r="1360">
      <c r="A1360" s="1">
        <v>1355.0</v>
      </c>
      <c r="B1360" s="1" t="s">
        <v>306</v>
      </c>
      <c r="C1360" s="1">
        <v>28.0</v>
      </c>
      <c r="D1360" s="1">
        <v>355.0</v>
      </c>
      <c r="F1360" s="2" t="str">
        <f t="shared" si="1"/>
        <v>INSERT INTO tblExamQuestionLink VALUES (seqExamQuestionLink.nextval, 28, 355);</v>
      </c>
    </row>
    <row r="1361">
      <c r="A1361" s="1">
        <v>1356.0</v>
      </c>
      <c r="B1361" s="1" t="s">
        <v>306</v>
      </c>
      <c r="C1361" s="1">
        <v>28.0</v>
      </c>
      <c r="D1361" s="1">
        <v>356.0</v>
      </c>
      <c r="F1361" s="2" t="str">
        <f t="shared" si="1"/>
        <v>INSERT INTO tblExamQuestionLink VALUES (seqExamQuestionLink.nextval, 28, 356);</v>
      </c>
    </row>
    <row r="1362">
      <c r="A1362" s="1">
        <v>1357.0</v>
      </c>
      <c r="B1362" s="1" t="s">
        <v>306</v>
      </c>
      <c r="C1362" s="1">
        <v>28.0</v>
      </c>
      <c r="D1362" s="1">
        <v>357.0</v>
      </c>
      <c r="F1362" s="2" t="str">
        <f t="shared" si="1"/>
        <v>INSERT INTO tblExamQuestionLink VALUES (seqExamQuestionLink.nextval, 28, 357);</v>
      </c>
    </row>
    <row r="1363">
      <c r="A1363" s="1">
        <v>1358.0</v>
      </c>
      <c r="B1363" s="1" t="s">
        <v>306</v>
      </c>
      <c r="C1363" s="1">
        <v>28.0</v>
      </c>
      <c r="D1363" s="1">
        <v>358.0</v>
      </c>
      <c r="F1363" s="2" t="str">
        <f t="shared" si="1"/>
        <v>INSERT INTO tblExamQuestionLink VALUES (seqExamQuestionLink.nextval, 28, 358);</v>
      </c>
    </row>
    <row r="1364">
      <c r="A1364" s="1">
        <v>1359.0</v>
      </c>
      <c r="B1364" s="1" t="s">
        <v>306</v>
      </c>
      <c r="C1364" s="1">
        <v>28.0</v>
      </c>
      <c r="D1364" s="1">
        <v>359.0</v>
      </c>
      <c r="F1364" s="2" t="str">
        <f t="shared" si="1"/>
        <v>INSERT INTO tblExamQuestionLink VALUES (seqExamQuestionLink.nextval, 28, 359);</v>
      </c>
    </row>
    <row r="1365">
      <c r="A1365" s="1">
        <v>1360.0</v>
      </c>
      <c r="B1365" s="1" t="s">
        <v>306</v>
      </c>
      <c r="C1365" s="1">
        <v>28.0</v>
      </c>
      <c r="D1365" s="1">
        <v>360.0</v>
      </c>
      <c r="F1365" s="2" t="str">
        <f t="shared" si="1"/>
        <v>INSERT INTO tblExamQuestionLink VALUES (seqExamQuestionLink.nextval, 28, 360);</v>
      </c>
    </row>
    <row r="1366">
      <c r="A1366" s="1">
        <v>1361.0</v>
      </c>
      <c r="B1366" s="1" t="s">
        <v>306</v>
      </c>
      <c r="C1366" s="1">
        <v>28.0</v>
      </c>
      <c r="D1366" s="1">
        <v>361.0</v>
      </c>
      <c r="F1366" s="2" t="str">
        <f t="shared" si="1"/>
        <v>INSERT INTO tblExamQuestionLink VALUES (seqExamQuestionLink.nextval, 28, 361);</v>
      </c>
    </row>
    <row r="1367">
      <c r="A1367" s="1">
        <v>1362.0</v>
      </c>
      <c r="B1367" s="1" t="s">
        <v>306</v>
      </c>
      <c r="C1367" s="1">
        <v>28.0</v>
      </c>
      <c r="D1367" s="1">
        <v>362.0</v>
      </c>
      <c r="F1367" s="2" t="str">
        <f t="shared" si="1"/>
        <v>INSERT INTO tblExamQuestionLink VALUES (seqExamQuestionLink.nextval, 28, 362);</v>
      </c>
    </row>
    <row r="1368">
      <c r="A1368" s="1">
        <v>1363.0</v>
      </c>
      <c r="B1368" s="1" t="s">
        <v>306</v>
      </c>
      <c r="C1368" s="1">
        <v>28.0</v>
      </c>
      <c r="D1368" s="1">
        <v>363.0</v>
      </c>
      <c r="F1368" s="2" t="str">
        <f t="shared" si="1"/>
        <v>INSERT INTO tblExamQuestionLink VALUES (seqExamQuestionLink.nextval, 28, 363);</v>
      </c>
    </row>
    <row r="1369">
      <c r="A1369" s="1">
        <v>1364.0</v>
      </c>
      <c r="B1369" s="1" t="s">
        <v>306</v>
      </c>
      <c r="C1369" s="1">
        <v>28.0</v>
      </c>
      <c r="D1369" s="1">
        <v>364.0</v>
      </c>
      <c r="F1369" s="2" t="str">
        <f t="shared" si="1"/>
        <v>INSERT INTO tblExamQuestionLink VALUES (seqExamQuestionLink.nextval, 28, 364);</v>
      </c>
    </row>
    <row r="1370">
      <c r="A1370" s="1">
        <v>1365.0</v>
      </c>
      <c r="B1370" s="1" t="s">
        <v>306</v>
      </c>
      <c r="C1370" s="1">
        <v>28.0</v>
      </c>
      <c r="D1370" s="1">
        <v>365.0</v>
      </c>
      <c r="F1370" s="2" t="str">
        <f t="shared" si="1"/>
        <v>INSERT INTO tblExamQuestionLink VALUES (seqExamQuestionLink.nextval, 28, 365);</v>
      </c>
    </row>
    <row r="1371">
      <c r="A1371" s="1">
        <v>1366.0</v>
      </c>
      <c r="B1371" s="1" t="s">
        <v>306</v>
      </c>
      <c r="C1371" s="1">
        <v>28.0</v>
      </c>
      <c r="D1371" s="1">
        <v>366.0</v>
      </c>
      <c r="F1371" s="2" t="str">
        <f t="shared" si="1"/>
        <v>INSERT INTO tblExamQuestionLink VALUES (seqExamQuestionLink.nextval, 28, 366);</v>
      </c>
    </row>
    <row r="1372">
      <c r="A1372" s="1">
        <v>1367.0</v>
      </c>
      <c r="B1372" s="1" t="s">
        <v>306</v>
      </c>
      <c r="C1372" s="1">
        <v>28.0</v>
      </c>
      <c r="D1372" s="1">
        <v>367.0</v>
      </c>
      <c r="F1372" s="2" t="str">
        <f t="shared" si="1"/>
        <v>INSERT INTO tblExamQuestionLink VALUES (seqExamQuestionLink.nextval, 28, 367);</v>
      </c>
    </row>
    <row r="1373">
      <c r="A1373" s="1">
        <v>1368.0</v>
      </c>
      <c r="B1373" s="1" t="s">
        <v>306</v>
      </c>
      <c r="C1373" s="1">
        <v>28.0</v>
      </c>
      <c r="D1373" s="1">
        <v>368.0</v>
      </c>
      <c r="F1373" s="2" t="str">
        <f t="shared" si="1"/>
        <v>INSERT INTO tblExamQuestionLink VALUES (seqExamQuestionLink.nextval, 28, 368);</v>
      </c>
    </row>
    <row r="1374">
      <c r="A1374" s="1">
        <v>1369.0</v>
      </c>
      <c r="B1374" s="1" t="s">
        <v>306</v>
      </c>
      <c r="C1374" s="1">
        <v>28.0</v>
      </c>
      <c r="D1374" s="1">
        <v>369.0</v>
      </c>
      <c r="F1374" s="2" t="str">
        <f t="shared" si="1"/>
        <v>INSERT INTO tblExamQuestionLink VALUES (seqExamQuestionLink.nextval, 28, 369);</v>
      </c>
    </row>
    <row r="1375">
      <c r="A1375" s="1">
        <v>1370.0</v>
      </c>
      <c r="B1375" s="1" t="s">
        <v>306</v>
      </c>
      <c r="C1375" s="1">
        <v>28.0</v>
      </c>
      <c r="D1375" s="1">
        <v>370.0</v>
      </c>
      <c r="F1375" s="2" t="str">
        <f t="shared" si="1"/>
        <v>INSERT INTO tblExamQuestionLink VALUES (seqExamQuestionLink.nextval, 28, 370);</v>
      </c>
    </row>
    <row r="1376">
      <c r="A1376" s="1">
        <v>1371.0</v>
      </c>
      <c r="B1376" s="1" t="s">
        <v>306</v>
      </c>
      <c r="C1376" s="1">
        <v>28.0</v>
      </c>
      <c r="D1376" s="1">
        <v>371.0</v>
      </c>
      <c r="F1376" s="2" t="str">
        <f t="shared" si="1"/>
        <v>INSERT INTO tblExamQuestionLink VALUES (seqExamQuestionLink.nextval, 28, 371);</v>
      </c>
    </row>
    <row r="1377">
      <c r="A1377" s="1">
        <v>1372.0</v>
      </c>
      <c r="B1377" s="1" t="s">
        <v>306</v>
      </c>
      <c r="C1377" s="1">
        <v>28.0</v>
      </c>
      <c r="D1377" s="1">
        <v>372.0</v>
      </c>
      <c r="F1377" s="2" t="str">
        <f t="shared" si="1"/>
        <v>INSERT INTO tblExamQuestionLink VALUES (seqExamQuestionLink.nextval, 28, 372);</v>
      </c>
    </row>
    <row r="1378">
      <c r="A1378" s="1">
        <v>1373.0</v>
      </c>
      <c r="B1378" s="1" t="s">
        <v>306</v>
      </c>
      <c r="C1378" s="1">
        <v>28.0</v>
      </c>
      <c r="D1378" s="1">
        <v>373.0</v>
      </c>
      <c r="F1378" s="2" t="str">
        <f t="shared" si="1"/>
        <v>INSERT INTO tblExamQuestionLink VALUES (seqExamQuestionLink.nextval, 28, 373);</v>
      </c>
    </row>
    <row r="1379">
      <c r="A1379" s="1">
        <v>1374.0</v>
      </c>
      <c r="B1379" s="1" t="s">
        <v>306</v>
      </c>
      <c r="C1379" s="1">
        <v>28.0</v>
      </c>
      <c r="D1379" s="1">
        <v>374.0</v>
      </c>
      <c r="F1379" s="2" t="str">
        <f t="shared" si="1"/>
        <v>INSERT INTO tblExamQuestionLink VALUES (seqExamQuestionLink.nextval, 28, 374);</v>
      </c>
    </row>
    <row r="1380">
      <c r="A1380" s="1">
        <v>1375.0</v>
      </c>
      <c r="B1380" s="1" t="s">
        <v>306</v>
      </c>
      <c r="C1380" s="1">
        <v>28.0</v>
      </c>
      <c r="D1380" s="1">
        <v>375.0</v>
      </c>
      <c r="F1380" s="2" t="str">
        <f t="shared" si="1"/>
        <v>INSERT INTO tblExamQuestionLink VALUES (seqExamQuestionLink.nextval, 28, 375);</v>
      </c>
    </row>
    <row r="1381">
      <c r="A1381" s="1">
        <v>1376.0</v>
      </c>
      <c r="B1381" s="1" t="s">
        <v>306</v>
      </c>
      <c r="C1381" s="1">
        <v>28.0</v>
      </c>
      <c r="D1381" s="1">
        <v>376.0</v>
      </c>
      <c r="F1381" s="2" t="str">
        <f t="shared" si="1"/>
        <v>INSERT INTO tblExamQuestionLink VALUES (seqExamQuestionLink.nextval, 28, 376);</v>
      </c>
    </row>
    <row r="1382">
      <c r="A1382" s="1">
        <v>1377.0</v>
      </c>
      <c r="B1382" s="1" t="s">
        <v>306</v>
      </c>
      <c r="C1382" s="1">
        <v>28.0</v>
      </c>
      <c r="D1382" s="1">
        <v>377.0</v>
      </c>
      <c r="F1382" s="2" t="str">
        <f t="shared" si="1"/>
        <v>INSERT INTO tblExamQuestionLink VALUES (seqExamQuestionLink.nextval, 28, 377);</v>
      </c>
    </row>
    <row r="1383">
      <c r="A1383" s="1">
        <v>1378.0</v>
      </c>
      <c r="B1383" s="1" t="s">
        <v>306</v>
      </c>
      <c r="C1383" s="1">
        <v>28.0</v>
      </c>
      <c r="D1383" s="1">
        <v>378.0</v>
      </c>
      <c r="F1383" s="2" t="str">
        <f t="shared" si="1"/>
        <v>INSERT INTO tblExamQuestionLink VALUES (seqExamQuestionLink.nextval, 28, 378);</v>
      </c>
    </row>
    <row r="1384">
      <c r="A1384" s="1">
        <v>1379.0</v>
      </c>
      <c r="B1384" s="1" t="s">
        <v>306</v>
      </c>
      <c r="C1384" s="1">
        <v>28.0</v>
      </c>
      <c r="D1384" s="1">
        <v>379.0</v>
      </c>
      <c r="F1384" s="2" t="str">
        <f t="shared" si="1"/>
        <v>INSERT INTO tblExamQuestionLink VALUES (seqExamQuestionLink.nextval, 28, 379);</v>
      </c>
    </row>
    <row r="1385">
      <c r="A1385" s="1">
        <v>1380.0</v>
      </c>
      <c r="B1385" s="1" t="s">
        <v>306</v>
      </c>
      <c r="C1385" s="1">
        <v>28.0</v>
      </c>
      <c r="D1385" s="1">
        <v>380.0</v>
      </c>
      <c r="F1385" s="2" t="str">
        <f t="shared" si="1"/>
        <v>INSERT INTO tblExamQuestionLink VALUES (seqExamQuestionLink.nextval, 28, 380);</v>
      </c>
    </row>
    <row r="1386">
      <c r="A1386" s="1">
        <v>1381.0</v>
      </c>
      <c r="B1386" s="1" t="s">
        <v>306</v>
      </c>
      <c r="C1386" s="1">
        <v>28.0</v>
      </c>
      <c r="D1386" s="1">
        <v>381.0</v>
      </c>
      <c r="F1386" s="2" t="str">
        <f t="shared" si="1"/>
        <v>INSERT INTO tblExamQuestionLink VALUES (seqExamQuestionLink.nextval, 28, 381);</v>
      </c>
    </row>
    <row r="1387">
      <c r="A1387" s="1">
        <v>1382.0</v>
      </c>
      <c r="B1387" s="1" t="s">
        <v>306</v>
      </c>
      <c r="C1387" s="1">
        <v>28.0</v>
      </c>
      <c r="D1387" s="1">
        <v>382.0</v>
      </c>
      <c r="F1387" s="2" t="str">
        <f t="shared" si="1"/>
        <v>INSERT INTO tblExamQuestionLink VALUES (seqExamQuestionLink.nextval, 28, 382);</v>
      </c>
    </row>
    <row r="1388">
      <c r="A1388" s="1">
        <v>1383.0</v>
      </c>
      <c r="B1388" s="1" t="s">
        <v>306</v>
      </c>
      <c r="C1388" s="1">
        <v>28.0</v>
      </c>
      <c r="D1388" s="1">
        <v>383.0</v>
      </c>
      <c r="F1388" s="2" t="str">
        <f t="shared" si="1"/>
        <v>INSERT INTO tblExamQuestionLink VALUES (seqExamQuestionLink.nextval, 28, 383);</v>
      </c>
    </row>
    <row r="1389">
      <c r="A1389" s="1">
        <v>1384.0</v>
      </c>
      <c r="B1389" s="1" t="s">
        <v>306</v>
      </c>
      <c r="C1389" s="1">
        <v>28.0</v>
      </c>
      <c r="D1389" s="1">
        <v>384.0</v>
      </c>
      <c r="F1389" s="2" t="str">
        <f t="shared" si="1"/>
        <v>INSERT INTO tblExamQuestionLink VALUES (seqExamQuestionLink.nextval, 28, 384);</v>
      </c>
    </row>
    <row r="1390">
      <c r="A1390" s="1">
        <v>1385.0</v>
      </c>
      <c r="B1390" s="1" t="s">
        <v>306</v>
      </c>
      <c r="C1390" s="1">
        <v>28.0</v>
      </c>
      <c r="D1390" s="1">
        <v>385.0</v>
      </c>
      <c r="F1390" s="2" t="str">
        <f t="shared" si="1"/>
        <v>INSERT INTO tblExamQuestionLink VALUES (seqExamQuestionLink.nextval, 28, 385);</v>
      </c>
    </row>
    <row r="1391">
      <c r="A1391" s="1">
        <v>1386.0</v>
      </c>
      <c r="B1391" s="1" t="s">
        <v>306</v>
      </c>
      <c r="C1391" s="1">
        <v>28.0</v>
      </c>
      <c r="D1391" s="1">
        <v>386.0</v>
      </c>
      <c r="F1391" s="2" t="str">
        <f t="shared" si="1"/>
        <v>INSERT INTO tblExamQuestionLink VALUES (seqExamQuestionLink.nextval, 28, 386);</v>
      </c>
    </row>
    <row r="1392">
      <c r="A1392" s="1">
        <v>1387.0</v>
      </c>
      <c r="B1392" s="1" t="s">
        <v>306</v>
      </c>
      <c r="C1392" s="1">
        <v>28.0</v>
      </c>
      <c r="D1392" s="1">
        <v>387.0</v>
      </c>
      <c r="F1392" s="2" t="str">
        <f t="shared" si="1"/>
        <v>INSERT INTO tblExamQuestionLink VALUES (seqExamQuestionLink.nextval, 28, 387);</v>
      </c>
    </row>
    <row r="1393">
      <c r="A1393" s="1">
        <v>1388.0</v>
      </c>
      <c r="B1393" s="1" t="s">
        <v>306</v>
      </c>
      <c r="C1393" s="1">
        <v>28.0</v>
      </c>
      <c r="D1393" s="1">
        <v>388.0</v>
      </c>
      <c r="F1393" s="2" t="str">
        <f t="shared" si="1"/>
        <v>INSERT INTO tblExamQuestionLink VALUES (seqExamQuestionLink.nextval, 28, 388);</v>
      </c>
    </row>
    <row r="1394">
      <c r="A1394" s="1">
        <v>1389.0</v>
      </c>
      <c r="B1394" s="1" t="s">
        <v>306</v>
      </c>
      <c r="C1394" s="1">
        <v>28.0</v>
      </c>
      <c r="D1394" s="1">
        <v>389.0</v>
      </c>
      <c r="F1394" s="2" t="str">
        <f t="shared" si="1"/>
        <v>INSERT INTO tblExamQuestionLink VALUES (seqExamQuestionLink.nextval, 28, 389);</v>
      </c>
    </row>
    <row r="1395">
      <c r="A1395" s="1">
        <v>1390.0</v>
      </c>
      <c r="B1395" s="1" t="s">
        <v>306</v>
      </c>
      <c r="C1395" s="1">
        <v>28.0</v>
      </c>
      <c r="D1395" s="1">
        <v>390.0</v>
      </c>
      <c r="F1395" s="2" t="str">
        <f t="shared" si="1"/>
        <v>INSERT INTO tblExamQuestionLink VALUES (seqExamQuestionLink.nextval, 28, 390);</v>
      </c>
    </row>
    <row r="1396">
      <c r="A1396" s="1">
        <v>1391.0</v>
      </c>
      <c r="B1396" s="1" t="s">
        <v>306</v>
      </c>
      <c r="C1396" s="1">
        <v>28.0</v>
      </c>
      <c r="D1396" s="1">
        <v>391.0</v>
      </c>
      <c r="F1396" s="2" t="str">
        <f t="shared" si="1"/>
        <v>INSERT INTO tblExamQuestionLink VALUES (seqExamQuestionLink.nextval, 28, 391);</v>
      </c>
    </row>
    <row r="1397">
      <c r="A1397" s="1">
        <v>1392.0</v>
      </c>
      <c r="B1397" s="1" t="s">
        <v>306</v>
      </c>
      <c r="C1397" s="1">
        <v>28.0</v>
      </c>
      <c r="D1397" s="1">
        <v>392.0</v>
      </c>
      <c r="F1397" s="2" t="str">
        <f t="shared" si="1"/>
        <v>INSERT INTO tblExamQuestionLink VALUES (seqExamQuestionLink.nextval, 28, 392);</v>
      </c>
    </row>
    <row r="1398">
      <c r="A1398" s="1">
        <v>1393.0</v>
      </c>
      <c r="B1398" s="1" t="s">
        <v>306</v>
      </c>
      <c r="C1398" s="1">
        <v>28.0</v>
      </c>
      <c r="D1398" s="1">
        <v>393.0</v>
      </c>
      <c r="F1398" s="2" t="str">
        <f t="shared" si="1"/>
        <v>INSERT INTO tblExamQuestionLink VALUES (seqExamQuestionLink.nextval, 28, 393);</v>
      </c>
    </row>
    <row r="1399">
      <c r="A1399" s="1">
        <v>1394.0</v>
      </c>
      <c r="B1399" s="1" t="s">
        <v>306</v>
      </c>
      <c r="C1399" s="1">
        <v>28.0</v>
      </c>
      <c r="D1399" s="1">
        <v>394.0</v>
      </c>
      <c r="F1399" s="2" t="str">
        <f t="shared" si="1"/>
        <v>INSERT INTO tblExamQuestionLink VALUES (seqExamQuestionLink.nextval, 28, 394);</v>
      </c>
    </row>
    <row r="1400">
      <c r="A1400" s="1">
        <v>1395.0</v>
      </c>
      <c r="B1400" s="1" t="s">
        <v>306</v>
      </c>
      <c r="C1400" s="1">
        <v>28.0</v>
      </c>
      <c r="D1400" s="1">
        <v>395.0</v>
      </c>
      <c r="F1400" s="2" t="str">
        <f t="shared" si="1"/>
        <v>INSERT INTO tblExamQuestionLink VALUES (seqExamQuestionLink.nextval, 28, 395);</v>
      </c>
    </row>
    <row r="1401">
      <c r="A1401" s="1">
        <v>1396.0</v>
      </c>
      <c r="B1401" s="1" t="s">
        <v>306</v>
      </c>
      <c r="C1401" s="1">
        <v>28.0</v>
      </c>
      <c r="D1401" s="1">
        <v>396.0</v>
      </c>
      <c r="F1401" s="2" t="str">
        <f t="shared" si="1"/>
        <v>INSERT INTO tblExamQuestionLink VALUES (seqExamQuestionLink.nextval, 28, 396);</v>
      </c>
    </row>
    <row r="1402">
      <c r="A1402" s="1">
        <v>1397.0</v>
      </c>
      <c r="B1402" s="1" t="s">
        <v>306</v>
      </c>
      <c r="C1402" s="1">
        <v>28.0</v>
      </c>
      <c r="D1402" s="1">
        <v>397.0</v>
      </c>
      <c r="F1402" s="2" t="str">
        <f t="shared" si="1"/>
        <v>INSERT INTO tblExamQuestionLink VALUES (seqExamQuestionLink.nextval, 28, 397);</v>
      </c>
    </row>
    <row r="1403">
      <c r="A1403" s="1">
        <v>1398.0</v>
      </c>
      <c r="B1403" s="1" t="s">
        <v>306</v>
      </c>
      <c r="C1403" s="1">
        <v>28.0</v>
      </c>
      <c r="D1403" s="1">
        <v>398.0</v>
      </c>
      <c r="F1403" s="2" t="str">
        <f t="shared" si="1"/>
        <v>INSERT INTO tblExamQuestionLink VALUES (seqExamQuestionLink.nextval, 28, 398);</v>
      </c>
    </row>
    <row r="1404">
      <c r="A1404" s="1">
        <v>1399.0</v>
      </c>
      <c r="B1404" s="1" t="s">
        <v>306</v>
      </c>
      <c r="C1404" s="1">
        <v>28.0</v>
      </c>
      <c r="D1404" s="1">
        <v>399.0</v>
      </c>
      <c r="F1404" s="2" t="str">
        <f t="shared" si="1"/>
        <v>INSERT INTO tblExamQuestionLink VALUES (seqExamQuestionLink.nextval, 28, 399);</v>
      </c>
    </row>
    <row r="1405">
      <c r="A1405" s="1">
        <v>1400.0</v>
      </c>
      <c r="B1405" s="1" t="s">
        <v>306</v>
      </c>
      <c r="C1405" s="1">
        <v>28.0</v>
      </c>
      <c r="D1405" s="1">
        <v>400.0</v>
      </c>
      <c r="F1405" s="2" t="str">
        <f t="shared" si="1"/>
        <v>INSERT INTO tblExamQuestionLink VALUES (seqExamQuestionLink.nextval, 28, 400);</v>
      </c>
    </row>
    <row r="1406">
      <c r="A1406" s="1">
        <v>1401.0</v>
      </c>
      <c r="B1406" s="1" t="s">
        <v>306</v>
      </c>
      <c r="C1406" s="1">
        <v>29.0</v>
      </c>
      <c r="D1406" s="1">
        <v>401.0</v>
      </c>
      <c r="F1406" s="2" t="str">
        <f t="shared" si="1"/>
        <v>INSERT INTO tblExamQuestionLink VALUES (seqExamQuestionLink.nextval, 29, 401);</v>
      </c>
    </row>
    <row r="1407">
      <c r="A1407" s="1">
        <v>1402.0</v>
      </c>
      <c r="B1407" s="1" t="s">
        <v>306</v>
      </c>
      <c r="C1407" s="1">
        <v>29.0</v>
      </c>
      <c r="D1407" s="1">
        <v>402.0</v>
      </c>
      <c r="F1407" s="2" t="str">
        <f t="shared" si="1"/>
        <v>INSERT INTO tblExamQuestionLink VALUES (seqExamQuestionLink.nextval, 29, 402);</v>
      </c>
    </row>
    <row r="1408">
      <c r="A1408" s="1">
        <v>1403.0</v>
      </c>
      <c r="B1408" s="1" t="s">
        <v>306</v>
      </c>
      <c r="C1408" s="1">
        <v>29.0</v>
      </c>
      <c r="D1408" s="1">
        <v>403.0</v>
      </c>
      <c r="F1408" s="2" t="str">
        <f t="shared" si="1"/>
        <v>INSERT INTO tblExamQuestionLink VALUES (seqExamQuestionLink.nextval, 29, 403);</v>
      </c>
    </row>
    <row r="1409">
      <c r="A1409" s="1">
        <v>1404.0</v>
      </c>
      <c r="B1409" s="1" t="s">
        <v>306</v>
      </c>
      <c r="C1409" s="1">
        <v>29.0</v>
      </c>
      <c r="D1409" s="1">
        <v>404.0</v>
      </c>
      <c r="F1409" s="2" t="str">
        <f t="shared" si="1"/>
        <v>INSERT INTO tblExamQuestionLink VALUES (seqExamQuestionLink.nextval, 29, 404);</v>
      </c>
    </row>
    <row r="1410">
      <c r="A1410" s="1">
        <v>1405.0</v>
      </c>
      <c r="B1410" s="1" t="s">
        <v>306</v>
      </c>
      <c r="C1410" s="1">
        <v>29.0</v>
      </c>
      <c r="D1410" s="1">
        <v>405.0</v>
      </c>
      <c r="F1410" s="2" t="str">
        <f t="shared" si="1"/>
        <v>INSERT INTO tblExamQuestionLink VALUES (seqExamQuestionLink.nextval, 29, 405);</v>
      </c>
    </row>
    <row r="1411">
      <c r="A1411" s="1">
        <v>1406.0</v>
      </c>
      <c r="B1411" s="1" t="s">
        <v>306</v>
      </c>
      <c r="C1411" s="1">
        <v>29.0</v>
      </c>
      <c r="D1411" s="1">
        <v>406.0</v>
      </c>
      <c r="F1411" s="2" t="str">
        <f t="shared" si="1"/>
        <v>INSERT INTO tblExamQuestionLink VALUES (seqExamQuestionLink.nextval, 29, 406);</v>
      </c>
    </row>
    <row r="1412">
      <c r="A1412" s="1">
        <v>1407.0</v>
      </c>
      <c r="B1412" s="1" t="s">
        <v>306</v>
      </c>
      <c r="C1412" s="1">
        <v>29.0</v>
      </c>
      <c r="D1412" s="1">
        <v>407.0</v>
      </c>
      <c r="F1412" s="2" t="str">
        <f t="shared" si="1"/>
        <v>INSERT INTO tblExamQuestionLink VALUES (seqExamQuestionLink.nextval, 29, 407);</v>
      </c>
    </row>
    <row r="1413">
      <c r="A1413" s="1">
        <v>1408.0</v>
      </c>
      <c r="B1413" s="1" t="s">
        <v>306</v>
      </c>
      <c r="C1413" s="1">
        <v>29.0</v>
      </c>
      <c r="D1413" s="1">
        <v>408.0</v>
      </c>
      <c r="F1413" s="2" t="str">
        <f t="shared" si="1"/>
        <v>INSERT INTO tblExamQuestionLink VALUES (seqExamQuestionLink.nextval, 29, 408);</v>
      </c>
    </row>
    <row r="1414">
      <c r="A1414" s="1">
        <v>1409.0</v>
      </c>
      <c r="B1414" s="1" t="s">
        <v>306</v>
      </c>
      <c r="C1414" s="1">
        <v>29.0</v>
      </c>
      <c r="D1414" s="1">
        <v>409.0</v>
      </c>
      <c r="F1414" s="2" t="str">
        <f t="shared" si="1"/>
        <v>INSERT INTO tblExamQuestionLink VALUES (seqExamQuestionLink.nextval, 29, 409);</v>
      </c>
    </row>
    <row r="1415">
      <c r="A1415" s="1">
        <v>1410.0</v>
      </c>
      <c r="B1415" s="1" t="s">
        <v>306</v>
      </c>
      <c r="C1415" s="1">
        <v>29.0</v>
      </c>
      <c r="D1415" s="1">
        <v>410.0</v>
      </c>
      <c r="F1415" s="2" t="str">
        <f t="shared" si="1"/>
        <v>INSERT INTO tblExamQuestionLink VALUES (seqExamQuestionLink.nextval, 29, 410);</v>
      </c>
    </row>
    <row r="1416">
      <c r="A1416" s="1">
        <v>1411.0</v>
      </c>
      <c r="B1416" s="1" t="s">
        <v>306</v>
      </c>
      <c r="C1416" s="1">
        <v>29.0</v>
      </c>
      <c r="D1416" s="1">
        <v>411.0</v>
      </c>
      <c r="F1416" s="2" t="str">
        <f t="shared" si="1"/>
        <v>INSERT INTO tblExamQuestionLink VALUES (seqExamQuestionLink.nextval, 29, 411);</v>
      </c>
    </row>
    <row r="1417">
      <c r="A1417" s="1">
        <v>1412.0</v>
      </c>
      <c r="B1417" s="1" t="s">
        <v>306</v>
      </c>
      <c r="C1417" s="1">
        <v>29.0</v>
      </c>
      <c r="D1417" s="1">
        <v>412.0</v>
      </c>
      <c r="F1417" s="2" t="str">
        <f t="shared" si="1"/>
        <v>INSERT INTO tblExamQuestionLink VALUES (seqExamQuestionLink.nextval, 29, 412);</v>
      </c>
    </row>
    <row r="1418">
      <c r="A1418" s="1">
        <v>1413.0</v>
      </c>
      <c r="B1418" s="1" t="s">
        <v>306</v>
      </c>
      <c r="C1418" s="1">
        <v>29.0</v>
      </c>
      <c r="D1418" s="1">
        <v>413.0</v>
      </c>
      <c r="F1418" s="2" t="str">
        <f t="shared" si="1"/>
        <v>INSERT INTO tblExamQuestionLink VALUES (seqExamQuestionLink.nextval, 29, 413);</v>
      </c>
    </row>
    <row r="1419">
      <c r="A1419" s="1">
        <v>1414.0</v>
      </c>
      <c r="B1419" s="1" t="s">
        <v>306</v>
      </c>
      <c r="C1419" s="1">
        <v>29.0</v>
      </c>
      <c r="D1419" s="1">
        <v>414.0</v>
      </c>
      <c r="F1419" s="2" t="str">
        <f t="shared" si="1"/>
        <v>INSERT INTO tblExamQuestionLink VALUES (seqExamQuestionLink.nextval, 29, 414);</v>
      </c>
    </row>
    <row r="1420">
      <c r="A1420" s="1">
        <v>1415.0</v>
      </c>
      <c r="B1420" s="1" t="s">
        <v>306</v>
      </c>
      <c r="C1420" s="1">
        <v>29.0</v>
      </c>
      <c r="D1420" s="1">
        <v>415.0</v>
      </c>
      <c r="F1420" s="2" t="str">
        <f t="shared" si="1"/>
        <v>INSERT INTO tblExamQuestionLink VALUES (seqExamQuestionLink.nextval, 29, 415);</v>
      </c>
    </row>
    <row r="1421">
      <c r="A1421" s="1">
        <v>1416.0</v>
      </c>
      <c r="B1421" s="1" t="s">
        <v>306</v>
      </c>
      <c r="C1421" s="1">
        <v>29.0</v>
      </c>
      <c r="D1421" s="1">
        <v>416.0</v>
      </c>
      <c r="F1421" s="2" t="str">
        <f t="shared" si="1"/>
        <v>INSERT INTO tblExamQuestionLink VALUES (seqExamQuestionLink.nextval, 29, 416);</v>
      </c>
    </row>
    <row r="1422">
      <c r="A1422" s="1">
        <v>1417.0</v>
      </c>
      <c r="B1422" s="1" t="s">
        <v>306</v>
      </c>
      <c r="C1422" s="1">
        <v>29.0</v>
      </c>
      <c r="D1422" s="1">
        <v>417.0</v>
      </c>
      <c r="F1422" s="2" t="str">
        <f t="shared" si="1"/>
        <v>INSERT INTO tblExamQuestionLink VALUES (seqExamQuestionLink.nextval, 29, 417);</v>
      </c>
    </row>
    <row r="1423">
      <c r="A1423" s="1">
        <v>1418.0</v>
      </c>
      <c r="B1423" s="1" t="s">
        <v>306</v>
      </c>
      <c r="C1423" s="1">
        <v>29.0</v>
      </c>
      <c r="D1423" s="1">
        <v>418.0</v>
      </c>
      <c r="F1423" s="2" t="str">
        <f t="shared" si="1"/>
        <v>INSERT INTO tblExamQuestionLink VALUES (seqExamQuestionLink.nextval, 29, 418);</v>
      </c>
    </row>
    <row r="1424">
      <c r="A1424" s="1">
        <v>1419.0</v>
      </c>
      <c r="B1424" s="1" t="s">
        <v>306</v>
      </c>
      <c r="C1424" s="1">
        <v>29.0</v>
      </c>
      <c r="D1424" s="1">
        <v>419.0</v>
      </c>
      <c r="F1424" s="2" t="str">
        <f t="shared" si="1"/>
        <v>INSERT INTO tblExamQuestionLink VALUES (seqExamQuestionLink.nextval, 29, 419);</v>
      </c>
    </row>
    <row r="1425">
      <c r="A1425" s="1">
        <v>1420.0</v>
      </c>
      <c r="B1425" s="1" t="s">
        <v>306</v>
      </c>
      <c r="C1425" s="1">
        <v>29.0</v>
      </c>
      <c r="D1425" s="1">
        <v>420.0</v>
      </c>
      <c r="F1425" s="2" t="str">
        <f t="shared" si="1"/>
        <v>INSERT INTO tblExamQuestionLink VALUES (seqExamQuestionLink.nextval, 29, 420);</v>
      </c>
    </row>
    <row r="1426">
      <c r="A1426" s="1">
        <v>1421.0</v>
      </c>
      <c r="B1426" s="1" t="s">
        <v>306</v>
      </c>
      <c r="C1426" s="1">
        <v>29.0</v>
      </c>
      <c r="D1426" s="1">
        <v>421.0</v>
      </c>
      <c r="F1426" s="2" t="str">
        <f t="shared" si="1"/>
        <v>INSERT INTO tblExamQuestionLink VALUES (seqExamQuestionLink.nextval, 29, 421);</v>
      </c>
    </row>
    <row r="1427">
      <c r="A1427" s="1">
        <v>1422.0</v>
      </c>
      <c r="B1427" s="1" t="s">
        <v>306</v>
      </c>
      <c r="C1427" s="1">
        <v>29.0</v>
      </c>
      <c r="D1427" s="1">
        <v>422.0</v>
      </c>
      <c r="F1427" s="2" t="str">
        <f t="shared" si="1"/>
        <v>INSERT INTO tblExamQuestionLink VALUES (seqExamQuestionLink.nextval, 29, 422);</v>
      </c>
    </row>
    <row r="1428">
      <c r="A1428" s="1">
        <v>1423.0</v>
      </c>
      <c r="B1428" s="1" t="s">
        <v>306</v>
      </c>
      <c r="C1428" s="1">
        <v>29.0</v>
      </c>
      <c r="D1428" s="1">
        <v>423.0</v>
      </c>
      <c r="F1428" s="2" t="str">
        <f t="shared" si="1"/>
        <v>INSERT INTO tblExamQuestionLink VALUES (seqExamQuestionLink.nextval, 29, 423);</v>
      </c>
    </row>
    <row r="1429">
      <c r="A1429" s="1">
        <v>1424.0</v>
      </c>
      <c r="B1429" s="1" t="s">
        <v>306</v>
      </c>
      <c r="C1429" s="1">
        <v>29.0</v>
      </c>
      <c r="D1429" s="1">
        <v>424.0</v>
      </c>
      <c r="F1429" s="2" t="str">
        <f t="shared" si="1"/>
        <v>INSERT INTO tblExamQuestionLink VALUES (seqExamQuestionLink.nextval, 29, 424);</v>
      </c>
    </row>
    <row r="1430">
      <c r="A1430" s="1">
        <v>1425.0</v>
      </c>
      <c r="B1430" s="1" t="s">
        <v>306</v>
      </c>
      <c r="C1430" s="1">
        <v>29.0</v>
      </c>
      <c r="D1430" s="1">
        <v>425.0</v>
      </c>
      <c r="F1430" s="2" t="str">
        <f t="shared" si="1"/>
        <v>INSERT INTO tblExamQuestionLink VALUES (seqExamQuestionLink.nextval, 29, 425);</v>
      </c>
    </row>
    <row r="1431">
      <c r="A1431" s="1">
        <v>1426.0</v>
      </c>
      <c r="B1431" s="1" t="s">
        <v>306</v>
      </c>
      <c r="C1431" s="1">
        <v>29.0</v>
      </c>
      <c r="D1431" s="1">
        <v>426.0</v>
      </c>
      <c r="F1431" s="2" t="str">
        <f t="shared" si="1"/>
        <v>INSERT INTO tblExamQuestionLink VALUES (seqExamQuestionLink.nextval, 29, 426);</v>
      </c>
    </row>
    <row r="1432">
      <c r="A1432" s="1">
        <v>1427.0</v>
      </c>
      <c r="B1432" s="1" t="s">
        <v>306</v>
      </c>
      <c r="C1432" s="1">
        <v>29.0</v>
      </c>
      <c r="D1432" s="1">
        <v>427.0</v>
      </c>
      <c r="F1432" s="2" t="str">
        <f t="shared" si="1"/>
        <v>INSERT INTO tblExamQuestionLink VALUES (seqExamQuestionLink.nextval, 29, 427);</v>
      </c>
    </row>
    <row r="1433">
      <c r="A1433" s="1">
        <v>1428.0</v>
      </c>
      <c r="B1433" s="1" t="s">
        <v>306</v>
      </c>
      <c r="C1433" s="1">
        <v>29.0</v>
      </c>
      <c r="D1433" s="1">
        <v>428.0</v>
      </c>
      <c r="F1433" s="2" t="str">
        <f t="shared" si="1"/>
        <v>INSERT INTO tblExamQuestionLink VALUES (seqExamQuestionLink.nextval, 29, 428);</v>
      </c>
    </row>
    <row r="1434">
      <c r="A1434" s="1">
        <v>1429.0</v>
      </c>
      <c r="B1434" s="1" t="s">
        <v>306</v>
      </c>
      <c r="C1434" s="1">
        <v>29.0</v>
      </c>
      <c r="D1434" s="1">
        <v>429.0</v>
      </c>
      <c r="F1434" s="2" t="str">
        <f t="shared" si="1"/>
        <v>INSERT INTO tblExamQuestionLink VALUES (seqExamQuestionLink.nextval, 29, 429);</v>
      </c>
    </row>
    <row r="1435">
      <c r="A1435" s="1">
        <v>1430.0</v>
      </c>
      <c r="B1435" s="1" t="s">
        <v>306</v>
      </c>
      <c r="C1435" s="1">
        <v>29.0</v>
      </c>
      <c r="D1435" s="1">
        <v>430.0</v>
      </c>
      <c r="F1435" s="2" t="str">
        <f t="shared" si="1"/>
        <v>INSERT INTO tblExamQuestionLink VALUES (seqExamQuestionLink.nextval, 29, 430);</v>
      </c>
    </row>
    <row r="1436">
      <c r="A1436" s="1">
        <v>1431.0</v>
      </c>
      <c r="B1436" s="1" t="s">
        <v>306</v>
      </c>
      <c r="C1436" s="1">
        <v>29.0</v>
      </c>
      <c r="D1436" s="1">
        <v>431.0</v>
      </c>
      <c r="F1436" s="2" t="str">
        <f t="shared" si="1"/>
        <v>INSERT INTO tblExamQuestionLink VALUES (seqExamQuestionLink.nextval, 29, 431);</v>
      </c>
    </row>
    <row r="1437">
      <c r="A1437" s="1">
        <v>1432.0</v>
      </c>
      <c r="B1437" s="1" t="s">
        <v>306</v>
      </c>
      <c r="C1437" s="1">
        <v>29.0</v>
      </c>
      <c r="D1437" s="1">
        <v>432.0</v>
      </c>
      <c r="F1437" s="2" t="str">
        <f t="shared" si="1"/>
        <v>INSERT INTO tblExamQuestionLink VALUES (seqExamQuestionLink.nextval, 29, 432);</v>
      </c>
    </row>
    <row r="1438">
      <c r="A1438" s="1">
        <v>1433.0</v>
      </c>
      <c r="B1438" s="1" t="s">
        <v>306</v>
      </c>
      <c r="C1438" s="1">
        <v>29.0</v>
      </c>
      <c r="D1438" s="1">
        <v>433.0</v>
      </c>
      <c r="F1438" s="2" t="str">
        <f t="shared" si="1"/>
        <v>INSERT INTO tblExamQuestionLink VALUES (seqExamQuestionLink.nextval, 29, 433);</v>
      </c>
    </row>
    <row r="1439">
      <c r="A1439" s="1">
        <v>1434.0</v>
      </c>
      <c r="B1439" s="1" t="s">
        <v>306</v>
      </c>
      <c r="C1439" s="1">
        <v>29.0</v>
      </c>
      <c r="D1439" s="1">
        <v>434.0</v>
      </c>
      <c r="F1439" s="2" t="str">
        <f t="shared" si="1"/>
        <v>INSERT INTO tblExamQuestionLink VALUES (seqExamQuestionLink.nextval, 29, 434);</v>
      </c>
    </row>
    <row r="1440">
      <c r="A1440" s="1">
        <v>1435.0</v>
      </c>
      <c r="B1440" s="1" t="s">
        <v>306</v>
      </c>
      <c r="C1440" s="1">
        <v>29.0</v>
      </c>
      <c r="D1440" s="1">
        <v>435.0</v>
      </c>
      <c r="F1440" s="2" t="str">
        <f t="shared" si="1"/>
        <v>INSERT INTO tblExamQuestionLink VALUES (seqExamQuestionLink.nextval, 29, 435);</v>
      </c>
    </row>
    <row r="1441">
      <c r="A1441" s="1">
        <v>1436.0</v>
      </c>
      <c r="B1441" s="1" t="s">
        <v>306</v>
      </c>
      <c r="C1441" s="1">
        <v>29.0</v>
      </c>
      <c r="D1441" s="1">
        <v>436.0</v>
      </c>
      <c r="F1441" s="2" t="str">
        <f t="shared" si="1"/>
        <v>INSERT INTO tblExamQuestionLink VALUES (seqExamQuestionLink.nextval, 29, 436);</v>
      </c>
    </row>
    <row r="1442">
      <c r="A1442" s="1">
        <v>1437.0</v>
      </c>
      <c r="B1442" s="1" t="s">
        <v>306</v>
      </c>
      <c r="C1442" s="1">
        <v>29.0</v>
      </c>
      <c r="D1442" s="1">
        <v>437.0</v>
      </c>
      <c r="F1442" s="2" t="str">
        <f t="shared" si="1"/>
        <v>INSERT INTO tblExamQuestionLink VALUES (seqExamQuestionLink.nextval, 29, 437);</v>
      </c>
    </row>
    <row r="1443">
      <c r="A1443" s="1">
        <v>1438.0</v>
      </c>
      <c r="B1443" s="1" t="s">
        <v>306</v>
      </c>
      <c r="C1443" s="1">
        <v>29.0</v>
      </c>
      <c r="D1443" s="1">
        <v>438.0</v>
      </c>
      <c r="F1443" s="2" t="str">
        <f t="shared" si="1"/>
        <v>INSERT INTO tblExamQuestionLink VALUES (seqExamQuestionLink.nextval, 29, 438);</v>
      </c>
    </row>
    <row r="1444">
      <c r="A1444" s="1">
        <v>1439.0</v>
      </c>
      <c r="B1444" s="1" t="s">
        <v>306</v>
      </c>
      <c r="C1444" s="1">
        <v>29.0</v>
      </c>
      <c r="D1444" s="1">
        <v>439.0</v>
      </c>
      <c r="F1444" s="2" t="str">
        <f t="shared" si="1"/>
        <v>INSERT INTO tblExamQuestionLink VALUES (seqExamQuestionLink.nextval, 29, 439);</v>
      </c>
    </row>
    <row r="1445">
      <c r="A1445" s="1">
        <v>1440.0</v>
      </c>
      <c r="B1445" s="1" t="s">
        <v>306</v>
      </c>
      <c r="C1445" s="1">
        <v>29.0</v>
      </c>
      <c r="D1445" s="1">
        <v>440.0</v>
      </c>
      <c r="F1445" s="2" t="str">
        <f t="shared" si="1"/>
        <v>INSERT INTO tblExamQuestionLink VALUES (seqExamQuestionLink.nextval, 29, 440);</v>
      </c>
    </row>
    <row r="1446">
      <c r="A1446" s="1">
        <v>1441.0</v>
      </c>
      <c r="B1446" s="1" t="s">
        <v>306</v>
      </c>
      <c r="C1446" s="1">
        <v>29.0</v>
      </c>
      <c r="D1446" s="1">
        <v>441.0</v>
      </c>
      <c r="F1446" s="2" t="str">
        <f t="shared" si="1"/>
        <v>INSERT INTO tblExamQuestionLink VALUES (seqExamQuestionLink.nextval, 29, 441);</v>
      </c>
    </row>
    <row r="1447">
      <c r="A1447" s="1">
        <v>1442.0</v>
      </c>
      <c r="B1447" s="1" t="s">
        <v>306</v>
      </c>
      <c r="C1447" s="1">
        <v>29.0</v>
      </c>
      <c r="D1447" s="1">
        <v>442.0</v>
      </c>
      <c r="F1447" s="2" t="str">
        <f t="shared" si="1"/>
        <v>INSERT INTO tblExamQuestionLink VALUES (seqExamQuestionLink.nextval, 29, 442);</v>
      </c>
    </row>
    <row r="1448">
      <c r="A1448" s="1">
        <v>1443.0</v>
      </c>
      <c r="B1448" s="1" t="s">
        <v>306</v>
      </c>
      <c r="C1448" s="1">
        <v>29.0</v>
      </c>
      <c r="D1448" s="1">
        <v>443.0</v>
      </c>
      <c r="F1448" s="2" t="str">
        <f t="shared" si="1"/>
        <v>INSERT INTO tblExamQuestionLink VALUES (seqExamQuestionLink.nextval, 29, 443);</v>
      </c>
    </row>
    <row r="1449">
      <c r="A1449" s="1">
        <v>1444.0</v>
      </c>
      <c r="B1449" s="1" t="s">
        <v>306</v>
      </c>
      <c r="C1449" s="1">
        <v>29.0</v>
      </c>
      <c r="D1449" s="1">
        <v>444.0</v>
      </c>
      <c r="F1449" s="2" t="str">
        <f t="shared" si="1"/>
        <v>INSERT INTO tblExamQuestionLink VALUES (seqExamQuestionLink.nextval, 29, 444);</v>
      </c>
    </row>
    <row r="1450">
      <c r="A1450" s="1">
        <v>1445.0</v>
      </c>
      <c r="B1450" s="1" t="s">
        <v>306</v>
      </c>
      <c r="C1450" s="1">
        <v>29.0</v>
      </c>
      <c r="D1450" s="1">
        <v>445.0</v>
      </c>
      <c r="F1450" s="2" t="str">
        <f t="shared" si="1"/>
        <v>INSERT INTO tblExamQuestionLink VALUES (seqExamQuestionLink.nextval, 29, 445);</v>
      </c>
    </row>
    <row r="1451">
      <c r="A1451" s="1">
        <v>1446.0</v>
      </c>
      <c r="B1451" s="1" t="s">
        <v>306</v>
      </c>
      <c r="C1451" s="1">
        <v>29.0</v>
      </c>
      <c r="D1451" s="1">
        <v>446.0</v>
      </c>
      <c r="F1451" s="2" t="str">
        <f t="shared" si="1"/>
        <v>INSERT INTO tblExamQuestionLink VALUES (seqExamQuestionLink.nextval, 29, 446);</v>
      </c>
    </row>
    <row r="1452">
      <c r="A1452" s="1">
        <v>1447.0</v>
      </c>
      <c r="B1452" s="1" t="s">
        <v>306</v>
      </c>
      <c r="C1452" s="1">
        <v>29.0</v>
      </c>
      <c r="D1452" s="1">
        <v>447.0</v>
      </c>
      <c r="F1452" s="2" t="str">
        <f t="shared" si="1"/>
        <v>INSERT INTO tblExamQuestionLink VALUES (seqExamQuestionLink.nextval, 29, 447);</v>
      </c>
    </row>
    <row r="1453">
      <c r="A1453" s="1">
        <v>1448.0</v>
      </c>
      <c r="B1453" s="1" t="s">
        <v>306</v>
      </c>
      <c r="C1453" s="1">
        <v>29.0</v>
      </c>
      <c r="D1453" s="1">
        <v>448.0</v>
      </c>
      <c r="F1453" s="2" t="str">
        <f t="shared" si="1"/>
        <v>INSERT INTO tblExamQuestionLink VALUES (seqExamQuestionLink.nextval, 29, 448);</v>
      </c>
    </row>
    <row r="1454">
      <c r="A1454" s="1">
        <v>1449.0</v>
      </c>
      <c r="B1454" s="1" t="s">
        <v>306</v>
      </c>
      <c r="C1454" s="1">
        <v>29.0</v>
      </c>
      <c r="D1454" s="1">
        <v>449.0</v>
      </c>
      <c r="F1454" s="2" t="str">
        <f t="shared" si="1"/>
        <v>INSERT INTO tblExamQuestionLink VALUES (seqExamQuestionLink.nextval, 29, 449);</v>
      </c>
    </row>
    <row r="1455">
      <c r="A1455" s="1">
        <v>1450.0</v>
      </c>
      <c r="B1455" s="1" t="s">
        <v>306</v>
      </c>
      <c r="C1455" s="1">
        <v>29.0</v>
      </c>
      <c r="D1455" s="1">
        <v>450.0</v>
      </c>
      <c r="F1455" s="2" t="str">
        <f t="shared" si="1"/>
        <v>INSERT INTO tblExamQuestionLink VALUES (seqExamQuestionLink.nextval, 29, 450);</v>
      </c>
    </row>
    <row r="1456">
      <c r="A1456" s="1">
        <v>1451.0</v>
      </c>
      <c r="B1456" s="1" t="s">
        <v>306</v>
      </c>
      <c r="C1456" s="1">
        <v>30.0</v>
      </c>
      <c r="D1456" s="1">
        <v>451.0</v>
      </c>
      <c r="F1456" s="2" t="str">
        <f t="shared" si="1"/>
        <v>INSERT INTO tblExamQuestionLink VALUES (seqExamQuestionLink.nextval, 30, 451);</v>
      </c>
    </row>
    <row r="1457">
      <c r="A1457" s="1">
        <v>1452.0</v>
      </c>
      <c r="B1457" s="1" t="s">
        <v>306</v>
      </c>
      <c r="C1457" s="1">
        <v>30.0</v>
      </c>
      <c r="D1457" s="1">
        <v>452.0</v>
      </c>
      <c r="F1457" s="2" t="str">
        <f t="shared" si="1"/>
        <v>INSERT INTO tblExamQuestionLink VALUES (seqExamQuestionLink.nextval, 30, 452);</v>
      </c>
    </row>
    <row r="1458">
      <c r="A1458" s="1">
        <v>1453.0</v>
      </c>
      <c r="B1458" s="1" t="s">
        <v>306</v>
      </c>
      <c r="C1458" s="1">
        <v>30.0</v>
      </c>
      <c r="D1458" s="1">
        <v>453.0</v>
      </c>
      <c r="F1458" s="2" t="str">
        <f t="shared" si="1"/>
        <v>INSERT INTO tblExamQuestionLink VALUES (seqExamQuestionLink.nextval, 30, 453);</v>
      </c>
    </row>
    <row r="1459">
      <c r="A1459" s="1">
        <v>1454.0</v>
      </c>
      <c r="B1459" s="1" t="s">
        <v>306</v>
      </c>
      <c r="C1459" s="1">
        <v>30.0</v>
      </c>
      <c r="D1459" s="1">
        <v>454.0</v>
      </c>
      <c r="F1459" s="2" t="str">
        <f t="shared" si="1"/>
        <v>INSERT INTO tblExamQuestionLink VALUES (seqExamQuestionLink.nextval, 30, 454);</v>
      </c>
    </row>
    <row r="1460">
      <c r="A1460" s="1">
        <v>1455.0</v>
      </c>
      <c r="B1460" s="1" t="s">
        <v>306</v>
      </c>
      <c r="C1460" s="1">
        <v>30.0</v>
      </c>
      <c r="D1460" s="1">
        <v>455.0</v>
      </c>
      <c r="F1460" s="2" t="str">
        <f t="shared" si="1"/>
        <v>INSERT INTO tblExamQuestionLink VALUES (seqExamQuestionLink.nextval, 30, 455);</v>
      </c>
    </row>
    <row r="1461">
      <c r="A1461" s="1">
        <v>1456.0</v>
      </c>
      <c r="B1461" s="1" t="s">
        <v>306</v>
      </c>
      <c r="C1461" s="1">
        <v>30.0</v>
      </c>
      <c r="D1461" s="1">
        <v>456.0</v>
      </c>
      <c r="F1461" s="2" t="str">
        <f t="shared" si="1"/>
        <v>INSERT INTO tblExamQuestionLink VALUES (seqExamQuestionLink.nextval, 30, 456);</v>
      </c>
    </row>
    <row r="1462">
      <c r="A1462" s="1">
        <v>1457.0</v>
      </c>
      <c r="B1462" s="1" t="s">
        <v>306</v>
      </c>
      <c r="C1462" s="1">
        <v>30.0</v>
      </c>
      <c r="D1462" s="1">
        <v>457.0</v>
      </c>
      <c r="F1462" s="2" t="str">
        <f t="shared" si="1"/>
        <v>INSERT INTO tblExamQuestionLink VALUES (seqExamQuestionLink.nextval, 30, 457);</v>
      </c>
    </row>
    <row r="1463">
      <c r="A1463" s="1">
        <v>1458.0</v>
      </c>
      <c r="B1463" s="1" t="s">
        <v>306</v>
      </c>
      <c r="C1463" s="1">
        <v>30.0</v>
      </c>
      <c r="D1463" s="1">
        <v>458.0</v>
      </c>
      <c r="F1463" s="2" t="str">
        <f t="shared" si="1"/>
        <v>INSERT INTO tblExamQuestionLink VALUES (seqExamQuestionLink.nextval, 30, 458);</v>
      </c>
    </row>
    <row r="1464">
      <c r="A1464" s="1">
        <v>1459.0</v>
      </c>
      <c r="B1464" s="1" t="s">
        <v>306</v>
      </c>
      <c r="C1464" s="1">
        <v>30.0</v>
      </c>
      <c r="D1464" s="1">
        <v>459.0</v>
      </c>
      <c r="F1464" s="2" t="str">
        <f t="shared" si="1"/>
        <v>INSERT INTO tblExamQuestionLink VALUES (seqExamQuestionLink.nextval, 30, 459);</v>
      </c>
    </row>
    <row r="1465">
      <c r="A1465" s="1">
        <v>1460.0</v>
      </c>
      <c r="B1465" s="1" t="s">
        <v>306</v>
      </c>
      <c r="C1465" s="1">
        <v>30.0</v>
      </c>
      <c r="D1465" s="1">
        <v>460.0</v>
      </c>
      <c r="F1465" s="2" t="str">
        <f t="shared" si="1"/>
        <v>INSERT INTO tblExamQuestionLink VALUES (seqExamQuestionLink.nextval, 30, 460);</v>
      </c>
    </row>
    <row r="1466">
      <c r="A1466" s="1">
        <v>1461.0</v>
      </c>
      <c r="B1466" s="1" t="s">
        <v>306</v>
      </c>
      <c r="C1466" s="1">
        <v>30.0</v>
      </c>
      <c r="D1466" s="1">
        <v>461.0</v>
      </c>
      <c r="F1466" s="2" t="str">
        <f t="shared" si="1"/>
        <v>INSERT INTO tblExamQuestionLink VALUES (seqExamQuestionLink.nextval, 30, 461);</v>
      </c>
    </row>
    <row r="1467">
      <c r="A1467" s="1">
        <v>1462.0</v>
      </c>
      <c r="B1467" s="1" t="s">
        <v>306</v>
      </c>
      <c r="C1467" s="1">
        <v>30.0</v>
      </c>
      <c r="D1467" s="1">
        <v>462.0</v>
      </c>
      <c r="F1467" s="2" t="str">
        <f t="shared" si="1"/>
        <v>INSERT INTO tblExamQuestionLink VALUES (seqExamQuestionLink.nextval, 30, 462);</v>
      </c>
    </row>
    <row r="1468">
      <c r="A1468" s="1">
        <v>1463.0</v>
      </c>
      <c r="B1468" s="1" t="s">
        <v>306</v>
      </c>
      <c r="C1468" s="1">
        <v>30.0</v>
      </c>
      <c r="D1468" s="1">
        <v>463.0</v>
      </c>
      <c r="F1468" s="2" t="str">
        <f t="shared" si="1"/>
        <v>INSERT INTO tblExamQuestionLink VALUES (seqExamQuestionLink.nextval, 30, 463);</v>
      </c>
    </row>
    <row r="1469">
      <c r="A1469" s="1">
        <v>1464.0</v>
      </c>
      <c r="B1469" s="1" t="s">
        <v>306</v>
      </c>
      <c r="C1469" s="1">
        <v>30.0</v>
      </c>
      <c r="D1469" s="1">
        <v>464.0</v>
      </c>
      <c r="F1469" s="2" t="str">
        <f t="shared" si="1"/>
        <v>INSERT INTO tblExamQuestionLink VALUES (seqExamQuestionLink.nextval, 30, 464);</v>
      </c>
    </row>
    <row r="1470">
      <c r="A1470" s="1">
        <v>1465.0</v>
      </c>
      <c r="B1470" s="1" t="s">
        <v>306</v>
      </c>
      <c r="C1470" s="1">
        <v>30.0</v>
      </c>
      <c r="D1470" s="1">
        <v>465.0</v>
      </c>
      <c r="F1470" s="2" t="str">
        <f t="shared" si="1"/>
        <v>INSERT INTO tblExamQuestionLink VALUES (seqExamQuestionLink.nextval, 30, 465);</v>
      </c>
    </row>
    <row r="1471">
      <c r="A1471" s="1">
        <v>1466.0</v>
      </c>
      <c r="B1471" s="1" t="s">
        <v>306</v>
      </c>
      <c r="C1471" s="1">
        <v>30.0</v>
      </c>
      <c r="D1471" s="1">
        <v>466.0</v>
      </c>
      <c r="F1471" s="2" t="str">
        <f t="shared" si="1"/>
        <v>INSERT INTO tblExamQuestionLink VALUES (seqExamQuestionLink.nextval, 30, 466);</v>
      </c>
    </row>
    <row r="1472">
      <c r="A1472" s="1">
        <v>1467.0</v>
      </c>
      <c r="B1472" s="1" t="s">
        <v>306</v>
      </c>
      <c r="C1472" s="1">
        <v>30.0</v>
      </c>
      <c r="D1472" s="1">
        <v>467.0</v>
      </c>
      <c r="F1472" s="2" t="str">
        <f t="shared" si="1"/>
        <v>INSERT INTO tblExamQuestionLink VALUES (seqExamQuestionLink.nextval, 30, 467);</v>
      </c>
    </row>
    <row r="1473">
      <c r="A1473" s="1">
        <v>1468.0</v>
      </c>
      <c r="B1473" s="1" t="s">
        <v>306</v>
      </c>
      <c r="C1473" s="1">
        <v>30.0</v>
      </c>
      <c r="D1473" s="1">
        <v>468.0</v>
      </c>
      <c r="F1473" s="2" t="str">
        <f t="shared" si="1"/>
        <v>INSERT INTO tblExamQuestionLink VALUES (seqExamQuestionLink.nextval, 30, 468);</v>
      </c>
    </row>
    <row r="1474">
      <c r="A1474" s="1">
        <v>1469.0</v>
      </c>
      <c r="B1474" s="1" t="s">
        <v>306</v>
      </c>
      <c r="C1474" s="1">
        <v>30.0</v>
      </c>
      <c r="D1474" s="1">
        <v>469.0</v>
      </c>
      <c r="F1474" s="2" t="str">
        <f t="shared" si="1"/>
        <v>INSERT INTO tblExamQuestionLink VALUES (seqExamQuestionLink.nextval, 30, 469);</v>
      </c>
    </row>
    <row r="1475">
      <c r="A1475" s="1">
        <v>1470.0</v>
      </c>
      <c r="B1475" s="1" t="s">
        <v>306</v>
      </c>
      <c r="C1475" s="1">
        <v>30.0</v>
      </c>
      <c r="D1475" s="1">
        <v>470.0</v>
      </c>
      <c r="F1475" s="2" t="str">
        <f t="shared" si="1"/>
        <v>INSERT INTO tblExamQuestionLink VALUES (seqExamQuestionLink.nextval, 30, 470);</v>
      </c>
    </row>
    <row r="1476">
      <c r="A1476" s="1">
        <v>1471.0</v>
      </c>
      <c r="B1476" s="1" t="s">
        <v>306</v>
      </c>
      <c r="C1476" s="1">
        <v>30.0</v>
      </c>
      <c r="D1476" s="1">
        <v>471.0</v>
      </c>
      <c r="F1476" s="2" t="str">
        <f t="shared" si="1"/>
        <v>INSERT INTO tblExamQuestionLink VALUES (seqExamQuestionLink.nextval, 30, 471);</v>
      </c>
    </row>
    <row r="1477">
      <c r="A1477" s="1">
        <v>1472.0</v>
      </c>
      <c r="B1477" s="1" t="s">
        <v>306</v>
      </c>
      <c r="C1477" s="1">
        <v>30.0</v>
      </c>
      <c r="D1477" s="1">
        <v>472.0</v>
      </c>
      <c r="F1477" s="2" t="str">
        <f t="shared" si="1"/>
        <v>INSERT INTO tblExamQuestionLink VALUES (seqExamQuestionLink.nextval, 30, 472);</v>
      </c>
    </row>
    <row r="1478">
      <c r="A1478" s="1">
        <v>1473.0</v>
      </c>
      <c r="B1478" s="1" t="s">
        <v>306</v>
      </c>
      <c r="C1478" s="1">
        <v>30.0</v>
      </c>
      <c r="D1478" s="1">
        <v>473.0</v>
      </c>
      <c r="F1478" s="2" t="str">
        <f t="shared" si="1"/>
        <v>INSERT INTO tblExamQuestionLink VALUES (seqExamQuestionLink.nextval, 30, 473);</v>
      </c>
    </row>
    <row r="1479">
      <c r="A1479" s="1">
        <v>1474.0</v>
      </c>
      <c r="B1479" s="1" t="s">
        <v>306</v>
      </c>
      <c r="C1479" s="1">
        <v>30.0</v>
      </c>
      <c r="D1479" s="1">
        <v>474.0</v>
      </c>
      <c r="F1479" s="2" t="str">
        <f t="shared" si="1"/>
        <v>INSERT INTO tblExamQuestionLink VALUES (seqExamQuestionLink.nextval, 30, 474);</v>
      </c>
    </row>
    <row r="1480">
      <c r="A1480" s="1">
        <v>1475.0</v>
      </c>
      <c r="B1480" s="1" t="s">
        <v>306</v>
      </c>
      <c r="C1480" s="1">
        <v>30.0</v>
      </c>
      <c r="D1480" s="1">
        <v>475.0</v>
      </c>
      <c r="F1480" s="2" t="str">
        <f t="shared" si="1"/>
        <v>INSERT INTO tblExamQuestionLink VALUES (seqExamQuestionLink.nextval, 30, 475);</v>
      </c>
    </row>
    <row r="1481">
      <c r="A1481" s="1">
        <v>1476.0</v>
      </c>
      <c r="B1481" s="1" t="s">
        <v>306</v>
      </c>
      <c r="C1481" s="1">
        <v>30.0</v>
      </c>
      <c r="D1481" s="1">
        <v>476.0</v>
      </c>
      <c r="F1481" s="2" t="str">
        <f t="shared" si="1"/>
        <v>INSERT INTO tblExamQuestionLink VALUES (seqExamQuestionLink.nextval, 30, 476);</v>
      </c>
    </row>
    <row r="1482">
      <c r="A1482" s="1">
        <v>1477.0</v>
      </c>
      <c r="B1482" s="1" t="s">
        <v>306</v>
      </c>
      <c r="C1482" s="1">
        <v>30.0</v>
      </c>
      <c r="D1482" s="1">
        <v>477.0</v>
      </c>
      <c r="F1482" s="2" t="str">
        <f t="shared" si="1"/>
        <v>INSERT INTO tblExamQuestionLink VALUES (seqExamQuestionLink.nextval, 30, 477);</v>
      </c>
    </row>
    <row r="1483">
      <c r="A1483" s="1">
        <v>1478.0</v>
      </c>
      <c r="B1483" s="1" t="s">
        <v>306</v>
      </c>
      <c r="C1483" s="1">
        <v>30.0</v>
      </c>
      <c r="D1483" s="1">
        <v>478.0</v>
      </c>
      <c r="F1483" s="2" t="str">
        <f t="shared" si="1"/>
        <v>INSERT INTO tblExamQuestionLink VALUES (seqExamQuestionLink.nextval, 30, 478);</v>
      </c>
    </row>
    <row r="1484">
      <c r="A1484" s="1">
        <v>1479.0</v>
      </c>
      <c r="B1484" s="1" t="s">
        <v>306</v>
      </c>
      <c r="C1484" s="1">
        <v>30.0</v>
      </c>
      <c r="D1484" s="1">
        <v>479.0</v>
      </c>
      <c r="F1484" s="2" t="str">
        <f t="shared" si="1"/>
        <v>INSERT INTO tblExamQuestionLink VALUES (seqExamQuestionLink.nextval, 30, 479);</v>
      </c>
    </row>
    <row r="1485">
      <c r="A1485" s="1">
        <v>1480.0</v>
      </c>
      <c r="B1485" s="1" t="s">
        <v>306</v>
      </c>
      <c r="C1485" s="1">
        <v>30.0</v>
      </c>
      <c r="D1485" s="1">
        <v>480.0</v>
      </c>
      <c r="F1485" s="2" t="str">
        <f t="shared" si="1"/>
        <v>INSERT INTO tblExamQuestionLink VALUES (seqExamQuestionLink.nextval, 30, 480);</v>
      </c>
    </row>
    <row r="1486">
      <c r="A1486" s="1">
        <v>1481.0</v>
      </c>
      <c r="B1486" s="1" t="s">
        <v>306</v>
      </c>
      <c r="C1486" s="1">
        <v>30.0</v>
      </c>
      <c r="D1486" s="1">
        <v>481.0</v>
      </c>
      <c r="F1486" s="2" t="str">
        <f t="shared" si="1"/>
        <v>INSERT INTO tblExamQuestionLink VALUES (seqExamQuestionLink.nextval, 30, 481);</v>
      </c>
    </row>
    <row r="1487">
      <c r="A1487" s="1">
        <v>1482.0</v>
      </c>
      <c r="B1487" s="1" t="s">
        <v>306</v>
      </c>
      <c r="C1487" s="1">
        <v>30.0</v>
      </c>
      <c r="D1487" s="1">
        <v>482.0</v>
      </c>
      <c r="F1487" s="2" t="str">
        <f t="shared" si="1"/>
        <v>INSERT INTO tblExamQuestionLink VALUES (seqExamQuestionLink.nextval, 30, 482);</v>
      </c>
    </row>
    <row r="1488">
      <c r="A1488" s="1">
        <v>1483.0</v>
      </c>
      <c r="B1488" s="1" t="s">
        <v>306</v>
      </c>
      <c r="C1488" s="1">
        <v>30.0</v>
      </c>
      <c r="D1488" s="1">
        <v>483.0</v>
      </c>
      <c r="F1488" s="2" t="str">
        <f t="shared" si="1"/>
        <v>INSERT INTO tblExamQuestionLink VALUES (seqExamQuestionLink.nextval, 30, 483);</v>
      </c>
    </row>
    <row r="1489">
      <c r="A1489" s="1">
        <v>1484.0</v>
      </c>
      <c r="B1489" s="1" t="s">
        <v>306</v>
      </c>
      <c r="C1489" s="1">
        <v>30.0</v>
      </c>
      <c r="D1489" s="1">
        <v>484.0</v>
      </c>
      <c r="F1489" s="2" t="str">
        <f t="shared" si="1"/>
        <v>INSERT INTO tblExamQuestionLink VALUES (seqExamQuestionLink.nextval, 30, 484);</v>
      </c>
    </row>
    <row r="1490">
      <c r="A1490" s="1">
        <v>1485.0</v>
      </c>
      <c r="B1490" s="1" t="s">
        <v>306</v>
      </c>
      <c r="C1490" s="1">
        <v>30.0</v>
      </c>
      <c r="D1490" s="1">
        <v>485.0</v>
      </c>
      <c r="F1490" s="2" t="str">
        <f t="shared" si="1"/>
        <v>INSERT INTO tblExamQuestionLink VALUES (seqExamQuestionLink.nextval, 30, 485);</v>
      </c>
    </row>
    <row r="1491">
      <c r="A1491" s="1">
        <v>1486.0</v>
      </c>
      <c r="B1491" s="1" t="s">
        <v>306</v>
      </c>
      <c r="C1491" s="1">
        <v>30.0</v>
      </c>
      <c r="D1491" s="1">
        <v>486.0</v>
      </c>
      <c r="F1491" s="2" t="str">
        <f t="shared" si="1"/>
        <v>INSERT INTO tblExamQuestionLink VALUES (seqExamQuestionLink.nextval, 30, 486);</v>
      </c>
    </row>
    <row r="1492">
      <c r="A1492" s="1">
        <v>1487.0</v>
      </c>
      <c r="B1492" s="1" t="s">
        <v>306</v>
      </c>
      <c r="C1492" s="1">
        <v>30.0</v>
      </c>
      <c r="D1492" s="1">
        <v>487.0</v>
      </c>
      <c r="F1492" s="2" t="str">
        <f t="shared" si="1"/>
        <v>INSERT INTO tblExamQuestionLink VALUES (seqExamQuestionLink.nextval, 30, 487);</v>
      </c>
    </row>
    <row r="1493">
      <c r="A1493" s="1">
        <v>1488.0</v>
      </c>
      <c r="B1493" s="1" t="s">
        <v>306</v>
      </c>
      <c r="C1493" s="1">
        <v>30.0</v>
      </c>
      <c r="D1493" s="1">
        <v>488.0</v>
      </c>
      <c r="F1493" s="2" t="str">
        <f t="shared" si="1"/>
        <v>INSERT INTO tblExamQuestionLink VALUES (seqExamQuestionLink.nextval, 30, 488);</v>
      </c>
    </row>
    <row r="1494">
      <c r="A1494" s="1">
        <v>1489.0</v>
      </c>
      <c r="B1494" s="1" t="s">
        <v>306</v>
      </c>
      <c r="C1494" s="1">
        <v>30.0</v>
      </c>
      <c r="D1494" s="1">
        <v>489.0</v>
      </c>
      <c r="F1494" s="2" t="str">
        <f t="shared" si="1"/>
        <v>INSERT INTO tblExamQuestionLink VALUES (seqExamQuestionLink.nextval, 30, 489);</v>
      </c>
    </row>
    <row r="1495">
      <c r="A1495" s="1">
        <v>1490.0</v>
      </c>
      <c r="B1495" s="1" t="s">
        <v>306</v>
      </c>
      <c r="C1495" s="1">
        <v>30.0</v>
      </c>
      <c r="D1495" s="1">
        <v>490.0</v>
      </c>
      <c r="F1495" s="2" t="str">
        <f t="shared" si="1"/>
        <v>INSERT INTO tblExamQuestionLink VALUES (seqExamQuestionLink.nextval, 30, 490);</v>
      </c>
    </row>
    <row r="1496">
      <c r="A1496" s="1">
        <v>1491.0</v>
      </c>
      <c r="B1496" s="1" t="s">
        <v>306</v>
      </c>
      <c r="C1496" s="1">
        <v>30.0</v>
      </c>
      <c r="D1496" s="1">
        <v>491.0</v>
      </c>
      <c r="F1496" s="2" t="str">
        <f t="shared" si="1"/>
        <v>INSERT INTO tblExamQuestionLink VALUES (seqExamQuestionLink.nextval, 30, 491);</v>
      </c>
    </row>
    <row r="1497">
      <c r="A1497" s="1">
        <v>1492.0</v>
      </c>
      <c r="B1497" s="1" t="s">
        <v>306</v>
      </c>
      <c r="C1497" s="1">
        <v>30.0</v>
      </c>
      <c r="D1497" s="1">
        <v>492.0</v>
      </c>
      <c r="F1497" s="2" t="str">
        <f t="shared" si="1"/>
        <v>INSERT INTO tblExamQuestionLink VALUES (seqExamQuestionLink.nextval, 30, 492);</v>
      </c>
    </row>
    <row r="1498">
      <c r="A1498" s="1">
        <v>1493.0</v>
      </c>
      <c r="B1498" s="1" t="s">
        <v>306</v>
      </c>
      <c r="C1498" s="1">
        <v>30.0</v>
      </c>
      <c r="D1498" s="1">
        <v>493.0</v>
      </c>
      <c r="F1498" s="2" t="str">
        <f t="shared" si="1"/>
        <v>INSERT INTO tblExamQuestionLink VALUES (seqExamQuestionLink.nextval, 30, 493);</v>
      </c>
    </row>
    <row r="1499">
      <c r="A1499" s="1">
        <v>1494.0</v>
      </c>
      <c r="B1499" s="1" t="s">
        <v>306</v>
      </c>
      <c r="C1499" s="1">
        <v>30.0</v>
      </c>
      <c r="D1499" s="1">
        <v>494.0</v>
      </c>
      <c r="F1499" s="2" t="str">
        <f t="shared" si="1"/>
        <v>INSERT INTO tblExamQuestionLink VALUES (seqExamQuestionLink.nextval, 30, 494);</v>
      </c>
    </row>
    <row r="1500">
      <c r="A1500" s="1">
        <v>1495.0</v>
      </c>
      <c r="B1500" s="1" t="s">
        <v>306</v>
      </c>
      <c r="C1500" s="1">
        <v>30.0</v>
      </c>
      <c r="D1500" s="1">
        <v>495.0</v>
      </c>
      <c r="F1500" s="2" t="str">
        <f t="shared" si="1"/>
        <v>INSERT INTO tblExamQuestionLink VALUES (seqExamQuestionLink.nextval, 30, 495);</v>
      </c>
    </row>
    <row r="1501">
      <c r="A1501" s="1">
        <v>1496.0</v>
      </c>
      <c r="B1501" s="1" t="s">
        <v>306</v>
      </c>
      <c r="C1501" s="1">
        <v>30.0</v>
      </c>
      <c r="D1501" s="1">
        <v>496.0</v>
      </c>
      <c r="F1501" s="2" t="str">
        <f t="shared" si="1"/>
        <v>INSERT INTO tblExamQuestionLink VALUES (seqExamQuestionLink.nextval, 30, 496);</v>
      </c>
    </row>
    <row r="1502">
      <c r="A1502" s="1">
        <v>1497.0</v>
      </c>
      <c r="B1502" s="1" t="s">
        <v>306</v>
      </c>
      <c r="C1502" s="1">
        <v>30.0</v>
      </c>
      <c r="D1502" s="1">
        <v>497.0</v>
      </c>
      <c r="F1502" s="2" t="str">
        <f t="shared" si="1"/>
        <v>INSERT INTO tblExamQuestionLink VALUES (seqExamQuestionLink.nextval, 30, 497);</v>
      </c>
    </row>
    <row r="1503">
      <c r="A1503" s="1">
        <v>1498.0</v>
      </c>
      <c r="B1503" s="1" t="s">
        <v>306</v>
      </c>
      <c r="C1503" s="1">
        <v>30.0</v>
      </c>
      <c r="D1503" s="1">
        <v>498.0</v>
      </c>
      <c r="F1503" s="2" t="str">
        <f t="shared" si="1"/>
        <v>INSERT INTO tblExamQuestionLink VALUES (seqExamQuestionLink.nextval, 30, 498);</v>
      </c>
    </row>
    <row r="1504">
      <c r="A1504" s="1">
        <v>1499.0</v>
      </c>
      <c r="B1504" s="1" t="s">
        <v>306</v>
      </c>
      <c r="C1504" s="1">
        <v>30.0</v>
      </c>
      <c r="D1504" s="1">
        <v>499.0</v>
      </c>
      <c r="F1504" s="2" t="str">
        <f t="shared" si="1"/>
        <v>INSERT INTO tblExamQuestionLink VALUES (seqExamQuestionLink.nextval, 30, 499);</v>
      </c>
    </row>
    <row r="1505">
      <c r="A1505" s="1">
        <v>1500.0</v>
      </c>
      <c r="B1505" s="1" t="s">
        <v>306</v>
      </c>
      <c r="C1505" s="1">
        <v>30.0</v>
      </c>
      <c r="D1505" s="1">
        <v>500.0</v>
      </c>
      <c r="F1505" s="2" t="str">
        <f t="shared" si="1"/>
        <v>INSERT INTO tblExamQuestionLink VALUES (seqExamQuestionLink.nextval, 30, 500);</v>
      </c>
    </row>
    <row r="1506">
      <c r="A1506" s="1">
        <v>1501.0</v>
      </c>
      <c r="B1506" s="1" t="s">
        <v>306</v>
      </c>
      <c r="C1506" s="1">
        <v>31.0</v>
      </c>
      <c r="D1506" s="1">
        <v>501.0</v>
      </c>
      <c r="F1506" s="2" t="str">
        <f t="shared" si="1"/>
        <v>INSERT INTO tblExamQuestionLink VALUES (seqExamQuestionLink.nextval, 31, 501);</v>
      </c>
    </row>
    <row r="1507">
      <c r="A1507" s="1">
        <v>1502.0</v>
      </c>
      <c r="B1507" s="1" t="s">
        <v>306</v>
      </c>
      <c r="C1507" s="1">
        <v>31.0</v>
      </c>
      <c r="D1507" s="1">
        <v>502.0</v>
      </c>
      <c r="F1507" s="2" t="str">
        <f t="shared" si="1"/>
        <v>INSERT INTO tblExamQuestionLink VALUES (seqExamQuestionLink.nextval, 31, 502);</v>
      </c>
    </row>
    <row r="1508">
      <c r="A1508" s="1">
        <v>1503.0</v>
      </c>
      <c r="B1508" s="1" t="s">
        <v>306</v>
      </c>
      <c r="C1508" s="1">
        <v>31.0</v>
      </c>
      <c r="D1508" s="1">
        <v>503.0</v>
      </c>
      <c r="F1508" s="2" t="str">
        <f t="shared" si="1"/>
        <v>INSERT INTO tblExamQuestionLink VALUES (seqExamQuestionLink.nextval, 31, 503);</v>
      </c>
    </row>
    <row r="1509">
      <c r="A1509" s="1">
        <v>1504.0</v>
      </c>
      <c r="B1509" s="1" t="s">
        <v>306</v>
      </c>
      <c r="C1509" s="1">
        <v>31.0</v>
      </c>
      <c r="D1509" s="1">
        <v>504.0</v>
      </c>
      <c r="F1509" s="2" t="str">
        <f t="shared" si="1"/>
        <v>INSERT INTO tblExamQuestionLink VALUES (seqExamQuestionLink.nextval, 31, 504);</v>
      </c>
    </row>
    <row r="1510">
      <c r="A1510" s="1">
        <v>1505.0</v>
      </c>
      <c r="B1510" s="1" t="s">
        <v>306</v>
      </c>
      <c r="C1510" s="1">
        <v>31.0</v>
      </c>
      <c r="D1510" s="1">
        <v>505.0</v>
      </c>
      <c r="F1510" s="2" t="str">
        <f t="shared" si="1"/>
        <v>INSERT INTO tblExamQuestionLink VALUES (seqExamQuestionLink.nextval, 31, 505);</v>
      </c>
    </row>
    <row r="1511">
      <c r="A1511" s="1">
        <v>1506.0</v>
      </c>
      <c r="B1511" s="1" t="s">
        <v>306</v>
      </c>
      <c r="C1511" s="1">
        <v>31.0</v>
      </c>
      <c r="D1511" s="1">
        <v>506.0</v>
      </c>
      <c r="F1511" s="2" t="str">
        <f t="shared" si="1"/>
        <v>INSERT INTO tblExamQuestionLink VALUES (seqExamQuestionLink.nextval, 31, 506);</v>
      </c>
    </row>
    <row r="1512">
      <c r="A1512" s="1">
        <v>1507.0</v>
      </c>
      <c r="B1512" s="1" t="s">
        <v>306</v>
      </c>
      <c r="C1512" s="1">
        <v>31.0</v>
      </c>
      <c r="D1512" s="1">
        <v>507.0</v>
      </c>
      <c r="F1512" s="2" t="str">
        <f t="shared" si="1"/>
        <v>INSERT INTO tblExamQuestionLink VALUES (seqExamQuestionLink.nextval, 31, 507);</v>
      </c>
    </row>
    <row r="1513">
      <c r="A1513" s="1">
        <v>1508.0</v>
      </c>
      <c r="B1513" s="1" t="s">
        <v>306</v>
      </c>
      <c r="C1513" s="1">
        <v>31.0</v>
      </c>
      <c r="D1513" s="1">
        <v>508.0</v>
      </c>
      <c r="F1513" s="2" t="str">
        <f t="shared" si="1"/>
        <v>INSERT INTO tblExamQuestionLink VALUES (seqExamQuestionLink.nextval, 31, 508);</v>
      </c>
    </row>
    <row r="1514">
      <c r="A1514" s="1">
        <v>1509.0</v>
      </c>
      <c r="B1514" s="1" t="s">
        <v>306</v>
      </c>
      <c r="C1514" s="1">
        <v>31.0</v>
      </c>
      <c r="D1514" s="1">
        <v>509.0</v>
      </c>
      <c r="F1514" s="2" t="str">
        <f t="shared" si="1"/>
        <v>INSERT INTO tblExamQuestionLink VALUES (seqExamQuestionLink.nextval, 31, 509);</v>
      </c>
    </row>
    <row r="1515">
      <c r="A1515" s="1">
        <v>1510.0</v>
      </c>
      <c r="B1515" s="1" t="s">
        <v>306</v>
      </c>
      <c r="C1515" s="1">
        <v>31.0</v>
      </c>
      <c r="D1515" s="1">
        <v>510.0</v>
      </c>
      <c r="F1515" s="2" t="str">
        <f t="shared" si="1"/>
        <v>INSERT INTO tblExamQuestionLink VALUES (seqExamQuestionLink.nextval, 31, 510);</v>
      </c>
    </row>
    <row r="1516">
      <c r="A1516" s="1">
        <v>1511.0</v>
      </c>
      <c r="B1516" s="1" t="s">
        <v>306</v>
      </c>
      <c r="C1516" s="1">
        <v>31.0</v>
      </c>
      <c r="D1516" s="1">
        <v>511.0</v>
      </c>
      <c r="F1516" s="2" t="str">
        <f t="shared" si="1"/>
        <v>INSERT INTO tblExamQuestionLink VALUES (seqExamQuestionLink.nextval, 31, 511);</v>
      </c>
    </row>
    <row r="1517">
      <c r="A1517" s="1">
        <v>1512.0</v>
      </c>
      <c r="B1517" s="1" t="s">
        <v>306</v>
      </c>
      <c r="C1517" s="1">
        <v>31.0</v>
      </c>
      <c r="D1517" s="1">
        <v>512.0</v>
      </c>
      <c r="F1517" s="2" t="str">
        <f t="shared" si="1"/>
        <v>INSERT INTO tblExamQuestionLink VALUES (seqExamQuestionLink.nextval, 31, 512);</v>
      </c>
    </row>
    <row r="1518">
      <c r="A1518" s="1">
        <v>1513.0</v>
      </c>
      <c r="B1518" s="1" t="s">
        <v>306</v>
      </c>
      <c r="C1518" s="1">
        <v>31.0</v>
      </c>
      <c r="D1518" s="1">
        <v>513.0</v>
      </c>
      <c r="F1518" s="2" t="str">
        <f t="shared" si="1"/>
        <v>INSERT INTO tblExamQuestionLink VALUES (seqExamQuestionLink.nextval, 31, 513);</v>
      </c>
    </row>
    <row r="1519">
      <c r="A1519" s="1">
        <v>1514.0</v>
      </c>
      <c r="B1519" s="1" t="s">
        <v>306</v>
      </c>
      <c r="C1519" s="1">
        <v>31.0</v>
      </c>
      <c r="D1519" s="1">
        <v>514.0</v>
      </c>
      <c r="F1519" s="2" t="str">
        <f t="shared" si="1"/>
        <v>INSERT INTO tblExamQuestionLink VALUES (seqExamQuestionLink.nextval, 31, 514);</v>
      </c>
    </row>
    <row r="1520">
      <c r="A1520" s="1">
        <v>1515.0</v>
      </c>
      <c r="B1520" s="1" t="s">
        <v>306</v>
      </c>
      <c r="C1520" s="1">
        <v>31.0</v>
      </c>
      <c r="D1520" s="1">
        <v>515.0</v>
      </c>
      <c r="F1520" s="2" t="str">
        <f t="shared" si="1"/>
        <v>INSERT INTO tblExamQuestionLink VALUES (seqExamQuestionLink.nextval, 31, 515);</v>
      </c>
    </row>
    <row r="1521">
      <c r="A1521" s="1">
        <v>1516.0</v>
      </c>
      <c r="B1521" s="1" t="s">
        <v>306</v>
      </c>
      <c r="C1521" s="1">
        <v>31.0</v>
      </c>
      <c r="D1521" s="1">
        <v>516.0</v>
      </c>
      <c r="F1521" s="2" t="str">
        <f t="shared" si="1"/>
        <v>INSERT INTO tblExamQuestionLink VALUES (seqExamQuestionLink.nextval, 31, 516);</v>
      </c>
    </row>
    <row r="1522">
      <c r="A1522" s="1">
        <v>1517.0</v>
      </c>
      <c r="B1522" s="1" t="s">
        <v>306</v>
      </c>
      <c r="C1522" s="1">
        <v>31.0</v>
      </c>
      <c r="D1522" s="1">
        <v>517.0</v>
      </c>
      <c r="F1522" s="2" t="str">
        <f t="shared" si="1"/>
        <v>INSERT INTO tblExamQuestionLink VALUES (seqExamQuestionLink.nextval, 31, 517);</v>
      </c>
    </row>
    <row r="1523">
      <c r="A1523" s="1">
        <v>1518.0</v>
      </c>
      <c r="B1523" s="1" t="s">
        <v>306</v>
      </c>
      <c r="C1523" s="1">
        <v>31.0</v>
      </c>
      <c r="D1523" s="1">
        <v>518.0</v>
      </c>
      <c r="F1523" s="2" t="str">
        <f t="shared" si="1"/>
        <v>INSERT INTO tblExamQuestionLink VALUES (seqExamQuestionLink.nextval, 31, 518);</v>
      </c>
    </row>
    <row r="1524">
      <c r="A1524" s="1">
        <v>1519.0</v>
      </c>
      <c r="B1524" s="1" t="s">
        <v>306</v>
      </c>
      <c r="C1524" s="1">
        <v>31.0</v>
      </c>
      <c r="D1524" s="1">
        <v>519.0</v>
      </c>
      <c r="F1524" s="2" t="str">
        <f t="shared" si="1"/>
        <v>INSERT INTO tblExamQuestionLink VALUES (seqExamQuestionLink.nextval, 31, 519);</v>
      </c>
    </row>
    <row r="1525">
      <c r="A1525" s="1">
        <v>1520.0</v>
      </c>
      <c r="B1525" s="1" t="s">
        <v>306</v>
      </c>
      <c r="C1525" s="1">
        <v>31.0</v>
      </c>
      <c r="D1525" s="1">
        <v>520.0</v>
      </c>
      <c r="F1525" s="2" t="str">
        <f t="shared" si="1"/>
        <v>INSERT INTO tblExamQuestionLink VALUES (seqExamQuestionLink.nextval, 31, 520);</v>
      </c>
    </row>
    <row r="1526">
      <c r="A1526" s="1">
        <v>1521.0</v>
      </c>
      <c r="B1526" s="1" t="s">
        <v>306</v>
      </c>
      <c r="C1526" s="1">
        <v>31.0</v>
      </c>
      <c r="D1526" s="1">
        <v>521.0</v>
      </c>
      <c r="F1526" s="2" t="str">
        <f t="shared" si="1"/>
        <v>INSERT INTO tblExamQuestionLink VALUES (seqExamQuestionLink.nextval, 31, 521);</v>
      </c>
    </row>
    <row r="1527">
      <c r="A1527" s="1">
        <v>1522.0</v>
      </c>
      <c r="B1527" s="1" t="s">
        <v>306</v>
      </c>
      <c r="C1527" s="1">
        <v>31.0</v>
      </c>
      <c r="D1527" s="1">
        <v>522.0</v>
      </c>
      <c r="F1527" s="2" t="str">
        <f t="shared" si="1"/>
        <v>INSERT INTO tblExamQuestionLink VALUES (seqExamQuestionLink.nextval, 31, 522);</v>
      </c>
    </row>
    <row r="1528">
      <c r="A1528" s="1">
        <v>1523.0</v>
      </c>
      <c r="B1528" s="1" t="s">
        <v>306</v>
      </c>
      <c r="C1528" s="1">
        <v>31.0</v>
      </c>
      <c r="D1528" s="1">
        <v>523.0</v>
      </c>
      <c r="F1528" s="2" t="str">
        <f t="shared" si="1"/>
        <v>INSERT INTO tblExamQuestionLink VALUES (seqExamQuestionLink.nextval, 31, 523);</v>
      </c>
    </row>
    <row r="1529">
      <c r="A1529" s="1">
        <v>1524.0</v>
      </c>
      <c r="B1529" s="1" t="s">
        <v>306</v>
      </c>
      <c r="C1529" s="1">
        <v>31.0</v>
      </c>
      <c r="D1529" s="1">
        <v>524.0</v>
      </c>
      <c r="F1529" s="2" t="str">
        <f t="shared" si="1"/>
        <v>INSERT INTO tblExamQuestionLink VALUES (seqExamQuestionLink.nextval, 31, 524);</v>
      </c>
    </row>
    <row r="1530">
      <c r="A1530" s="1">
        <v>1525.0</v>
      </c>
      <c r="B1530" s="1" t="s">
        <v>306</v>
      </c>
      <c r="C1530" s="1">
        <v>31.0</v>
      </c>
      <c r="D1530" s="1">
        <v>525.0</v>
      </c>
      <c r="F1530" s="2" t="str">
        <f t="shared" si="1"/>
        <v>INSERT INTO tblExamQuestionLink VALUES (seqExamQuestionLink.nextval, 31, 525);</v>
      </c>
    </row>
    <row r="1531">
      <c r="A1531" s="1">
        <v>1526.0</v>
      </c>
      <c r="B1531" s="1" t="s">
        <v>306</v>
      </c>
      <c r="C1531" s="1">
        <v>31.0</v>
      </c>
      <c r="D1531" s="1">
        <v>526.0</v>
      </c>
      <c r="F1531" s="2" t="str">
        <f t="shared" si="1"/>
        <v>INSERT INTO tblExamQuestionLink VALUES (seqExamQuestionLink.nextval, 31, 526);</v>
      </c>
    </row>
    <row r="1532">
      <c r="A1532" s="1">
        <v>1527.0</v>
      </c>
      <c r="B1532" s="1" t="s">
        <v>306</v>
      </c>
      <c r="C1532" s="1">
        <v>31.0</v>
      </c>
      <c r="D1532" s="1">
        <v>527.0</v>
      </c>
      <c r="F1532" s="2" t="str">
        <f t="shared" si="1"/>
        <v>INSERT INTO tblExamQuestionLink VALUES (seqExamQuestionLink.nextval, 31, 527);</v>
      </c>
    </row>
    <row r="1533">
      <c r="A1533" s="1">
        <v>1528.0</v>
      </c>
      <c r="B1533" s="1" t="s">
        <v>306</v>
      </c>
      <c r="C1533" s="1">
        <v>31.0</v>
      </c>
      <c r="D1533" s="1">
        <v>528.0</v>
      </c>
      <c r="F1533" s="2" t="str">
        <f t="shared" si="1"/>
        <v>INSERT INTO tblExamQuestionLink VALUES (seqExamQuestionLink.nextval, 31, 528);</v>
      </c>
    </row>
    <row r="1534">
      <c r="A1534" s="1">
        <v>1529.0</v>
      </c>
      <c r="B1534" s="1" t="s">
        <v>306</v>
      </c>
      <c r="C1534" s="1">
        <v>31.0</v>
      </c>
      <c r="D1534" s="1">
        <v>529.0</v>
      </c>
      <c r="F1534" s="2" t="str">
        <f t="shared" si="1"/>
        <v>INSERT INTO tblExamQuestionLink VALUES (seqExamQuestionLink.nextval, 31, 529);</v>
      </c>
    </row>
    <row r="1535">
      <c r="A1535" s="1">
        <v>1530.0</v>
      </c>
      <c r="B1535" s="1" t="s">
        <v>306</v>
      </c>
      <c r="C1535" s="1">
        <v>31.0</v>
      </c>
      <c r="D1535" s="1">
        <v>530.0</v>
      </c>
      <c r="F1535" s="2" t="str">
        <f t="shared" si="1"/>
        <v>INSERT INTO tblExamQuestionLink VALUES (seqExamQuestionLink.nextval, 31, 530);</v>
      </c>
    </row>
    <row r="1536">
      <c r="A1536" s="1">
        <v>1531.0</v>
      </c>
      <c r="B1536" s="1" t="s">
        <v>306</v>
      </c>
      <c r="C1536" s="1">
        <v>31.0</v>
      </c>
      <c r="D1536" s="1">
        <v>531.0</v>
      </c>
      <c r="F1536" s="2" t="str">
        <f t="shared" si="1"/>
        <v>INSERT INTO tblExamQuestionLink VALUES (seqExamQuestionLink.nextval, 31, 531);</v>
      </c>
    </row>
    <row r="1537">
      <c r="A1537" s="1">
        <v>1532.0</v>
      </c>
      <c r="B1537" s="1" t="s">
        <v>306</v>
      </c>
      <c r="C1537" s="1">
        <v>31.0</v>
      </c>
      <c r="D1537" s="1">
        <v>532.0</v>
      </c>
      <c r="F1537" s="2" t="str">
        <f t="shared" si="1"/>
        <v>INSERT INTO tblExamQuestionLink VALUES (seqExamQuestionLink.nextval, 31, 532);</v>
      </c>
    </row>
    <row r="1538">
      <c r="A1538" s="1">
        <v>1533.0</v>
      </c>
      <c r="B1538" s="1" t="s">
        <v>306</v>
      </c>
      <c r="C1538" s="1">
        <v>31.0</v>
      </c>
      <c r="D1538" s="1">
        <v>533.0</v>
      </c>
      <c r="F1538" s="2" t="str">
        <f t="shared" si="1"/>
        <v>INSERT INTO tblExamQuestionLink VALUES (seqExamQuestionLink.nextval, 31, 533);</v>
      </c>
    </row>
    <row r="1539">
      <c r="A1539" s="1">
        <v>1534.0</v>
      </c>
      <c r="B1539" s="1" t="s">
        <v>306</v>
      </c>
      <c r="C1539" s="1">
        <v>31.0</v>
      </c>
      <c r="D1539" s="1">
        <v>534.0</v>
      </c>
      <c r="F1539" s="2" t="str">
        <f t="shared" si="1"/>
        <v>INSERT INTO tblExamQuestionLink VALUES (seqExamQuestionLink.nextval, 31, 534);</v>
      </c>
    </row>
    <row r="1540">
      <c r="A1540" s="1">
        <v>1535.0</v>
      </c>
      <c r="B1540" s="1" t="s">
        <v>306</v>
      </c>
      <c r="C1540" s="1">
        <v>31.0</v>
      </c>
      <c r="D1540" s="1">
        <v>535.0</v>
      </c>
      <c r="F1540" s="2" t="str">
        <f t="shared" si="1"/>
        <v>INSERT INTO tblExamQuestionLink VALUES (seqExamQuestionLink.nextval, 31, 535);</v>
      </c>
    </row>
    <row r="1541">
      <c r="A1541" s="1">
        <v>1536.0</v>
      </c>
      <c r="B1541" s="1" t="s">
        <v>306</v>
      </c>
      <c r="C1541" s="1">
        <v>31.0</v>
      </c>
      <c r="D1541" s="1">
        <v>536.0</v>
      </c>
      <c r="F1541" s="2" t="str">
        <f t="shared" si="1"/>
        <v>INSERT INTO tblExamQuestionLink VALUES (seqExamQuestionLink.nextval, 31, 536);</v>
      </c>
    </row>
    <row r="1542">
      <c r="A1542" s="1">
        <v>1537.0</v>
      </c>
      <c r="B1542" s="1" t="s">
        <v>306</v>
      </c>
      <c r="C1542" s="1">
        <v>31.0</v>
      </c>
      <c r="D1542" s="1">
        <v>537.0</v>
      </c>
      <c r="F1542" s="2" t="str">
        <f t="shared" si="1"/>
        <v>INSERT INTO tblExamQuestionLink VALUES (seqExamQuestionLink.nextval, 31, 537);</v>
      </c>
    </row>
    <row r="1543">
      <c r="A1543" s="1">
        <v>1538.0</v>
      </c>
      <c r="B1543" s="1" t="s">
        <v>306</v>
      </c>
      <c r="C1543" s="1">
        <v>31.0</v>
      </c>
      <c r="D1543" s="1">
        <v>538.0</v>
      </c>
      <c r="F1543" s="2" t="str">
        <f t="shared" si="1"/>
        <v>INSERT INTO tblExamQuestionLink VALUES (seqExamQuestionLink.nextval, 31, 538);</v>
      </c>
    </row>
    <row r="1544">
      <c r="A1544" s="1">
        <v>1539.0</v>
      </c>
      <c r="B1544" s="1" t="s">
        <v>306</v>
      </c>
      <c r="C1544" s="1">
        <v>31.0</v>
      </c>
      <c r="D1544" s="1">
        <v>539.0</v>
      </c>
      <c r="F1544" s="2" t="str">
        <f t="shared" si="1"/>
        <v>INSERT INTO tblExamQuestionLink VALUES (seqExamQuestionLink.nextval, 31, 539);</v>
      </c>
    </row>
    <row r="1545">
      <c r="A1545" s="1">
        <v>1540.0</v>
      </c>
      <c r="B1545" s="1" t="s">
        <v>306</v>
      </c>
      <c r="C1545" s="1">
        <v>31.0</v>
      </c>
      <c r="D1545" s="1">
        <v>540.0</v>
      </c>
      <c r="F1545" s="2" t="str">
        <f t="shared" si="1"/>
        <v>INSERT INTO tblExamQuestionLink VALUES (seqExamQuestionLink.nextval, 31, 540);</v>
      </c>
    </row>
    <row r="1546">
      <c r="A1546" s="1">
        <v>1541.0</v>
      </c>
      <c r="B1546" s="1" t="s">
        <v>306</v>
      </c>
      <c r="C1546" s="1">
        <v>31.0</v>
      </c>
      <c r="D1546" s="1">
        <v>541.0</v>
      </c>
      <c r="F1546" s="2" t="str">
        <f t="shared" si="1"/>
        <v>INSERT INTO tblExamQuestionLink VALUES (seqExamQuestionLink.nextval, 31, 541);</v>
      </c>
    </row>
    <row r="1547">
      <c r="A1547" s="1">
        <v>1542.0</v>
      </c>
      <c r="B1547" s="1" t="s">
        <v>306</v>
      </c>
      <c r="C1547" s="1">
        <v>31.0</v>
      </c>
      <c r="D1547" s="1">
        <v>542.0</v>
      </c>
      <c r="F1547" s="2" t="str">
        <f t="shared" si="1"/>
        <v>INSERT INTO tblExamQuestionLink VALUES (seqExamQuestionLink.nextval, 31, 542);</v>
      </c>
    </row>
    <row r="1548">
      <c r="A1548" s="1">
        <v>1543.0</v>
      </c>
      <c r="B1548" s="1" t="s">
        <v>306</v>
      </c>
      <c r="C1548" s="1">
        <v>31.0</v>
      </c>
      <c r="D1548" s="1">
        <v>543.0</v>
      </c>
      <c r="F1548" s="2" t="str">
        <f t="shared" si="1"/>
        <v>INSERT INTO tblExamQuestionLink VALUES (seqExamQuestionLink.nextval, 31, 543);</v>
      </c>
    </row>
    <row r="1549">
      <c r="A1549" s="1">
        <v>1544.0</v>
      </c>
      <c r="B1549" s="1" t="s">
        <v>306</v>
      </c>
      <c r="C1549" s="1">
        <v>31.0</v>
      </c>
      <c r="D1549" s="1">
        <v>544.0</v>
      </c>
      <c r="F1549" s="2" t="str">
        <f t="shared" si="1"/>
        <v>INSERT INTO tblExamQuestionLink VALUES (seqExamQuestionLink.nextval, 31, 544);</v>
      </c>
    </row>
    <row r="1550">
      <c r="A1550" s="1">
        <v>1545.0</v>
      </c>
      <c r="B1550" s="1" t="s">
        <v>306</v>
      </c>
      <c r="C1550" s="1">
        <v>31.0</v>
      </c>
      <c r="D1550" s="1">
        <v>545.0</v>
      </c>
      <c r="F1550" s="2" t="str">
        <f t="shared" si="1"/>
        <v>INSERT INTO tblExamQuestionLink VALUES (seqExamQuestionLink.nextval, 31, 545);</v>
      </c>
    </row>
    <row r="1551">
      <c r="A1551" s="1">
        <v>1546.0</v>
      </c>
      <c r="B1551" s="1" t="s">
        <v>306</v>
      </c>
      <c r="C1551" s="1">
        <v>31.0</v>
      </c>
      <c r="D1551" s="1">
        <v>546.0</v>
      </c>
      <c r="F1551" s="2" t="str">
        <f t="shared" si="1"/>
        <v>INSERT INTO tblExamQuestionLink VALUES (seqExamQuestionLink.nextval, 31, 546);</v>
      </c>
    </row>
    <row r="1552">
      <c r="A1552" s="1">
        <v>1547.0</v>
      </c>
      <c r="B1552" s="1" t="s">
        <v>306</v>
      </c>
      <c r="C1552" s="1">
        <v>31.0</v>
      </c>
      <c r="D1552" s="1">
        <v>547.0</v>
      </c>
      <c r="F1552" s="2" t="str">
        <f t="shared" si="1"/>
        <v>INSERT INTO tblExamQuestionLink VALUES (seqExamQuestionLink.nextval, 31, 547);</v>
      </c>
    </row>
    <row r="1553">
      <c r="A1553" s="1">
        <v>1548.0</v>
      </c>
      <c r="B1553" s="1" t="s">
        <v>306</v>
      </c>
      <c r="C1553" s="1">
        <v>31.0</v>
      </c>
      <c r="D1553" s="1">
        <v>548.0</v>
      </c>
      <c r="F1553" s="2" t="str">
        <f t="shared" si="1"/>
        <v>INSERT INTO tblExamQuestionLink VALUES (seqExamQuestionLink.nextval, 31, 548);</v>
      </c>
    </row>
    <row r="1554">
      <c r="A1554" s="1">
        <v>1549.0</v>
      </c>
      <c r="B1554" s="1" t="s">
        <v>306</v>
      </c>
      <c r="C1554" s="1">
        <v>31.0</v>
      </c>
      <c r="D1554" s="1">
        <v>549.0</v>
      </c>
      <c r="F1554" s="2" t="str">
        <f t="shared" si="1"/>
        <v>INSERT INTO tblExamQuestionLink VALUES (seqExamQuestionLink.nextval, 31, 549);</v>
      </c>
    </row>
    <row r="1555">
      <c r="A1555" s="1">
        <v>1550.0</v>
      </c>
      <c r="B1555" s="1" t="s">
        <v>306</v>
      </c>
      <c r="C1555" s="1">
        <v>31.0</v>
      </c>
      <c r="D1555" s="1">
        <v>550.0</v>
      </c>
      <c r="F1555" s="2" t="str">
        <f t="shared" si="1"/>
        <v>INSERT INTO tblExamQuestionLink VALUES (seqExamQuestionLink.nextval, 31, 550);</v>
      </c>
    </row>
    <row r="1556">
      <c r="A1556" s="1">
        <v>1551.0</v>
      </c>
      <c r="B1556" s="1" t="s">
        <v>306</v>
      </c>
      <c r="C1556" s="1">
        <v>32.0</v>
      </c>
      <c r="D1556" s="1">
        <v>551.0</v>
      </c>
      <c r="F1556" s="2" t="str">
        <f t="shared" si="1"/>
        <v>INSERT INTO tblExamQuestionLink VALUES (seqExamQuestionLink.nextval, 32, 551);</v>
      </c>
    </row>
    <row r="1557">
      <c r="A1557" s="1">
        <v>1552.0</v>
      </c>
      <c r="B1557" s="1" t="s">
        <v>306</v>
      </c>
      <c r="C1557" s="1">
        <v>32.0</v>
      </c>
      <c r="D1557" s="1">
        <v>552.0</v>
      </c>
      <c r="F1557" s="2" t="str">
        <f t="shared" si="1"/>
        <v>INSERT INTO tblExamQuestionLink VALUES (seqExamQuestionLink.nextval, 32, 552);</v>
      </c>
    </row>
    <row r="1558">
      <c r="A1558" s="1">
        <v>1553.0</v>
      </c>
      <c r="B1558" s="1" t="s">
        <v>306</v>
      </c>
      <c r="C1558" s="1">
        <v>32.0</v>
      </c>
      <c r="D1558" s="1">
        <v>553.0</v>
      </c>
      <c r="F1558" s="2" t="str">
        <f t="shared" si="1"/>
        <v>INSERT INTO tblExamQuestionLink VALUES (seqExamQuestionLink.nextval, 32, 553);</v>
      </c>
    </row>
    <row r="1559">
      <c r="A1559" s="1">
        <v>1554.0</v>
      </c>
      <c r="B1559" s="1" t="s">
        <v>306</v>
      </c>
      <c r="C1559" s="1">
        <v>32.0</v>
      </c>
      <c r="D1559" s="1">
        <v>554.0</v>
      </c>
      <c r="F1559" s="2" t="str">
        <f t="shared" si="1"/>
        <v>INSERT INTO tblExamQuestionLink VALUES (seqExamQuestionLink.nextval, 32, 554);</v>
      </c>
    </row>
    <row r="1560">
      <c r="A1560" s="1">
        <v>1555.0</v>
      </c>
      <c r="B1560" s="1" t="s">
        <v>306</v>
      </c>
      <c r="C1560" s="1">
        <v>32.0</v>
      </c>
      <c r="D1560" s="1">
        <v>555.0</v>
      </c>
      <c r="F1560" s="2" t="str">
        <f t="shared" si="1"/>
        <v>INSERT INTO tblExamQuestionLink VALUES (seqExamQuestionLink.nextval, 32, 555);</v>
      </c>
    </row>
    <row r="1561">
      <c r="A1561" s="1">
        <v>1556.0</v>
      </c>
      <c r="B1561" s="1" t="s">
        <v>306</v>
      </c>
      <c r="C1561" s="1">
        <v>32.0</v>
      </c>
      <c r="D1561" s="1">
        <v>556.0</v>
      </c>
      <c r="F1561" s="2" t="str">
        <f t="shared" si="1"/>
        <v>INSERT INTO tblExamQuestionLink VALUES (seqExamQuestionLink.nextval, 32, 556);</v>
      </c>
    </row>
    <row r="1562">
      <c r="A1562" s="1">
        <v>1557.0</v>
      </c>
      <c r="B1562" s="1" t="s">
        <v>306</v>
      </c>
      <c r="C1562" s="1">
        <v>32.0</v>
      </c>
      <c r="D1562" s="1">
        <v>557.0</v>
      </c>
      <c r="F1562" s="2" t="str">
        <f t="shared" si="1"/>
        <v>INSERT INTO tblExamQuestionLink VALUES (seqExamQuestionLink.nextval, 32, 557);</v>
      </c>
    </row>
    <row r="1563">
      <c r="A1563" s="1">
        <v>1558.0</v>
      </c>
      <c r="B1563" s="1" t="s">
        <v>306</v>
      </c>
      <c r="C1563" s="1">
        <v>32.0</v>
      </c>
      <c r="D1563" s="1">
        <v>558.0</v>
      </c>
      <c r="F1563" s="2" t="str">
        <f t="shared" si="1"/>
        <v>INSERT INTO tblExamQuestionLink VALUES (seqExamQuestionLink.nextval, 32, 558);</v>
      </c>
    </row>
    <row r="1564">
      <c r="A1564" s="1">
        <v>1559.0</v>
      </c>
      <c r="B1564" s="1" t="s">
        <v>306</v>
      </c>
      <c r="C1564" s="1">
        <v>32.0</v>
      </c>
      <c r="D1564" s="1">
        <v>559.0</v>
      </c>
      <c r="F1564" s="2" t="str">
        <f t="shared" si="1"/>
        <v>INSERT INTO tblExamQuestionLink VALUES (seqExamQuestionLink.nextval, 32, 559);</v>
      </c>
    </row>
    <row r="1565">
      <c r="A1565" s="1">
        <v>1560.0</v>
      </c>
      <c r="B1565" s="1" t="s">
        <v>306</v>
      </c>
      <c r="C1565" s="1">
        <v>32.0</v>
      </c>
      <c r="D1565" s="1">
        <v>560.0</v>
      </c>
      <c r="F1565" s="2" t="str">
        <f t="shared" si="1"/>
        <v>INSERT INTO tblExamQuestionLink VALUES (seqExamQuestionLink.nextval, 32, 560);</v>
      </c>
    </row>
    <row r="1566">
      <c r="A1566" s="1">
        <v>1561.0</v>
      </c>
      <c r="B1566" s="1" t="s">
        <v>306</v>
      </c>
      <c r="C1566" s="1">
        <v>32.0</v>
      </c>
      <c r="D1566" s="1">
        <v>561.0</v>
      </c>
      <c r="F1566" s="2" t="str">
        <f t="shared" si="1"/>
        <v>INSERT INTO tblExamQuestionLink VALUES (seqExamQuestionLink.nextval, 32, 561);</v>
      </c>
    </row>
    <row r="1567">
      <c r="A1567" s="1">
        <v>1562.0</v>
      </c>
      <c r="B1567" s="1" t="s">
        <v>306</v>
      </c>
      <c r="C1567" s="1">
        <v>32.0</v>
      </c>
      <c r="D1567" s="1">
        <v>562.0</v>
      </c>
      <c r="F1567" s="2" t="str">
        <f t="shared" si="1"/>
        <v>INSERT INTO tblExamQuestionLink VALUES (seqExamQuestionLink.nextval, 32, 562);</v>
      </c>
    </row>
    <row r="1568">
      <c r="A1568" s="1">
        <v>1563.0</v>
      </c>
      <c r="B1568" s="1" t="s">
        <v>306</v>
      </c>
      <c r="C1568" s="1">
        <v>32.0</v>
      </c>
      <c r="D1568" s="1">
        <v>563.0</v>
      </c>
      <c r="F1568" s="2" t="str">
        <f t="shared" si="1"/>
        <v>INSERT INTO tblExamQuestionLink VALUES (seqExamQuestionLink.nextval, 32, 563);</v>
      </c>
    </row>
    <row r="1569">
      <c r="A1569" s="1">
        <v>1564.0</v>
      </c>
      <c r="B1569" s="1" t="s">
        <v>306</v>
      </c>
      <c r="C1569" s="1">
        <v>32.0</v>
      </c>
      <c r="D1569" s="1">
        <v>564.0</v>
      </c>
      <c r="F1569" s="2" t="str">
        <f t="shared" si="1"/>
        <v>INSERT INTO tblExamQuestionLink VALUES (seqExamQuestionLink.nextval, 32, 564);</v>
      </c>
    </row>
    <row r="1570">
      <c r="A1570" s="1">
        <v>1565.0</v>
      </c>
      <c r="B1570" s="1" t="s">
        <v>306</v>
      </c>
      <c r="C1570" s="1">
        <v>32.0</v>
      </c>
      <c r="D1570" s="1">
        <v>565.0</v>
      </c>
      <c r="F1570" s="2" t="str">
        <f t="shared" si="1"/>
        <v>INSERT INTO tblExamQuestionLink VALUES (seqExamQuestionLink.nextval, 32, 565);</v>
      </c>
    </row>
    <row r="1571">
      <c r="A1571" s="1">
        <v>1566.0</v>
      </c>
      <c r="B1571" s="1" t="s">
        <v>306</v>
      </c>
      <c r="C1571" s="1">
        <v>32.0</v>
      </c>
      <c r="D1571" s="1">
        <v>566.0</v>
      </c>
      <c r="F1571" s="2" t="str">
        <f t="shared" si="1"/>
        <v>INSERT INTO tblExamQuestionLink VALUES (seqExamQuestionLink.nextval, 32, 566);</v>
      </c>
    </row>
    <row r="1572">
      <c r="A1572" s="1">
        <v>1567.0</v>
      </c>
      <c r="B1572" s="1" t="s">
        <v>306</v>
      </c>
      <c r="C1572" s="1">
        <v>32.0</v>
      </c>
      <c r="D1572" s="1">
        <v>567.0</v>
      </c>
      <c r="F1572" s="2" t="str">
        <f t="shared" si="1"/>
        <v>INSERT INTO tblExamQuestionLink VALUES (seqExamQuestionLink.nextval, 32, 567);</v>
      </c>
    </row>
    <row r="1573">
      <c r="A1573" s="1">
        <v>1568.0</v>
      </c>
      <c r="B1573" s="1" t="s">
        <v>306</v>
      </c>
      <c r="C1573" s="1">
        <v>32.0</v>
      </c>
      <c r="D1573" s="1">
        <v>568.0</v>
      </c>
      <c r="F1573" s="2" t="str">
        <f t="shared" si="1"/>
        <v>INSERT INTO tblExamQuestionLink VALUES (seqExamQuestionLink.nextval, 32, 568);</v>
      </c>
    </row>
    <row r="1574">
      <c r="A1574" s="1">
        <v>1569.0</v>
      </c>
      <c r="B1574" s="1" t="s">
        <v>306</v>
      </c>
      <c r="C1574" s="1">
        <v>32.0</v>
      </c>
      <c r="D1574" s="1">
        <v>569.0</v>
      </c>
      <c r="F1574" s="2" t="str">
        <f t="shared" si="1"/>
        <v>INSERT INTO tblExamQuestionLink VALUES (seqExamQuestionLink.nextval, 32, 569);</v>
      </c>
    </row>
    <row r="1575">
      <c r="A1575" s="1">
        <v>1570.0</v>
      </c>
      <c r="B1575" s="1" t="s">
        <v>306</v>
      </c>
      <c r="C1575" s="1">
        <v>32.0</v>
      </c>
      <c r="D1575" s="1">
        <v>570.0</v>
      </c>
      <c r="F1575" s="2" t="str">
        <f t="shared" si="1"/>
        <v>INSERT INTO tblExamQuestionLink VALUES (seqExamQuestionLink.nextval, 32, 570);</v>
      </c>
    </row>
    <row r="1576">
      <c r="A1576" s="1">
        <v>1571.0</v>
      </c>
      <c r="B1576" s="1" t="s">
        <v>306</v>
      </c>
      <c r="C1576" s="1">
        <v>32.0</v>
      </c>
      <c r="D1576" s="1">
        <v>571.0</v>
      </c>
      <c r="F1576" s="2" t="str">
        <f t="shared" si="1"/>
        <v>INSERT INTO tblExamQuestionLink VALUES (seqExamQuestionLink.nextval, 32, 571);</v>
      </c>
    </row>
    <row r="1577">
      <c r="A1577" s="1">
        <v>1572.0</v>
      </c>
      <c r="B1577" s="1" t="s">
        <v>306</v>
      </c>
      <c r="C1577" s="1">
        <v>32.0</v>
      </c>
      <c r="D1577" s="1">
        <v>572.0</v>
      </c>
      <c r="F1577" s="2" t="str">
        <f t="shared" si="1"/>
        <v>INSERT INTO tblExamQuestionLink VALUES (seqExamQuestionLink.nextval, 32, 572);</v>
      </c>
    </row>
    <row r="1578">
      <c r="A1578" s="1">
        <v>1573.0</v>
      </c>
      <c r="B1578" s="1" t="s">
        <v>306</v>
      </c>
      <c r="C1578" s="1">
        <v>32.0</v>
      </c>
      <c r="D1578" s="1">
        <v>573.0</v>
      </c>
      <c r="F1578" s="2" t="str">
        <f t="shared" si="1"/>
        <v>INSERT INTO tblExamQuestionLink VALUES (seqExamQuestionLink.nextval, 32, 573);</v>
      </c>
    </row>
    <row r="1579">
      <c r="A1579" s="1">
        <v>1574.0</v>
      </c>
      <c r="B1579" s="1" t="s">
        <v>306</v>
      </c>
      <c r="C1579" s="1">
        <v>32.0</v>
      </c>
      <c r="D1579" s="1">
        <v>574.0</v>
      </c>
      <c r="F1579" s="2" t="str">
        <f t="shared" si="1"/>
        <v>INSERT INTO tblExamQuestionLink VALUES (seqExamQuestionLink.nextval, 32, 574);</v>
      </c>
    </row>
    <row r="1580">
      <c r="A1580" s="1">
        <v>1575.0</v>
      </c>
      <c r="B1580" s="1" t="s">
        <v>306</v>
      </c>
      <c r="C1580" s="1">
        <v>32.0</v>
      </c>
      <c r="D1580" s="1">
        <v>575.0</v>
      </c>
      <c r="F1580" s="2" t="str">
        <f t="shared" si="1"/>
        <v>INSERT INTO tblExamQuestionLink VALUES (seqExamQuestionLink.nextval, 32, 575);</v>
      </c>
    </row>
    <row r="1581">
      <c r="A1581" s="1">
        <v>1576.0</v>
      </c>
      <c r="B1581" s="1" t="s">
        <v>306</v>
      </c>
      <c r="C1581" s="1">
        <v>32.0</v>
      </c>
      <c r="D1581" s="1">
        <v>576.0</v>
      </c>
      <c r="F1581" s="2" t="str">
        <f t="shared" si="1"/>
        <v>INSERT INTO tblExamQuestionLink VALUES (seqExamQuestionLink.nextval, 32, 576);</v>
      </c>
    </row>
    <row r="1582">
      <c r="A1582" s="1">
        <v>1577.0</v>
      </c>
      <c r="B1582" s="1" t="s">
        <v>306</v>
      </c>
      <c r="C1582" s="1">
        <v>32.0</v>
      </c>
      <c r="D1582" s="1">
        <v>577.0</v>
      </c>
      <c r="F1582" s="2" t="str">
        <f t="shared" si="1"/>
        <v>INSERT INTO tblExamQuestionLink VALUES (seqExamQuestionLink.nextval, 32, 577);</v>
      </c>
    </row>
    <row r="1583">
      <c r="A1583" s="1">
        <v>1578.0</v>
      </c>
      <c r="B1583" s="1" t="s">
        <v>306</v>
      </c>
      <c r="C1583" s="1">
        <v>32.0</v>
      </c>
      <c r="D1583" s="1">
        <v>578.0</v>
      </c>
      <c r="F1583" s="2" t="str">
        <f t="shared" si="1"/>
        <v>INSERT INTO tblExamQuestionLink VALUES (seqExamQuestionLink.nextval, 32, 578);</v>
      </c>
    </row>
    <row r="1584">
      <c r="A1584" s="1">
        <v>1579.0</v>
      </c>
      <c r="B1584" s="1" t="s">
        <v>306</v>
      </c>
      <c r="C1584" s="1">
        <v>32.0</v>
      </c>
      <c r="D1584" s="1">
        <v>579.0</v>
      </c>
      <c r="F1584" s="2" t="str">
        <f t="shared" si="1"/>
        <v>INSERT INTO tblExamQuestionLink VALUES (seqExamQuestionLink.nextval, 32, 579);</v>
      </c>
    </row>
    <row r="1585">
      <c r="A1585" s="1">
        <v>1580.0</v>
      </c>
      <c r="B1585" s="1" t="s">
        <v>306</v>
      </c>
      <c r="C1585" s="1">
        <v>32.0</v>
      </c>
      <c r="D1585" s="1">
        <v>580.0</v>
      </c>
      <c r="F1585" s="2" t="str">
        <f t="shared" si="1"/>
        <v>INSERT INTO tblExamQuestionLink VALUES (seqExamQuestionLink.nextval, 32, 580);</v>
      </c>
    </row>
    <row r="1586">
      <c r="A1586" s="1">
        <v>1581.0</v>
      </c>
      <c r="B1586" s="1" t="s">
        <v>306</v>
      </c>
      <c r="C1586" s="1">
        <v>32.0</v>
      </c>
      <c r="D1586" s="1">
        <v>581.0</v>
      </c>
      <c r="F1586" s="2" t="str">
        <f t="shared" si="1"/>
        <v>INSERT INTO tblExamQuestionLink VALUES (seqExamQuestionLink.nextval, 32, 581);</v>
      </c>
    </row>
    <row r="1587">
      <c r="A1587" s="1">
        <v>1582.0</v>
      </c>
      <c r="B1587" s="1" t="s">
        <v>306</v>
      </c>
      <c r="C1587" s="1">
        <v>32.0</v>
      </c>
      <c r="D1587" s="1">
        <v>582.0</v>
      </c>
      <c r="F1587" s="2" t="str">
        <f t="shared" si="1"/>
        <v>INSERT INTO tblExamQuestionLink VALUES (seqExamQuestionLink.nextval, 32, 582);</v>
      </c>
    </row>
    <row r="1588">
      <c r="A1588" s="1">
        <v>1583.0</v>
      </c>
      <c r="B1588" s="1" t="s">
        <v>306</v>
      </c>
      <c r="C1588" s="1">
        <v>32.0</v>
      </c>
      <c r="D1588" s="1">
        <v>583.0</v>
      </c>
      <c r="F1588" s="2" t="str">
        <f t="shared" si="1"/>
        <v>INSERT INTO tblExamQuestionLink VALUES (seqExamQuestionLink.nextval, 32, 583);</v>
      </c>
    </row>
    <row r="1589">
      <c r="A1589" s="1">
        <v>1584.0</v>
      </c>
      <c r="B1589" s="1" t="s">
        <v>306</v>
      </c>
      <c r="C1589" s="1">
        <v>32.0</v>
      </c>
      <c r="D1589" s="1">
        <v>584.0</v>
      </c>
      <c r="F1589" s="2" t="str">
        <f t="shared" si="1"/>
        <v>INSERT INTO tblExamQuestionLink VALUES (seqExamQuestionLink.nextval, 32, 584);</v>
      </c>
    </row>
    <row r="1590">
      <c r="A1590" s="1">
        <v>1585.0</v>
      </c>
      <c r="B1590" s="1" t="s">
        <v>306</v>
      </c>
      <c r="C1590" s="1">
        <v>32.0</v>
      </c>
      <c r="D1590" s="1">
        <v>585.0</v>
      </c>
      <c r="F1590" s="2" t="str">
        <f t="shared" si="1"/>
        <v>INSERT INTO tblExamQuestionLink VALUES (seqExamQuestionLink.nextval, 32, 585);</v>
      </c>
    </row>
    <row r="1591">
      <c r="A1591" s="1">
        <v>1586.0</v>
      </c>
      <c r="B1591" s="1" t="s">
        <v>306</v>
      </c>
      <c r="C1591" s="1">
        <v>32.0</v>
      </c>
      <c r="D1591" s="1">
        <v>586.0</v>
      </c>
      <c r="F1591" s="2" t="str">
        <f t="shared" si="1"/>
        <v>INSERT INTO tblExamQuestionLink VALUES (seqExamQuestionLink.nextval, 32, 586);</v>
      </c>
    </row>
    <row r="1592">
      <c r="A1592" s="1">
        <v>1587.0</v>
      </c>
      <c r="B1592" s="1" t="s">
        <v>306</v>
      </c>
      <c r="C1592" s="1">
        <v>32.0</v>
      </c>
      <c r="D1592" s="1">
        <v>587.0</v>
      </c>
      <c r="F1592" s="2" t="str">
        <f t="shared" si="1"/>
        <v>INSERT INTO tblExamQuestionLink VALUES (seqExamQuestionLink.nextval, 32, 587);</v>
      </c>
    </row>
    <row r="1593">
      <c r="A1593" s="1">
        <v>1588.0</v>
      </c>
      <c r="B1593" s="1" t="s">
        <v>306</v>
      </c>
      <c r="C1593" s="1">
        <v>32.0</v>
      </c>
      <c r="D1593" s="1">
        <v>588.0</v>
      </c>
      <c r="F1593" s="2" t="str">
        <f t="shared" si="1"/>
        <v>INSERT INTO tblExamQuestionLink VALUES (seqExamQuestionLink.nextval, 32, 588);</v>
      </c>
    </row>
    <row r="1594">
      <c r="A1594" s="1">
        <v>1589.0</v>
      </c>
      <c r="B1594" s="1" t="s">
        <v>306</v>
      </c>
      <c r="C1594" s="1">
        <v>32.0</v>
      </c>
      <c r="D1594" s="1">
        <v>589.0</v>
      </c>
      <c r="F1594" s="2" t="str">
        <f t="shared" si="1"/>
        <v>INSERT INTO tblExamQuestionLink VALUES (seqExamQuestionLink.nextval, 32, 589);</v>
      </c>
    </row>
    <row r="1595">
      <c r="A1595" s="1">
        <v>1590.0</v>
      </c>
      <c r="B1595" s="1" t="s">
        <v>306</v>
      </c>
      <c r="C1595" s="1">
        <v>32.0</v>
      </c>
      <c r="D1595" s="1">
        <v>590.0</v>
      </c>
      <c r="F1595" s="2" t="str">
        <f t="shared" si="1"/>
        <v>INSERT INTO tblExamQuestionLink VALUES (seqExamQuestionLink.nextval, 32, 590);</v>
      </c>
    </row>
    <row r="1596">
      <c r="A1596" s="1">
        <v>1591.0</v>
      </c>
      <c r="B1596" s="1" t="s">
        <v>306</v>
      </c>
      <c r="C1596" s="1">
        <v>32.0</v>
      </c>
      <c r="D1596" s="1">
        <v>591.0</v>
      </c>
      <c r="F1596" s="2" t="str">
        <f t="shared" si="1"/>
        <v>INSERT INTO tblExamQuestionLink VALUES (seqExamQuestionLink.nextval, 32, 591);</v>
      </c>
    </row>
    <row r="1597">
      <c r="A1597" s="1">
        <v>1592.0</v>
      </c>
      <c r="B1597" s="1" t="s">
        <v>306</v>
      </c>
      <c r="C1597" s="1">
        <v>32.0</v>
      </c>
      <c r="D1597" s="1">
        <v>592.0</v>
      </c>
      <c r="F1597" s="2" t="str">
        <f t="shared" si="1"/>
        <v>INSERT INTO tblExamQuestionLink VALUES (seqExamQuestionLink.nextval, 32, 592);</v>
      </c>
    </row>
    <row r="1598">
      <c r="A1598" s="1">
        <v>1593.0</v>
      </c>
      <c r="B1598" s="1" t="s">
        <v>306</v>
      </c>
      <c r="C1598" s="1">
        <v>32.0</v>
      </c>
      <c r="D1598" s="1">
        <v>593.0</v>
      </c>
      <c r="F1598" s="2" t="str">
        <f t="shared" si="1"/>
        <v>INSERT INTO tblExamQuestionLink VALUES (seqExamQuestionLink.nextval, 32, 593);</v>
      </c>
    </row>
    <row r="1599">
      <c r="A1599" s="1">
        <v>1594.0</v>
      </c>
      <c r="B1599" s="1" t="s">
        <v>306</v>
      </c>
      <c r="C1599" s="1">
        <v>32.0</v>
      </c>
      <c r="D1599" s="1">
        <v>594.0</v>
      </c>
      <c r="F1599" s="2" t="str">
        <f t="shared" si="1"/>
        <v>INSERT INTO tblExamQuestionLink VALUES (seqExamQuestionLink.nextval, 32, 594);</v>
      </c>
    </row>
    <row r="1600">
      <c r="A1600" s="1">
        <v>1595.0</v>
      </c>
      <c r="B1600" s="1" t="s">
        <v>306</v>
      </c>
      <c r="C1600" s="1">
        <v>32.0</v>
      </c>
      <c r="D1600" s="1">
        <v>595.0</v>
      </c>
      <c r="F1600" s="2" t="str">
        <f t="shared" si="1"/>
        <v>INSERT INTO tblExamQuestionLink VALUES (seqExamQuestionLink.nextval, 32, 595);</v>
      </c>
    </row>
    <row r="1601">
      <c r="A1601" s="1">
        <v>1596.0</v>
      </c>
      <c r="B1601" s="1" t="s">
        <v>306</v>
      </c>
      <c r="C1601" s="1">
        <v>32.0</v>
      </c>
      <c r="D1601" s="1">
        <v>596.0</v>
      </c>
      <c r="F1601" s="2" t="str">
        <f t="shared" si="1"/>
        <v>INSERT INTO tblExamQuestionLink VALUES (seqExamQuestionLink.nextval, 32, 596);</v>
      </c>
    </row>
    <row r="1602">
      <c r="A1602" s="1">
        <v>1597.0</v>
      </c>
      <c r="B1602" s="1" t="s">
        <v>306</v>
      </c>
      <c r="C1602" s="1">
        <v>32.0</v>
      </c>
      <c r="D1602" s="1">
        <v>597.0</v>
      </c>
      <c r="F1602" s="2" t="str">
        <f t="shared" si="1"/>
        <v>INSERT INTO tblExamQuestionLink VALUES (seqExamQuestionLink.nextval, 32, 597);</v>
      </c>
    </row>
    <row r="1603">
      <c r="A1603" s="1">
        <v>1598.0</v>
      </c>
      <c r="B1603" s="1" t="s">
        <v>306</v>
      </c>
      <c r="C1603" s="1">
        <v>32.0</v>
      </c>
      <c r="D1603" s="1">
        <v>598.0</v>
      </c>
      <c r="F1603" s="2" t="str">
        <f t="shared" si="1"/>
        <v>INSERT INTO tblExamQuestionLink VALUES (seqExamQuestionLink.nextval, 32, 598);</v>
      </c>
    </row>
    <row r="1604">
      <c r="A1604" s="1">
        <v>1599.0</v>
      </c>
      <c r="B1604" s="1" t="s">
        <v>306</v>
      </c>
      <c r="C1604" s="1">
        <v>32.0</v>
      </c>
      <c r="D1604" s="1">
        <v>599.0</v>
      </c>
      <c r="F1604" s="2" t="str">
        <f t="shared" si="1"/>
        <v>INSERT INTO tblExamQuestionLink VALUES (seqExamQuestionLink.nextval, 32, 599);</v>
      </c>
    </row>
    <row r="1605">
      <c r="A1605" s="1">
        <v>1600.0</v>
      </c>
      <c r="B1605" s="1" t="s">
        <v>306</v>
      </c>
      <c r="C1605" s="1">
        <v>32.0</v>
      </c>
      <c r="D1605" s="1">
        <v>600.0</v>
      </c>
      <c r="F1605" s="2" t="str">
        <f t="shared" si="1"/>
        <v>INSERT INTO tblExamQuestionLink VALUES (seqExamQuestionLink.nextval, 32, 600);</v>
      </c>
    </row>
    <row r="1606">
      <c r="A1606" s="1">
        <v>1601.0</v>
      </c>
      <c r="B1606" s="1" t="s">
        <v>306</v>
      </c>
      <c r="C1606" s="1">
        <v>33.0</v>
      </c>
      <c r="D1606" s="1">
        <v>601.0</v>
      </c>
      <c r="F1606" s="2" t="str">
        <f t="shared" si="1"/>
        <v>INSERT INTO tblExamQuestionLink VALUES (seqExamQuestionLink.nextval, 33, 601);</v>
      </c>
    </row>
    <row r="1607">
      <c r="A1607" s="1">
        <v>1602.0</v>
      </c>
      <c r="B1607" s="1" t="s">
        <v>306</v>
      </c>
      <c r="C1607" s="1">
        <v>33.0</v>
      </c>
      <c r="D1607" s="1">
        <v>602.0</v>
      </c>
      <c r="F1607" s="2" t="str">
        <f t="shared" si="1"/>
        <v>INSERT INTO tblExamQuestionLink VALUES (seqExamQuestionLink.nextval, 33, 602);</v>
      </c>
    </row>
    <row r="1608">
      <c r="A1608" s="1">
        <v>1603.0</v>
      </c>
      <c r="B1608" s="1" t="s">
        <v>306</v>
      </c>
      <c r="C1608" s="1">
        <v>33.0</v>
      </c>
      <c r="D1608" s="1">
        <v>603.0</v>
      </c>
      <c r="F1608" s="2" t="str">
        <f t="shared" si="1"/>
        <v>INSERT INTO tblExamQuestionLink VALUES (seqExamQuestionLink.nextval, 33, 603);</v>
      </c>
    </row>
    <row r="1609">
      <c r="A1609" s="1">
        <v>1604.0</v>
      </c>
      <c r="B1609" s="1" t="s">
        <v>306</v>
      </c>
      <c r="C1609" s="1">
        <v>33.0</v>
      </c>
      <c r="D1609" s="1">
        <v>604.0</v>
      </c>
      <c r="F1609" s="2" t="str">
        <f t="shared" si="1"/>
        <v>INSERT INTO tblExamQuestionLink VALUES (seqExamQuestionLink.nextval, 33, 604);</v>
      </c>
    </row>
    <row r="1610">
      <c r="A1610" s="1">
        <v>1605.0</v>
      </c>
      <c r="B1610" s="1" t="s">
        <v>306</v>
      </c>
      <c r="C1610" s="1">
        <v>33.0</v>
      </c>
      <c r="D1610" s="1">
        <v>605.0</v>
      </c>
      <c r="F1610" s="2" t="str">
        <f t="shared" si="1"/>
        <v>INSERT INTO tblExamQuestionLink VALUES (seqExamQuestionLink.nextval, 33, 605);</v>
      </c>
    </row>
    <row r="1611">
      <c r="A1611" s="1">
        <v>1606.0</v>
      </c>
      <c r="B1611" s="1" t="s">
        <v>306</v>
      </c>
      <c r="C1611" s="1">
        <v>33.0</v>
      </c>
      <c r="D1611" s="1">
        <v>606.0</v>
      </c>
      <c r="F1611" s="2" t="str">
        <f t="shared" si="1"/>
        <v>INSERT INTO tblExamQuestionLink VALUES (seqExamQuestionLink.nextval, 33, 606);</v>
      </c>
    </row>
    <row r="1612">
      <c r="A1612" s="1">
        <v>1607.0</v>
      </c>
      <c r="B1612" s="1" t="s">
        <v>306</v>
      </c>
      <c r="C1612" s="1">
        <v>33.0</v>
      </c>
      <c r="D1612" s="1">
        <v>607.0</v>
      </c>
      <c r="F1612" s="2" t="str">
        <f t="shared" si="1"/>
        <v>INSERT INTO tblExamQuestionLink VALUES (seqExamQuestionLink.nextval, 33, 607);</v>
      </c>
    </row>
    <row r="1613">
      <c r="A1613" s="1">
        <v>1608.0</v>
      </c>
      <c r="B1613" s="1" t="s">
        <v>306</v>
      </c>
      <c r="C1613" s="1">
        <v>33.0</v>
      </c>
      <c r="D1613" s="1">
        <v>608.0</v>
      </c>
      <c r="F1613" s="2" t="str">
        <f t="shared" si="1"/>
        <v>INSERT INTO tblExamQuestionLink VALUES (seqExamQuestionLink.nextval, 33, 608);</v>
      </c>
    </row>
    <row r="1614">
      <c r="A1614" s="1">
        <v>1609.0</v>
      </c>
      <c r="B1614" s="1" t="s">
        <v>306</v>
      </c>
      <c r="C1614" s="1">
        <v>33.0</v>
      </c>
      <c r="D1614" s="1">
        <v>609.0</v>
      </c>
      <c r="F1614" s="2" t="str">
        <f t="shared" si="1"/>
        <v>INSERT INTO tblExamQuestionLink VALUES (seqExamQuestionLink.nextval, 33, 609);</v>
      </c>
    </row>
    <row r="1615">
      <c r="A1615" s="1">
        <v>1610.0</v>
      </c>
      <c r="B1615" s="1" t="s">
        <v>306</v>
      </c>
      <c r="C1615" s="1">
        <v>33.0</v>
      </c>
      <c r="D1615" s="1">
        <v>610.0</v>
      </c>
      <c r="F1615" s="2" t="str">
        <f t="shared" si="1"/>
        <v>INSERT INTO tblExamQuestionLink VALUES (seqExamQuestionLink.nextval, 33, 610);</v>
      </c>
    </row>
    <row r="1616">
      <c r="A1616" s="1">
        <v>1611.0</v>
      </c>
      <c r="B1616" s="1" t="s">
        <v>306</v>
      </c>
      <c r="C1616" s="1">
        <v>33.0</v>
      </c>
      <c r="D1616" s="1">
        <v>611.0</v>
      </c>
      <c r="F1616" s="2" t="str">
        <f t="shared" si="1"/>
        <v>INSERT INTO tblExamQuestionLink VALUES (seqExamQuestionLink.nextval, 33, 611);</v>
      </c>
    </row>
    <row r="1617">
      <c r="A1617" s="1">
        <v>1612.0</v>
      </c>
      <c r="B1617" s="1" t="s">
        <v>306</v>
      </c>
      <c r="C1617" s="1">
        <v>33.0</v>
      </c>
      <c r="D1617" s="1">
        <v>612.0</v>
      </c>
      <c r="F1617" s="2" t="str">
        <f t="shared" si="1"/>
        <v>INSERT INTO tblExamQuestionLink VALUES (seqExamQuestionLink.nextval, 33, 612);</v>
      </c>
    </row>
    <row r="1618">
      <c r="A1618" s="1">
        <v>1613.0</v>
      </c>
      <c r="B1618" s="1" t="s">
        <v>306</v>
      </c>
      <c r="C1618" s="1">
        <v>33.0</v>
      </c>
      <c r="D1618" s="1">
        <v>613.0</v>
      </c>
      <c r="F1618" s="2" t="str">
        <f t="shared" si="1"/>
        <v>INSERT INTO tblExamQuestionLink VALUES (seqExamQuestionLink.nextval, 33, 613);</v>
      </c>
    </row>
    <row r="1619">
      <c r="A1619" s="1">
        <v>1614.0</v>
      </c>
      <c r="B1619" s="1" t="s">
        <v>306</v>
      </c>
      <c r="C1619" s="1">
        <v>33.0</v>
      </c>
      <c r="D1619" s="1">
        <v>614.0</v>
      </c>
      <c r="F1619" s="2" t="str">
        <f t="shared" si="1"/>
        <v>INSERT INTO tblExamQuestionLink VALUES (seqExamQuestionLink.nextval, 33, 614);</v>
      </c>
    </row>
    <row r="1620">
      <c r="A1620" s="1">
        <v>1615.0</v>
      </c>
      <c r="B1620" s="1" t="s">
        <v>306</v>
      </c>
      <c r="C1620" s="1">
        <v>33.0</v>
      </c>
      <c r="D1620" s="1">
        <v>615.0</v>
      </c>
      <c r="F1620" s="2" t="str">
        <f t="shared" si="1"/>
        <v>INSERT INTO tblExamQuestionLink VALUES (seqExamQuestionLink.nextval, 33, 615);</v>
      </c>
    </row>
    <row r="1621">
      <c r="A1621" s="1">
        <v>1616.0</v>
      </c>
      <c r="B1621" s="1" t="s">
        <v>306</v>
      </c>
      <c r="C1621" s="1">
        <v>33.0</v>
      </c>
      <c r="D1621" s="1">
        <v>616.0</v>
      </c>
      <c r="F1621" s="2" t="str">
        <f t="shared" si="1"/>
        <v>INSERT INTO tblExamQuestionLink VALUES (seqExamQuestionLink.nextval, 33, 616);</v>
      </c>
    </row>
    <row r="1622">
      <c r="A1622" s="1">
        <v>1617.0</v>
      </c>
      <c r="B1622" s="1" t="s">
        <v>306</v>
      </c>
      <c r="C1622" s="1">
        <v>33.0</v>
      </c>
      <c r="D1622" s="1">
        <v>617.0</v>
      </c>
      <c r="F1622" s="2" t="str">
        <f t="shared" si="1"/>
        <v>INSERT INTO tblExamQuestionLink VALUES (seqExamQuestionLink.nextval, 33, 617);</v>
      </c>
    </row>
    <row r="1623">
      <c r="A1623" s="1">
        <v>1618.0</v>
      </c>
      <c r="B1623" s="1" t="s">
        <v>306</v>
      </c>
      <c r="C1623" s="1">
        <v>33.0</v>
      </c>
      <c r="D1623" s="1">
        <v>618.0</v>
      </c>
      <c r="F1623" s="2" t="str">
        <f t="shared" si="1"/>
        <v>INSERT INTO tblExamQuestionLink VALUES (seqExamQuestionLink.nextval, 33, 618);</v>
      </c>
    </row>
    <row r="1624">
      <c r="A1624" s="1">
        <v>1619.0</v>
      </c>
      <c r="B1624" s="1" t="s">
        <v>306</v>
      </c>
      <c r="C1624" s="1">
        <v>33.0</v>
      </c>
      <c r="D1624" s="1">
        <v>619.0</v>
      </c>
      <c r="F1624" s="2" t="str">
        <f t="shared" si="1"/>
        <v>INSERT INTO tblExamQuestionLink VALUES (seqExamQuestionLink.nextval, 33, 619);</v>
      </c>
    </row>
    <row r="1625">
      <c r="A1625" s="1">
        <v>1620.0</v>
      </c>
      <c r="B1625" s="1" t="s">
        <v>306</v>
      </c>
      <c r="C1625" s="1">
        <v>33.0</v>
      </c>
      <c r="D1625" s="1">
        <v>620.0</v>
      </c>
      <c r="F1625" s="2" t="str">
        <f t="shared" si="1"/>
        <v>INSERT INTO tblExamQuestionLink VALUES (seqExamQuestionLink.nextval, 33, 620);</v>
      </c>
    </row>
    <row r="1626">
      <c r="A1626" s="1">
        <v>1621.0</v>
      </c>
      <c r="B1626" s="1" t="s">
        <v>306</v>
      </c>
      <c r="C1626" s="1">
        <v>33.0</v>
      </c>
      <c r="D1626" s="1">
        <v>621.0</v>
      </c>
      <c r="F1626" s="2" t="str">
        <f t="shared" si="1"/>
        <v>INSERT INTO tblExamQuestionLink VALUES (seqExamQuestionLink.nextval, 33, 621);</v>
      </c>
    </row>
    <row r="1627">
      <c r="A1627" s="1">
        <v>1622.0</v>
      </c>
      <c r="B1627" s="1" t="s">
        <v>306</v>
      </c>
      <c r="C1627" s="1">
        <v>33.0</v>
      </c>
      <c r="D1627" s="1">
        <v>622.0</v>
      </c>
      <c r="F1627" s="2" t="str">
        <f t="shared" si="1"/>
        <v>INSERT INTO tblExamQuestionLink VALUES (seqExamQuestionLink.nextval, 33, 622);</v>
      </c>
    </row>
    <row r="1628">
      <c r="A1628" s="1">
        <v>1623.0</v>
      </c>
      <c r="B1628" s="1" t="s">
        <v>306</v>
      </c>
      <c r="C1628" s="1">
        <v>33.0</v>
      </c>
      <c r="D1628" s="1">
        <v>623.0</v>
      </c>
      <c r="F1628" s="2" t="str">
        <f t="shared" si="1"/>
        <v>INSERT INTO tblExamQuestionLink VALUES (seqExamQuestionLink.nextval, 33, 623);</v>
      </c>
    </row>
    <row r="1629">
      <c r="A1629" s="1">
        <v>1624.0</v>
      </c>
      <c r="B1629" s="1" t="s">
        <v>306</v>
      </c>
      <c r="C1629" s="1">
        <v>33.0</v>
      </c>
      <c r="D1629" s="1">
        <v>624.0</v>
      </c>
      <c r="F1629" s="2" t="str">
        <f t="shared" si="1"/>
        <v>INSERT INTO tblExamQuestionLink VALUES (seqExamQuestionLink.nextval, 33, 624);</v>
      </c>
    </row>
    <row r="1630">
      <c r="A1630" s="1">
        <v>1625.0</v>
      </c>
      <c r="B1630" s="1" t="s">
        <v>306</v>
      </c>
      <c r="C1630" s="1">
        <v>33.0</v>
      </c>
      <c r="D1630" s="1">
        <v>625.0</v>
      </c>
      <c r="F1630" s="2" t="str">
        <f t="shared" si="1"/>
        <v>INSERT INTO tblExamQuestionLink VALUES (seqExamQuestionLink.nextval, 33, 625);</v>
      </c>
    </row>
    <row r="1631">
      <c r="A1631" s="1">
        <v>1626.0</v>
      </c>
      <c r="B1631" s="1" t="s">
        <v>306</v>
      </c>
      <c r="C1631" s="1">
        <v>33.0</v>
      </c>
      <c r="D1631" s="1">
        <v>626.0</v>
      </c>
      <c r="F1631" s="2" t="str">
        <f t="shared" si="1"/>
        <v>INSERT INTO tblExamQuestionLink VALUES (seqExamQuestionLink.nextval, 33, 626);</v>
      </c>
    </row>
    <row r="1632">
      <c r="A1632" s="1">
        <v>1627.0</v>
      </c>
      <c r="B1632" s="1" t="s">
        <v>306</v>
      </c>
      <c r="C1632" s="1">
        <v>33.0</v>
      </c>
      <c r="D1632" s="1">
        <v>627.0</v>
      </c>
      <c r="F1632" s="2" t="str">
        <f t="shared" si="1"/>
        <v>INSERT INTO tblExamQuestionLink VALUES (seqExamQuestionLink.nextval, 33, 627);</v>
      </c>
    </row>
    <row r="1633">
      <c r="A1633" s="1">
        <v>1628.0</v>
      </c>
      <c r="B1633" s="1" t="s">
        <v>306</v>
      </c>
      <c r="C1633" s="1">
        <v>33.0</v>
      </c>
      <c r="D1633" s="1">
        <v>628.0</v>
      </c>
      <c r="F1633" s="2" t="str">
        <f t="shared" si="1"/>
        <v>INSERT INTO tblExamQuestionLink VALUES (seqExamQuestionLink.nextval, 33, 628);</v>
      </c>
    </row>
    <row r="1634">
      <c r="A1634" s="1">
        <v>1629.0</v>
      </c>
      <c r="B1634" s="1" t="s">
        <v>306</v>
      </c>
      <c r="C1634" s="1">
        <v>33.0</v>
      </c>
      <c r="D1634" s="1">
        <v>629.0</v>
      </c>
      <c r="F1634" s="2" t="str">
        <f t="shared" si="1"/>
        <v>INSERT INTO tblExamQuestionLink VALUES (seqExamQuestionLink.nextval, 33, 629);</v>
      </c>
    </row>
    <row r="1635">
      <c r="A1635" s="1">
        <v>1630.0</v>
      </c>
      <c r="B1635" s="1" t="s">
        <v>306</v>
      </c>
      <c r="C1635" s="1">
        <v>33.0</v>
      </c>
      <c r="D1635" s="1">
        <v>630.0</v>
      </c>
      <c r="F1635" s="2" t="str">
        <f t="shared" si="1"/>
        <v>INSERT INTO tblExamQuestionLink VALUES (seqExamQuestionLink.nextval, 33, 630);</v>
      </c>
    </row>
    <row r="1636">
      <c r="A1636" s="1">
        <v>1631.0</v>
      </c>
      <c r="B1636" s="1" t="s">
        <v>306</v>
      </c>
      <c r="C1636" s="1">
        <v>33.0</v>
      </c>
      <c r="D1636" s="1">
        <v>631.0</v>
      </c>
      <c r="F1636" s="2" t="str">
        <f t="shared" si="1"/>
        <v>INSERT INTO tblExamQuestionLink VALUES (seqExamQuestionLink.nextval, 33, 631);</v>
      </c>
    </row>
    <row r="1637">
      <c r="A1637" s="1">
        <v>1632.0</v>
      </c>
      <c r="B1637" s="1" t="s">
        <v>306</v>
      </c>
      <c r="C1637" s="1">
        <v>33.0</v>
      </c>
      <c r="D1637" s="1">
        <v>632.0</v>
      </c>
      <c r="F1637" s="2" t="str">
        <f t="shared" si="1"/>
        <v>INSERT INTO tblExamQuestionLink VALUES (seqExamQuestionLink.nextval, 33, 632);</v>
      </c>
    </row>
    <row r="1638">
      <c r="A1638" s="1">
        <v>1633.0</v>
      </c>
      <c r="B1638" s="1" t="s">
        <v>306</v>
      </c>
      <c r="C1638" s="1">
        <v>33.0</v>
      </c>
      <c r="D1638" s="1">
        <v>633.0</v>
      </c>
      <c r="F1638" s="2" t="str">
        <f t="shared" si="1"/>
        <v>INSERT INTO tblExamQuestionLink VALUES (seqExamQuestionLink.nextval, 33, 633);</v>
      </c>
    </row>
    <row r="1639">
      <c r="A1639" s="1">
        <v>1634.0</v>
      </c>
      <c r="B1639" s="1" t="s">
        <v>306</v>
      </c>
      <c r="C1639" s="1">
        <v>33.0</v>
      </c>
      <c r="D1639" s="1">
        <v>634.0</v>
      </c>
      <c r="F1639" s="2" t="str">
        <f t="shared" si="1"/>
        <v>INSERT INTO tblExamQuestionLink VALUES (seqExamQuestionLink.nextval, 33, 634);</v>
      </c>
    </row>
    <row r="1640">
      <c r="A1640" s="1">
        <v>1635.0</v>
      </c>
      <c r="B1640" s="1" t="s">
        <v>306</v>
      </c>
      <c r="C1640" s="1">
        <v>33.0</v>
      </c>
      <c r="D1640" s="1">
        <v>635.0</v>
      </c>
      <c r="F1640" s="2" t="str">
        <f t="shared" si="1"/>
        <v>INSERT INTO tblExamQuestionLink VALUES (seqExamQuestionLink.nextval, 33, 635);</v>
      </c>
    </row>
    <row r="1641">
      <c r="A1641" s="1">
        <v>1636.0</v>
      </c>
      <c r="B1641" s="1" t="s">
        <v>306</v>
      </c>
      <c r="C1641" s="1">
        <v>33.0</v>
      </c>
      <c r="D1641" s="1">
        <v>636.0</v>
      </c>
      <c r="F1641" s="2" t="str">
        <f t="shared" si="1"/>
        <v>INSERT INTO tblExamQuestionLink VALUES (seqExamQuestionLink.nextval, 33, 636);</v>
      </c>
    </row>
    <row r="1642">
      <c r="A1642" s="1">
        <v>1637.0</v>
      </c>
      <c r="B1642" s="1" t="s">
        <v>306</v>
      </c>
      <c r="C1642" s="1">
        <v>33.0</v>
      </c>
      <c r="D1642" s="1">
        <v>637.0</v>
      </c>
      <c r="F1642" s="2" t="str">
        <f t="shared" si="1"/>
        <v>INSERT INTO tblExamQuestionLink VALUES (seqExamQuestionLink.nextval, 33, 637);</v>
      </c>
    </row>
    <row r="1643">
      <c r="A1643" s="1">
        <v>1638.0</v>
      </c>
      <c r="B1643" s="1" t="s">
        <v>306</v>
      </c>
      <c r="C1643" s="1">
        <v>33.0</v>
      </c>
      <c r="D1643" s="1">
        <v>638.0</v>
      </c>
      <c r="F1643" s="2" t="str">
        <f t="shared" si="1"/>
        <v>INSERT INTO tblExamQuestionLink VALUES (seqExamQuestionLink.nextval, 33, 638);</v>
      </c>
    </row>
    <row r="1644">
      <c r="A1644" s="1">
        <v>1639.0</v>
      </c>
      <c r="B1644" s="1" t="s">
        <v>306</v>
      </c>
      <c r="C1644" s="1">
        <v>33.0</v>
      </c>
      <c r="D1644" s="1">
        <v>639.0</v>
      </c>
      <c r="F1644" s="2" t="str">
        <f t="shared" si="1"/>
        <v>INSERT INTO tblExamQuestionLink VALUES (seqExamQuestionLink.nextval, 33, 639);</v>
      </c>
    </row>
    <row r="1645">
      <c r="A1645" s="1">
        <v>1640.0</v>
      </c>
      <c r="B1645" s="1" t="s">
        <v>306</v>
      </c>
      <c r="C1645" s="1">
        <v>33.0</v>
      </c>
      <c r="D1645" s="1">
        <v>640.0</v>
      </c>
      <c r="F1645" s="2" t="str">
        <f t="shared" si="1"/>
        <v>INSERT INTO tblExamQuestionLink VALUES (seqExamQuestionLink.nextval, 33, 640);</v>
      </c>
    </row>
    <row r="1646">
      <c r="A1646" s="1">
        <v>1641.0</v>
      </c>
      <c r="B1646" s="1" t="s">
        <v>306</v>
      </c>
      <c r="C1646" s="1">
        <v>33.0</v>
      </c>
      <c r="D1646" s="1">
        <v>641.0</v>
      </c>
      <c r="F1646" s="2" t="str">
        <f t="shared" si="1"/>
        <v>INSERT INTO tblExamQuestionLink VALUES (seqExamQuestionLink.nextval, 33, 641);</v>
      </c>
    </row>
    <row r="1647">
      <c r="A1647" s="1">
        <v>1642.0</v>
      </c>
      <c r="B1647" s="1" t="s">
        <v>306</v>
      </c>
      <c r="C1647" s="1">
        <v>33.0</v>
      </c>
      <c r="D1647" s="1">
        <v>642.0</v>
      </c>
      <c r="F1647" s="2" t="str">
        <f t="shared" si="1"/>
        <v>INSERT INTO tblExamQuestionLink VALUES (seqExamQuestionLink.nextval, 33, 642);</v>
      </c>
    </row>
    <row r="1648">
      <c r="A1648" s="1">
        <v>1643.0</v>
      </c>
      <c r="B1648" s="1" t="s">
        <v>306</v>
      </c>
      <c r="C1648" s="1">
        <v>33.0</v>
      </c>
      <c r="D1648" s="1">
        <v>643.0</v>
      </c>
      <c r="F1648" s="2" t="str">
        <f t="shared" si="1"/>
        <v>INSERT INTO tblExamQuestionLink VALUES (seqExamQuestionLink.nextval, 33, 643);</v>
      </c>
    </row>
    <row r="1649">
      <c r="A1649" s="1">
        <v>1644.0</v>
      </c>
      <c r="B1649" s="1" t="s">
        <v>306</v>
      </c>
      <c r="C1649" s="1">
        <v>33.0</v>
      </c>
      <c r="D1649" s="1">
        <v>644.0</v>
      </c>
      <c r="F1649" s="2" t="str">
        <f t="shared" si="1"/>
        <v>INSERT INTO tblExamQuestionLink VALUES (seqExamQuestionLink.nextval, 33, 644);</v>
      </c>
    </row>
    <row r="1650">
      <c r="A1650" s="1">
        <v>1645.0</v>
      </c>
      <c r="B1650" s="1" t="s">
        <v>306</v>
      </c>
      <c r="C1650" s="1">
        <v>33.0</v>
      </c>
      <c r="D1650" s="1">
        <v>645.0</v>
      </c>
      <c r="F1650" s="2" t="str">
        <f t="shared" si="1"/>
        <v>INSERT INTO tblExamQuestionLink VALUES (seqExamQuestionLink.nextval, 33, 645);</v>
      </c>
    </row>
    <row r="1651">
      <c r="A1651" s="1">
        <v>1646.0</v>
      </c>
      <c r="B1651" s="1" t="s">
        <v>306</v>
      </c>
      <c r="C1651" s="1">
        <v>33.0</v>
      </c>
      <c r="D1651" s="1">
        <v>646.0</v>
      </c>
      <c r="F1651" s="2" t="str">
        <f t="shared" si="1"/>
        <v>INSERT INTO tblExamQuestionLink VALUES (seqExamQuestionLink.nextval, 33, 646);</v>
      </c>
    </row>
    <row r="1652">
      <c r="A1652" s="1">
        <v>1647.0</v>
      </c>
      <c r="B1652" s="1" t="s">
        <v>306</v>
      </c>
      <c r="C1652" s="1">
        <v>33.0</v>
      </c>
      <c r="D1652" s="1">
        <v>647.0</v>
      </c>
      <c r="F1652" s="2" t="str">
        <f t="shared" si="1"/>
        <v>INSERT INTO tblExamQuestionLink VALUES (seqExamQuestionLink.nextval, 33, 647);</v>
      </c>
    </row>
    <row r="1653">
      <c r="A1653" s="1">
        <v>1648.0</v>
      </c>
      <c r="B1653" s="1" t="s">
        <v>306</v>
      </c>
      <c r="C1653" s="1">
        <v>33.0</v>
      </c>
      <c r="D1653" s="1">
        <v>648.0</v>
      </c>
      <c r="F1653" s="2" t="str">
        <f t="shared" si="1"/>
        <v>INSERT INTO tblExamQuestionLink VALUES (seqExamQuestionLink.nextval, 33, 648);</v>
      </c>
    </row>
    <row r="1654">
      <c r="A1654" s="1">
        <v>1649.0</v>
      </c>
      <c r="B1654" s="1" t="s">
        <v>306</v>
      </c>
      <c r="C1654" s="1">
        <v>33.0</v>
      </c>
      <c r="D1654" s="1">
        <v>649.0</v>
      </c>
      <c r="F1654" s="2" t="str">
        <f t="shared" si="1"/>
        <v>INSERT INTO tblExamQuestionLink VALUES (seqExamQuestionLink.nextval, 33, 649);</v>
      </c>
    </row>
    <row r="1655">
      <c r="A1655" s="1">
        <v>1650.0</v>
      </c>
      <c r="B1655" s="1" t="s">
        <v>306</v>
      </c>
      <c r="C1655" s="1">
        <v>33.0</v>
      </c>
      <c r="D1655" s="1">
        <v>650.0</v>
      </c>
      <c r="F1655" s="2" t="str">
        <f t="shared" si="1"/>
        <v>INSERT INTO tblExamQuestionLink VALUES (seqExamQuestionLink.nextval, 33, 650);</v>
      </c>
    </row>
    <row r="1656">
      <c r="A1656" s="1">
        <v>1651.0</v>
      </c>
      <c r="B1656" s="1" t="s">
        <v>306</v>
      </c>
      <c r="C1656" s="1">
        <v>34.0</v>
      </c>
      <c r="D1656" s="1">
        <v>651.0</v>
      </c>
      <c r="F1656" s="2" t="str">
        <f t="shared" si="1"/>
        <v>INSERT INTO tblExamQuestionLink VALUES (seqExamQuestionLink.nextval, 34, 651);</v>
      </c>
    </row>
    <row r="1657">
      <c r="A1657" s="1">
        <v>1652.0</v>
      </c>
      <c r="B1657" s="1" t="s">
        <v>306</v>
      </c>
      <c r="C1657" s="1">
        <v>34.0</v>
      </c>
      <c r="D1657" s="1">
        <v>652.0</v>
      </c>
      <c r="F1657" s="2" t="str">
        <f t="shared" si="1"/>
        <v>INSERT INTO tblExamQuestionLink VALUES (seqExamQuestionLink.nextval, 34, 652);</v>
      </c>
    </row>
    <row r="1658">
      <c r="A1658" s="1">
        <v>1653.0</v>
      </c>
      <c r="B1658" s="1" t="s">
        <v>306</v>
      </c>
      <c r="C1658" s="1">
        <v>34.0</v>
      </c>
      <c r="D1658" s="1">
        <v>653.0</v>
      </c>
      <c r="F1658" s="2" t="str">
        <f t="shared" si="1"/>
        <v>INSERT INTO tblExamQuestionLink VALUES (seqExamQuestionLink.nextval, 34, 653);</v>
      </c>
    </row>
    <row r="1659">
      <c r="A1659" s="1">
        <v>1654.0</v>
      </c>
      <c r="B1659" s="1" t="s">
        <v>306</v>
      </c>
      <c r="C1659" s="1">
        <v>34.0</v>
      </c>
      <c r="D1659" s="1">
        <v>654.0</v>
      </c>
      <c r="F1659" s="2" t="str">
        <f t="shared" si="1"/>
        <v>INSERT INTO tblExamQuestionLink VALUES (seqExamQuestionLink.nextval, 34, 654);</v>
      </c>
    </row>
    <row r="1660">
      <c r="A1660" s="1">
        <v>1655.0</v>
      </c>
      <c r="B1660" s="1" t="s">
        <v>306</v>
      </c>
      <c r="C1660" s="1">
        <v>34.0</v>
      </c>
      <c r="D1660" s="1">
        <v>655.0</v>
      </c>
      <c r="F1660" s="2" t="str">
        <f t="shared" si="1"/>
        <v>INSERT INTO tblExamQuestionLink VALUES (seqExamQuestionLink.nextval, 34, 655);</v>
      </c>
    </row>
    <row r="1661">
      <c r="A1661" s="1">
        <v>1656.0</v>
      </c>
      <c r="B1661" s="1" t="s">
        <v>306</v>
      </c>
      <c r="C1661" s="1">
        <v>34.0</v>
      </c>
      <c r="D1661" s="1">
        <v>656.0</v>
      </c>
      <c r="F1661" s="2" t="str">
        <f t="shared" si="1"/>
        <v>INSERT INTO tblExamQuestionLink VALUES (seqExamQuestionLink.nextval, 34, 656);</v>
      </c>
    </row>
    <row r="1662">
      <c r="A1662" s="1">
        <v>1657.0</v>
      </c>
      <c r="B1662" s="1" t="s">
        <v>306</v>
      </c>
      <c r="C1662" s="1">
        <v>34.0</v>
      </c>
      <c r="D1662" s="1">
        <v>657.0</v>
      </c>
      <c r="F1662" s="2" t="str">
        <f t="shared" si="1"/>
        <v>INSERT INTO tblExamQuestionLink VALUES (seqExamQuestionLink.nextval, 34, 657);</v>
      </c>
    </row>
    <row r="1663">
      <c r="A1663" s="1">
        <v>1658.0</v>
      </c>
      <c r="B1663" s="1" t="s">
        <v>306</v>
      </c>
      <c r="C1663" s="1">
        <v>34.0</v>
      </c>
      <c r="D1663" s="1">
        <v>658.0</v>
      </c>
      <c r="F1663" s="2" t="str">
        <f t="shared" si="1"/>
        <v>INSERT INTO tblExamQuestionLink VALUES (seqExamQuestionLink.nextval, 34, 658);</v>
      </c>
    </row>
    <row r="1664">
      <c r="A1664" s="1">
        <v>1659.0</v>
      </c>
      <c r="B1664" s="1" t="s">
        <v>306</v>
      </c>
      <c r="C1664" s="1">
        <v>34.0</v>
      </c>
      <c r="D1664" s="1">
        <v>659.0</v>
      </c>
      <c r="F1664" s="2" t="str">
        <f t="shared" si="1"/>
        <v>INSERT INTO tblExamQuestionLink VALUES (seqExamQuestionLink.nextval, 34, 659);</v>
      </c>
    </row>
    <row r="1665">
      <c r="A1665" s="1">
        <v>1660.0</v>
      </c>
      <c r="B1665" s="1" t="s">
        <v>306</v>
      </c>
      <c r="C1665" s="1">
        <v>34.0</v>
      </c>
      <c r="D1665" s="1">
        <v>660.0</v>
      </c>
      <c r="F1665" s="2" t="str">
        <f t="shared" si="1"/>
        <v>INSERT INTO tblExamQuestionLink VALUES (seqExamQuestionLink.nextval, 34, 660);</v>
      </c>
    </row>
    <row r="1666">
      <c r="A1666" s="1">
        <v>1661.0</v>
      </c>
      <c r="B1666" s="1" t="s">
        <v>306</v>
      </c>
      <c r="C1666" s="1">
        <v>34.0</v>
      </c>
      <c r="D1666" s="1">
        <v>661.0</v>
      </c>
      <c r="F1666" s="2" t="str">
        <f t="shared" si="1"/>
        <v>INSERT INTO tblExamQuestionLink VALUES (seqExamQuestionLink.nextval, 34, 661);</v>
      </c>
    </row>
    <row r="1667">
      <c r="A1667" s="1">
        <v>1662.0</v>
      </c>
      <c r="B1667" s="1" t="s">
        <v>306</v>
      </c>
      <c r="C1667" s="1">
        <v>34.0</v>
      </c>
      <c r="D1667" s="1">
        <v>662.0</v>
      </c>
      <c r="F1667" s="2" t="str">
        <f t="shared" si="1"/>
        <v>INSERT INTO tblExamQuestionLink VALUES (seqExamQuestionLink.nextval, 34, 662);</v>
      </c>
    </row>
    <row r="1668">
      <c r="A1668" s="1">
        <v>1663.0</v>
      </c>
      <c r="B1668" s="1" t="s">
        <v>306</v>
      </c>
      <c r="C1668" s="1">
        <v>34.0</v>
      </c>
      <c r="D1668" s="1">
        <v>663.0</v>
      </c>
      <c r="F1668" s="2" t="str">
        <f t="shared" si="1"/>
        <v>INSERT INTO tblExamQuestionLink VALUES (seqExamQuestionLink.nextval, 34, 663);</v>
      </c>
    </row>
    <row r="1669">
      <c r="A1669" s="1">
        <v>1664.0</v>
      </c>
      <c r="B1669" s="1" t="s">
        <v>306</v>
      </c>
      <c r="C1669" s="1">
        <v>34.0</v>
      </c>
      <c r="D1669" s="1">
        <v>664.0</v>
      </c>
      <c r="F1669" s="2" t="str">
        <f t="shared" si="1"/>
        <v>INSERT INTO tblExamQuestionLink VALUES (seqExamQuestionLink.nextval, 34, 664);</v>
      </c>
    </row>
    <row r="1670">
      <c r="A1670" s="1">
        <v>1665.0</v>
      </c>
      <c r="B1670" s="1" t="s">
        <v>306</v>
      </c>
      <c r="C1670" s="1">
        <v>34.0</v>
      </c>
      <c r="D1670" s="1">
        <v>665.0</v>
      </c>
      <c r="F1670" s="2" t="str">
        <f t="shared" si="1"/>
        <v>INSERT INTO tblExamQuestionLink VALUES (seqExamQuestionLink.nextval, 34, 665);</v>
      </c>
    </row>
    <row r="1671">
      <c r="A1671" s="1">
        <v>1666.0</v>
      </c>
      <c r="B1671" s="1" t="s">
        <v>306</v>
      </c>
      <c r="C1671" s="1">
        <v>34.0</v>
      </c>
      <c r="D1671" s="1">
        <v>666.0</v>
      </c>
      <c r="F1671" s="2" t="str">
        <f t="shared" si="1"/>
        <v>INSERT INTO tblExamQuestionLink VALUES (seqExamQuestionLink.nextval, 34, 666);</v>
      </c>
    </row>
    <row r="1672">
      <c r="A1672" s="1">
        <v>1667.0</v>
      </c>
      <c r="B1672" s="1" t="s">
        <v>306</v>
      </c>
      <c r="C1672" s="1">
        <v>34.0</v>
      </c>
      <c r="D1672" s="1">
        <v>667.0</v>
      </c>
      <c r="F1672" s="2" t="str">
        <f t="shared" si="1"/>
        <v>INSERT INTO tblExamQuestionLink VALUES (seqExamQuestionLink.nextval, 34, 667);</v>
      </c>
    </row>
    <row r="1673">
      <c r="A1673" s="1">
        <v>1668.0</v>
      </c>
      <c r="B1673" s="1" t="s">
        <v>306</v>
      </c>
      <c r="C1673" s="1">
        <v>34.0</v>
      </c>
      <c r="D1673" s="1">
        <v>668.0</v>
      </c>
      <c r="F1673" s="2" t="str">
        <f t="shared" si="1"/>
        <v>INSERT INTO tblExamQuestionLink VALUES (seqExamQuestionLink.nextval, 34, 668);</v>
      </c>
    </row>
    <row r="1674">
      <c r="A1674" s="1">
        <v>1669.0</v>
      </c>
      <c r="B1674" s="1" t="s">
        <v>306</v>
      </c>
      <c r="C1674" s="1">
        <v>34.0</v>
      </c>
      <c r="D1674" s="1">
        <v>669.0</v>
      </c>
      <c r="F1674" s="2" t="str">
        <f t="shared" si="1"/>
        <v>INSERT INTO tblExamQuestionLink VALUES (seqExamQuestionLink.nextval, 34, 669);</v>
      </c>
    </row>
    <row r="1675">
      <c r="A1675" s="1">
        <v>1670.0</v>
      </c>
      <c r="B1675" s="1" t="s">
        <v>306</v>
      </c>
      <c r="C1675" s="1">
        <v>34.0</v>
      </c>
      <c r="D1675" s="1">
        <v>670.0</v>
      </c>
      <c r="F1675" s="2" t="str">
        <f t="shared" si="1"/>
        <v>INSERT INTO tblExamQuestionLink VALUES (seqExamQuestionLink.nextval, 34, 670);</v>
      </c>
    </row>
    <row r="1676">
      <c r="A1676" s="1">
        <v>1671.0</v>
      </c>
      <c r="B1676" s="1" t="s">
        <v>306</v>
      </c>
      <c r="C1676" s="1">
        <v>34.0</v>
      </c>
      <c r="D1676" s="1">
        <v>671.0</v>
      </c>
      <c r="F1676" s="2" t="str">
        <f t="shared" si="1"/>
        <v>INSERT INTO tblExamQuestionLink VALUES (seqExamQuestionLink.nextval, 34, 671);</v>
      </c>
    </row>
    <row r="1677">
      <c r="A1677" s="1">
        <v>1672.0</v>
      </c>
      <c r="B1677" s="1" t="s">
        <v>306</v>
      </c>
      <c r="C1677" s="1">
        <v>34.0</v>
      </c>
      <c r="D1677" s="1">
        <v>672.0</v>
      </c>
      <c r="F1677" s="2" t="str">
        <f t="shared" si="1"/>
        <v>INSERT INTO tblExamQuestionLink VALUES (seqExamQuestionLink.nextval, 34, 672);</v>
      </c>
    </row>
    <row r="1678">
      <c r="A1678" s="1">
        <v>1673.0</v>
      </c>
      <c r="B1678" s="1" t="s">
        <v>306</v>
      </c>
      <c r="C1678" s="1">
        <v>34.0</v>
      </c>
      <c r="D1678" s="1">
        <v>673.0</v>
      </c>
      <c r="F1678" s="2" t="str">
        <f t="shared" si="1"/>
        <v>INSERT INTO tblExamQuestionLink VALUES (seqExamQuestionLink.nextval, 34, 673);</v>
      </c>
    </row>
    <row r="1679">
      <c r="A1679" s="1">
        <v>1674.0</v>
      </c>
      <c r="B1679" s="1" t="s">
        <v>306</v>
      </c>
      <c r="C1679" s="1">
        <v>34.0</v>
      </c>
      <c r="D1679" s="1">
        <v>674.0</v>
      </c>
      <c r="F1679" s="2" t="str">
        <f t="shared" si="1"/>
        <v>INSERT INTO tblExamQuestionLink VALUES (seqExamQuestionLink.nextval, 34, 674);</v>
      </c>
    </row>
    <row r="1680">
      <c r="A1680" s="1">
        <v>1675.0</v>
      </c>
      <c r="B1680" s="1" t="s">
        <v>306</v>
      </c>
      <c r="C1680" s="1">
        <v>34.0</v>
      </c>
      <c r="D1680" s="1">
        <v>675.0</v>
      </c>
      <c r="F1680" s="2" t="str">
        <f t="shared" si="1"/>
        <v>INSERT INTO tblExamQuestionLink VALUES (seqExamQuestionLink.nextval, 34, 675);</v>
      </c>
    </row>
    <row r="1681">
      <c r="A1681" s="1">
        <v>1676.0</v>
      </c>
      <c r="B1681" s="1" t="s">
        <v>306</v>
      </c>
      <c r="C1681" s="1">
        <v>34.0</v>
      </c>
      <c r="D1681" s="1">
        <v>676.0</v>
      </c>
      <c r="F1681" s="2" t="str">
        <f t="shared" si="1"/>
        <v>INSERT INTO tblExamQuestionLink VALUES (seqExamQuestionLink.nextval, 34, 676);</v>
      </c>
    </row>
    <row r="1682">
      <c r="A1682" s="1">
        <v>1677.0</v>
      </c>
      <c r="B1682" s="1" t="s">
        <v>306</v>
      </c>
      <c r="C1682" s="1">
        <v>34.0</v>
      </c>
      <c r="D1682" s="1">
        <v>677.0</v>
      </c>
      <c r="F1682" s="2" t="str">
        <f t="shared" si="1"/>
        <v>INSERT INTO tblExamQuestionLink VALUES (seqExamQuestionLink.nextval, 34, 677);</v>
      </c>
    </row>
    <row r="1683">
      <c r="A1683" s="1">
        <v>1678.0</v>
      </c>
      <c r="B1683" s="1" t="s">
        <v>306</v>
      </c>
      <c r="C1683" s="1">
        <v>34.0</v>
      </c>
      <c r="D1683" s="1">
        <v>678.0</v>
      </c>
      <c r="F1683" s="2" t="str">
        <f t="shared" si="1"/>
        <v>INSERT INTO tblExamQuestionLink VALUES (seqExamQuestionLink.nextval, 34, 678);</v>
      </c>
    </row>
    <row r="1684">
      <c r="A1684" s="1">
        <v>1679.0</v>
      </c>
      <c r="B1684" s="1" t="s">
        <v>306</v>
      </c>
      <c r="C1684" s="1">
        <v>34.0</v>
      </c>
      <c r="D1684" s="1">
        <v>679.0</v>
      </c>
      <c r="F1684" s="2" t="str">
        <f t="shared" si="1"/>
        <v>INSERT INTO tblExamQuestionLink VALUES (seqExamQuestionLink.nextval, 34, 679);</v>
      </c>
    </row>
    <row r="1685">
      <c r="A1685" s="1">
        <v>1680.0</v>
      </c>
      <c r="B1685" s="1" t="s">
        <v>306</v>
      </c>
      <c r="C1685" s="1">
        <v>34.0</v>
      </c>
      <c r="D1685" s="1">
        <v>680.0</v>
      </c>
      <c r="F1685" s="2" t="str">
        <f t="shared" si="1"/>
        <v>INSERT INTO tblExamQuestionLink VALUES (seqExamQuestionLink.nextval, 34, 680);</v>
      </c>
    </row>
    <row r="1686">
      <c r="A1686" s="1">
        <v>1681.0</v>
      </c>
      <c r="B1686" s="1" t="s">
        <v>306</v>
      </c>
      <c r="C1686" s="1">
        <v>34.0</v>
      </c>
      <c r="D1686" s="1">
        <v>681.0</v>
      </c>
      <c r="F1686" s="2" t="str">
        <f t="shared" si="1"/>
        <v>INSERT INTO tblExamQuestionLink VALUES (seqExamQuestionLink.nextval, 34, 681);</v>
      </c>
    </row>
    <row r="1687">
      <c r="A1687" s="1">
        <v>1682.0</v>
      </c>
      <c r="B1687" s="1" t="s">
        <v>306</v>
      </c>
      <c r="C1687" s="1">
        <v>34.0</v>
      </c>
      <c r="D1687" s="1">
        <v>682.0</v>
      </c>
      <c r="F1687" s="2" t="str">
        <f t="shared" si="1"/>
        <v>INSERT INTO tblExamQuestionLink VALUES (seqExamQuestionLink.nextval, 34, 682);</v>
      </c>
    </row>
    <row r="1688">
      <c r="A1688" s="1">
        <v>1683.0</v>
      </c>
      <c r="B1688" s="1" t="s">
        <v>306</v>
      </c>
      <c r="C1688" s="1">
        <v>34.0</v>
      </c>
      <c r="D1688" s="1">
        <v>683.0</v>
      </c>
      <c r="F1688" s="2" t="str">
        <f t="shared" si="1"/>
        <v>INSERT INTO tblExamQuestionLink VALUES (seqExamQuestionLink.nextval, 34, 683);</v>
      </c>
    </row>
    <row r="1689">
      <c r="A1689" s="1">
        <v>1684.0</v>
      </c>
      <c r="B1689" s="1" t="s">
        <v>306</v>
      </c>
      <c r="C1689" s="1">
        <v>34.0</v>
      </c>
      <c r="D1689" s="1">
        <v>684.0</v>
      </c>
      <c r="F1689" s="2" t="str">
        <f t="shared" si="1"/>
        <v>INSERT INTO tblExamQuestionLink VALUES (seqExamQuestionLink.nextval, 34, 684);</v>
      </c>
    </row>
    <row r="1690">
      <c r="A1690" s="1">
        <v>1685.0</v>
      </c>
      <c r="B1690" s="1" t="s">
        <v>306</v>
      </c>
      <c r="C1690" s="1">
        <v>34.0</v>
      </c>
      <c r="D1690" s="1">
        <v>685.0</v>
      </c>
      <c r="F1690" s="2" t="str">
        <f t="shared" si="1"/>
        <v>INSERT INTO tblExamQuestionLink VALUES (seqExamQuestionLink.nextval, 34, 685);</v>
      </c>
    </row>
    <row r="1691">
      <c r="A1691" s="1">
        <v>1686.0</v>
      </c>
      <c r="B1691" s="1" t="s">
        <v>306</v>
      </c>
      <c r="C1691" s="1">
        <v>34.0</v>
      </c>
      <c r="D1691" s="1">
        <v>686.0</v>
      </c>
      <c r="F1691" s="2" t="str">
        <f t="shared" si="1"/>
        <v>INSERT INTO tblExamQuestionLink VALUES (seqExamQuestionLink.nextval, 34, 686);</v>
      </c>
    </row>
    <row r="1692">
      <c r="A1692" s="1">
        <v>1687.0</v>
      </c>
      <c r="B1692" s="1" t="s">
        <v>306</v>
      </c>
      <c r="C1692" s="1">
        <v>34.0</v>
      </c>
      <c r="D1692" s="1">
        <v>687.0</v>
      </c>
      <c r="F1692" s="2" t="str">
        <f t="shared" si="1"/>
        <v>INSERT INTO tblExamQuestionLink VALUES (seqExamQuestionLink.nextval, 34, 687);</v>
      </c>
    </row>
    <row r="1693">
      <c r="A1693" s="1">
        <v>1688.0</v>
      </c>
      <c r="B1693" s="1" t="s">
        <v>306</v>
      </c>
      <c r="C1693" s="1">
        <v>34.0</v>
      </c>
      <c r="D1693" s="1">
        <v>688.0</v>
      </c>
      <c r="F1693" s="2" t="str">
        <f t="shared" si="1"/>
        <v>INSERT INTO tblExamQuestionLink VALUES (seqExamQuestionLink.nextval, 34, 688);</v>
      </c>
    </row>
    <row r="1694">
      <c r="A1694" s="1">
        <v>1689.0</v>
      </c>
      <c r="B1694" s="1" t="s">
        <v>306</v>
      </c>
      <c r="C1694" s="1">
        <v>34.0</v>
      </c>
      <c r="D1694" s="1">
        <v>689.0</v>
      </c>
      <c r="F1694" s="2" t="str">
        <f t="shared" si="1"/>
        <v>INSERT INTO tblExamQuestionLink VALUES (seqExamQuestionLink.nextval, 34, 689);</v>
      </c>
    </row>
    <row r="1695">
      <c r="A1695" s="1">
        <v>1690.0</v>
      </c>
      <c r="B1695" s="1" t="s">
        <v>306</v>
      </c>
      <c r="C1695" s="1">
        <v>34.0</v>
      </c>
      <c r="D1695" s="1">
        <v>690.0</v>
      </c>
      <c r="F1695" s="2" t="str">
        <f t="shared" si="1"/>
        <v>INSERT INTO tblExamQuestionLink VALUES (seqExamQuestionLink.nextval, 34, 690);</v>
      </c>
    </row>
    <row r="1696">
      <c r="A1696" s="1">
        <v>1691.0</v>
      </c>
      <c r="B1696" s="1" t="s">
        <v>306</v>
      </c>
      <c r="C1696" s="1">
        <v>34.0</v>
      </c>
      <c r="D1696" s="1">
        <v>691.0</v>
      </c>
      <c r="F1696" s="2" t="str">
        <f t="shared" si="1"/>
        <v>INSERT INTO tblExamQuestionLink VALUES (seqExamQuestionLink.nextval, 34, 691);</v>
      </c>
    </row>
    <row r="1697">
      <c r="A1697" s="1">
        <v>1692.0</v>
      </c>
      <c r="B1697" s="1" t="s">
        <v>306</v>
      </c>
      <c r="C1697" s="1">
        <v>34.0</v>
      </c>
      <c r="D1697" s="1">
        <v>692.0</v>
      </c>
      <c r="F1697" s="2" t="str">
        <f t="shared" si="1"/>
        <v>INSERT INTO tblExamQuestionLink VALUES (seqExamQuestionLink.nextval, 34, 692);</v>
      </c>
    </row>
    <row r="1698">
      <c r="A1698" s="1">
        <v>1693.0</v>
      </c>
      <c r="B1698" s="1" t="s">
        <v>306</v>
      </c>
      <c r="C1698" s="1">
        <v>34.0</v>
      </c>
      <c r="D1698" s="1">
        <v>693.0</v>
      </c>
      <c r="F1698" s="2" t="str">
        <f t="shared" si="1"/>
        <v>INSERT INTO tblExamQuestionLink VALUES (seqExamQuestionLink.nextval, 34, 693);</v>
      </c>
    </row>
    <row r="1699">
      <c r="A1699" s="1">
        <v>1694.0</v>
      </c>
      <c r="B1699" s="1" t="s">
        <v>306</v>
      </c>
      <c r="C1699" s="1">
        <v>34.0</v>
      </c>
      <c r="D1699" s="1">
        <v>694.0</v>
      </c>
      <c r="F1699" s="2" t="str">
        <f t="shared" si="1"/>
        <v>INSERT INTO tblExamQuestionLink VALUES (seqExamQuestionLink.nextval, 34, 694);</v>
      </c>
    </row>
    <row r="1700">
      <c r="A1700" s="1">
        <v>1695.0</v>
      </c>
      <c r="B1700" s="1" t="s">
        <v>306</v>
      </c>
      <c r="C1700" s="1">
        <v>34.0</v>
      </c>
      <c r="D1700" s="1">
        <v>695.0</v>
      </c>
      <c r="F1700" s="2" t="str">
        <f t="shared" si="1"/>
        <v>INSERT INTO tblExamQuestionLink VALUES (seqExamQuestionLink.nextval, 34, 695);</v>
      </c>
    </row>
    <row r="1701">
      <c r="A1701" s="1">
        <v>1696.0</v>
      </c>
      <c r="B1701" s="1" t="s">
        <v>306</v>
      </c>
      <c r="C1701" s="1">
        <v>34.0</v>
      </c>
      <c r="D1701" s="1">
        <v>696.0</v>
      </c>
      <c r="F1701" s="2" t="str">
        <f t="shared" si="1"/>
        <v>INSERT INTO tblExamQuestionLink VALUES (seqExamQuestionLink.nextval, 34, 696);</v>
      </c>
    </row>
    <row r="1702">
      <c r="A1702" s="1">
        <v>1697.0</v>
      </c>
      <c r="B1702" s="1" t="s">
        <v>306</v>
      </c>
      <c r="C1702" s="1">
        <v>34.0</v>
      </c>
      <c r="D1702" s="1">
        <v>697.0</v>
      </c>
      <c r="F1702" s="2" t="str">
        <f t="shared" si="1"/>
        <v>INSERT INTO tblExamQuestionLink VALUES (seqExamQuestionLink.nextval, 34, 697);</v>
      </c>
    </row>
    <row r="1703">
      <c r="A1703" s="1">
        <v>1698.0</v>
      </c>
      <c r="B1703" s="1" t="s">
        <v>306</v>
      </c>
      <c r="C1703" s="1">
        <v>34.0</v>
      </c>
      <c r="D1703" s="1">
        <v>698.0</v>
      </c>
      <c r="F1703" s="2" t="str">
        <f t="shared" si="1"/>
        <v>INSERT INTO tblExamQuestionLink VALUES (seqExamQuestionLink.nextval, 34, 698);</v>
      </c>
    </row>
    <row r="1704">
      <c r="A1704" s="1">
        <v>1699.0</v>
      </c>
      <c r="B1704" s="1" t="s">
        <v>306</v>
      </c>
      <c r="C1704" s="1">
        <v>34.0</v>
      </c>
      <c r="D1704" s="1">
        <v>699.0</v>
      </c>
      <c r="F1704" s="2" t="str">
        <f t="shared" si="1"/>
        <v>INSERT INTO tblExamQuestionLink VALUES (seqExamQuestionLink.nextval, 34, 699);</v>
      </c>
    </row>
    <row r="1705">
      <c r="A1705" s="1">
        <v>1700.0</v>
      </c>
      <c r="B1705" s="1" t="s">
        <v>306</v>
      </c>
      <c r="C1705" s="1">
        <v>34.0</v>
      </c>
      <c r="D1705" s="1">
        <v>700.0</v>
      </c>
      <c r="F1705" s="2" t="str">
        <f t="shared" si="1"/>
        <v>INSERT INTO tblExamQuestionLink VALUES (seqExamQuestionLink.nextval, 34, 700);</v>
      </c>
    </row>
    <row r="1706">
      <c r="A1706" s="1">
        <v>1701.0</v>
      </c>
      <c r="B1706" s="1" t="s">
        <v>306</v>
      </c>
      <c r="C1706" s="1">
        <v>35.0</v>
      </c>
      <c r="D1706" s="1">
        <v>701.0</v>
      </c>
      <c r="F1706" s="2" t="str">
        <f t="shared" si="1"/>
        <v>INSERT INTO tblExamQuestionLink VALUES (seqExamQuestionLink.nextval, 35, 701);</v>
      </c>
    </row>
    <row r="1707">
      <c r="A1707" s="1">
        <v>1702.0</v>
      </c>
      <c r="B1707" s="1" t="s">
        <v>306</v>
      </c>
      <c r="C1707" s="1">
        <v>35.0</v>
      </c>
      <c r="D1707" s="1">
        <v>702.0</v>
      </c>
      <c r="F1707" s="2" t="str">
        <f t="shared" si="1"/>
        <v>INSERT INTO tblExamQuestionLink VALUES (seqExamQuestionLink.nextval, 35, 702);</v>
      </c>
    </row>
    <row r="1708">
      <c r="A1708" s="1">
        <v>1703.0</v>
      </c>
      <c r="B1708" s="1" t="s">
        <v>306</v>
      </c>
      <c r="C1708" s="1">
        <v>35.0</v>
      </c>
      <c r="D1708" s="1">
        <v>703.0</v>
      </c>
      <c r="F1708" s="2" t="str">
        <f t="shared" si="1"/>
        <v>INSERT INTO tblExamQuestionLink VALUES (seqExamQuestionLink.nextval, 35, 703);</v>
      </c>
    </row>
    <row r="1709">
      <c r="A1709" s="1">
        <v>1704.0</v>
      </c>
      <c r="B1709" s="1" t="s">
        <v>306</v>
      </c>
      <c r="C1709" s="1">
        <v>35.0</v>
      </c>
      <c r="D1709" s="1">
        <v>704.0</v>
      </c>
      <c r="F1709" s="2" t="str">
        <f t="shared" si="1"/>
        <v>INSERT INTO tblExamQuestionLink VALUES (seqExamQuestionLink.nextval, 35, 704);</v>
      </c>
    </row>
    <row r="1710">
      <c r="A1710" s="1">
        <v>1705.0</v>
      </c>
      <c r="B1710" s="1" t="s">
        <v>306</v>
      </c>
      <c r="C1710" s="1">
        <v>35.0</v>
      </c>
      <c r="D1710" s="1">
        <v>705.0</v>
      </c>
      <c r="F1710" s="2" t="str">
        <f t="shared" si="1"/>
        <v>INSERT INTO tblExamQuestionLink VALUES (seqExamQuestionLink.nextval, 35, 705);</v>
      </c>
    </row>
    <row r="1711">
      <c r="A1711" s="1">
        <v>1706.0</v>
      </c>
      <c r="B1711" s="1" t="s">
        <v>306</v>
      </c>
      <c r="C1711" s="1">
        <v>35.0</v>
      </c>
      <c r="D1711" s="1">
        <v>706.0</v>
      </c>
      <c r="F1711" s="2" t="str">
        <f t="shared" si="1"/>
        <v>INSERT INTO tblExamQuestionLink VALUES (seqExamQuestionLink.nextval, 35, 706);</v>
      </c>
    </row>
    <row r="1712">
      <c r="A1712" s="1">
        <v>1707.0</v>
      </c>
      <c r="B1712" s="1" t="s">
        <v>306</v>
      </c>
      <c r="C1712" s="1">
        <v>35.0</v>
      </c>
      <c r="D1712" s="1">
        <v>707.0</v>
      </c>
      <c r="F1712" s="2" t="str">
        <f t="shared" si="1"/>
        <v>INSERT INTO tblExamQuestionLink VALUES (seqExamQuestionLink.nextval, 35, 707);</v>
      </c>
    </row>
    <row r="1713">
      <c r="A1713" s="1">
        <v>1708.0</v>
      </c>
      <c r="B1713" s="1" t="s">
        <v>306</v>
      </c>
      <c r="C1713" s="1">
        <v>35.0</v>
      </c>
      <c r="D1713" s="1">
        <v>708.0</v>
      </c>
      <c r="F1713" s="2" t="str">
        <f t="shared" si="1"/>
        <v>INSERT INTO tblExamQuestionLink VALUES (seqExamQuestionLink.nextval, 35, 708);</v>
      </c>
    </row>
    <row r="1714">
      <c r="A1714" s="1">
        <v>1709.0</v>
      </c>
      <c r="B1714" s="1" t="s">
        <v>306</v>
      </c>
      <c r="C1714" s="1">
        <v>35.0</v>
      </c>
      <c r="D1714" s="1">
        <v>709.0</v>
      </c>
      <c r="F1714" s="2" t="str">
        <f t="shared" si="1"/>
        <v>INSERT INTO tblExamQuestionLink VALUES (seqExamQuestionLink.nextval, 35, 709);</v>
      </c>
    </row>
    <row r="1715">
      <c r="A1715" s="1">
        <v>1710.0</v>
      </c>
      <c r="B1715" s="1" t="s">
        <v>306</v>
      </c>
      <c r="C1715" s="1">
        <v>35.0</v>
      </c>
      <c r="D1715" s="1">
        <v>710.0</v>
      </c>
      <c r="F1715" s="2" t="str">
        <f t="shared" si="1"/>
        <v>INSERT INTO tblExamQuestionLink VALUES (seqExamQuestionLink.nextval, 35, 710);</v>
      </c>
    </row>
    <row r="1716">
      <c r="A1716" s="1">
        <v>1711.0</v>
      </c>
      <c r="B1716" s="1" t="s">
        <v>306</v>
      </c>
      <c r="C1716" s="1">
        <v>35.0</v>
      </c>
      <c r="D1716" s="1">
        <v>711.0</v>
      </c>
      <c r="F1716" s="2" t="str">
        <f t="shared" si="1"/>
        <v>INSERT INTO tblExamQuestionLink VALUES (seqExamQuestionLink.nextval, 35, 711);</v>
      </c>
    </row>
    <row r="1717">
      <c r="A1717" s="1">
        <v>1712.0</v>
      </c>
      <c r="B1717" s="1" t="s">
        <v>306</v>
      </c>
      <c r="C1717" s="1">
        <v>35.0</v>
      </c>
      <c r="D1717" s="1">
        <v>712.0</v>
      </c>
      <c r="F1717" s="2" t="str">
        <f t="shared" si="1"/>
        <v>INSERT INTO tblExamQuestionLink VALUES (seqExamQuestionLink.nextval, 35, 712);</v>
      </c>
    </row>
    <row r="1718">
      <c r="A1718" s="1">
        <v>1713.0</v>
      </c>
      <c r="B1718" s="1" t="s">
        <v>306</v>
      </c>
      <c r="C1718" s="1">
        <v>35.0</v>
      </c>
      <c r="D1718" s="1">
        <v>713.0</v>
      </c>
      <c r="F1718" s="2" t="str">
        <f t="shared" si="1"/>
        <v>INSERT INTO tblExamQuestionLink VALUES (seqExamQuestionLink.nextval, 35, 713);</v>
      </c>
    </row>
    <row r="1719">
      <c r="A1719" s="1">
        <v>1714.0</v>
      </c>
      <c r="B1719" s="1" t="s">
        <v>306</v>
      </c>
      <c r="C1719" s="1">
        <v>35.0</v>
      </c>
      <c r="D1719" s="1">
        <v>714.0</v>
      </c>
      <c r="F1719" s="2" t="str">
        <f t="shared" si="1"/>
        <v>INSERT INTO tblExamQuestionLink VALUES (seqExamQuestionLink.nextval, 35, 714);</v>
      </c>
    </row>
    <row r="1720">
      <c r="A1720" s="1">
        <v>1715.0</v>
      </c>
      <c r="B1720" s="1" t="s">
        <v>306</v>
      </c>
      <c r="C1720" s="1">
        <v>35.0</v>
      </c>
      <c r="D1720" s="1">
        <v>715.0</v>
      </c>
      <c r="F1720" s="2" t="str">
        <f t="shared" si="1"/>
        <v>INSERT INTO tblExamQuestionLink VALUES (seqExamQuestionLink.nextval, 35, 715);</v>
      </c>
    </row>
    <row r="1721">
      <c r="A1721" s="1">
        <v>1716.0</v>
      </c>
      <c r="B1721" s="1" t="s">
        <v>306</v>
      </c>
      <c r="C1721" s="1">
        <v>35.0</v>
      </c>
      <c r="D1721" s="1">
        <v>716.0</v>
      </c>
      <c r="F1721" s="2" t="str">
        <f t="shared" si="1"/>
        <v>INSERT INTO tblExamQuestionLink VALUES (seqExamQuestionLink.nextval, 35, 716);</v>
      </c>
    </row>
    <row r="1722">
      <c r="A1722" s="1">
        <v>1717.0</v>
      </c>
      <c r="B1722" s="1" t="s">
        <v>306</v>
      </c>
      <c r="C1722" s="1">
        <v>35.0</v>
      </c>
      <c r="D1722" s="1">
        <v>717.0</v>
      </c>
      <c r="F1722" s="2" t="str">
        <f t="shared" si="1"/>
        <v>INSERT INTO tblExamQuestionLink VALUES (seqExamQuestionLink.nextval, 35, 717);</v>
      </c>
    </row>
    <row r="1723">
      <c r="A1723" s="1">
        <v>1718.0</v>
      </c>
      <c r="B1723" s="1" t="s">
        <v>306</v>
      </c>
      <c r="C1723" s="1">
        <v>35.0</v>
      </c>
      <c r="D1723" s="1">
        <v>718.0</v>
      </c>
      <c r="F1723" s="2" t="str">
        <f t="shared" si="1"/>
        <v>INSERT INTO tblExamQuestionLink VALUES (seqExamQuestionLink.nextval, 35, 718);</v>
      </c>
    </row>
    <row r="1724">
      <c r="A1724" s="1">
        <v>1719.0</v>
      </c>
      <c r="B1724" s="1" t="s">
        <v>306</v>
      </c>
      <c r="C1724" s="1">
        <v>35.0</v>
      </c>
      <c r="D1724" s="1">
        <v>719.0</v>
      </c>
      <c r="F1724" s="2" t="str">
        <f t="shared" si="1"/>
        <v>INSERT INTO tblExamQuestionLink VALUES (seqExamQuestionLink.nextval, 35, 719);</v>
      </c>
    </row>
    <row r="1725">
      <c r="A1725" s="1">
        <v>1720.0</v>
      </c>
      <c r="B1725" s="1" t="s">
        <v>306</v>
      </c>
      <c r="C1725" s="1">
        <v>35.0</v>
      </c>
      <c r="D1725" s="1">
        <v>720.0</v>
      </c>
      <c r="F1725" s="2" t="str">
        <f t="shared" si="1"/>
        <v>INSERT INTO tblExamQuestionLink VALUES (seqExamQuestionLink.nextval, 35, 720);</v>
      </c>
    </row>
    <row r="1726">
      <c r="A1726" s="1">
        <v>1721.0</v>
      </c>
      <c r="B1726" s="1" t="s">
        <v>306</v>
      </c>
      <c r="C1726" s="1">
        <v>35.0</v>
      </c>
      <c r="D1726" s="1">
        <v>721.0</v>
      </c>
      <c r="F1726" s="2" t="str">
        <f t="shared" si="1"/>
        <v>INSERT INTO tblExamQuestionLink VALUES (seqExamQuestionLink.nextval, 35, 721);</v>
      </c>
    </row>
    <row r="1727">
      <c r="A1727" s="1">
        <v>1722.0</v>
      </c>
      <c r="B1727" s="1" t="s">
        <v>306</v>
      </c>
      <c r="C1727" s="1">
        <v>35.0</v>
      </c>
      <c r="D1727" s="1">
        <v>722.0</v>
      </c>
      <c r="F1727" s="2" t="str">
        <f t="shared" si="1"/>
        <v>INSERT INTO tblExamQuestionLink VALUES (seqExamQuestionLink.nextval, 35, 722);</v>
      </c>
    </row>
    <row r="1728">
      <c r="A1728" s="1">
        <v>1723.0</v>
      </c>
      <c r="B1728" s="1" t="s">
        <v>306</v>
      </c>
      <c r="C1728" s="1">
        <v>35.0</v>
      </c>
      <c r="D1728" s="1">
        <v>723.0</v>
      </c>
      <c r="F1728" s="2" t="str">
        <f t="shared" si="1"/>
        <v>INSERT INTO tblExamQuestionLink VALUES (seqExamQuestionLink.nextval, 35, 723);</v>
      </c>
    </row>
    <row r="1729">
      <c r="A1729" s="1">
        <v>1724.0</v>
      </c>
      <c r="B1729" s="1" t="s">
        <v>306</v>
      </c>
      <c r="C1729" s="1">
        <v>35.0</v>
      </c>
      <c r="D1729" s="1">
        <v>724.0</v>
      </c>
      <c r="F1729" s="2" t="str">
        <f t="shared" si="1"/>
        <v>INSERT INTO tblExamQuestionLink VALUES (seqExamQuestionLink.nextval, 35, 724);</v>
      </c>
    </row>
    <row r="1730">
      <c r="A1730" s="1">
        <v>1725.0</v>
      </c>
      <c r="B1730" s="1" t="s">
        <v>306</v>
      </c>
      <c r="C1730" s="1">
        <v>35.0</v>
      </c>
      <c r="D1730" s="1">
        <v>725.0</v>
      </c>
      <c r="F1730" s="2" t="str">
        <f t="shared" si="1"/>
        <v>INSERT INTO tblExamQuestionLink VALUES (seqExamQuestionLink.nextval, 35, 725);</v>
      </c>
    </row>
    <row r="1731">
      <c r="A1731" s="1">
        <v>1726.0</v>
      </c>
      <c r="B1731" s="1" t="s">
        <v>306</v>
      </c>
      <c r="C1731" s="1">
        <v>35.0</v>
      </c>
      <c r="D1731" s="1">
        <v>726.0</v>
      </c>
      <c r="F1731" s="2" t="str">
        <f t="shared" si="1"/>
        <v>INSERT INTO tblExamQuestionLink VALUES (seqExamQuestionLink.nextval, 35, 726);</v>
      </c>
    </row>
    <row r="1732">
      <c r="A1732" s="1">
        <v>1727.0</v>
      </c>
      <c r="B1732" s="1" t="s">
        <v>306</v>
      </c>
      <c r="C1732" s="1">
        <v>35.0</v>
      </c>
      <c r="D1732" s="1">
        <v>727.0</v>
      </c>
      <c r="F1732" s="2" t="str">
        <f t="shared" si="1"/>
        <v>INSERT INTO tblExamQuestionLink VALUES (seqExamQuestionLink.nextval, 35, 727);</v>
      </c>
    </row>
    <row r="1733">
      <c r="A1733" s="1">
        <v>1728.0</v>
      </c>
      <c r="B1733" s="1" t="s">
        <v>306</v>
      </c>
      <c r="C1733" s="1">
        <v>35.0</v>
      </c>
      <c r="D1733" s="1">
        <v>728.0</v>
      </c>
      <c r="F1733" s="2" t="str">
        <f t="shared" si="1"/>
        <v>INSERT INTO tblExamQuestionLink VALUES (seqExamQuestionLink.nextval, 35, 728);</v>
      </c>
    </row>
    <row r="1734">
      <c r="A1734" s="1">
        <v>1729.0</v>
      </c>
      <c r="B1734" s="1" t="s">
        <v>306</v>
      </c>
      <c r="C1734" s="1">
        <v>35.0</v>
      </c>
      <c r="D1734" s="1">
        <v>729.0</v>
      </c>
      <c r="F1734" s="2" t="str">
        <f t="shared" si="1"/>
        <v>INSERT INTO tblExamQuestionLink VALUES (seqExamQuestionLink.nextval, 35, 729);</v>
      </c>
    </row>
    <row r="1735">
      <c r="A1735" s="1">
        <v>1730.0</v>
      </c>
      <c r="B1735" s="1" t="s">
        <v>306</v>
      </c>
      <c r="C1735" s="1">
        <v>35.0</v>
      </c>
      <c r="D1735" s="1">
        <v>730.0</v>
      </c>
      <c r="F1735" s="2" t="str">
        <f t="shared" si="1"/>
        <v>INSERT INTO tblExamQuestionLink VALUES (seqExamQuestionLink.nextval, 35, 730);</v>
      </c>
    </row>
    <row r="1736">
      <c r="A1736" s="1">
        <v>1731.0</v>
      </c>
      <c r="B1736" s="1" t="s">
        <v>306</v>
      </c>
      <c r="C1736" s="1">
        <v>35.0</v>
      </c>
      <c r="D1736" s="1">
        <v>731.0</v>
      </c>
      <c r="F1736" s="2" t="str">
        <f t="shared" si="1"/>
        <v>INSERT INTO tblExamQuestionLink VALUES (seqExamQuestionLink.nextval, 35, 731);</v>
      </c>
    </row>
    <row r="1737">
      <c r="A1737" s="1">
        <v>1732.0</v>
      </c>
      <c r="B1737" s="1" t="s">
        <v>306</v>
      </c>
      <c r="C1737" s="1">
        <v>35.0</v>
      </c>
      <c r="D1737" s="1">
        <v>732.0</v>
      </c>
      <c r="F1737" s="2" t="str">
        <f t="shared" si="1"/>
        <v>INSERT INTO tblExamQuestionLink VALUES (seqExamQuestionLink.nextval, 35, 732);</v>
      </c>
    </row>
    <row r="1738">
      <c r="A1738" s="1">
        <v>1733.0</v>
      </c>
      <c r="B1738" s="1" t="s">
        <v>306</v>
      </c>
      <c r="C1738" s="1">
        <v>35.0</v>
      </c>
      <c r="D1738" s="1">
        <v>733.0</v>
      </c>
      <c r="F1738" s="2" t="str">
        <f t="shared" si="1"/>
        <v>INSERT INTO tblExamQuestionLink VALUES (seqExamQuestionLink.nextval, 35, 733);</v>
      </c>
    </row>
    <row r="1739">
      <c r="A1739" s="1">
        <v>1734.0</v>
      </c>
      <c r="B1739" s="1" t="s">
        <v>306</v>
      </c>
      <c r="C1739" s="1">
        <v>35.0</v>
      </c>
      <c r="D1739" s="1">
        <v>734.0</v>
      </c>
      <c r="F1739" s="2" t="str">
        <f t="shared" si="1"/>
        <v>INSERT INTO tblExamQuestionLink VALUES (seqExamQuestionLink.nextval, 35, 734);</v>
      </c>
    </row>
    <row r="1740">
      <c r="A1740" s="1">
        <v>1735.0</v>
      </c>
      <c r="B1740" s="1" t="s">
        <v>306</v>
      </c>
      <c r="C1740" s="1">
        <v>35.0</v>
      </c>
      <c r="D1740" s="1">
        <v>735.0</v>
      </c>
      <c r="F1740" s="2" t="str">
        <f t="shared" si="1"/>
        <v>INSERT INTO tblExamQuestionLink VALUES (seqExamQuestionLink.nextval, 35, 735);</v>
      </c>
    </row>
    <row r="1741">
      <c r="A1741" s="1">
        <v>1736.0</v>
      </c>
      <c r="B1741" s="1" t="s">
        <v>306</v>
      </c>
      <c r="C1741" s="1">
        <v>35.0</v>
      </c>
      <c r="D1741" s="1">
        <v>736.0</v>
      </c>
      <c r="F1741" s="2" t="str">
        <f t="shared" si="1"/>
        <v>INSERT INTO tblExamQuestionLink VALUES (seqExamQuestionLink.nextval, 35, 736);</v>
      </c>
    </row>
    <row r="1742">
      <c r="A1742" s="1">
        <v>1737.0</v>
      </c>
      <c r="B1742" s="1" t="s">
        <v>306</v>
      </c>
      <c r="C1742" s="1">
        <v>35.0</v>
      </c>
      <c r="D1742" s="1">
        <v>737.0</v>
      </c>
      <c r="F1742" s="2" t="str">
        <f t="shared" si="1"/>
        <v>INSERT INTO tblExamQuestionLink VALUES (seqExamQuestionLink.nextval, 35, 737);</v>
      </c>
    </row>
    <row r="1743">
      <c r="A1743" s="1">
        <v>1738.0</v>
      </c>
      <c r="B1743" s="1" t="s">
        <v>306</v>
      </c>
      <c r="C1743" s="1">
        <v>35.0</v>
      </c>
      <c r="D1743" s="1">
        <v>738.0</v>
      </c>
      <c r="F1743" s="2" t="str">
        <f t="shared" si="1"/>
        <v>INSERT INTO tblExamQuestionLink VALUES (seqExamQuestionLink.nextval, 35, 738);</v>
      </c>
    </row>
    <row r="1744">
      <c r="A1744" s="1">
        <v>1739.0</v>
      </c>
      <c r="B1744" s="1" t="s">
        <v>306</v>
      </c>
      <c r="C1744" s="1">
        <v>35.0</v>
      </c>
      <c r="D1744" s="1">
        <v>739.0</v>
      </c>
      <c r="F1744" s="2" t="str">
        <f t="shared" si="1"/>
        <v>INSERT INTO tblExamQuestionLink VALUES (seqExamQuestionLink.nextval, 35, 739);</v>
      </c>
    </row>
    <row r="1745">
      <c r="A1745" s="1">
        <v>1740.0</v>
      </c>
      <c r="B1745" s="1" t="s">
        <v>306</v>
      </c>
      <c r="C1745" s="1">
        <v>35.0</v>
      </c>
      <c r="D1745" s="1">
        <v>740.0</v>
      </c>
      <c r="F1745" s="2" t="str">
        <f t="shared" si="1"/>
        <v>INSERT INTO tblExamQuestionLink VALUES (seqExamQuestionLink.nextval, 35, 740);</v>
      </c>
    </row>
    <row r="1746">
      <c r="A1746" s="1">
        <v>1741.0</v>
      </c>
      <c r="B1746" s="1" t="s">
        <v>306</v>
      </c>
      <c r="C1746" s="1">
        <v>35.0</v>
      </c>
      <c r="D1746" s="1">
        <v>741.0</v>
      </c>
      <c r="F1746" s="2" t="str">
        <f t="shared" si="1"/>
        <v>INSERT INTO tblExamQuestionLink VALUES (seqExamQuestionLink.nextval, 35, 741);</v>
      </c>
    </row>
    <row r="1747">
      <c r="A1747" s="1">
        <v>1742.0</v>
      </c>
      <c r="B1747" s="1" t="s">
        <v>306</v>
      </c>
      <c r="C1747" s="1">
        <v>35.0</v>
      </c>
      <c r="D1747" s="1">
        <v>742.0</v>
      </c>
      <c r="F1747" s="2" t="str">
        <f t="shared" si="1"/>
        <v>INSERT INTO tblExamQuestionLink VALUES (seqExamQuestionLink.nextval, 35, 742);</v>
      </c>
    </row>
    <row r="1748">
      <c r="A1748" s="1">
        <v>1743.0</v>
      </c>
      <c r="B1748" s="1" t="s">
        <v>306</v>
      </c>
      <c r="C1748" s="1">
        <v>35.0</v>
      </c>
      <c r="D1748" s="1">
        <v>743.0</v>
      </c>
      <c r="F1748" s="2" t="str">
        <f t="shared" si="1"/>
        <v>INSERT INTO tblExamQuestionLink VALUES (seqExamQuestionLink.nextval, 35, 743);</v>
      </c>
    </row>
    <row r="1749">
      <c r="A1749" s="1">
        <v>1744.0</v>
      </c>
      <c r="B1749" s="1" t="s">
        <v>306</v>
      </c>
      <c r="C1749" s="1">
        <v>35.0</v>
      </c>
      <c r="D1749" s="1">
        <v>744.0</v>
      </c>
      <c r="F1749" s="2" t="str">
        <f t="shared" si="1"/>
        <v>INSERT INTO tblExamQuestionLink VALUES (seqExamQuestionLink.nextval, 35, 744);</v>
      </c>
    </row>
    <row r="1750">
      <c r="A1750" s="1">
        <v>1745.0</v>
      </c>
      <c r="B1750" s="1" t="s">
        <v>306</v>
      </c>
      <c r="C1750" s="1">
        <v>35.0</v>
      </c>
      <c r="D1750" s="1">
        <v>745.0</v>
      </c>
      <c r="F1750" s="2" t="str">
        <f t="shared" si="1"/>
        <v>INSERT INTO tblExamQuestionLink VALUES (seqExamQuestionLink.nextval, 35, 745);</v>
      </c>
    </row>
    <row r="1751">
      <c r="A1751" s="1">
        <v>1746.0</v>
      </c>
      <c r="B1751" s="1" t="s">
        <v>306</v>
      </c>
      <c r="C1751" s="1">
        <v>35.0</v>
      </c>
      <c r="D1751" s="1">
        <v>746.0</v>
      </c>
      <c r="F1751" s="2" t="str">
        <f t="shared" si="1"/>
        <v>INSERT INTO tblExamQuestionLink VALUES (seqExamQuestionLink.nextval, 35, 746);</v>
      </c>
    </row>
    <row r="1752">
      <c r="A1752" s="1">
        <v>1747.0</v>
      </c>
      <c r="B1752" s="1" t="s">
        <v>306</v>
      </c>
      <c r="C1752" s="1">
        <v>35.0</v>
      </c>
      <c r="D1752" s="1">
        <v>747.0</v>
      </c>
      <c r="F1752" s="2" t="str">
        <f t="shared" si="1"/>
        <v>INSERT INTO tblExamQuestionLink VALUES (seqExamQuestionLink.nextval, 35, 747);</v>
      </c>
    </row>
    <row r="1753">
      <c r="A1753" s="1">
        <v>1748.0</v>
      </c>
      <c r="B1753" s="1" t="s">
        <v>306</v>
      </c>
      <c r="C1753" s="1">
        <v>35.0</v>
      </c>
      <c r="D1753" s="1">
        <v>748.0</v>
      </c>
      <c r="F1753" s="2" t="str">
        <f t="shared" si="1"/>
        <v>INSERT INTO tblExamQuestionLink VALUES (seqExamQuestionLink.nextval, 35, 748);</v>
      </c>
    </row>
    <row r="1754">
      <c r="A1754" s="1">
        <v>1749.0</v>
      </c>
      <c r="B1754" s="1" t="s">
        <v>306</v>
      </c>
      <c r="C1754" s="1">
        <v>35.0</v>
      </c>
      <c r="D1754" s="1">
        <v>749.0</v>
      </c>
      <c r="F1754" s="2" t="str">
        <f t="shared" si="1"/>
        <v>INSERT INTO tblExamQuestionLink VALUES (seqExamQuestionLink.nextval, 35, 749);</v>
      </c>
    </row>
    <row r="1755">
      <c r="A1755" s="1">
        <v>1750.0</v>
      </c>
      <c r="B1755" s="1" t="s">
        <v>306</v>
      </c>
      <c r="C1755" s="1">
        <v>35.0</v>
      </c>
      <c r="D1755" s="1">
        <v>750.0</v>
      </c>
      <c r="F1755" s="2" t="str">
        <f t="shared" si="1"/>
        <v>INSERT INTO tblExamQuestionLink VALUES (seqExamQuestionLink.nextval, 35, 750);</v>
      </c>
    </row>
    <row r="1756">
      <c r="A1756" s="1">
        <v>1751.0</v>
      </c>
      <c r="B1756" s="1" t="s">
        <v>306</v>
      </c>
      <c r="C1756" s="1">
        <v>36.0</v>
      </c>
      <c r="D1756" s="1">
        <v>751.0</v>
      </c>
      <c r="F1756" s="2" t="str">
        <f t="shared" si="1"/>
        <v>INSERT INTO tblExamQuestionLink VALUES (seqExamQuestionLink.nextval, 36, 751);</v>
      </c>
    </row>
    <row r="1757">
      <c r="A1757" s="1">
        <v>1752.0</v>
      </c>
      <c r="B1757" s="1" t="s">
        <v>306</v>
      </c>
      <c r="C1757" s="1">
        <v>36.0</v>
      </c>
      <c r="D1757" s="1">
        <v>752.0</v>
      </c>
      <c r="F1757" s="2" t="str">
        <f t="shared" si="1"/>
        <v>INSERT INTO tblExamQuestionLink VALUES (seqExamQuestionLink.nextval, 36, 752);</v>
      </c>
    </row>
    <row r="1758">
      <c r="A1758" s="1">
        <v>1753.0</v>
      </c>
      <c r="B1758" s="1" t="s">
        <v>306</v>
      </c>
      <c r="C1758" s="1">
        <v>36.0</v>
      </c>
      <c r="D1758" s="1">
        <v>753.0</v>
      </c>
      <c r="F1758" s="2" t="str">
        <f t="shared" si="1"/>
        <v>INSERT INTO tblExamQuestionLink VALUES (seqExamQuestionLink.nextval, 36, 753);</v>
      </c>
    </row>
    <row r="1759">
      <c r="A1759" s="1">
        <v>1754.0</v>
      </c>
      <c r="B1759" s="1" t="s">
        <v>306</v>
      </c>
      <c r="C1759" s="1">
        <v>36.0</v>
      </c>
      <c r="D1759" s="1">
        <v>754.0</v>
      </c>
      <c r="F1759" s="2" t="str">
        <f t="shared" si="1"/>
        <v>INSERT INTO tblExamQuestionLink VALUES (seqExamQuestionLink.nextval, 36, 754);</v>
      </c>
    </row>
    <row r="1760">
      <c r="A1760" s="1">
        <v>1755.0</v>
      </c>
      <c r="B1760" s="1" t="s">
        <v>306</v>
      </c>
      <c r="C1760" s="1">
        <v>36.0</v>
      </c>
      <c r="D1760" s="1">
        <v>755.0</v>
      </c>
      <c r="F1760" s="2" t="str">
        <f t="shared" si="1"/>
        <v>INSERT INTO tblExamQuestionLink VALUES (seqExamQuestionLink.nextval, 36, 755);</v>
      </c>
    </row>
    <row r="1761">
      <c r="A1761" s="1">
        <v>1756.0</v>
      </c>
      <c r="B1761" s="1" t="s">
        <v>306</v>
      </c>
      <c r="C1761" s="1">
        <v>36.0</v>
      </c>
      <c r="D1761" s="1">
        <v>756.0</v>
      </c>
      <c r="F1761" s="2" t="str">
        <f t="shared" si="1"/>
        <v>INSERT INTO tblExamQuestionLink VALUES (seqExamQuestionLink.nextval, 36, 756);</v>
      </c>
    </row>
    <row r="1762">
      <c r="A1762" s="1">
        <v>1757.0</v>
      </c>
      <c r="B1762" s="1" t="s">
        <v>306</v>
      </c>
      <c r="C1762" s="1">
        <v>36.0</v>
      </c>
      <c r="D1762" s="1">
        <v>757.0</v>
      </c>
      <c r="F1762" s="2" t="str">
        <f t="shared" si="1"/>
        <v>INSERT INTO tblExamQuestionLink VALUES (seqExamQuestionLink.nextval, 36, 757);</v>
      </c>
    </row>
    <row r="1763">
      <c r="A1763" s="1">
        <v>1758.0</v>
      </c>
      <c r="B1763" s="1" t="s">
        <v>306</v>
      </c>
      <c r="C1763" s="1">
        <v>36.0</v>
      </c>
      <c r="D1763" s="1">
        <v>758.0</v>
      </c>
      <c r="F1763" s="2" t="str">
        <f t="shared" si="1"/>
        <v>INSERT INTO tblExamQuestionLink VALUES (seqExamQuestionLink.nextval, 36, 758);</v>
      </c>
    </row>
    <row r="1764">
      <c r="A1764" s="1">
        <v>1759.0</v>
      </c>
      <c r="B1764" s="1" t="s">
        <v>306</v>
      </c>
      <c r="C1764" s="1">
        <v>36.0</v>
      </c>
      <c r="D1764" s="1">
        <v>759.0</v>
      </c>
      <c r="F1764" s="2" t="str">
        <f t="shared" si="1"/>
        <v>INSERT INTO tblExamQuestionLink VALUES (seqExamQuestionLink.nextval, 36, 759);</v>
      </c>
    </row>
    <row r="1765">
      <c r="A1765" s="1">
        <v>1760.0</v>
      </c>
      <c r="B1765" s="1" t="s">
        <v>306</v>
      </c>
      <c r="C1765" s="1">
        <v>36.0</v>
      </c>
      <c r="D1765" s="1">
        <v>760.0</v>
      </c>
      <c r="F1765" s="2" t="str">
        <f t="shared" si="1"/>
        <v>INSERT INTO tblExamQuestionLink VALUES (seqExamQuestionLink.nextval, 36, 760);</v>
      </c>
    </row>
    <row r="1766">
      <c r="A1766" s="1">
        <v>1761.0</v>
      </c>
      <c r="B1766" s="1" t="s">
        <v>306</v>
      </c>
      <c r="C1766" s="1">
        <v>36.0</v>
      </c>
      <c r="D1766" s="1">
        <v>761.0</v>
      </c>
      <c r="F1766" s="2" t="str">
        <f t="shared" si="1"/>
        <v>INSERT INTO tblExamQuestionLink VALUES (seqExamQuestionLink.nextval, 36, 761);</v>
      </c>
    </row>
    <row r="1767">
      <c r="A1767" s="1">
        <v>1762.0</v>
      </c>
      <c r="B1767" s="1" t="s">
        <v>306</v>
      </c>
      <c r="C1767" s="1">
        <v>36.0</v>
      </c>
      <c r="D1767" s="1">
        <v>762.0</v>
      </c>
      <c r="F1767" s="2" t="str">
        <f t="shared" si="1"/>
        <v>INSERT INTO tblExamQuestionLink VALUES (seqExamQuestionLink.nextval, 36, 762);</v>
      </c>
    </row>
    <row r="1768">
      <c r="A1768" s="1">
        <v>1763.0</v>
      </c>
      <c r="B1768" s="1" t="s">
        <v>306</v>
      </c>
      <c r="C1768" s="1">
        <v>36.0</v>
      </c>
      <c r="D1768" s="1">
        <v>763.0</v>
      </c>
      <c r="F1768" s="2" t="str">
        <f t="shared" si="1"/>
        <v>INSERT INTO tblExamQuestionLink VALUES (seqExamQuestionLink.nextval, 36, 763);</v>
      </c>
    </row>
    <row r="1769">
      <c r="A1769" s="1">
        <v>1764.0</v>
      </c>
      <c r="B1769" s="1" t="s">
        <v>306</v>
      </c>
      <c r="C1769" s="1">
        <v>36.0</v>
      </c>
      <c r="D1769" s="1">
        <v>764.0</v>
      </c>
      <c r="F1769" s="2" t="str">
        <f t="shared" si="1"/>
        <v>INSERT INTO tblExamQuestionLink VALUES (seqExamQuestionLink.nextval, 36, 764);</v>
      </c>
    </row>
    <row r="1770">
      <c r="A1770" s="1">
        <v>1765.0</v>
      </c>
      <c r="B1770" s="1" t="s">
        <v>306</v>
      </c>
      <c r="C1770" s="1">
        <v>36.0</v>
      </c>
      <c r="D1770" s="1">
        <v>765.0</v>
      </c>
      <c r="F1770" s="2" t="str">
        <f t="shared" si="1"/>
        <v>INSERT INTO tblExamQuestionLink VALUES (seqExamQuestionLink.nextval, 36, 765);</v>
      </c>
    </row>
    <row r="1771">
      <c r="A1771" s="1">
        <v>1766.0</v>
      </c>
      <c r="B1771" s="1" t="s">
        <v>306</v>
      </c>
      <c r="C1771" s="1">
        <v>36.0</v>
      </c>
      <c r="D1771" s="1">
        <v>766.0</v>
      </c>
      <c r="F1771" s="2" t="str">
        <f t="shared" si="1"/>
        <v>INSERT INTO tblExamQuestionLink VALUES (seqExamQuestionLink.nextval, 36, 766);</v>
      </c>
    </row>
    <row r="1772">
      <c r="A1772" s="1">
        <v>1767.0</v>
      </c>
      <c r="B1772" s="1" t="s">
        <v>306</v>
      </c>
      <c r="C1772" s="1">
        <v>36.0</v>
      </c>
      <c r="D1772" s="1">
        <v>767.0</v>
      </c>
      <c r="F1772" s="2" t="str">
        <f t="shared" si="1"/>
        <v>INSERT INTO tblExamQuestionLink VALUES (seqExamQuestionLink.nextval, 36, 767);</v>
      </c>
    </row>
    <row r="1773">
      <c r="A1773" s="1">
        <v>1768.0</v>
      </c>
      <c r="B1773" s="1" t="s">
        <v>306</v>
      </c>
      <c r="C1773" s="1">
        <v>36.0</v>
      </c>
      <c r="D1773" s="1">
        <v>768.0</v>
      </c>
      <c r="F1773" s="2" t="str">
        <f t="shared" si="1"/>
        <v>INSERT INTO tblExamQuestionLink VALUES (seqExamQuestionLink.nextval, 36, 768);</v>
      </c>
    </row>
    <row r="1774">
      <c r="A1774" s="1">
        <v>1769.0</v>
      </c>
      <c r="B1774" s="1" t="s">
        <v>306</v>
      </c>
      <c r="C1774" s="1">
        <v>36.0</v>
      </c>
      <c r="D1774" s="1">
        <v>769.0</v>
      </c>
      <c r="F1774" s="2" t="str">
        <f t="shared" si="1"/>
        <v>INSERT INTO tblExamQuestionLink VALUES (seqExamQuestionLink.nextval, 36, 769);</v>
      </c>
    </row>
    <row r="1775">
      <c r="A1775" s="1">
        <v>1770.0</v>
      </c>
      <c r="B1775" s="1" t="s">
        <v>306</v>
      </c>
      <c r="C1775" s="1">
        <v>36.0</v>
      </c>
      <c r="D1775" s="1">
        <v>770.0</v>
      </c>
      <c r="F1775" s="2" t="str">
        <f t="shared" si="1"/>
        <v>INSERT INTO tblExamQuestionLink VALUES (seqExamQuestionLink.nextval, 36, 770);</v>
      </c>
    </row>
    <row r="1776">
      <c r="A1776" s="1">
        <v>1771.0</v>
      </c>
      <c r="B1776" s="1" t="s">
        <v>306</v>
      </c>
      <c r="C1776" s="1">
        <v>36.0</v>
      </c>
      <c r="D1776" s="1">
        <v>771.0</v>
      </c>
      <c r="F1776" s="2" t="str">
        <f t="shared" si="1"/>
        <v>INSERT INTO tblExamQuestionLink VALUES (seqExamQuestionLink.nextval, 36, 771);</v>
      </c>
    </row>
    <row r="1777">
      <c r="A1777" s="1">
        <v>1772.0</v>
      </c>
      <c r="B1777" s="1" t="s">
        <v>306</v>
      </c>
      <c r="C1777" s="1">
        <v>36.0</v>
      </c>
      <c r="D1777" s="1">
        <v>772.0</v>
      </c>
      <c r="F1777" s="2" t="str">
        <f t="shared" si="1"/>
        <v>INSERT INTO tblExamQuestionLink VALUES (seqExamQuestionLink.nextval, 36, 772);</v>
      </c>
    </row>
    <row r="1778">
      <c r="A1778" s="1">
        <v>1773.0</v>
      </c>
      <c r="B1778" s="1" t="s">
        <v>306</v>
      </c>
      <c r="C1778" s="1">
        <v>36.0</v>
      </c>
      <c r="D1778" s="1">
        <v>773.0</v>
      </c>
      <c r="F1778" s="2" t="str">
        <f t="shared" si="1"/>
        <v>INSERT INTO tblExamQuestionLink VALUES (seqExamQuestionLink.nextval, 36, 773);</v>
      </c>
    </row>
    <row r="1779">
      <c r="A1779" s="1">
        <v>1774.0</v>
      </c>
      <c r="B1779" s="1" t="s">
        <v>306</v>
      </c>
      <c r="C1779" s="1">
        <v>36.0</v>
      </c>
      <c r="D1779" s="1">
        <v>774.0</v>
      </c>
      <c r="F1779" s="2" t="str">
        <f t="shared" si="1"/>
        <v>INSERT INTO tblExamQuestionLink VALUES (seqExamQuestionLink.nextval, 36, 774);</v>
      </c>
    </row>
    <row r="1780">
      <c r="A1780" s="1">
        <v>1775.0</v>
      </c>
      <c r="B1780" s="1" t="s">
        <v>306</v>
      </c>
      <c r="C1780" s="1">
        <v>36.0</v>
      </c>
      <c r="D1780" s="1">
        <v>775.0</v>
      </c>
      <c r="F1780" s="2" t="str">
        <f t="shared" si="1"/>
        <v>INSERT INTO tblExamQuestionLink VALUES (seqExamQuestionLink.nextval, 36, 775);</v>
      </c>
    </row>
    <row r="1781">
      <c r="A1781" s="1">
        <v>1776.0</v>
      </c>
      <c r="B1781" s="1" t="s">
        <v>306</v>
      </c>
      <c r="C1781" s="1">
        <v>36.0</v>
      </c>
      <c r="D1781" s="1">
        <v>776.0</v>
      </c>
      <c r="F1781" s="2" t="str">
        <f t="shared" si="1"/>
        <v>INSERT INTO tblExamQuestionLink VALUES (seqExamQuestionLink.nextval, 36, 776);</v>
      </c>
    </row>
    <row r="1782">
      <c r="A1782" s="1">
        <v>1777.0</v>
      </c>
      <c r="B1782" s="1" t="s">
        <v>306</v>
      </c>
      <c r="C1782" s="1">
        <v>36.0</v>
      </c>
      <c r="D1782" s="1">
        <v>777.0</v>
      </c>
      <c r="F1782" s="2" t="str">
        <f t="shared" si="1"/>
        <v>INSERT INTO tblExamQuestionLink VALUES (seqExamQuestionLink.nextval, 36, 777);</v>
      </c>
    </row>
    <row r="1783">
      <c r="A1783" s="1">
        <v>1778.0</v>
      </c>
      <c r="B1783" s="1" t="s">
        <v>306</v>
      </c>
      <c r="C1783" s="1">
        <v>36.0</v>
      </c>
      <c r="D1783" s="1">
        <v>778.0</v>
      </c>
      <c r="F1783" s="2" t="str">
        <f t="shared" si="1"/>
        <v>INSERT INTO tblExamQuestionLink VALUES (seqExamQuestionLink.nextval, 36, 778);</v>
      </c>
    </row>
    <row r="1784">
      <c r="A1784" s="1">
        <v>1779.0</v>
      </c>
      <c r="B1784" s="1" t="s">
        <v>306</v>
      </c>
      <c r="C1784" s="1">
        <v>36.0</v>
      </c>
      <c r="D1784" s="1">
        <v>779.0</v>
      </c>
      <c r="F1784" s="2" t="str">
        <f t="shared" si="1"/>
        <v>INSERT INTO tblExamQuestionLink VALUES (seqExamQuestionLink.nextval, 36, 779);</v>
      </c>
    </row>
    <row r="1785">
      <c r="A1785" s="1">
        <v>1780.0</v>
      </c>
      <c r="B1785" s="1" t="s">
        <v>306</v>
      </c>
      <c r="C1785" s="1">
        <v>36.0</v>
      </c>
      <c r="D1785" s="1">
        <v>780.0</v>
      </c>
      <c r="F1785" s="2" t="str">
        <f t="shared" si="1"/>
        <v>INSERT INTO tblExamQuestionLink VALUES (seqExamQuestionLink.nextval, 36, 780);</v>
      </c>
    </row>
    <row r="1786">
      <c r="A1786" s="1">
        <v>1781.0</v>
      </c>
      <c r="B1786" s="1" t="s">
        <v>306</v>
      </c>
      <c r="C1786" s="1">
        <v>36.0</v>
      </c>
      <c r="D1786" s="1">
        <v>781.0</v>
      </c>
      <c r="F1786" s="2" t="str">
        <f t="shared" si="1"/>
        <v>INSERT INTO tblExamQuestionLink VALUES (seqExamQuestionLink.nextval, 36, 781);</v>
      </c>
    </row>
    <row r="1787">
      <c r="A1787" s="1">
        <v>1782.0</v>
      </c>
      <c r="B1787" s="1" t="s">
        <v>306</v>
      </c>
      <c r="C1787" s="1">
        <v>36.0</v>
      </c>
      <c r="D1787" s="1">
        <v>782.0</v>
      </c>
      <c r="F1787" s="2" t="str">
        <f t="shared" si="1"/>
        <v>INSERT INTO tblExamQuestionLink VALUES (seqExamQuestionLink.nextval, 36, 782);</v>
      </c>
    </row>
    <row r="1788">
      <c r="A1788" s="1">
        <v>1783.0</v>
      </c>
      <c r="B1788" s="1" t="s">
        <v>306</v>
      </c>
      <c r="C1788" s="1">
        <v>36.0</v>
      </c>
      <c r="D1788" s="1">
        <v>783.0</v>
      </c>
      <c r="F1788" s="2" t="str">
        <f t="shared" si="1"/>
        <v>INSERT INTO tblExamQuestionLink VALUES (seqExamQuestionLink.nextval, 36, 783);</v>
      </c>
    </row>
    <row r="1789">
      <c r="A1789" s="1">
        <v>1784.0</v>
      </c>
      <c r="B1789" s="1" t="s">
        <v>306</v>
      </c>
      <c r="C1789" s="1">
        <v>36.0</v>
      </c>
      <c r="D1789" s="1">
        <v>784.0</v>
      </c>
      <c r="F1789" s="2" t="str">
        <f t="shared" si="1"/>
        <v>INSERT INTO tblExamQuestionLink VALUES (seqExamQuestionLink.nextval, 36, 784);</v>
      </c>
    </row>
    <row r="1790">
      <c r="A1790" s="1">
        <v>1785.0</v>
      </c>
      <c r="B1790" s="1" t="s">
        <v>306</v>
      </c>
      <c r="C1790" s="1">
        <v>36.0</v>
      </c>
      <c r="D1790" s="1">
        <v>785.0</v>
      </c>
      <c r="F1790" s="2" t="str">
        <f t="shared" si="1"/>
        <v>INSERT INTO tblExamQuestionLink VALUES (seqExamQuestionLink.nextval, 36, 785);</v>
      </c>
    </row>
    <row r="1791">
      <c r="A1791" s="1">
        <v>1786.0</v>
      </c>
      <c r="B1791" s="1" t="s">
        <v>306</v>
      </c>
      <c r="C1791" s="1">
        <v>36.0</v>
      </c>
      <c r="D1791" s="1">
        <v>786.0</v>
      </c>
      <c r="F1791" s="2" t="str">
        <f t="shared" si="1"/>
        <v>INSERT INTO tblExamQuestionLink VALUES (seqExamQuestionLink.nextval, 36, 786);</v>
      </c>
    </row>
    <row r="1792">
      <c r="A1792" s="1">
        <v>1787.0</v>
      </c>
      <c r="B1792" s="1" t="s">
        <v>306</v>
      </c>
      <c r="C1792" s="1">
        <v>36.0</v>
      </c>
      <c r="D1792" s="1">
        <v>787.0</v>
      </c>
      <c r="F1792" s="2" t="str">
        <f t="shared" si="1"/>
        <v>INSERT INTO tblExamQuestionLink VALUES (seqExamQuestionLink.nextval, 36, 787);</v>
      </c>
    </row>
    <row r="1793">
      <c r="A1793" s="1">
        <v>1788.0</v>
      </c>
      <c r="B1793" s="1" t="s">
        <v>306</v>
      </c>
      <c r="C1793" s="1">
        <v>36.0</v>
      </c>
      <c r="D1793" s="1">
        <v>788.0</v>
      </c>
      <c r="F1793" s="2" t="str">
        <f t="shared" si="1"/>
        <v>INSERT INTO tblExamQuestionLink VALUES (seqExamQuestionLink.nextval, 36, 788);</v>
      </c>
    </row>
    <row r="1794">
      <c r="A1794" s="1">
        <v>1789.0</v>
      </c>
      <c r="B1794" s="1" t="s">
        <v>306</v>
      </c>
      <c r="C1794" s="1">
        <v>36.0</v>
      </c>
      <c r="D1794" s="1">
        <v>789.0</v>
      </c>
      <c r="F1794" s="2" t="str">
        <f t="shared" si="1"/>
        <v>INSERT INTO tblExamQuestionLink VALUES (seqExamQuestionLink.nextval, 36, 789);</v>
      </c>
    </row>
    <row r="1795">
      <c r="A1795" s="1">
        <v>1790.0</v>
      </c>
      <c r="B1795" s="1" t="s">
        <v>306</v>
      </c>
      <c r="C1795" s="1">
        <v>36.0</v>
      </c>
      <c r="D1795" s="1">
        <v>790.0</v>
      </c>
      <c r="F1795" s="2" t="str">
        <f t="shared" si="1"/>
        <v>INSERT INTO tblExamQuestionLink VALUES (seqExamQuestionLink.nextval, 36, 790);</v>
      </c>
    </row>
    <row r="1796">
      <c r="A1796" s="1">
        <v>1791.0</v>
      </c>
      <c r="B1796" s="1" t="s">
        <v>306</v>
      </c>
      <c r="C1796" s="1">
        <v>36.0</v>
      </c>
      <c r="D1796" s="1">
        <v>791.0</v>
      </c>
      <c r="F1796" s="2" t="str">
        <f t="shared" si="1"/>
        <v>INSERT INTO tblExamQuestionLink VALUES (seqExamQuestionLink.nextval, 36, 791);</v>
      </c>
    </row>
    <row r="1797">
      <c r="A1797" s="1">
        <v>1792.0</v>
      </c>
      <c r="B1797" s="1" t="s">
        <v>306</v>
      </c>
      <c r="C1797" s="1">
        <v>36.0</v>
      </c>
      <c r="D1797" s="1">
        <v>792.0</v>
      </c>
      <c r="F1797" s="2" t="str">
        <f t="shared" si="1"/>
        <v>INSERT INTO tblExamQuestionLink VALUES (seqExamQuestionLink.nextval, 36, 792);</v>
      </c>
    </row>
    <row r="1798">
      <c r="A1798" s="1">
        <v>1793.0</v>
      </c>
      <c r="B1798" s="1" t="s">
        <v>306</v>
      </c>
      <c r="C1798" s="1">
        <v>36.0</v>
      </c>
      <c r="D1798" s="1">
        <v>793.0</v>
      </c>
      <c r="F1798" s="2" t="str">
        <f t="shared" si="1"/>
        <v>INSERT INTO tblExamQuestionLink VALUES (seqExamQuestionLink.nextval, 36, 793);</v>
      </c>
    </row>
    <row r="1799">
      <c r="A1799" s="1">
        <v>1794.0</v>
      </c>
      <c r="B1799" s="1" t="s">
        <v>306</v>
      </c>
      <c r="C1799" s="1">
        <v>36.0</v>
      </c>
      <c r="D1799" s="1">
        <v>794.0</v>
      </c>
      <c r="F1799" s="2" t="str">
        <f t="shared" si="1"/>
        <v>INSERT INTO tblExamQuestionLink VALUES (seqExamQuestionLink.nextval, 36, 794);</v>
      </c>
    </row>
    <row r="1800">
      <c r="A1800" s="1">
        <v>1795.0</v>
      </c>
      <c r="B1800" s="1" t="s">
        <v>306</v>
      </c>
      <c r="C1800" s="1">
        <v>36.0</v>
      </c>
      <c r="D1800" s="1">
        <v>795.0</v>
      </c>
      <c r="F1800" s="2" t="str">
        <f t="shared" si="1"/>
        <v>INSERT INTO tblExamQuestionLink VALUES (seqExamQuestionLink.nextval, 36, 795);</v>
      </c>
    </row>
    <row r="1801">
      <c r="A1801" s="1">
        <v>1796.0</v>
      </c>
      <c r="B1801" s="1" t="s">
        <v>306</v>
      </c>
      <c r="C1801" s="1">
        <v>36.0</v>
      </c>
      <c r="D1801" s="1">
        <v>796.0</v>
      </c>
      <c r="F1801" s="2" t="str">
        <f t="shared" si="1"/>
        <v>INSERT INTO tblExamQuestionLink VALUES (seqExamQuestionLink.nextval, 36, 796);</v>
      </c>
    </row>
    <row r="1802">
      <c r="A1802" s="1">
        <v>1797.0</v>
      </c>
      <c r="B1802" s="1" t="s">
        <v>306</v>
      </c>
      <c r="C1802" s="1">
        <v>36.0</v>
      </c>
      <c r="D1802" s="1">
        <v>797.0</v>
      </c>
      <c r="F1802" s="2" t="str">
        <f t="shared" si="1"/>
        <v>INSERT INTO tblExamQuestionLink VALUES (seqExamQuestionLink.nextval, 36, 797);</v>
      </c>
    </row>
    <row r="1803">
      <c r="A1803" s="1">
        <v>1798.0</v>
      </c>
      <c r="B1803" s="1" t="s">
        <v>306</v>
      </c>
      <c r="C1803" s="1">
        <v>36.0</v>
      </c>
      <c r="D1803" s="1">
        <v>798.0</v>
      </c>
      <c r="F1803" s="2" t="str">
        <f t="shared" si="1"/>
        <v>INSERT INTO tblExamQuestionLink VALUES (seqExamQuestionLink.nextval, 36, 798);</v>
      </c>
    </row>
    <row r="1804">
      <c r="A1804" s="1">
        <v>1799.0</v>
      </c>
      <c r="B1804" s="1" t="s">
        <v>306</v>
      </c>
      <c r="C1804" s="1">
        <v>36.0</v>
      </c>
      <c r="D1804" s="1">
        <v>799.0</v>
      </c>
      <c r="F1804" s="2" t="str">
        <f t="shared" si="1"/>
        <v>INSERT INTO tblExamQuestionLink VALUES (seqExamQuestionLink.nextval, 36, 799);</v>
      </c>
    </row>
    <row r="1805">
      <c r="A1805" s="1">
        <v>1800.0</v>
      </c>
      <c r="B1805" s="1" t="s">
        <v>306</v>
      </c>
      <c r="C1805" s="1">
        <v>36.0</v>
      </c>
      <c r="D1805" s="1">
        <v>800.0</v>
      </c>
      <c r="F1805" s="2" t="str">
        <f t="shared" si="1"/>
        <v>INSERT INTO tblExamQuestionLink VALUES (seqExamQuestionLink.nextval, 36, 800);</v>
      </c>
    </row>
    <row r="1806">
      <c r="A1806" s="1">
        <v>1801.0</v>
      </c>
      <c r="B1806" s="1" t="s">
        <v>306</v>
      </c>
      <c r="C1806" s="1">
        <v>37.0</v>
      </c>
      <c r="D1806" s="1">
        <v>801.0</v>
      </c>
      <c r="F1806" s="2" t="str">
        <f t="shared" si="1"/>
        <v>INSERT INTO tblExamQuestionLink VALUES (seqExamQuestionLink.nextval, 37, 801);</v>
      </c>
    </row>
    <row r="1807">
      <c r="A1807" s="1">
        <v>1802.0</v>
      </c>
      <c r="B1807" s="1" t="s">
        <v>306</v>
      </c>
      <c r="C1807" s="1">
        <v>37.0</v>
      </c>
      <c r="D1807" s="1">
        <v>802.0</v>
      </c>
      <c r="F1807" s="2" t="str">
        <f t="shared" si="1"/>
        <v>INSERT INTO tblExamQuestionLink VALUES (seqExamQuestionLink.nextval, 37, 802);</v>
      </c>
    </row>
    <row r="1808">
      <c r="A1808" s="1">
        <v>1803.0</v>
      </c>
      <c r="B1808" s="1" t="s">
        <v>306</v>
      </c>
      <c r="C1808" s="1">
        <v>37.0</v>
      </c>
      <c r="D1808" s="1">
        <v>803.0</v>
      </c>
      <c r="F1808" s="2" t="str">
        <f t="shared" si="1"/>
        <v>INSERT INTO tblExamQuestionLink VALUES (seqExamQuestionLink.nextval, 37, 803);</v>
      </c>
    </row>
    <row r="1809">
      <c r="A1809" s="1">
        <v>1804.0</v>
      </c>
      <c r="B1809" s="1" t="s">
        <v>306</v>
      </c>
      <c r="C1809" s="1">
        <v>37.0</v>
      </c>
      <c r="D1809" s="1">
        <v>804.0</v>
      </c>
      <c r="F1809" s="2" t="str">
        <f t="shared" si="1"/>
        <v>INSERT INTO tblExamQuestionLink VALUES (seqExamQuestionLink.nextval, 37, 804);</v>
      </c>
    </row>
    <row r="1810">
      <c r="A1810" s="1">
        <v>1805.0</v>
      </c>
      <c r="B1810" s="1" t="s">
        <v>306</v>
      </c>
      <c r="C1810" s="1">
        <v>37.0</v>
      </c>
      <c r="D1810" s="1">
        <v>805.0</v>
      </c>
      <c r="F1810" s="2" t="str">
        <f t="shared" si="1"/>
        <v>INSERT INTO tblExamQuestionLink VALUES (seqExamQuestionLink.nextval, 37, 805);</v>
      </c>
    </row>
    <row r="1811">
      <c r="A1811" s="1">
        <v>1806.0</v>
      </c>
      <c r="B1811" s="1" t="s">
        <v>306</v>
      </c>
      <c r="C1811" s="1">
        <v>37.0</v>
      </c>
      <c r="D1811" s="1">
        <v>806.0</v>
      </c>
      <c r="F1811" s="2" t="str">
        <f t="shared" si="1"/>
        <v>INSERT INTO tblExamQuestionLink VALUES (seqExamQuestionLink.nextval, 37, 806);</v>
      </c>
    </row>
    <row r="1812">
      <c r="A1812" s="1">
        <v>1807.0</v>
      </c>
      <c r="B1812" s="1" t="s">
        <v>306</v>
      </c>
      <c r="C1812" s="1">
        <v>37.0</v>
      </c>
      <c r="D1812" s="1">
        <v>807.0</v>
      </c>
      <c r="F1812" s="2" t="str">
        <f t="shared" si="1"/>
        <v>INSERT INTO tblExamQuestionLink VALUES (seqExamQuestionLink.nextval, 37, 807);</v>
      </c>
    </row>
    <row r="1813">
      <c r="A1813" s="1">
        <v>1808.0</v>
      </c>
      <c r="B1813" s="1" t="s">
        <v>306</v>
      </c>
      <c r="C1813" s="1">
        <v>37.0</v>
      </c>
      <c r="D1813" s="1">
        <v>808.0</v>
      </c>
      <c r="F1813" s="2" t="str">
        <f t="shared" si="1"/>
        <v>INSERT INTO tblExamQuestionLink VALUES (seqExamQuestionLink.nextval, 37, 808);</v>
      </c>
    </row>
    <row r="1814">
      <c r="A1814" s="1">
        <v>1809.0</v>
      </c>
      <c r="B1814" s="1" t="s">
        <v>306</v>
      </c>
      <c r="C1814" s="1">
        <v>37.0</v>
      </c>
      <c r="D1814" s="1">
        <v>809.0</v>
      </c>
      <c r="F1814" s="2" t="str">
        <f t="shared" si="1"/>
        <v>INSERT INTO tblExamQuestionLink VALUES (seqExamQuestionLink.nextval, 37, 809);</v>
      </c>
    </row>
    <row r="1815">
      <c r="A1815" s="1">
        <v>1810.0</v>
      </c>
      <c r="B1815" s="1" t="s">
        <v>306</v>
      </c>
      <c r="C1815" s="1">
        <v>37.0</v>
      </c>
      <c r="D1815" s="1">
        <v>810.0</v>
      </c>
      <c r="F1815" s="2" t="str">
        <f t="shared" si="1"/>
        <v>INSERT INTO tblExamQuestionLink VALUES (seqExamQuestionLink.nextval, 37, 810);</v>
      </c>
    </row>
    <row r="1816">
      <c r="A1816" s="1">
        <v>1811.0</v>
      </c>
      <c r="B1816" s="1" t="s">
        <v>306</v>
      </c>
      <c r="C1816" s="1">
        <v>37.0</v>
      </c>
      <c r="D1816" s="1">
        <v>811.0</v>
      </c>
      <c r="F1816" s="2" t="str">
        <f t="shared" si="1"/>
        <v>INSERT INTO tblExamQuestionLink VALUES (seqExamQuestionLink.nextval, 37, 811);</v>
      </c>
    </row>
    <row r="1817">
      <c r="A1817" s="1">
        <v>1812.0</v>
      </c>
      <c r="B1817" s="1" t="s">
        <v>306</v>
      </c>
      <c r="C1817" s="1">
        <v>37.0</v>
      </c>
      <c r="D1817" s="1">
        <v>812.0</v>
      </c>
      <c r="F1817" s="2" t="str">
        <f t="shared" si="1"/>
        <v>INSERT INTO tblExamQuestionLink VALUES (seqExamQuestionLink.nextval, 37, 812);</v>
      </c>
    </row>
    <row r="1818">
      <c r="A1818" s="1">
        <v>1813.0</v>
      </c>
      <c r="B1818" s="1" t="s">
        <v>306</v>
      </c>
      <c r="C1818" s="1">
        <v>37.0</v>
      </c>
      <c r="D1818" s="1">
        <v>813.0</v>
      </c>
      <c r="F1818" s="2" t="str">
        <f t="shared" si="1"/>
        <v>INSERT INTO tblExamQuestionLink VALUES (seqExamQuestionLink.nextval, 37, 813);</v>
      </c>
    </row>
    <row r="1819">
      <c r="A1819" s="1">
        <v>1814.0</v>
      </c>
      <c r="B1819" s="1" t="s">
        <v>306</v>
      </c>
      <c r="C1819" s="1">
        <v>37.0</v>
      </c>
      <c r="D1819" s="1">
        <v>814.0</v>
      </c>
      <c r="F1819" s="2" t="str">
        <f t="shared" si="1"/>
        <v>INSERT INTO tblExamQuestionLink VALUES (seqExamQuestionLink.nextval, 37, 814);</v>
      </c>
    </row>
    <row r="1820">
      <c r="A1820" s="1">
        <v>1815.0</v>
      </c>
      <c r="B1820" s="1" t="s">
        <v>306</v>
      </c>
      <c r="C1820" s="1">
        <v>37.0</v>
      </c>
      <c r="D1820" s="1">
        <v>815.0</v>
      </c>
      <c r="F1820" s="2" t="str">
        <f t="shared" si="1"/>
        <v>INSERT INTO tblExamQuestionLink VALUES (seqExamQuestionLink.nextval, 37, 815);</v>
      </c>
    </row>
    <row r="1821">
      <c r="A1821" s="1">
        <v>1816.0</v>
      </c>
      <c r="B1821" s="1" t="s">
        <v>306</v>
      </c>
      <c r="C1821" s="1">
        <v>37.0</v>
      </c>
      <c r="D1821" s="1">
        <v>816.0</v>
      </c>
      <c r="F1821" s="2" t="str">
        <f t="shared" si="1"/>
        <v>INSERT INTO tblExamQuestionLink VALUES (seqExamQuestionLink.nextval, 37, 816);</v>
      </c>
    </row>
    <row r="1822">
      <c r="A1822" s="1">
        <v>1817.0</v>
      </c>
      <c r="B1822" s="1" t="s">
        <v>306</v>
      </c>
      <c r="C1822" s="1">
        <v>37.0</v>
      </c>
      <c r="D1822" s="1">
        <v>817.0</v>
      </c>
      <c r="F1822" s="2" t="str">
        <f t="shared" si="1"/>
        <v>INSERT INTO tblExamQuestionLink VALUES (seqExamQuestionLink.nextval, 37, 817);</v>
      </c>
    </row>
    <row r="1823">
      <c r="A1823" s="1">
        <v>1818.0</v>
      </c>
      <c r="B1823" s="1" t="s">
        <v>306</v>
      </c>
      <c r="C1823" s="1">
        <v>37.0</v>
      </c>
      <c r="D1823" s="1">
        <v>818.0</v>
      </c>
      <c r="F1823" s="2" t="str">
        <f t="shared" si="1"/>
        <v>INSERT INTO tblExamQuestionLink VALUES (seqExamQuestionLink.nextval, 37, 818);</v>
      </c>
    </row>
    <row r="1824">
      <c r="A1824" s="1">
        <v>1819.0</v>
      </c>
      <c r="B1824" s="1" t="s">
        <v>306</v>
      </c>
      <c r="C1824" s="1">
        <v>37.0</v>
      </c>
      <c r="D1824" s="1">
        <v>819.0</v>
      </c>
      <c r="F1824" s="2" t="str">
        <f t="shared" si="1"/>
        <v>INSERT INTO tblExamQuestionLink VALUES (seqExamQuestionLink.nextval, 37, 819);</v>
      </c>
    </row>
    <row r="1825">
      <c r="A1825" s="1">
        <v>1820.0</v>
      </c>
      <c r="B1825" s="1" t="s">
        <v>306</v>
      </c>
      <c r="C1825" s="1">
        <v>37.0</v>
      </c>
      <c r="D1825" s="1">
        <v>820.0</v>
      </c>
      <c r="F1825" s="2" t="str">
        <f t="shared" si="1"/>
        <v>INSERT INTO tblExamQuestionLink VALUES (seqExamQuestionLink.nextval, 37, 820);</v>
      </c>
    </row>
    <row r="1826">
      <c r="A1826" s="1">
        <v>1821.0</v>
      </c>
      <c r="B1826" s="1" t="s">
        <v>306</v>
      </c>
      <c r="C1826" s="1">
        <v>37.0</v>
      </c>
      <c r="D1826" s="1">
        <v>821.0</v>
      </c>
      <c r="F1826" s="2" t="str">
        <f t="shared" si="1"/>
        <v>INSERT INTO tblExamQuestionLink VALUES (seqExamQuestionLink.nextval, 37, 821);</v>
      </c>
    </row>
    <row r="1827">
      <c r="A1827" s="1">
        <v>1822.0</v>
      </c>
      <c r="B1827" s="1" t="s">
        <v>306</v>
      </c>
      <c r="C1827" s="1">
        <v>37.0</v>
      </c>
      <c r="D1827" s="1">
        <v>822.0</v>
      </c>
      <c r="F1827" s="2" t="str">
        <f t="shared" si="1"/>
        <v>INSERT INTO tblExamQuestionLink VALUES (seqExamQuestionLink.nextval, 37, 822);</v>
      </c>
    </row>
    <row r="1828">
      <c r="A1828" s="1">
        <v>1823.0</v>
      </c>
      <c r="B1828" s="1" t="s">
        <v>306</v>
      </c>
      <c r="C1828" s="1">
        <v>37.0</v>
      </c>
      <c r="D1828" s="1">
        <v>823.0</v>
      </c>
      <c r="F1828" s="2" t="str">
        <f t="shared" si="1"/>
        <v>INSERT INTO tblExamQuestionLink VALUES (seqExamQuestionLink.nextval, 37, 823);</v>
      </c>
    </row>
    <row r="1829">
      <c r="A1829" s="1">
        <v>1824.0</v>
      </c>
      <c r="B1829" s="1" t="s">
        <v>306</v>
      </c>
      <c r="C1829" s="1">
        <v>37.0</v>
      </c>
      <c r="D1829" s="1">
        <v>824.0</v>
      </c>
      <c r="F1829" s="2" t="str">
        <f t="shared" si="1"/>
        <v>INSERT INTO tblExamQuestionLink VALUES (seqExamQuestionLink.nextval, 37, 824);</v>
      </c>
    </row>
    <row r="1830">
      <c r="A1830" s="1">
        <v>1825.0</v>
      </c>
      <c r="B1830" s="1" t="s">
        <v>306</v>
      </c>
      <c r="C1830" s="1">
        <v>37.0</v>
      </c>
      <c r="D1830" s="1">
        <v>825.0</v>
      </c>
      <c r="F1830" s="2" t="str">
        <f t="shared" si="1"/>
        <v>INSERT INTO tblExamQuestionLink VALUES (seqExamQuestionLink.nextval, 37, 825);</v>
      </c>
    </row>
    <row r="1831">
      <c r="A1831" s="1">
        <v>1826.0</v>
      </c>
      <c r="B1831" s="1" t="s">
        <v>306</v>
      </c>
      <c r="C1831" s="1">
        <v>37.0</v>
      </c>
      <c r="D1831" s="1">
        <v>826.0</v>
      </c>
      <c r="F1831" s="2" t="str">
        <f t="shared" si="1"/>
        <v>INSERT INTO tblExamQuestionLink VALUES (seqExamQuestionLink.nextval, 37, 826);</v>
      </c>
    </row>
    <row r="1832">
      <c r="A1832" s="1">
        <v>1827.0</v>
      </c>
      <c r="B1832" s="1" t="s">
        <v>306</v>
      </c>
      <c r="C1832" s="1">
        <v>37.0</v>
      </c>
      <c r="D1832" s="1">
        <v>827.0</v>
      </c>
      <c r="F1832" s="2" t="str">
        <f t="shared" si="1"/>
        <v>INSERT INTO tblExamQuestionLink VALUES (seqExamQuestionLink.nextval, 37, 827);</v>
      </c>
    </row>
    <row r="1833">
      <c r="A1833" s="1">
        <v>1828.0</v>
      </c>
      <c r="B1833" s="1" t="s">
        <v>306</v>
      </c>
      <c r="C1833" s="1">
        <v>37.0</v>
      </c>
      <c r="D1833" s="1">
        <v>828.0</v>
      </c>
      <c r="F1833" s="2" t="str">
        <f t="shared" si="1"/>
        <v>INSERT INTO tblExamQuestionLink VALUES (seqExamQuestionLink.nextval, 37, 828);</v>
      </c>
    </row>
    <row r="1834">
      <c r="A1834" s="1">
        <v>1829.0</v>
      </c>
      <c r="B1834" s="1" t="s">
        <v>306</v>
      </c>
      <c r="C1834" s="1">
        <v>37.0</v>
      </c>
      <c r="D1834" s="1">
        <v>829.0</v>
      </c>
      <c r="F1834" s="2" t="str">
        <f t="shared" si="1"/>
        <v>INSERT INTO tblExamQuestionLink VALUES (seqExamQuestionLink.nextval, 37, 829);</v>
      </c>
    </row>
    <row r="1835">
      <c r="A1835" s="1">
        <v>1830.0</v>
      </c>
      <c r="B1835" s="1" t="s">
        <v>306</v>
      </c>
      <c r="C1835" s="1">
        <v>37.0</v>
      </c>
      <c r="D1835" s="1">
        <v>830.0</v>
      </c>
      <c r="F1835" s="2" t="str">
        <f t="shared" si="1"/>
        <v>INSERT INTO tblExamQuestionLink VALUES (seqExamQuestionLink.nextval, 37, 830);</v>
      </c>
    </row>
    <row r="1836">
      <c r="A1836" s="1">
        <v>1831.0</v>
      </c>
      <c r="B1836" s="1" t="s">
        <v>306</v>
      </c>
      <c r="C1836" s="1">
        <v>37.0</v>
      </c>
      <c r="D1836" s="1">
        <v>831.0</v>
      </c>
      <c r="F1836" s="2" t="str">
        <f t="shared" si="1"/>
        <v>INSERT INTO tblExamQuestionLink VALUES (seqExamQuestionLink.nextval, 37, 831);</v>
      </c>
    </row>
    <row r="1837">
      <c r="A1837" s="1">
        <v>1832.0</v>
      </c>
      <c r="B1837" s="1" t="s">
        <v>306</v>
      </c>
      <c r="C1837" s="1">
        <v>37.0</v>
      </c>
      <c r="D1837" s="1">
        <v>832.0</v>
      </c>
      <c r="F1837" s="2" t="str">
        <f t="shared" si="1"/>
        <v>INSERT INTO tblExamQuestionLink VALUES (seqExamQuestionLink.nextval, 37, 832);</v>
      </c>
    </row>
    <row r="1838">
      <c r="A1838" s="1">
        <v>1833.0</v>
      </c>
      <c r="B1838" s="1" t="s">
        <v>306</v>
      </c>
      <c r="C1838" s="1">
        <v>37.0</v>
      </c>
      <c r="D1838" s="1">
        <v>833.0</v>
      </c>
      <c r="F1838" s="2" t="str">
        <f t="shared" si="1"/>
        <v>INSERT INTO tblExamQuestionLink VALUES (seqExamQuestionLink.nextval, 37, 833);</v>
      </c>
    </row>
    <row r="1839">
      <c r="A1839" s="1">
        <v>1834.0</v>
      </c>
      <c r="B1839" s="1" t="s">
        <v>306</v>
      </c>
      <c r="C1839" s="1">
        <v>37.0</v>
      </c>
      <c r="D1839" s="1">
        <v>834.0</v>
      </c>
      <c r="F1839" s="2" t="str">
        <f t="shared" si="1"/>
        <v>INSERT INTO tblExamQuestionLink VALUES (seqExamQuestionLink.nextval, 37, 834);</v>
      </c>
    </row>
    <row r="1840">
      <c r="A1840" s="1">
        <v>1835.0</v>
      </c>
      <c r="B1840" s="1" t="s">
        <v>306</v>
      </c>
      <c r="C1840" s="1">
        <v>37.0</v>
      </c>
      <c r="D1840" s="1">
        <v>835.0</v>
      </c>
      <c r="F1840" s="2" t="str">
        <f t="shared" si="1"/>
        <v>INSERT INTO tblExamQuestionLink VALUES (seqExamQuestionLink.nextval, 37, 835);</v>
      </c>
    </row>
    <row r="1841">
      <c r="A1841" s="1">
        <v>1836.0</v>
      </c>
      <c r="B1841" s="1" t="s">
        <v>306</v>
      </c>
      <c r="C1841" s="1">
        <v>37.0</v>
      </c>
      <c r="D1841" s="1">
        <v>836.0</v>
      </c>
      <c r="F1841" s="2" t="str">
        <f t="shared" si="1"/>
        <v>INSERT INTO tblExamQuestionLink VALUES (seqExamQuestionLink.nextval, 37, 836);</v>
      </c>
    </row>
    <row r="1842">
      <c r="A1842" s="1">
        <v>1837.0</v>
      </c>
      <c r="B1842" s="1" t="s">
        <v>306</v>
      </c>
      <c r="C1842" s="1">
        <v>37.0</v>
      </c>
      <c r="D1842" s="1">
        <v>837.0</v>
      </c>
      <c r="F1842" s="2" t="str">
        <f t="shared" si="1"/>
        <v>INSERT INTO tblExamQuestionLink VALUES (seqExamQuestionLink.nextval, 37, 837);</v>
      </c>
    </row>
    <row r="1843">
      <c r="A1843" s="1">
        <v>1838.0</v>
      </c>
      <c r="B1843" s="1" t="s">
        <v>306</v>
      </c>
      <c r="C1843" s="1">
        <v>37.0</v>
      </c>
      <c r="D1843" s="1">
        <v>838.0</v>
      </c>
      <c r="F1843" s="2" t="str">
        <f t="shared" si="1"/>
        <v>INSERT INTO tblExamQuestionLink VALUES (seqExamQuestionLink.nextval, 37, 838);</v>
      </c>
    </row>
    <row r="1844">
      <c r="A1844" s="1">
        <v>1839.0</v>
      </c>
      <c r="B1844" s="1" t="s">
        <v>306</v>
      </c>
      <c r="C1844" s="1">
        <v>37.0</v>
      </c>
      <c r="D1844" s="1">
        <v>839.0</v>
      </c>
      <c r="F1844" s="2" t="str">
        <f t="shared" si="1"/>
        <v>INSERT INTO tblExamQuestionLink VALUES (seqExamQuestionLink.nextval, 37, 839);</v>
      </c>
    </row>
    <row r="1845">
      <c r="A1845" s="1">
        <v>1840.0</v>
      </c>
      <c r="B1845" s="1" t="s">
        <v>306</v>
      </c>
      <c r="C1845" s="1">
        <v>37.0</v>
      </c>
      <c r="D1845" s="1">
        <v>840.0</v>
      </c>
      <c r="F1845" s="2" t="str">
        <f t="shared" si="1"/>
        <v>INSERT INTO tblExamQuestionLink VALUES (seqExamQuestionLink.nextval, 37, 840);</v>
      </c>
    </row>
    <row r="1846">
      <c r="A1846" s="1">
        <v>1841.0</v>
      </c>
      <c r="B1846" s="1" t="s">
        <v>306</v>
      </c>
      <c r="C1846" s="1">
        <v>37.0</v>
      </c>
      <c r="D1846" s="1">
        <v>841.0</v>
      </c>
      <c r="F1846" s="2" t="str">
        <f t="shared" si="1"/>
        <v>INSERT INTO tblExamQuestionLink VALUES (seqExamQuestionLink.nextval, 37, 841);</v>
      </c>
    </row>
    <row r="1847">
      <c r="A1847" s="1">
        <v>1842.0</v>
      </c>
      <c r="B1847" s="1" t="s">
        <v>306</v>
      </c>
      <c r="C1847" s="1">
        <v>37.0</v>
      </c>
      <c r="D1847" s="1">
        <v>842.0</v>
      </c>
      <c r="F1847" s="2" t="str">
        <f t="shared" si="1"/>
        <v>INSERT INTO tblExamQuestionLink VALUES (seqExamQuestionLink.nextval, 37, 842);</v>
      </c>
    </row>
    <row r="1848">
      <c r="A1848" s="1">
        <v>1843.0</v>
      </c>
      <c r="B1848" s="1" t="s">
        <v>306</v>
      </c>
      <c r="C1848" s="1">
        <v>37.0</v>
      </c>
      <c r="D1848" s="1">
        <v>843.0</v>
      </c>
      <c r="F1848" s="2" t="str">
        <f t="shared" si="1"/>
        <v>INSERT INTO tblExamQuestionLink VALUES (seqExamQuestionLink.nextval, 37, 843);</v>
      </c>
    </row>
    <row r="1849">
      <c r="A1849" s="1">
        <v>1844.0</v>
      </c>
      <c r="B1849" s="1" t="s">
        <v>306</v>
      </c>
      <c r="C1849" s="1">
        <v>37.0</v>
      </c>
      <c r="D1849" s="1">
        <v>844.0</v>
      </c>
      <c r="F1849" s="2" t="str">
        <f t="shared" si="1"/>
        <v>INSERT INTO tblExamQuestionLink VALUES (seqExamQuestionLink.nextval, 37, 844);</v>
      </c>
    </row>
    <row r="1850">
      <c r="A1850" s="1">
        <v>1845.0</v>
      </c>
      <c r="B1850" s="1" t="s">
        <v>306</v>
      </c>
      <c r="C1850" s="1">
        <v>37.0</v>
      </c>
      <c r="D1850" s="1">
        <v>845.0</v>
      </c>
      <c r="F1850" s="2" t="str">
        <f t="shared" si="1"/>
        <v>INSERT INTO tblExamQuestionLink VALUES (seqExamQuestionLink.nextval, 37, 845);</v>
      </c>
    </row>
    <row r="1851">
      <c r="A1851" s="1">
        <v>1846.0</v>
      </c>
      <c r="B1851" s="1" t="s">
        <v>306</v>
      </c>
      <c r="C1851" s="1">
        <v>37.0</v>
      </c>
      <c r="D1851" s="1">
        <v>846.0</v>
      </c>
      <c r="F1851" s="2" t="str">
        <f t="shared" si="1"/>
        <v>INSERT INTO tblExamQuestionLink VALUES (seqExamQuestionLink.nextval, 37, 846);</v>
      </c>
    </row>
    <row r="1852">
      <c r="A1852" s="1">
        <v>1847.0</v>
      </c>
      <c r="B1852" s="1" t="s">
        <v>306</v>
      </c>
      <c r="C1852" s="1">
        <v>37.0</v>
      </c>
      <c r="D1852" s="1">
        <v>847.0</v>
      </c>
      <c r="F1852" s="2" t="str">
        <f t="shared" si="1"/>
        <v>INSERT INTO tblExamQuestionLink VALUES (seqExamQuestionLink.nextval, 37, 847);</v>
      </c>
    </row>
    <row r="1853">
      <c r="A1853" s="1">
        <v>1848.0</v>
      </c>
      <c r="B1853" s="1" t="s">
        <v>306</v>
      </c>
      <c r="C1853" s="1">
        <v>37.0</v>
      </c>
      <c r="D1853" s="1">
        <v>848.0</v>
      </c>
      <c r="F1853" s="2" t="str">
        <f t="shared" si="1"/>
        <v>INSERT INTO tblExamQuestionLink VALUES (seqExamQuestionLink.nextval, 37, 848);</v>
      </c>
    </row>
    <row r="1854">
      <c r="A1854" s="1">
        <v>1849.0</v>
      </c>
      <c r="B1854" s="1" t="s">
        <v>306</v>
      </c>
      <c r="C1854" s="1">
        <v>37.0</v>
      </c>
      <c r="D1854" s="1">
        <v>849.0</v>
      </c>
      <c r="F1854" s="2" t="str">
        <f t="shared" si="1"/>
        <v>INSERT INTO tblExamQuestionLink VALUES (seqExamQuestionLink.nextval, 37, 849);</v>
      </c>
    </row>
    <row r="1855">
      <c r="A1855" s="1">
        <v>1850.0</v>
      </c>
      <c r="B1855" s="1" t="s">
        <v>306</v>
      </c>
      <c r="C1855" s="1">
        <v>37.0</v>
      </c>
      <c r="D1855" s="1">
        <v>850.0</v>
      </c>
      <c r="F1855" s="2" t="str">
        <f t="shared" si="1"/>
        <v>INSERT INTO tblExamQuestionLink VALUES (seqExamQuestionLink.nextval, 37, 850);</v>
      </c>
    </row>
    <row r="1856">
      <c r="A1856" s="1">
        <v>1851.0</v>
      </c>
      <c r="B1856" s="1" t="s">
        <v>306</v>
      </c>
      <c r="C1856" s="1">
        <v>38.0</v>
      </c>
      <c r="D1856" s="1">
        <v>851.0</v>
      </c>
      <c r="F1856" s="2" t="str">
        <f t="shared" si="1"/>
        <v>INSERT INTO tblExamQuestionLink VALUES (seqExamQuestionLink.nextval, 38, 851);</v>
      </c>
    </row>
    <row r="1857">
      <c r="A1857" s="1">
        <v>1852.0</v>
      </c>
      <c r="B1857" s="1" t="s">
        <v>306</v>
      </c>
      <c r="C1857" s="1">
        <v>38.0</v>
      </c>
      <c r="D1857" s="1">
        <v>852.0</v>
      </c>
      <c r="F1857" s="2" t="str">
        <f t="shared" si="1"/>
        <v>INSERT INTO tblExamQuestionLink VALUES (seqExamQuestionLink.nextval, 38, 852);</v>
      </c>
    </row>
    <row r="1858">
      <c r="A1858" s="1">
        <v>1853.0</v>
      </c>
      <c r="B1858" s="1" t="s">
        <v>306</v>
      </c>
      <c r="C1858" s="1">
        <v>38.0</v>
      </c>
      <c r="D1858" s="1">
        <v>853.0</v>
      </c>
      <c r="F1858" s="2" t="str">
        <f t="shared" si="1"/>
        <v>INSERT INTO tblExamQuestionLink VALUES (seqExamQuestionLink.nextval, 38, 853);</v>
      </c>
    </row>
    <row r="1859">
      <c r="A1859" s="1">
        <v>1854.0</v>
      </c>
      <c r="B1859" s="1" t="s">
        <v>306</v>
      </c>
      <c r="C1859" s="1">
        <v>38.0</v>
      </c>
      <c r="D1859" s="1">
        <v>854.0</v>
      </c>
      <c r="F1859" s="2" t="str">
        <f t="shared" si="1"/>
        <v>INSERT INTO tblExamQuestionLink VALUES (seqExamQuestionLink.nextval, 38, 854);</v>
      </c>
    </row>
    <row r="1860">
      <c r="A1860" s="1">
        <v>1855.0</v>
      </c>
      <c r="B1860" s="1" t="s">
        <v>306</v>
      </c>
      <c r="C1860" s="1">
        <v>38.0</v>
      </c>
      <c r="D1860" s="1">
        <v>855.0</v>
      </c>
      <c r="F1860" s="2" t="str">
        <f t="shared" si="1"/>
        <v>INSERT INTO tblExamQuestionLink VALUES (seqExamQuestionLink.nextval, 38, 855);</v>
      </c>
    </row>
    <row r="1861">
      <c r="A1861" s="1">
        <v>1856.0</v>
      </c>
      <c r="B1861" s="1" t="s">
        <v>306</v>
      </c>
      <c r="C1861" s="1">
        <v>38.0</v>
      </c>
      <c r="D1861" s="1">
        <v>856.0</v>
      </c>
      <c r="F1861" s="2" t="str">
        <f t="shared" si="1"/>
        <v>INSERT INTO tblExamQuestionLink VALUES (seqExamQuestionLink.nextval, 38, 856);</v>
      </c>
    </row>
    <row r="1862">
      <c r="A1862" s="1">
        <v>1857.0</v>
      </c>
      <c r="B1862" s="1" t="s">
        <v>306</v>
      </c>
      <c r="C1862" s="1">
        <v>38.0</v>
      </c>
      <c r="D1862" s="1">
        <v>857.0</v>
      </c>
      <c r="F1862" s="2" t="str">
        <f t="shared" si="1"/>
        <v>INSERT INTO tblExamQuestionLink VALUES (seqExamQuestionLink.nextval, 38, 857);</v>
      </c>
    </row>
    <row r="1863">
      <c r="A1863" s="1">
        <v>1858.0</v>
      </c>
      <c r="B1863" s="1" t="s">
        <v>306</v>
      </c>
      <c r="C1863" s="1">
        <v>38.0</v>
      </c>
      <c r="D1863" s="1">
        <v>858.0</v>
      </c>
      <c r="F1863" s="2" t="str">
        <f t="shared" si="1"/>
        <v>INSERT INTO tblExamQuestionLink VALUES (seqExamQuestionLink.nextval, 38, 858);</v>
      </c>
    </row>
    <row r="1864">
      <c r="A1864" s="1">
        <v>1859.0</v>
      </c>
      <c r="B1864" s="1" t="s">
        <v>306</v>
      </c>
      <c r="C1864" s="1">
        <v>38.0</v>
      </c>
      <c r="D1864" s="1">
        <v>859.0</v>
      </c>
      <c r="F1864" s="2" t="str">
        <f t="shared" si="1"/>
        <v>INSERT INTO tblExamQuestionLink VALUES (seqExamQuestionLink.nextval, 38, 859);</v>
      </c>
    </row>
    <row r="1865">
      <c r="A1865" s="1">
        <v>1860.0</v>
      </c>
      <c r="B1865" s="1" t="s">
        <v>306</v>
      </c>
      <c r="C1865" s="1">
        <v>38.0</v>
      </c>
      <c r="D1865" s="1">
        <v>860.0</v>
      </c>
      <c r="F1865" s="2" t="str">
        <f t="shared" si="1"/>
        <v>INSERT INTO tblExamQuestionLink VALUES (seqExamQuestionLink.nextval, 38, 860);</v>
      </c>
    </row>
    <row r="1866">
      <c r="A1866" s="1">
        <v>1861.0</v>
      </c>
      <c r="B1866" s="1" t="s">
        <v>306</v>
      </c>
      <c r="C1866" s="1">
        <v>38.0</v>
      </c>
      <c r="D1866" s="1">
        <v>861.0</v>
      </c>
      <c r="F1866" s="2" t="str">
        <f t="shared" si="1"/>
        <v>INSERT INTO tblExamQuestionLink VALUES (seqExamQuestionLink.nextval, 38, 861);</v>
      </c>
    </row>
    <row r="1867">
      <c r="A1867" s="1">
        <v>1862.0</v>
      </c>
      <c r="B1867" s="1" t="s">
        <v>306</v>
      </c>
      <c r="C1867" s="1">
        <v>38.0</v>
      </c>
      <c r="D1867" s="1">
        <v>862.0</v>
      </c>
      <c r="F1867" s="2" t="str">
        <f t="shared" si="1"/>
        <v>INSERT INTO tblExamQuestionLink VALUES (seqExamQuestionLink.nextval, 38, 862);</v>
      </c>
    </row>
    <row r="1868">
      <c r="A1868" s="1">
        <v>1863.0</v>
      </c>
      <c r="B1868" s="1" t="s">
        <v>306</v>
      </c>
      <c r="C1868" s="1">
        <v>38.0</v>
      </c>
      <c r="D1868" s="1">
        <v>863.0</v>
      </c>
      <c r="F1868" s="2" t="str">
        <f t="shared" si="1"/>
        <v>INSERT INTO tblExamQuestionLink VALUES (seqExamQuestionLink.nextval, 38, 863);</v>
      </c>
    </row>
    <row r="1869">
      <c r="A1869" s="1">
        <v>1864.0</v>
      </c>
      <c r="B1869" s="1" t="s">
        <v>306</v>
      </c>
      <c r="C1869" s="1">
        <v>38.0</v>
      </c>
      <c r="D1869" s="1">
        <v>864.0</v>
      </c>
      <c r="F1869" s="2" t="str">
        <f t="shared" si="1"/>
        <v>INSERT INTO tblExamQuestionLink VALUES (seqExamQuestionLink.nextval, 38, 864);</v>
      </c>
    </row>
    <row r="1870">
      <c r="A1870" s="1">
        <v>1865.0</v>
      </c>
      <c r="B1870" s="1" t="s">
        <v>306</v>
      </c>
      <c r="C1870" s="1">
        <v>38.0</v>
      </c>
      <c r="D1870" s="1">
        <v>865.0</v>
      </c>
      <c r="F1870" s="2" t="str">
        <f t="shared" si="1"/>
        <v>INSERT INTO tblExamQuestionLink VALUES (seqExamQuestionLink.nextval, 38, 865);</v>
      </c>
    </row>
    <row r="1871">
      <c r="A1871" s="1">
        <v>1866.0</v>
      </c>
      <c r="B1871" s="1" t="s">
        <v>306</v>
      </c>
      <c r="C1871" s="1">
        <v>38.0</v>
      </c>
      <c r="D1871" s="1">
        <v>866.0</v>
      </c>
      <c r="F1871" s="2" t="str">
        <f t="shared" si="1"/>
        <v>INSERT INTO tblExamQuestionLink VALUES (seqExamQuestionLink.nextval, 38, 866);</v>
      </c>
    </row>
    <row r="1872">
      <c r="A1872" s="1">
        <v>1867.0</v>
      </c>
      <c r="B1872" s="1" t="s">
        <v>306</v>
      </c>
      <c r="C1872" s="1">
        <v>38.0</v>
      </c>
      <c r="D1872" s="1">
        <v>867.0</v>
      </c>
      <c r="F1872" s="2" t="str">
        <f t="shared" si="1"/>
        <v>INSERT INTO tblExamQuestionLink VALUES (seqExamQuestionLink.nextval, 38, 867);</v>
      </c>
    </row>
    <row r="1873">
      <c r="A1873" s="1">
        <v>1868.0</v>
      </c>
      <c r="B1873" s="1" t="s">
        <v>306</v>
      </c>
      <c r="C1873" s="1">
        <v>38.0</v>
      </c>
      <c r="D1873" s="1">
        <v>868.0</v>
      </c>
      <c r="F1873" s="2" t="str">
        <f t="shared" si="1"/>
        <v>INSERT INTO tblExamQuestionLink VALUES (seqExamQuestionLink.nextval, 38, 868);</v>
      </c>
    </row>
    <row r="1874">
      <c r="A1874" s="1">
        <v>1869.0</v>
      </c>
      <c r="B1874" s="1" t="s">
        <v>306</v>
      </c>
      <c r="C1874" s="1">
        <v>38.0</v>
      </c>
      <c r="D1874" s="1">
        <v>869.0</v>
      </c>
      <c r="F1874" s="2" t="str">
        <f t="shared" si="1"/>
        <v>INSERT INTO tblExamQuestionLink VALUES (seqExamQuestionLink.nextval, 38, 869);</v>
      </c>
    </row>
    <row r="1875">
      <c r="A1875" s="1">
        <v>1870.0</v>
      </c>
      <c r="B1875" s="1" t="s">
        <v>306</v>
      </c>
      <c r="C1875" s="1">
        <v>38.0</v>
      </c>
      <c r="D1875" s="1">
        <v>870.0</v>
      </c>
      <c r="F1875" s="2" t="str">
        <f t="shared" si="1"/>
        <v>INSERT INTO tblExamQuestionLink VALUES (seqExamQuestionLink.nextval, 38, 870);</v>
      </c>
    </row>
    <row r="1876">
      <c r="A1876" s="1">
        <v>1871.0</v>
      </c>
      <c r="B1876" s="1" t="s">
        <v>306</v>
      </c>
      <c r="C1876" s="1">
        <v>38.0</v>
      </c>
      <c r="D1876" s="1">
        <v>871.0</v>
      </c>
      <c r="F1876" s="2" t="str">
        <f t="shared" si="1"/>
        <v>INSERT INTO tblExamQuestionLink VALUES (seqExamQuestionLink.nextval, 38, 871);</v>
      </c>
    </row>
    <row r="1877">
      <c r="A1877" s="1">
        <v>1872.0</v>
      </c>
      <c r="B1877" s="1" t="s">
        <v>306</v>
      </c>
      <c r="C1877" s="1">
        <v>38.0</v>
      </c>
      <c r="D1877" s="1">
        <v>872.0</v>
      </c>
      <c r="F1877" s="2" t="str">
        <f t="shared" si="1"/>
        <v>INSERT INTO tblExamQuestionLink VALUES (seqExamQuestionLink.nextval, 38, 872);</v>
      </c>
    </row>
    <row r="1878">
      <c r="A1878" s="1">
        <v>1873.0</v>
      </c>
      <c r="B1878" s="1" t="s">
        <v>306</v>
      </c>
      <c r="C1878" s="1">
        <v>38.0</v>
      </c>
      <c r="D1878" s="1">
        <v>873.0</v>
      </c>
      <c r="F1878" s="2" t="str">
        <f t="shared" si="1"/>
        <v>INSERT INTO tblExamQuestionLink VALUES (seqExamQuestionLink.nextval, 38, 873);</v>
      </c>
    </row>
    <row r="1879">
      <c r="A1879" s="1">
        <v>1874.0</v>
      </c>
      <c r="B1879" s="1" t="s">
        <v>306</v>
      </c>
      <c r="C1879" s="1">
        <v>38.0</v>
      </c>
      <c r="D1879" s="1">
        <v>874.0</v>
      </c>
      <c r="F1879" s="2" t="str">
        <f t="shared" si="1"/>
        <v>INSERT INTO tblExamQuestionLink VALUES (seqExamQuestionLink.nextval, 38, 874);</v>
      </c>
    </row>
    <row r="1880">
      <c r="A1880" s="1">
        <v>1875.0</v>
      </c>
      <c r="B1880" s="1" t="s">
        <v>306</v>
      </c>
      <c r="C1880" s="1">
        <v>38.0</v>
      </c>
      <c r="D1880" s="1">
        <v>875.0</v>
      </c>
      <c r="F1880" s="2" t="str">
        <f t="shared" si="1"/>
        <v>INSERT INTO tblExamQuestionLink VALUES (seqExamQuestionLink.nextval, 38, 875);</v>
      </c>
    </row>
    <row r="1881">
      <c r="A1881" s="1">
        <v>1876.0</v>
      </c>
      <c r="B1881" s="1" t="s">
        <v>306</v>
      </c>
      <c r="C1881" s="1">
        <v>38.0</v>
      </c>
      <c r="D1881" s="1">
        <v>876.0</v>
      </c>
      <c r="F1881" s="2" t="str">
        <f t="shared" si="1"/>
        <v>INSERT INTO tblExamQuestionLink VALUES (seqExamQuestionLink.nextval, 38, 876);</v>
      </c>
    </row>
    <row r="1882">
      <c r="A1882" s="1">
        <v>1877.0</v>
      </c>
      <c r="B1882" s="1" t="s">
        <v>306</v>
      </c>
      <c r="C1882" s="1">
        <v>38.0</v>
      </c>
      <c r="D1882" s="1">
        <v>877.0</v>
      </c>
      <c r="F1882" s="2" t="str">
        <f t="shared" si="1"/>
        <v>INSERT INTO tblExamQuestionLink VALUES (seqExamQuestionLink.nextval, 38, 877);</v>
      </c>
    </row>
    <row r="1883">
      <c r="A1883" s="1">
        <v>1878.0</v>
      </c>
      <c r="B1883" s="1" t="s">
        <v>306</v>
      </c>
      <c r="C1883" s="1">
        <v>38.0</v>
      </c>
      <c r="D1883" s="1">
        <v>878.0</v>
      </c>
      <c r="F1883" s="2" t="str">
        <f t="shared" si="1"/>
        <v>INSERT INTO tblExamQuestionLink VALUES (seqExamQuestionLink.nextval, 38, 878);</v>
      </c>
    </row>
    <row r="1884">
      <c r="A1884" s="1">
        <v>1879.0</v>
      </c>
      <c r="B1884" s="1" t="s">
        <v>306</v>
      </c>
      <c r="C1884" s="1">
        <v>38.0</v>
      </c>
      <c r="D1884" s="1">
        <v>879.0</v>
      </c>
      <c r="F1884" s="2" t="str">
        <f t="shared" si="1"/>
        <v>INSERT INTO tblExamQuestionLink VALUES (seqExamQuestionLink.nextval, 38, 879);</v>
      </c>
    </row>
    <row r="1885">
      <c r="A1885" s="1">
        <v>1880.0</v>
      </c>
      <c r="B1885" s="1" t="s">
        <v>306</v>
      </c>
      <c r="C1885" s="1">
        <v>38.0</v>
      </c>
      <c r="D1885" s="1">
        <v>880.0</v>
      </c>
      <c r="F1885" s="2" t="str">
        <f t="shared" si="1"/>
        <v>INSERT INTO tblExamQuestionLink VALUES (seqExamQuestionLink.nextval, 38, 880);</v>
      </c>
    </row>
    <row r="1886">
      <c r="A1886" s="1">
        <v>1881.0</v>
      </c>
      <c r="B1886" s="1" t="s">
        <v>306</v>
      </c>
      <c r="C1886" s="1">
        <v>38.0</v>
      </c>
      <c r="D1886" s="1">
        <v>881.0</v>
      </c>
      <c r="F1886" s="2" t="str">
        <f t="shared" si="1"/>
        <v>INSERT INTO tblExamQuestionLink VALUES (seqExamQuestionLink.nextval, 38, 881);</v>
      </c>
    </row>
    <row r="1887">
      <c r="A1887" s="1">
        <v>1882.0</v>
      </c>
      <c r="B1887" s="1" t="s">
        <v>306</v>
      </c>
      <c r="C1887" s="1">
        <v>38.0</v>
      </c>
      <c r="D1887" s="1">
        <v>882.0</v>
      </c>
      <c r="F1887" s="2" t="str">
        <f t="shared" si="1"/>
        <v>INSERT INTO tblExamQuestionLink VALUES (seqExamQuestionLink.nextval, 38, 882);</v>
      </c>
    </row>
    <row r="1888">
      <c r="A1888" s="1">
        <v>1883.0</v>
      </c>
      <c r="B1888" s="1" t="s">
        <v>306</v>
      </c>
      <c r="C1888" s="1">
        <v>38.0</v>
      </c>
      <c r="D1888" s="1">
        <v>883.0</v>
      </c>
      <c r="F1888" s="2" t="str">
        <f t="shared" si="1"/>
        <v>INSERT INTO tblExamQuestionLink VALUES (seqExamQuestionLink.nextval, 38, 883);</v>
      </c>
    </row>
    <row r="1889">
      <c r="A1889" s="1">
        <v>1884.0</v>
      </c>
      <c r="B1889" s="1" t="s">
        <v>306</v>
      </c>
      <c r="C1889" s="1">
        <v>38.0</v>
      </c>
      <c r="D1889" s="1">
        <v>884.0</v>
      </c>
      <c r="F1889" s="2" t="str">
        <f t="shared" si="1"/>
        <v>INSERT INTO tblExamQuestionLink VALUES (seqExamQuestionLink.nextval, 38, 884);</v>
      </c>
    </row>
    <row r="1890">
      <c r="A1890" s="1">
        <v>1885.0</v>
      </c>
      <c r="B1890" s="1" t="s">
        <v>306</v>
      </c>
      <c r="C1890" s="1">
        <v>38.0</v>
      </c>
      <c r="D1890" s="1">
        <v>885.0</v>
      </c>
      <c r="F1890" s="2" t="str">
        <f t="shared" si="1"/>
        <v>INSERT INTO tblExamQuestionLink VALUES (seqExamQuestionLink.nextval, 38, 885);</v>
      </c>
    </row>
    <row r="1891">
      <c r="A1891" s="1">
        <v>1886.0</v>
      </c>
      <c r="B1891" s="1" t="s">
        <v>306</v>
      </c>
      <c r="C1891" s="1">
        <v>38.0</v>
      </c>
      <c r="D1891" s="1">
        <v>886.0</v>
      </c>
      <c r="F1891" s="2" t="str">
        <f t="shared" si="1"/>
        <v>INSERT INTO tblExamQuestionLink VALUES (seqExamQuestionLink.nextval, 38, 886);</v>
      </c>
    </row>
    <row r="1892">
      <c r="A1892" s="1">
        <v>1887.0</v>
      </c>
      <c r="B1892" s="1" t="s">
        <v>306</v>
      </c>
      <c r="C1892" s="1">
        <v>38.0</v>
      </c>
      <c r="D1892" s="1">
        <v>887.0</v>
      </c>
      <c r="F1892" s="2" t="str">
        <f t="shared" si="1"/>
        <v>INSERT INTO tblExamQuestionLink VALUES (seqExamQuestionLink.nextval, 38, 887);</v>
      </c>
    </row>
    <row r="1893">
      <c r="A1893" s="1">
        <v>1888.0</v>
      </c>
      <c r="B1893" s="1" t="s">
        <v>306</v>
      </c>
      <c r="C1893" s="1">
        <v>38.0</v>
      </c>
      <c r="D1893" s="1">
        <v>888.0</v>
      </c>
      <c r="F1893" s="2" t="str">
        <f t="shared" si="1"/>
        <v>INSERT INTO tblExamQuestionLink VALUES (seqExamQuestionLink.nextval, 38, 888);</v>
      </c>
    </row>
    <row r="1894">
      <c r="A1894" s="1">
        <v>1889.0</v>
      </c>
      <c r="B1894" s="1" t="s">
        <v>306</v>
      </c>
      <c r="C1894" s="1">
        <v>38.0</v>
      </c>
      <c r="D1894" s="1">
        <v>889.0</v>
      </c>
      <c r="F1894" s="2" t="str">
        <f t="shared" si="1"/>
        <v>INSERT INTO tblExamQuestionLink VALUES (seqExamQuestionLink.nextval, 38, 889);</v>
      </c>
    </row>
    <row r="1895">
      <c r="A1895" s="1">
        <v>1890.0</v>
      </c>
      <c r="B1895" s="1" t="s">
        <v>306</v>
      </c>
      <c r="C1895" s="1">
        <v>38.0</v>
      </c>
      <c r="D1895" s="1">
        <v>890.0</v>
      </c>
      <c r="F1895" s="2" t="str">
        <f t="shared" si="1"/>
        <v>INSERT INTO tblExamQuestionLink VALUES (seqExamQuestionLink.nextval, 38, 890);</v>
      </c>
    </row>
    <row r="1896">
      <c r="A1896" s="1">
        <v>1891.0</v>
      </c>
      <c r="B1896" s="1" t="s">
        <v>306</v>
      </c>
      <c r="C1896" s="1">
        <v>38.0</v>
      </c>
      <c r="D1896" s="1">
        <v>891.0</v>
      </c>
      <c r="F1896" s="2" t="str">
        <f t="shared" si="1"/>
        <v>INSERT INTO tblExamQuestionLink VALUES (seqExamQuestionLink.nextval, 38, 891);</v>
      </c>
    </row>
    <row r="1897">
      <c r="A1897" s="1">
        <v>1892.0</v>
      </c>
      <c r="B1897" s="1" t="s">
        <v>306</v>
      </c>
      <c r="C1897" s="1">
        <v>38.0</v>
      </c>
      <c r="D1897" s="1">
        <v>892.0</v>
      </c>
      <c r="F1897" s="2" t="str">
        <f t="shared" si="1"/>
        <v>INSERT INTO tblExamQuestionLink VALUES (seqExamQuestionLink.nextval, 38, 892);</v>
      </c>
    </row>
    <row r="1898">
      <c r="A1898" s="1">
        <v>1893.0</v>
      </c>
      <c r="B1898" s="1" t="s">
        <v>306</v>
      </c>
      <c r="C1898" s="1">
        <v>38.0</v>
      </c>
      <c r="D1898" s="1">
        <v>893.0</v>
      </c>
      <c r="F1898" s="2" t="str">
        <f t="shared" si="1"/>
        <v>INSERT INTO tblExamQuestionLink VALUES (seqExamQuestionLink.nextval, 38, 893);</v>
      </c>
    </row>
    <row r="1899">
      <c r="A1899" s="1">
        <v>1894.0</v>
      </c>
      <c r="B1899" s="1" t="s">
        <v>306</v>
      </c>
      <c r="C1899" s="1">
        <v>38.0</v>
      </c>
      <c r="D1899" s="1">
        <v>894.0</v>
      </c>
      <c r="F1899" s="2" t="str">
        <f t="shared" si="1"/>
        <v>INSERT INTO tblExamQuestionLink VALUES (seqExamQuestionLink.nextval, 38, 894);</v>
      </c>
    </row>
    <row r="1900">
      <c r="A1900" s="1">
        <v>1895.0</v>
      </c>
      <c r="B1900" s="1" t="s">
        <v>306</v>
      </c>
      <c r="C1900" s="1">
        <v>38.0</v>
      </c>
      <c r="D1900" s="1">
        <v>895.0</v>
      </c>
      <c r="F1900" s="2" t="str">
        <f t="shared" si="1"/>
        <v>INSERT INTO tblExamQuestionLink VALUES (seqExamQuestionLink.nextval, 38, 895);</v>
      </c>
    </row>
    <row r="1901">
      <c r="A1901" s="1">
        <v>1896.0</v>
      </c>
      <c r="B1901" s="1" t="s">
        <v>306</v>
      </c>
      <c r="C1901" s="1">
        <v>38.0</v>
      </c>
      <c r="D1901" s="1">
        <v>896.0</v>
      </c>
      <c r="F1901" s="2" t="str">
        <f t="shared" si="1"/>
        <v>INSERT INTO tblExamQuestionLink VALUES (seqExamQuestionLink.nextval, 38, 896);</v>
      </c>
    </row>
    <row r="1902">
      <c r="A1902" s="1">
        <v>1897.0</v>
      </c>
      <c r="B1902" s="1" t="s">
        <v>306</v>
      </c>
      <c r="C1902" s="1">
        <v>38.0</v>
      </c>
      <c r="D1902" s="1">
        <v>897.0</v>
      </c>
      <c r="F1902" s="2" t="str">
        <f t="shared" si="1"/>
        <v>INSERT INTO tblExamQuestionLink VALUES (seqExamQuestionLink.nextval, 38, 897);</v>
      </c>
    </row>
    <row r="1903">
      <c r="A1903" s="1">
        <v>1898.0</v>
      </c>
      <c r="B1903" s="1" t="s">
        <v>306</v>
      </c>
      <c r="C1903" s="1">
        <v>38.0</v>
      </c>
      <c r="D1903" s="1">
        <v>898.0</v>
      </c>
      <c r="F1903" s="2" t="str">
        <f t="shared" si="1"/>
        <v>INSERT INTO tblExamQuestionLink VALUES (seqExamQuestionLink.nextval, 38, 898);</v>
      </c>
    </row>
    <row r="1904">
      <c r="A1904" s="1">
        <v>1899.0</v>
      </c>
      <c r="B1904" s="1" t="s">
        <v>306</v>
      </c>
      <c r="C1904" s="1">
        <v>38.0</v>
      </c>
      <c r="D1904" s="1">
        <v>899.0</v>
      </c>
      <c r="F1904" s="2" t="str">
        <f t="shared" si="1"/>
        <v>INSERT INTO tblExamQuestionLink VALUES (seqExamQuestionLink.nextval, 38, 899);</v>
      </c>
    </row>
    <row r="1905">
      <c r="A1905" s="1">
        <v>1900.0</v>
      </c>
      <c r="B1905" s="1" t="s">
        <v>306</v>
      </c>
      <c r="C1905" s="1">
        <v>38.0</v>
      </c>
      <c r="D1905" s="1">
        <v>900.0</v>
      </c>
      <c r="F1905" s="2" t="str">
        <f t="shared" si="1"/>
        <v>INSERT INTO tblExamQuestionLink VALUES (seqExamQuestionLink.nextval, 38, 900);</v>
      </c>
    </row>
    <row r="1906">
      <c r="A1906" s="1">
        <v>1901.0</v>
      </c>
      <c r="B1906" s="1" t="s">
        <v>306</v>
      </c>
      <c r="C1906" s="1">
        <v>39.0</v>
      </c>
      <c r="D1906" s="1">
        <v>901.0</v>
      </c>
      <c r="F1906" s="2" t="str">
        <f t="shared" si="1"/>
        <v>INSERT INTO tblExamQuestionLink VALUES (seqExamQuestionLink.nextval, 39, 901);</v>
      </c>
    </row>
    <row r="1907">
      <c r="A1907" s="1">
        <v>1902.0</v>
      </c>
      <c r="B1907" s="1" t="s">
        <v>306</v>
      </c>
      <c r="C1907" s="1">
        <v>39.0</v>
      </c>
      <c r="D1907" s="1">
        <v>902.0</v>
      </c>
      <c r="F1907" s="2" t="str">
        <f t="shared" si="1"/>
        <v>INSERT INTO tblExamQuestionLink VALUES (seqExamQuestionLink.nextval, 39, 902);</v>
      </c>
    </row>
    <row r="1908">
      <c r="A1908" s="1">
        <v>1903.0</v>
      </c>
      <c r="B1908" s="1" t="s">
        <v>306</v>
      </c>
      <c r="C1908" s="1">
        <v>39.0</v>
      </c>
      <c r="D1908" s="1">
        <v>903.0</v>
      </c>
      <c r="F1908" s="2" t="str">
        <f t="shared" si="1"/>
        <v>INSERT INTO tblExamQuestionLink VALUES (seqExamQuestionLink.nextval, 39, 903);</v>
      </c>
    </row>
    <row r="1909">
      <c r="A1909" s="1">
        <v>1904.0</v>
      </c>
      <c r="B1909" s="1" t="s">
        <v>306</v>
      </c>
      <c r="C1909" s="1">
        <v>39.0</v>
      </c>
      <c r="D1909" s="1">
        <v>904.0</v>
      </c>
      <c r="F1909" s="2" t="str">
        <f t="shared" si="1"/>
        <v>INSERT INTO tblExamQuestionLink VALUES (seqExamQuestionLink.nextval, 39, 904);</v>
      </c>
    </row>
    <row r="1910">
      <c r="A1910" s="1">
        <v>1905.0</v>
      </c>
      <c r="B1910" s="1" t="s">
        <v>306</v>
      </c>
      <c r="C1910" s="1">
        <v>39.0</v>
      </c>
      <c r="D1910" s="1">
        <v>905.0</v>
      </c>
      <c r="F1910" s="2" t="str">
        <f t="shared" si="1"/>
        <v>INSERT INTO tblExamQuestionLink VALUES (seqExamQuestionLink.nextval, 39, 905);</v>
      </c>
    </row>
    <row r="1911">
      <c r="A1911" s="1">
        <v>1906.0</v>
      </c>
      <c r="B1911" s="1" t="s">
        <v>306</v>
      </c>
      <c r="C1911" s="1">
        <v>39.0</v>
      </c>
      <c r="D1911" s="1">
        <v>906.0</v>
      </c>
      <c r="F1911" s="2" t="str">
        <f t="shared" si="1"/>
        <v>INSERT INTO tblExamQuestionLink VALUES (seqExamQuestionLink.nextval, 39, 906);</v>
      </c>
    </row>
    <row r="1912">
      <c r="A1912" s="1">
        <v>1907.0</v>
      </c>
      <c r="B1912" s="1" t="s">
        <v>306</v>
      </c>
      <c r="C1912" s="1">
        <v>39.0</v>
      </c>
      <c r="D1912" s="1">
        <v>907.0</v>
      </c>
      <c r="F1912" s="2" t="str">
        <f t="shared" si="1"/>
        <v>INSERT INTO tblExamQuestionLink VALUES (seqExamQuestionLink.nextval, 39, 907);</v>
      </c>
    </row>
    <row r="1913">
      <c r="A1913" s="1">
        <v>1908.0</v>
      </c>
      <c r="B1913" s="1" t="s">
        <v>306</v>
      </c>
      <c r="C1913" s="1">
        <v>39.0</v>
      </c>
      <c r="D1913" s="1">
        <v>908.0</v>
      </c>
      <c r="F1913" s="2" t="str">
        <f t="shared" si="1"/>
        <v>INSERT INTO tblExamQuestionLink VALUES (seqExamQuestionLink.nextval, 39, 908);</v>
      </c>
    </row>
    <row r="1914">
      <c r="A1914" s="1">
        <v>1909.0</v>
      </c>
      <c r="B1914" s="1" t="s">
        <v>306</v>
      </c>
      <c r="C1914" s="1">
        <v>39.0</v>
      </c>
      <c r="D1914" s="1">
        <v>909.0</v>
      </c>
      <c r="F1914" s="2" t="str">
        <f t="shared" si="1"/>
        <v>INSERT INTO tblExamQuestionLink VALUES (seqExamQuestionLink.nextval, 39, 909);</v>
      </c>
    </row>
    <row r="1915">
      <c r="A1915" s="1">
        <v>1910.0</v>
      </c>
      <c r="B1915" s="1" t="s">
        <v>306</v>
      </c>
      <c r="C1915" s="1">
        <v>39.0</v>
      </c>
      <c r="D1915" s="1">
        <v>910.0</v>
      </c>
      <c r="F1915" s="2" t="str">
        <f t="shared" si="1"/>
        <v>INSERT INTO tblExamQuestionLink VALUES (seqExamQuestionLink.nextval, 39, 910);</v>
      </c>
    </row>
    <row r="1916">
      <c r="A1916" s="1">
        <v>1911.0</v>
      </c>
      <c r="B1916" s="1" t="s">
        <v>306</v>
      </c>
      <c r="C1916" s="1">
        <v>39.0</v>
      </c>
      <c r="D1916" s="1">
        <v>911.0</v>
      </c>
      <c r="F1916" s="2" t="str">
        <f t="shared" si="1"/>
        <v>INSERT INTO tblExamQuestionLink VALUES (seqExamQuestionLink.nextval, 39, 911);</v>
      </c>
    </row>
    <row r="1917">
      <c r="A1917" s="1">
        <v>1912.0</v>
      </c>
      <c r="B1917" s="1" t="s">
        <v>306</v>
      </c>
      <c r="C1917" s="1">
        <v>39.0</v>
      </c>
      <c r="D1917" s="1">
        <v>912.0</v>
      </c>
      <c r="F1917" s="2" t="str">
        <f t="shared" si="1"/>
        <v>INSERT INTO tblExamQuestionLink VALUES (seqExamQuestionLink.nextval, 39, 912);</v>
      </c>
    </row>
    <row r="1918">
      <c r="A1918" s="1">
        <v>1913.0</v>
      </c>
      <c r="B1918" s="1" t="s">
        <v>306</v>
      </c>
      <c r="C1918" s="1">
        <v>39.0</v>
      </c>
      <c r="D1918" s="1">
        <v>913.0</v>
      </c>
      <c r="F1918" s="2" t="str">
        <f t="shared" si="1"/>
        <v>INSERT INTO tblExamQuestionLink VALUES (seqExamQuestionLink.nextval, 39, 913);</v>
      </c>
    </row>
    <row r="1919">
      <c r="A1919" s="1">
        <v>1914.0</v>
      </c>
      <c r="B1919" s="1" t="s">
        <v>306</v>
      </c>
      <c r="C1919" s="1">
        <v>39.0</v>
      </c>
      <c r="D1919" s="1">
        <v>914.0</v>
      </c>
      <c r="F1919" s="2" t="str">
        <f t="shared" si="1"/>
        <v>INSERT INTO tblExamQuestionLink VALUES (seqExamQuestionLink.nextval, 39, 914);</v>
      </c>
    </row>
    <row r="1920">
      <c r="A1920" s="1">
        <v>1915.0</v>
      </c>
      <c r="B1920" s="1" t="s">
        <v>306</v>
      </c>
      <c r="C1920" s="1">
        <v>39.0</v>
      </c>
      <c r="D1920" s="1">
        <v>915.0</v>
      </c>
      <c r="F1920" s="2" t="str">
        <f t="shared" si="1"/>
        <v>INSERT INTO tblExamQuestionLink VALUES (seqExamQuestionLink.nextval, 39, 915);</v>
      </c>
    </row>
    <row r="1921">
      <c r="A1921" s="1">
        <v>1916.0</v>
      </c>
      <c r="B1921" s="1" t="s">
        <v>306</v>
      </c>
      <c r="C1921" s="1">
        <v>39.0</v>
      </c>
      <c r="D1921" s="1">
        <v>916.0</v>
      </c>
      <c r="F1921" s="2" t="str">
        <f t="shared" si="1"/>
        <v>INSERT INTO tblExamQuestionLink VALUES (seqExamQuestionLink.nextval, 39, 916);</v>
      </c>
    </row>
    <row r="1922">
      <c r="A1922" s="1">
        <v>1917.0</v>
      </c>
      <c r="B1922" s="1" t="s">
        <v>306</v>
      </c>
      <c r="C1922" s="1">
        <v>39.0</v>
      </c>
      <c r="D1922" s="1">
        <v>917.0</v>
      </c>
      <c r="F1922" s="2" t="str">
        <f t="shared" si="1"/>
        <v>INSERT INTO tblExamQuestionLink VALUES (seqExamQuestionLink.nextval, 39, 917);</v>
      </c>
    </row>
    <row r="1923">
      <c r="A1923" s="1">
        <v>1918.0</v>
      </c>
      <c r="B1923" s="1" t="s">
        <v>306</v>
      </c>
      <c r="C1923" s="1">
        <v>39.0</v>
      </c>
      <c r="D1923" s="1">
        <v>918.0</v>
      </c>
      <c r="F1923" s="2" t="str">
        <f t="shared" si="1"/>
        <v>INSERT INTO tblExamQuestionLink VALUES (seqExamQuestionLink.nextval, 39, 918);</v>
      </c>
    </row>
    <row r="1924">
      <c r="A1924" s="1">
        <v>1919.0</v>
      </c>
      <c r="B1924" s="1" t="s">
        <v>306</v>
      </c>
      <c r="C1924" s="1">
        <v>39.0</v>
      </c>
      <c r="D1924" s="1">
        <v>919.0</v>
      </c>
      <c r="F1924" s="2" t="str">
        <f t="shared" si="1"/>
        <v>INSERT INTO tblExamQuestionLink VALUES (seqExamQuestionLink.nextval, 39, 919);</v>
      </c>
    </row>
    <row r="1925">
      <c r="A1925" s="1">
        <v>1920.0</v>
      </c>
      <c r="B1925" s="1" t="s">
        <v>306</v>
      </c>
      <c r="C1925" s="1">
        <v>39.0</v>
      </c>
      <c r="D1925" s="1">
        <v>920.0</v>
      </c>
      <c r="F1925" s="2" t="str">
        <f t="shared" si="1"/>
        <v>INSERT INTO tblExamQuestionLink VALUES (seqExamQuestionLink.nextval, 39, 920);</v>
      </c>
    </row>
    <row r="1926">
      <c r="A1926" s="1">
        <v>1921.0</v>
      </c>
      <c r="B1926" s="1" t="s">
        <v>306</v>
      </c>
      <c r="C1926" s="1">
        <v>39.0</v>
      </c>
      <c r="D1926" s="1">
        <v>921.0</v>
      </c>
      <c r="F1926" s="2" t="str">
        <f t="shared" si="1"/>
        <v>INSERT INTO tblExamQuestionLink VALUES (seqExamQuestionLink.nextval, 39, 921);</v>
      </c>
    </row>
    <row r="1927">
      <c r="A1927" s="1">
        <v>1922.0</v>
      </c>
      <c r="B1927" s="1" t="s">
        <v>306</v>
      </c>
      <c r="C1927" s="1">
        <v>39.0</v>
      </c>
      <c r="D1927" s="1">
        <v>922.0</v>
      </c>
      <c r="F1927" s="2" t="str">
        <f t="shared" si="1"/>
        <v>INSERT INTO tblExamQuestionLink VALUES (seqExamQuestionLink.nextval, 39, 922);</v>
      </c>
    </row>
    <row r="1928">
      <c r="A1928" s="1">
        <v>1923.0</v>
      </c>
      <c r="B1928" s="1" t="s">
        <v>306</v>
      </c>
      <c r="C1928" s="1">
        <v>39.0</v>
      </c>
      <c r="D1928" s="1">
        <v>923.0</v>
      </c>
      <c r="F1928" s="2" t="str">
        <f t="shared" si="1"/>
        <v>INSERT INTO tblExamQuestionLink VALUES (seqExamQuestionLink.nextval, 39, 923);</v>
      </c>
    </row>
    <row r="1929">
      <c r="A1929" s="1">
        <v>1924.0</v>
      </c>
      <c r="B1929" s="1" t="s">
        <v>306</v>
      </c>
      <c r="C1929" s="1">
        <v>39.0</v>
      </c>
      <c r="D1929" s="1">
        <v>924.0</v>
      </c>
      <c r="F1929" s="2" t="str">
        <f t="shared" si="1"/>
        <v>INSERT INTO tblExamQuestionLink VALUES (seqExamQuestionLink.nextval, 39, 924);</v>
      </c>
    </row>
    <row r="1930">
      <c r="A1930" s="1">
        <v>1925.0</v>
      </c>
      <c r="B1930" s="1" t="s">
        <v>306</v>
      </c>
      <c r="C1930" s="1">
        <v>39.0</v>
      </c>
      <c r="D1930" s="1">
        <v>925.0</v>
      </c>
      <c r="F1930" s="2" t="str">
        <f t="shared" si="1"/>
        <v>INSERT INTO tblExamQuestionLink VALUES (seqExamQuestionLink.nextval, 39, 925);</v>
      </c>
    </row>
    <row r="1931">
      <c r="A1931" s="1">
        <v>1926.0</v>
      </c>
      <c r="B1931" s="1" t="s">
        <v>306</v>
      </c>
      <c r="C1931" s="1">
        <v>39.0</v>
      </c>
      <c r="D1931" s="1">
        <v>926.0</v>
      </c>
      <c r="F1931" s="2" t="str">
        <f t="shared" si="1"/>
        <v>INSERT INTO tblExamQuestionLink VALUES (seqExamQuestionLink.nextval, 39, 926);</v>
      </c>
    </row>
    <row r="1932">
      <c r="A1932" s="1">
        <v>1927.0</v>
      </c>
      <c r="B1932" s="1" t="s">
        <v>306</v>
      </c>
      <c r="C1932" s="1">
        <v>39.0</v>
      </c>
      <c r="D1932" s="1">
        <v>927.0</v>
      </c>
      <c r="F1932" s="2" t="str">
        <f t="shared" si="1"/>
        <v>INSERT INTO tblExamQuestionLink VALUES (seqExamQuestionLink.nextval, 39, 927);</v>
      </c>
    </row>
    <row r="1933">
      <c r="A1933" s="1">
        <v>1928.0</v>
      </c>
      <c r="B1933" s="1" t="s">
        <v>306</v>
      </c>
      <c r="C1933" s="1">
        <v>39.0</v>
      </c>
      <c r="D1933" s="1">
        <v>928.0</v>
      </c>
      <c r="F1933" s="2" t="str">
        <f t="shared" si="1"/>
        <v>INSERT INTO tblExamQuestionLink VALUES (seqExamQuestionLink.nextval, 39, 928);</v>
      </c>
    </row>
    <row r="1934">
      <c r="A1934" s="1">
        <v>1929.0</v>
      </c>
      <c r="B1934" s="1" t="s">
        <v>306</v>
      </c>
      <c r="C1934" s="1">
        <v>39.0</v>
      </c>
      <c r="D1934" s="1">
        <v>929.0</v>
      </c>
      <c r="F1934" s="2" t="str">
        <f t="shared" si="1"/>
        <v>INSERT INTO tblExamQuestionLink VALUES (seqExamQuestionLink.nextval, 39, 929);</v>
      </c>
    </row>
    <row r="1935">
      <c r="A1935" s="1">
        <v>1930.0</v>
      </c>
      <c r="B1935" s="1" t="s">
        <v>306</v>
      </c>
      <c r="C1935" s="1">
        <v>39.0</v>
      </c>
      <c r="D1935" s="1">
        <v>930.0</v>
      </c>
      <c r="F1935" s="2" t="str">
        <f t="shared" si="1"/>
        <v>INSERT INTO tblExamQuestionLink VALUES (seqExamQuestionLink.nextval, 39, 930);</v>
      </c>
    </row>
    <row r="1936">
      <c r="A1936" s="1">
        <v>1931.0</v>
      </c>
      <c r="B1936" s="1" t="s">
        <v>306</v>
      </c>
      <c r="C1936" s="1">
        <v>39.0</v>
      </c>
      <c r="D1936" s="1">
        <v>931.0</v>
      </c>
      <c r="F1936" s="2" t="str">
        <f t="shared" si="1"/>
        <v>INSERT INTO tblExamQuestionLink VALUES (seqExamQuestionLink.nextval, 39, 931);</v>
      </c>
    </row>
    <row r="1937">
      <c r="A1937" s="1">
        <v>1932.0</v>
      </c>
      <c r="B1937" s="1" t="s">
        <v>306</v>
      </c>
      <c r="C1937" s="1">
        <v>39.0</v>
      </c>
      <c r="D1937" s="1">
        <v>932.0</v>
      </c>
      <c r="F1937" s="2" t="str">
        <f t="shared" si="1"/>
        <v>INSERT INTO tblExamQuestionLink VALUES (seqExamQuestionLink.nextval, 39, 932);</v>
      </c>
    </row>
    <row r="1938">
      <c r="A1938" s="1">
        <v>1933.0</v>
      </c>
      <c r="B1938" s="1" t="s">
        <v>306</v>
      </c>
      <c r="C1938" s="1">
        <v>39.0</v>
      </c>
      <c r="D1938" s="1">
        <v>933.0</v>
      </c>
      <c r="F1938" s="2" t="str">
        <f t="shared" si="1"/>
        <v>INSERT INTO tblExamQuestionLink VALUES (seqExamQuestionLink.nextval, 39, 933);</v>
      </c>
    </row>
    <row r="1939">
      <c r="A1939" s="1">
        <v>1934.0</v>
      </c>
      <c r="B1939" s="1" t="s">
        <v>306</v>
      </c>
      <c r="C1939" s="1">
        <v>39.0</v>
      </c>
      <c r="D1939" s="1">
        <v>934.0</v>
      </c>
      <c r="F1939" s="2" t="str">
        <f t="shared" si="1"/>
        <v>INSERT INTO tblExamQuestionLink VALUES (seqExamQuestionLink.nextval, 39, 934);</v>
      </c>
    </row>
    <row r="1940">
      <c r="A1940" s="1">
        <v>1935.0</v>
      </c>
      <c r="B1940" s="1" t="s">
        <v>306</v>
      </c>
      <c r="C1940" s="1">
        <v>39.0</v>
      </c>
      <c r="D1940" s="1">
        <v>935.0</v>
      </c>
      <c r="F1940" s="2" t="str">
        <f t="shared" si="1"/>
        <v>INSERT INTO tblExamQuestionLink VALUES (seqExamQuestionLink.nextval, 39, 935);</v>
      </c>
    </row>
    <row r="1941">
      <c r="A1941" s="1">
        <v>1936.0</v>
      </c>
      <c r="B1941" s="1" t="s">
        <v>306</v>
      </c>
      <c r="C1941" s="1">
        <v>39.0</v>
      </c>
      <c r="D1941" s="1">
        <v>936.0</v>
      </c>
      <c r="F1941" s="2" t="str">
        <f t="shared" si="1"/>
        <v>INSERT INTO tblExamQuestionLink VALUES (seqExamQuestionLink.nextval, 39, 936);</v>
      </c>
    </row>
    <row r="1942">
      <c r="A1942" s="1">
        <v>1937.0</v>
      </c>
      <c r="B1942" s="1" t="s">
        <v>306</v>
      </c>
      <c r="C1942" s="1">
        <v>39.0</v>
      </c>
      <c r="D1942" s="1">
        <v>937.0</v>
      </c>
      <c r="F1942" s="2" t="str">
        <f t="shared" si="1"/>
        <v>INSERT INTO tblExamQuestionLink VALUES (seqExamQuestionLink.nextval, 39, 937);</v>
      </c>
    </row>
    <row r="1943">
      <c r="A1943" s="1">
        <v>1938.0</v>
      </c>
      <c r="B1943" s="1" t="s">
        <v>306</v>
      </c>
      <c r="C1943" s="1">
        <v>39.0</v>
      </c>
      <c r="D1943" s="1">
        <v>938.0</v>
      </c>
      <c r="F1943" s="2" t="str">
        <f t="shared" si="1"/>
        <v>INSERT INTO tblExamQuestionLink VALUES (seqExamQuestionLink.nextval, 39, 938);</v>
      </c>
    </row>
    <row r="1944">
      <c r="A1944" s="1">
        <v>1939.0</v>
      </c>
      <c r="B1944" s="1" t="s">
        <v>306</v>
      </c>
      <c r="C1944" s="1">
        <v>39.0</v>
      </c>
      <c r="D1944" s="1">
        <v>939.0</v>
      </c>
      <c r="F1944" s="2" t="str">
        <f t="shared" si="1"/>
        <v>INSERT INTO tblExamQuestionLink VALUES (seqExamQuestionLink.nextval, 39, 939);</v>
      </c>
    </row>
    <row r="1945">
      <c r="A1945" s="1">
        <v>1940.0</v>
      </c>
      <c r="B1945" s="1" t="s">
        <v>306</v>
      </c>
      <c r="C1945" s="1">
        <v>39.0</v>
      </c>
      <c r="D1945" s="1">
        <v>940.0</v>
      </c>
      <c r="F1945" s="2" t="str">
        <f t="shared" si="1"/>
        <v>INSERT INTO tblExamQuestionLink VALUES (seqExamQuestionLink.nextval, 39, 940);</v>
      </c>
    </row>
    <row r="1946">
      <c r="A1946" s="1">
        <v>1941.0</v>
      </c>
      <c r="B1946" s="1" t="s">
        <v>306</v>
      </c>
      <c r="C1946" s="1">
        <v>39.0</v>
      </c>
      <c r="D1946" s="1">
        <v>941.0</v>
      </c>
      <c r="F1946" s="2" t="str">
        <f t="shared" si="1"/>
        <v>INSERT INTO tblExamQuestionLink VALUES (seqExamQuestionLink.nextval, 39, 941);</v>
      </c>
    </row>
    <row r="1947">
      <c r="A1947" s="1">
        <v>1942.0</v>
      </c>
      <c r="B1947" s="1" t="s">
        <v>306</v>
      </c>
      <c r="C1947" s="1">
        <v>39.0</v>
      </c>
      <c r="D1947" s="1">
        <v>942.0</v>
      </c>
      <c r="F1947" s="2" t="str">
        <f t="shared" si="1"/>
        <v>INSERT INTO tblExamQuestionLink VALUES (seqExamQuestionLink.nextval, 39, 942);</v>
      </c>
    </row>
    <row r="1948">
      <c r="A1948" s="1">
        <v>1943.0</v>
      </c>
      <c r="B1948" s="1" t="s">
        <v>306</v>
      </c>
      <c r="C1948" s="1">
        <v>39.0</v>
      </c>
      <c r="D1948" s="1">
        <v>943.0</v>
      </c>
      <c r="F1948" s="2" t="str">
        <f t="shared" si="1"/>
        <v>INSERT INTO tblExamQuestionLink VALUES (seqExamQuestionLink.nextval, 39, 943);</v>
      </c>
    </row>
    <row r="1949">
      <c r="A1949" s="1">
        <v>1944.0</v>
      </c>
      <c r="B1949" s="1" t="s">
        <v>306</v>
      </c>
      <c r="C1949" s="1">
        <v>39.0</v>
      </c>
      <c r="D1949" s="1">
        <v>944.0</v>
      </c>
      <c r="F1949" s="2" t="str">
        <f t="shared" si="1"/>
        <v>INSERT INTO tblExamQuestionLink VALUES (seqExamQuestionLink.nextval, 39, 944);</v>
      </c>
    </row>
    <row r="1950">
      <c r="A1950" s="1">
        <v>1945.0</v>
      </c>
      <c r="B1950" s="1" t="s">
        <v>306</v>
      </c>
      <c r="C1950" s="1">
        <v>39.0</v>
      </c>
      <c r="D1950" s="1">
        <v>945.0</v>
      </c>
      <c r="F1950" s="2" t="str">
        <f t="shared" si="1"/>
        <v>INSERT INTO tblExamQuestionLink VALUES (seqExamQuestionLink.nextval, 39, 945);</v>
      </c>
    </row>
    <row r="1951">
      <c r="A1951" s="1">
        <v>1946.0</v>
      </c>
      <c r="B1951" s="1" t="s">
        <v>306</v>
      </c>
      <c r="C1951" s="1">
        <v>39.0</v>
      </c>
      <c r="D1951" s="1">
        <v>946.0</v>
      </c>
      <c r="F1951" s="2" t="str">
        <f t="shared" si="1"/>
        <v>INSERT INTO tblExamQuestionLink VALUES (seqExamQuestionLink.nextval, 39, 946);</v>
      </c>
    </row>
    <row r="1952">
      <c r="A1952" s="1">
        <v>1947.0</v>
      </c>
      <c r="B1952" s="1" t="s">
        <v>306</v>
      </c>
      <c r="C1952" s="1">
        <v>39.0</v>
      </c>
      <c r="D1952" s="1">
        <v>947.0</v>
      </c>
      <c r="F1952" s="2" t="str">
        <f t="shared" si="1"/>
        <v>INSERT INTO tblExamQuestionLink VALUES (seqExamQuestionLink.nextval, 39, 947);</v>
      </c>
    </row>
    <row r="1953">
      <c r="A1953" s="1">
        <v>1948.0</v>
      </c>
      <c r="B1953" s="1" t="s">
        <v>306</v>
      </c>
      <c r="C1953" s="1">
        <v>39.0</v>
      </c>
      <c r="D1953" s="1">
        <v>948.0</v>
      </c>
      <c r="F1953" s="2" t="str">
        <f t="shared" si="1"/>
        <v>INSERT INTO tblExamQuestionLink VALUES (seqExamQuestionLink.nextval, 39, 948);</v>
      </c>
    </row>
    <row r="1954">
      <c r="A1954" s="1">
        <v>1949.0</v>
      </c>
      <c r="B1954" s="1" t="s">
        <v>306</v>
      </c>
      <c r="C1954" s="1">
        <v>39.0</v>
      </c>
      <c r="D1954" s="1">
        <v>949.0</v>
      </c>
      <c r="F1954" s="2" t="str">
        <f t="shared" si="1"/>
        <v>INSERT INTO tblExamQuestionLink VALUES (seqExamQuestionLink.nextval, 39, 949);</v>
      </c>
    </row>
    <row r="1955">
      <c r="A1955" s="1">
        <v>1950.0</v>
      </c>
      <c r="B1955" s="1" t="s">
        <v>306</v>
      </c>
      <c r="C1955" s="1">
        <v>39.0</v>
      </c>
      <c r="D1955" s="1">
        <v>950.0</v>
      </c>
      <c r="F1955" s="2" t="str">
        <f t="shared" si="1"/>
        <v>INSERT INTO tblExamQuestionLink VALUES (seqExamQuestionLink.nextval, 39, 950);</v>
      </c>
    </row>
    <row r="1956">
      <c r="A1956" s="1">
        <v>1951.0</v>
      </c>
      <c r="B1956" s="1" t="s">
        <v>306</v>
      </c>
      <c r="C1956" s="1">
        <v>40.0</v>
      </c>
      <c r="D1956" s="1">
        <v>951.0</v>
      </c>
      <c r="F1956" s="2" t="str">
        <f t="shared" si="1"/>
        <v>INSERT INTO tblExamQuestionLink VALUES (seqExamQuestionLink.nextval, 40, 951);</v>
      </c>
    </row>
    <row r="1957">
      <c r="A1957" s="1">
        <v>1952.0</v>
      </c>
      <c r="B1957" s="1" t="s">
        <v>306</v>
      </c>
      <c r="C1957" s="1">
        <v>40.0</v>
      </c>
      <c r="D1957" s="1">
        <v>952.0</v>
      </c>
      <c r="F1957" s="2" t="str">
        <f t="shared" si="1"/>
        <v>INSERT INTO tblExamQuestionLink VALUES (seqExamQuestionLink.nextval, 40, 952);</v>
      </c>
    </row>
    <row r="1958">
      <c r="A1958" s="1">
        <v>1953.0</v>
      </c>
      <c r="B1958" s="1" t="s">
        <v>306</v>
      </c>
      <c r="C1958" s="1">
        <v>40.0</v>
      </c>
      <c r="D1958" s="1">
        <v>953.0</v>
      </c>
      <c r="F1958" s="2" t="str">
        <f t="shared" si="1"/>
        <v>INSERT INTO tblExamQuestionLink VALUES (seqExamQuestionLink.nextval, 40, 953);</v>
      </c>
    </row>
    <row r="1959">
      <c r="A1959" s="1">
        <v>1954.0</v>
      </c>
      <c r="B1959" s="1" t="s">
        <v>306</v>
      </c>
      <c r="C1959" s="1">
        <v>40.0</v>
      </c>
      <c r="D1959" s="1">
        <v>954.0</v>
      </c>
      <c r="F1959" s="2" t="str">
        <f t="shared" si="1"/>
        <v>INSERT INTO tblExamQuestionLink VALUES (seqExamQuestionLink.nextval, 40, 954);</v>
      </c>
    </row>
    <row r="1960">
      <c r="A1960" s="1">
        <v>1955.0</v>
      </c>
      <c r="B1960" s="1" t="s">
        <v>306</v>
      </c>
      <c r="C1960" s="1">
        <v>40.0</v>
      </c>
      <c r="D1960" s="1">
        <v>955.0</v>
      </c>
      <c r="F1960" s="2" t="str">
        <f t="shared" si="1"/>
        <v>INSERT INTO tblExamQuestionLink VALUES (seqExamQuestionLink.nextval, 40, 955);</v>
      </c>
    </row>
    <row r="1961">
      <c r="A1961" s="1">
        <v>1956.0</v>
      </c>
      <c r="B1961" s="1" t="s">
        <v>306</v>
      </c>
      <c r="C1961" s="1">
        <v>40.0</v>
      </c>
      <c r="D1961" s="1">
        <v>956.0</v>
      </c>
      <c r="F1961" s="2" t="str">
        <f t="shared" si="1"/>
        <v>INSERT INTO tblExamQuestionLink VALUES (seqExamQuestionLink.nextval, 40, 956);</v>
      </c>
    </row>
    <row r="1962">
      <c r="A1962" s="1">
        <v>1957.0</v>
      </c>
      <c r="B1962" s="1" t="s">
        <v>306</v>
      </c>
      <c r="C1962" s="1">
        <v>40.0</v>
      </c>
      <c r="D1962" s="1">
        <v>957.0</v>
      </c>
      <c r="F1962" s="2" t="str">
        <f t="shared" si="1"/>
        <v>INSERT INTO tblExamQuestionLink VALUES (seqExamQuestionLink.nextval, 40, 957);</v>
      </c>
    </row>
    <row r="1963">
      <c r="A1963" s="1">
        <v>1958.0</v>
      </c>
      <c r="B1963" s="1" t="s">
        <v>306</v>
      </c>
      <c r="C1963" s="1">
        <v>40.0</v>
      </c>
      <c r="D1963" s="1">
        <v>958.0</v>
      </c>
      <c r="F1963" s="2" t="str">
        <f t="shared" si="1"/>
        <v>INSERT INTO tblExamQuestionLink VALUES (seqExamQuestionLink.nextval, 40, 958);</v>
      </c>
    </row>
    <row r="1964">
      <c r="A1964" s="1">
        <v>1959.0</v>
      </c>
      <c r="B1964" s="1" t="s">
        <v>306</v>
      </c>
      <c r="C1964" s="1">
        <v>40.0</v>
      </c>
      <c r="D1964" s="1">
        <v>959.0</v>
      </c>
      <c r="F1964" s="2" t="str">
        <f t="shared" si="1"/>
        <v>INSERT INTO tblExamQuestionLink VALUES (seqExamQuestionLink.nextval, 40, 959);</v>
      </c>
    </row>
    <row r="1965">
      <c r="A1965" s="1">
        <v>1960.0</v>
      </c>
      <c r="B1965" s="1" t="s">
        <v>306</v>
      </c>
      <c r="C1965" s="1">
        <v>40.0</v>
      </c>
      <c r="D1965" s="1">
        <v>960.0</v>
      </c>
      <c r="F1965" s="2" t="str">
        <f t="shared" si="1"/>
        <v>INSERT INTO tblExamQuestionLink VALUES (seqExamQuestionLink.nextval, 40, 960);</v>
      </c>
    </row>
    <row r="1966">
      <c r="A1966" s="1">
        <v>1961.0</v>
      </c>
      <c r="B1966" s="1" t="s">
        <v>306</v>
      </c>
      <c r="C1966" s="1">
        <v>40.0</v>
      </c>
      <c r="D1966" s="1">
        <v>961.0</v>
      </c>
      <c r="F1966" s="2" t="str">
        <f t="shared" si="1"/>
        <v>INSERT INTO tblExamQuestionLink VALUES (seqExamQuestionLink.nextval, 40, 961);</v>
      </c>
    </row>
    <row r="1967">
      <c r="A1967" s="1">
        <v>1962.0</v>
      </c>
      <c r="B1967" s="1" t="s">
        <v>306</v>
      </c>
      <c r="C1967" s="1">
        <v>40.0</v>
      </c>
      <c r="D1967" s="1">
        <v>962.0</v>
      </c>
      <c r="F1967" s="2" t="str">
        <f t="shared" si="1"/>
        <v>INSERT INTO tblExamQuestionLink VALUES (seqExamQuestionLink.nextval, 40, 962);</v>
      </c>
    </row>
    <row r="1968">
      <c r="A1968" s="1">
        <v>1963.0</v>
      </c>
      <c r="B1968" s="1" t="s">
        <v>306</v>
      </c>
      <c r="C1968" s="1">
        <v>40.0</v>
      </c>
      <c r="D1968" s="1">
        <v>963.0</v>
      </c>
      <c r="F1968" s="2" t="str">
        <f t="shared" si="1"/>
        <v>INSERT INTO tblExamQuestionLink VALUES (seqExamQuestionLink.nextval, 40, 963);</v>
      </c>
    </row>
    <row r="1969">
      <c r="A1969" s="1">
        <v>1964.0</v>
      </c>
      <c r="B1969" s="1" t="s">
        <v>306</v>
      </c>
      <c r="C1969" s="1">
        <v>40.0</v>
      </c>
      <c r="D1969" s="1">
        <v>964.0</v>
      </c>
      <c r="F1969" s="2" t="str">
        <f t="shared" si="1"/>
        <v>INSERT INTO tblExamQuestionLink VALUES (seqExamQuestionLink.nextval, 40, 964);</v>
      </c>
    </row>
    <row r="1970">
      <c r="A1970" s="1">
        <v>1965.0</v>
      </c>
      <c r="B1970" s="1" t="s">
        <v>306</v>
      </c>
      <c r="C1970" s="1">
        <v>40.0</v>
      </c>
      <c r="D1970" s="1">
        <v>965.0</v>
      </c>
      <c r="F1970" s="2" t="str">
        <f t="shared" si="1"/>
        <v>INSERT INTO tblExamQuestionLink VALUES (seqExamQuestionLink.nextval, 40, 965);</v>
      </c>
    </row>
    <row r="1971">
      <c r="A1971" s="1">
        <v>1966.0</v>
      </c>
      <c r="B1971" s="1" t="s">
        <v>306</v>
      </c>
      <c r="C1971" s="1">
        <v>40.0</v>
      </c>
      <c r="D1971" s="1">
        <v>966.0</v>
      </c>
      <c r="F1971" s="2" t="str">
        <f t="shared" si="1"/>
        <v>INSERT INTO tblExamQuestionLink VALUES (seqExamQuestionLink.nextval, 40, 966);</v>
      </c>
    </row>
    <row r="1972">
      <c r="A1972" s="1">
        <v>1967.0</v>
      </c>
      <c r="B1972" s="1" t="s">
        <v>306</v>
      </c>
      <c r="C1972" s="1">
        <v>40.0</v>
      </c>
      <c r="D1972" s="1">
        <v>967.0</v>
      </c>
      <c r="F1972" s="2" t="str">
        <f t="shared" si="1"/>
        <v>INSERT INTO tblExamQuestionLink VALUES (seqExamQuestionLink.nextval, 40, 967);</v>
      </c>
    </row>
    <row r="1973">
      <c r="A1973" s="1">
        <v>1968.0</v>
      </c>
      <c r="B1973" s="1" t="s">
        <v>306</v>
      </c>
      <c r="C1973" s="1">
        <v>40.0</v>
      </c>
      <c r="D1973" s="1">
        <v>968.0</v>
      </c>
      <c r="F1973" s="2" t="str">
        <f t="shared" si="1"/>
        <v>INSERT INTO tblExamQuestionLink VALUES (seqExamQuestionLink.nextval, 40, 968);</v>
      </c>
    </row>
    <row r="1974">
      <c r="A1974" s="1">
        <v>1969.0</v>
      </c>
      <c r="B1974" s="1" t="s">
        <v>306</v>
      </c>
      <c r="C1974" s="1">
        <v>40.0</v>
      </c>
      <c r="D1974" s="1">
        <v>969.0</v>
      </c>
      <c r="F1974" s="2" t="str">
        <f t="shared" si="1"/>
        <v>INSERT INTO tblExamQuestionLink VALUES (seqExamQuestionLink.nextval, 40, 969);</v>
      </c>
    </row>
    <row r="1975">
      <c r="A1975" s="1">
        <v>1970.0</v>
      </c>
      <c r="B1975" s="1" t="s">
        <v>306</v>
      </c>
      <c r="C1975" s="1">
        <v>40.0</v>
      </c>
      <c r="D1975" s="1">
        <v>970.0</v>
      </c>
      <c r="F1975" s="2" t="str">
        <f t="shared" si="1"/>
        <v>INSERT INTO tblExamQuestionLink VALUES (seqExamQuestionLink.nextval, 40, 970);</v>
      </c>
    </row>
    <row r="1976">
      <c r="A1976" s="1">
        <v>1971.0</v>
      </c>
      <c r="B1976" s="1" t="s">
        <v>306</v>
      </c>
      <c r="C1976" s="1">
        <v>40.0</v>
      </c>
      <c r="D1976" s="1">
        <v>971.0</v>
      </c>
      <c r="F1976" s="2" t="str">
        <f t="shared" si="1"/>
        <v>INSERT INTO tblExamQuestionLink VALUES (seqExamQuestionLink.nextval, 40, 971);</v>
      </c>
    </row>
    <row r="1977">
      <c r="A1977" s="1">
        <v>1972.0</v>
      </c>
      <c r="B1977" s="1" t="s">
        <v>306</v>
      </c>
      <c r="C1977" s="1">
        <v>40.0</v>
      </c>
      <c r="D1977" s="1">
        <v>972.0</v>
      </c>
      <c r="F1977" s="2" t="str">
        <f t="shared" si="1"/>
        <v>INSERT INTO tblExamQuestionLink VALUES (seqExamQuestionLink.nextval, 40, 972);</v>
      </c>
    </row>
    <row r="1978">
      <c r="A1978" s="1">
        <v>1973.0</v>
      </c>
      <c r="B1978" s="1" t="s">
        <v>306</v>
      </c>
      <c r="C1978" s="1">
        <v>40.0</v>
      </c>
      <c r="D1978" s="1">
        <v>973.0</v>
      </c>
      <c r="F1978" s="2" t="str">
        <f t="shared" si="1"/>
        <v>INSERT INTO tblExamQuestionLink VALUES (seqExamQuestionLink.nextval, 40, 973);</v>
      </c>
    </row>
    <row r="1979">
      <c r="A1979" s="1">
        <v>1974.0</v>
      </c>
      <c r="B1979" s="1" t="s">
        <v>306</v>
      </c>
      <c r="C1979" s="1">
        <v>40.0</v>
      </c>
      <c r="D1979" s="1">
        <v>974.0</v>
      </c>
      <c r="F1979" s="2" t="str">
        <f t="shared" si="1"/>
        <v>INSERT INTO tblExamQuestionLink VALUES (seqExamQuestionLink.nextval, 40, 974);</v>
      </c>
    </row>
    <row r="1980">
      <c r="A1980" s="1">
        <v>1975.0</v>
      </c>
      <c r="B1980" s="1" t="s">
        <v>306</v>
      </c>
      <c r="C1980" s="1">
        <v>40.0</v>
      </c>
      <c r="D1980" s="1">
        <v>975.0</v>
      </c>
      <c r="F1980" s="2" t="str">
        <f t="shared" si="1"/>
        <v>INSERT INTO tblExamQuestionLink VALUES (seqExamQuestionLink.nextval, 40, 975);</v>
      </c>
    </row>
    <row r="1981">
      <c r="A1981" s="1">
        <v>1976.0</v>
      </c>
      <c r="B1981" s="1" t="s">
        <v>306</v>
      </c>
      <c r="C1981" s="1">
        <v>40.0</v>
      </c>
      <c r="D1981" s="1">
        <v>976.0</v>
      </c>
      <c r="F1981" s="2" t="str">
        <f t="shared" si="1"/>
        <v>INSERT INTO tblExamQuestionLink VALUES (seqExamQuestionLink.nextval, 40, 976);</v>
      </c>
    </row>
    <row r="1982">
      <c r="A1982" s="1">
        <v>1977.0</v>
      </c>
      <c r="B1982" s="1" t="s">
        <v>306</v>
      </c>
      <c r="C1982" s="1">
        <v>40.0</v>
      </c>
      <c r="D1982" s="1">
        <v>977.0</v>
      </c>
      <c r="F1982" s="2" t="str">
        <f t="shared" si="1"/>
        <v>INSERT INTO tblExamQuestionLink VALUES (seqExamQuestionLink.nextval, 40, 977);</v>
      </c>
    </row>
    <row r="1983">
      <c r="A1983" s="1">
        <v>1978.0</v>
      </c>
      <c r="B1983" s="1" t="s">
        <v>306</v>
      </c>
      <c r="C1983" s="1">
        <v>40.0</v>
      </c>
      <c r="D1983" s="1">
        <v>978.0</v>
      </c>
      <c r="F1983" s="2" t="str">
        <f t="shared" si="1"/>
        <v>INSERT INTO tblExamQuestionLink VALUES (seqExamQuestionLink.nextval, 40, 978);</v>
      </c>
    </row>
    <row r="1984">
      <c r="A1984" s="1">
        <v>1979.0</v>
      </c>
      <c r="B1984" s="1" t="s">
        <v>306</v>
      </c>
      <c r="C1984" s="1">
        <v>40.0</v>
      </c>
      <c r="D1984" s="1">
        <v>979.0</v>
      </c>
      <c r="F1984" s="2" t="str">
        <f t="shared" si="1"/>
        <v>INSERT INTO tblExamQuestionLink VALUES (seqExamQuestionLink.nextval, 40, 979);</v>
      </c>
    </row>
    <row r="1985">
      <c r="A1985" s="1">
        <v>1980.0</v>
      </c>
      <c r="B1985" s="1" t="s">
        <v>306</v>
      </c>
      <c r="C1985" s="1">
        <v>40.0</v>
      </c>
      <c r="D1985" s="1">
        <v>980.0</v>
      </c>
      <c r="F1985" s="2" t="str">
        <f t="shared" si="1"/>
        <v>INSERT INTO tblExamQuestionLink VALUES (seqExamQuestionLink.nextval, 40, 980);</v>
      </c>
    </row>
    <row r="1986">
      <c r="A1986" s="1">
        <v>1981.0</v>
      </c>
      <c r="B1986" s="1" t="s">
        <v>306</v>
      </c>
      <c r="C1986" s="1">
        <v>40.0</v>
      </c>
      <c r="D1986" s="1">
        <v>981.0</v>
      </c>
      <c r="F1986" s="2" t="str">
        <f t="shared" si="1"/>
        <v>INSERT INTO tblExamQuestionLink VALUES (seqExamQuestionLink.nextval, 40, 981);</v>
      </c>
    </row>
    <row r="1987">
      <c r="A1987" s="1">
        <v>1982.0</v>
      </c>
      <c r="B1987" s="1" t="s">
        <v>306</v>
      </c>
      <c r="C1987" s="1">
        <v>40.0</v>
      </c>
      <c r="D1987" s="1">
        <v>982.0</v>
      </c>
      <c r="F1987" s="2" t="str">
        <f t="shared" si="1"/>
        <v>INSERT INTO tblExamQuestionLink VALUES (seqExamQuestionLink.nextval, 40, 982);</v>
      </c>
    </row>
    <row r="1988">
      <c r="A1988" s="1">
        <v>1983.0</v>
      </c>
      <c r="B1988" s="1" t="s">
        <v>306</v>
      </c>
      <c r="C1988" s="1">
        <v>40.0</v>
      </c>
      <c r="D1988" s="1">
        <v>983.0</v>
      </c>
      <c r="F1988" s="2" t="str">
        <f t="shared" si="1"/>
        <v>INSERT INTO tblExamQuestionLink VALUES (seqExamQuestionLink.nextval, 40, 983);</v>
      </c>
    </row>
    <row r="1989">
      <c r="A1989" s="1">
        <v>1984.0</v>
      </c>
      <c r="B1989" s="1" t="s">
        <v>306</v>
      </c>
      <c r="C1989" s="1">
        <v>40.0</v>
      </c>
      <c r="D1989" s="1">
        <v>984.0</v>
      </c>
      <c r="F1989" s="2" t="str">
        <f t="shared" si="1"/>
        <v>INSERT INTO tblExamQuestionLink VALUES (seqExamQuestionLink.nextval, 40, 984);</v>
      </c>
    </row>
    <row r="1990">
      <c r="A1990" s="1">
        <v>1985.0</v>
      </c>
      <c r="B1990" s="1" t="s">
        <v>306</v>
      </c>
      <c r="C1990" s="1">
        <v>40.0</v>
      </c>
      <c r="D1990" s="1">
        <v>985.0</v>
      </c>
      <c r="F1990" s="2" t="str">
        <f t="shared" si="1"/>
        <v>INSERT INTO tblExamQuestionLink VALUES (seqExamQuestionLink.nextval, 40, 985);</v>
      </c>
    </row>
    <row r="1991">
      <c r="A1991" s="1">
        <v>1986.0</v>
      </c>
      <c r="B1991" s="1" t="s">
        <v>306</v>
      </c>
      <c r="C1991" s="1">
        <v>40.0</v>
      </c>
      <c r="D1991" s="1">
        <v>986.0</v>
      </c>
      <c r="F1991" s="2" t="str">
        <f t="shared" si="1"/>
        <v>INSERT INTO tblExamQuestionLink VALUES (seqExamQuestionLink.nextval, 40, 986);</v>
      </c>
    </row>
    <row r="1992">
      <c r="A1992" s="1">
        <v>1987.0</v>
      </c>
      <c r="B1992" s="1" t="s">
        <v>306</v>
      </c>
      <c r="C1992" s="1">
        <v>40.0</v>
      </c>
      <c r="D1992" s="1">
        <v>987.0</v>
      </c>
      <c r="F1992" s="2" t="str">
        <f t="shared" si="1"/>
        <v>INSERT INTO tblExamQuestionLink VALUES (seqExamQuestionLink.nextval, 40, 987);</v>
      </c>
    </row>
    <row r="1993">
      <c r="A1993" s="1">
        <v>1988.0</v>
      </c>
      <c r="B1993" s="1" t="s">
        <v>306</v>
      </c>
      <c r="C1993" s="1">
        <v>40.0</v>
      </c>
      <c r="D1993" s="1">
        <v>988.0</v>
      </c>
      <c r="F1993" s="2" t="str">
        <f t="shared" si="1"/>
        <v>INSERT INTO tblExamQuestionLink VALUES (seqExamQuestionLink.nextval, 40, 988);</v>
      </c>
    </row>
    <row r="1994">
      <c r="A1994" s="1">
        <v>1989.0</v>
      </c>
      <c r="B1994" s="1" t="s">
        <v>306</v>
      </c>
      <c r="C1994" s="1">
        <v>40.0</v>
      </c>
      <c r="D1994" s="1">
        <v>989.0</v>
      </c>
      <c r="F1994" s="2" t="str">
        <f t="shared" si="1"/>
        <v>INSERT INTO tblExamQuestionLink VALUES (seqExamQuestionLink.nextval, 40, 989);</v>
      </c>
    </row>
    <row r="1995">
      <c r="A1995" s="1">
        <v>1990.0</v>
      </c>
      <c r="B1995" s="1" t="s">
        <v>306</v>
      </c>
      <c r="C1995" s="1">
        <v>40.0</v>
      </c>
      <c r="D1995" s="1">
        <v>990.0</v>
      </c>
      <c r="F1995" s="2" t="str">
        <f t="shared" si="1"/>
        <v>INSERT INTO tblExamQuestionLink VALUES (seqExamQuestionLink.nextval, 40, 990);</v>
      </c>
    </row>
    <row r="1996">
      <c r="A1996" s="1">
        <v>1991.0</v>
      </c>
      <c r="B1996" s="1" t="s">
        <v>306</v>
      </c>
      <c r="C1996" s="1">
        <v>40.0</v>
      </c>
      <c r="D1996" s="1">
        <v>991.0</v>
      </c>
      <c r="F1996" s="2" t="str">
        <f t="shared" si="1"/>
        <v>INSERT INTO tblExamQuestionLink VALUES (seqExamQuestionLink.nextval, 40, 991);</v>
      </c>
    </row>
    <row r="1997">
      <c r="A1997" s="1">
        <v>1992.0</v>
      </c>
      <c r="B1997" s="1" t="s">
        <v>306</v>
      </c>
      <c r="C1997" s="1">
        <v>40.0</v>
      </c>
      <c r="D1997" s="1">
        <v>992.0</v>
      </c>
      <c r="F1997" s="2" t="str">
        <f t="shared" si="1"/>
        <v>INSERT INTO tblExamQuestionLink VALUES (seqExamQuestionLink.nextval, 40, 992);</v>
      </c>
    </row>
    <row r="1998">
      <c r="A1998" s="1">
        <v>1993.0</v>
      </c>
      <c r="B1998" s="1" t="s">
        <v>306</v>
      </c>
      <c r="C1998" s="1">
        <v>40.0</v>
      </c>
      <c r="D1998" s="1">
        <v>993.0</v>
      </c>
      <c r="F1998" s="2" t="str">
        <f t="shared" si="1"/>
        <v>INSERT INTO tblExamQuestionLink VALUES (seqExamQuestionLink.nextval, 40, 993);</v>
      </c>
    </row>
    <row r="1999">
      <c r="A1999" s="1">
        <v>1994.0</v>
      </c>
      <c r="B1999" s="1" t="s">
        <v>306</v>
      </c>
      <c r="C1999" s="1">
        <v>40.0</v>
      </c>
      <c r="D1999" s="1">
        <v>994.0</v>
      </c>
      <c r="F1999" s="2" t="str">
        <f t="shared" si="1"/>
        <v>INSERT INTO tblExamQuestionLink VALUES (seqExamQuestionLink.nextval, 40, 994);</v>
      </c>
    </row>
    <row r="2000">
      <c r="A2000" s="1">
        <v>1995.0</v>
      </c>
      <c r="B2000" s="1" t="s">
        <v>306</v>
      </c>
      <c r="C2000" s="1">
        <v>40.0</v>
      </c>
      <c r="D2000" s="1">
        <v>995.0</v>
      </c>
      <c r="F2000" s="2" t="str">
        <f t="shared" si="1"/>
        <v>INSERT INTO tblExamQuestionLink VALUES (seqExamQuestionLink.nextval, 40, 995);</v>
      </c>
    </row>
    <row r="2001">
      <c r="A2001" s="1">
        <v>1996.0</v>
      </c>
      <c r="B2001" s="1" t="s">
        <v>306</v>
      </c>
      <c r="C2001" s="1">
        <v>40.0</v>
      </c>
      <c r="D2001" s="1">
        <v>996.0</v>
      </c>
      <c r="F2001" s="2" t="str">
        <f t="shared" si="1"/>
        <v>INSERT INTO tblExamQuestionLink VALUES (seqExamQuestionLink.nextval, 40, 996);</v>
      </c>
    </row>
    <row r="2002">
      <c r="A2002" s="1">
        <v>1997.0</v>
      </c>
      <c r="B2002" s="1" t="s">
        <v>306</v>
      </c>
      <c r="C2002" s="1">
        <v>40.0</v>
      </c>
      <c r="D2002" s="1">
        <v>997.0</v>
      </c>
      <c r="F2002" s="2" t="str">
        <f t="shared" si="1"/>
        <v>INSERT INTO tblExamQuestionLink VALUES (seqExamQuestionLink.nextval, 40, 997);</v>
      </c>
    </row>
    <row r="2003">
      <c r="A2003" s="1">
        <v>1998.0</v>
      </c>
      <c r="B2003" s="1" t="s">
        <v>306</v>
      </c>
      <c r="C2003" s="1">
        <v>40.0</v>
      </c>
      <c r="D2003" s="1">
        <v>998.0</v>
      </c>
      <c r="F2003" s="2" t="str">
        <f t="shared" si="1"/>
        <v>INSERT INTO tblExamQuestionLink VALUES (seqExamQuestionLink.nextval, 40, 998);</v>
      </c>
    </row>
    <row r="2004">
      <c r="A2004" s="1">
        <v>1999.0</v>
      </c>
      <c r="B2004" s="1" t="s">
        <v>306</v>
      </c>
      <c r="C2004" s="1">
        <v>40.0</v>
      </c>
      <c r="D2004" s="1">
        <v>999.0</v>
      </c>
      <c r="F2004" s="2" t="str">
        <f t="shared" si="1"/>
        <v>INSERT INTO tblExamQuestionLink VALUES (seqExamQuestionLink.nextval, 40, 999);</v>
      </c>
    </row>
    <row r="2005">
      <c r="A2005" s="1">
        <v>2000.0</v>
      </c>
      <c r="B2005" s="1" t="s">
        <v>306</v>
      </c>
      <c r="C2005" s="1">
        <v>40.0</v>
      </c>
      <c r="D2005" s="1">
        <v>1000.0</v>
      </c>
      <c r="F2005" s="2" t="str">
        <f t="shared" si="1"/>
        <v>INSERT INTO tblExamQuestionLink VALUES (seqExamQuestionLink.nextval, 40, 1000);</v>
      </c>
    </row>
  </sheetData>
  <mergeCells count="1">
    <mergeCell ref="B3:I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</cols>
  <sheetData>
    <row r="3">
      <c r="B3" s="38" t="s">
        <v>163</v>
      </c>
    </row>
    <row r="5">
      <c r="B5" s="1" t="s">
        <v>305</v>
      </c>
      <c r="C5" s="1" t="s">
        <v>307</v>
      </c>
    </row>
    <row r="6">
      <c r="A6" s="1">
        <v>1.0</v>
      </c>
      <c r="B6" s="1" t="s">
        <v>308</v>
      </c>
      <c r="C6" s="1">
        <v>1.0</v>
      </c>
      <c r="F6" s="2" t="str">
        <f t="shared" ref="F6:F45" si="1">"INSERT INTO tblExamSheet VALUES (" &amp; B6 &amp; ", " &amp; C6 &amp; ");"</f>
        <v>INSERT INTO tblExamSheet VALUES (seqExamSheet.nextval, 1);</v>
      </c>
    </row>
    <row r="7">
      <c r="A7" s="1">
        <v>2.0</v>
      </c>
      <c r="B7" s="1" t="s">
        <v>308</v>
      </c>
      <c r="C7" s="1">
        <v>2.0</v>
      </c>
      <c r="F7" s="2" t="str">
        <f t="shared" si="1"/>
        <v>INSERT INTO tblExamSheet VALUES (seqExamSheet.nextval, 2);</v>
      </c>
    </row>
    <row r="8">
      <c r="A8" s="1">
        <v>3.0</v>
      </c>
      <c r="B8" s="1" t="s">
        <v>308</v>
      </c>
      <c r="C8" s="1">
        <v>3.0</v>
      </c>
      <c r="F8" s="2" t="str">
        <f t="shared" si="1"/>
        <v>INSERT INTO tblExamSheet VALUES (seqExamSheet.nextval, 3);</v>
      </c>
    </row>
    <row r="9">
      <c r="A9" s="1">
        <v>4.0</v>
      </c>
      <c r="B9" s="1" t="s">
        <v>308</v>
      </c>
      <c r="C9" s="1">
        <v>4.0</v>
      </c>
      <c r="F9" s="2" t="str">
        <f t="shared" si="1"/>
        <v>INSERT INTO tblExamSheet VALUES (seqExamSheet.nextval, 4);</v>
      </c>
    </row>
    <row r="10">
      <c r="A10" s="1">
        <v>5.0</v>
      </c>
      <c r="B10" s="1" t="s">
        <v>308</v>
      </c>
      <c r="C10" s="1">
        <v>5.0</v>
      </c>
      <c r="F10" s="2" t="str">
        <f t="shared" si="1"/>
        <v>INSERT INTO tblExamSheet VALUES (seqExamSheet.nextval, 5);</v>
      </c>
    </row>
    <row r="11">
      <c r="A11" s="1">
        <v>6.0</v>
      </c>
      <c r="B11" s="1" t="s">
        <v>308</v>
      </c>
      <c r="C11" s="1">
        <v>6.0</v>
      </c>
      <c r="F11" s="2" t="str">
        <f t="shared" si="1"/>
        <v>INSERT INTO tblExamSheet VALUES (seqExamSheet.nextval, 6);</v>
      </c>
    </row>
    <row r="12">
      <c r="A12" s="1">
        <v>7.0</v>
      </c>
      <c r="B12" s="1" t="s">
        <v>308</v>
      </c>
      <c r="C12" s="1">
        <v>7.0</v>
      </c>
      <c r="F12" s="2" t="str">
        <f t="shared" si="1"/>
        <v>INSERT INTO tblExamSheet VALUES (seqExamSheet.nextval, 7);</v>
      </c>
    </row>
    <row r="13">
      <c r="A13" s="1">
        <v>8.0</v>
      </c>
      <c r="B13" s="1" t="s">
        <v>308</v>
      </c>
      <c r="C13" s="1">
        <v>8.0</v>
      </c>
      <c r="F13" s="2" t="str">
        <f t="shared" si="1"/>
        <v>INSERT INTO tblExamSheet VALUES (seqExamSheet.nextval, 8);</v>
      </c>
    </row>
    <row r="14">
      <c r="A14" s="1">
        <v>9.0</v>
      </c>
      <c r="B14" s="1" t="s">
        <v>308</v>
      </c>
      <c r="C14" s="1">
        <v>9.0</v>
      </c>
      <c r="F14" s="2" t="str">
        <f t="shared" si="1"/>
        <v>INSERT INTO tblExamSheet VALUES (seqExamSheet.nextval, 9);</v>
      </c>
    </row>
    <row r="15">
      <c r="A15" s="1">
        <v>10.0</v>
      </c>
      <c r="B15" s="1" t="s">
        <v>308</v>
      </c>
      <c r="C15" s="1">
        <v>10.0</v>
      </c>
      <c r="F15" s="2" t="str">
        <f t="shared" si="1"/>
        <v>INSERT INTO tblExamSheet VALUES (seqExamSheet.nextval, 10);</v>
      </c>
    </row>
    <row r="16">
      <c r="A16" s="1">
        <v>11.0</v>
      </c>
      <c r="B16" s="1" t="s">
        <v>308</v>
      </c>
      <c r="C16" s="1">
        <v>11.0</v>
      </c>
      <c r="F16" s="2" t="str">
        <f t="shared" si="1"/>
        <v>INSERT INTO tblExamSheet VALUES (seqExamSheet.nextval, 11);</v>
      </c>
    </row>
    <row r="17">
      <c r="A17" s="1">
        <v>12.0</v>
      </c>
      <c r="B17" s="1" t="s">
        <v>308</v>
      </c>
      <c r="C17" s="1">
        <v>12.0</v>
      </c>
      <c r="F17" s="2" t="str">
        <f t="shared" si="1"/>
        <v>INSERT INTO tblExamSheet VALUES (seqExamSheet.nextval, 12);</v>
      </c>
    </row>
    <row r="18">
      <c r="A18" s="1">
        <v>13.0</v>
      </c>
      <c r="B18" s="1" t="s">
        <v>308</v>
      </c>
      <c r="C18" s="1">
        <v>13.0</v>
      </c>
      <c r="F18" s="2" t="str">
        <f t="shared" si="1"/>
        <v>INSERT INTO tblExamSheet VALUES (seqExamSheet.nextval, 13);</v>
      </c>
    </row>
    <row r="19">
      <c r="A19" s="1">
        <v>14.0</v>
      </c>
      <c r="B19" s="1" t="s">
        <v>308</v>
      </c>
      <c r="C19" s="1">
        <v>14.0</v>
      </c>
      <c r="F19" s="2" t="str">
        <f t="shared" si="1"/>
        <v>INSERT INTO tblExamSheet VALUES (seqExamSheet.nextval, 14);</v>
      </c>
    </row>
    <row r="20">
      <c r="A20" s="1">
        <v>15.0</v>
      </c>
      <c r="B20" s="1" t="s">
        <v>308</v>
      </c>
      <c r="C20" s="1">
        <v>15.0</v>
      </c>
      <c r="F20" s="2" t="str">
        <f t="shared" si="1"/>
        <v>INSERT INTO tblExamSheet VALUES (seqExamSheet.nextval, 15);</v>
      </c>
    </row>
    <row r="21">
      <c r="A21" s="1">
        <v>16.0</v>
      </c>
      <c r="B21" s="1" t="s">
        <v>308</v>
      </c>
      <c r="C21" s="1">
        <v>16.0</v>
      </c>
      <c r="F21" s="2" t="str">
        <f t="shared" si="1"/>
        <v>INSERT INTO tblExamSheet VALUES (seqExamSheet.nextval, 16);</v>
      </c>
    </row>
    <row r="22">
      <c r="A22" s="1">
        <v>17.0</v>
      </c>
      <c r="B22" s="1" t="s">
        <v>308</v>
      </c>
      <c r="C22" s="1">
        <v>17.0</v>
      </c>
      <c r="F22" s="2" t="str">
        <f t="shared" si="1"/>
        <v>INSERT INTO tblExamSheet VALUES (seqExamSheet.nextval, 17);</v>
      </c>
    </row>
    <row r="23">
      <c r="A23" s="1">
        <v>18.0</v>
      </c>
      <c r="B23" s="1" t="s">
        <v>308</v>
      </c>
      <c r="C23" s="1">
        <v>18.0</v>
      </c>
      <c r="F23" s="2" t="str">
        <f t="shared" si="1"/>
        <v>INSERT INTO tblExamSheet VALUES (seqExamSheet.nextval, 18);</v>
      </c>
    </row>
    <row r="24">
      <c r="A24" s="1">
        <v>19.0</v>
      </c>
      <c r="B24" s="1" t="s">
        <v>308</v>
      </c>
      <c r="C24" s="1">
        <v>19.0</v>
      </c>
      <c r="F24" s="2" t="str">
        <f t="shared" si="1"/>
        <v>INSERT INTO tblExamSheet VALUES (seqExamSheet.nextval, 19);</v>
      </c>
    </row>
    <row r="25">
      <c r="A25" s="1">
        <v>20.0</v>
      </c>
      <c r="B25" s="1" t="s">
        <v>308</v>
      </c>
      <c r="C25" s="1">
        <v>20.0</v>
      </c>
      <c r="F25" s="2" t="str">
        <f t="shared" si="1"/>
        <v>INSERT INTO tblExamSheet VALUES (seqExamSheet.nextval, 20);</v>
      </c>
    </row>
    <row r="26">
      <c r="A26" s="1">
        <v>21.0</v>
      </c>
      <c r="B26" s="1" t="s">
        <v>308</v>
      </c>
      <c r="C26" s="1">
        <v>21.0</v>
      </c>
      <c r="F26" s="2" t="str">
        <f t="shared" si="1"/>
        <v>INSERT INTO tblExamSheet VALUES (seqExamSheet.nextval, 21);</v>
      </c>
    </row>
    <row r="27">
      <c r="A27" s="1">
        <v>22.0</v>
      </c>
      <c r="B27" s="1" t="s">
        <v>308</v>
      </c>
      <c r="C27" s="1">
        <v>22.0</v>
      </c>
      <c r="F27" s="2" t="str">
        <f t="shared" si="1"/>
        <v>INSERT INTO tblExamSheet VALUES (seqExamSheet.nextval, 22);</v>
      </c>
    </row>
    <row r="28">
      <c r="A28" s="1">
        <v>23.0</v>
      </c>
      <c r="B28" s="1" t="s">
        <v>308</v>
      </c>
      <c r="C28" s="1">
        <v>23.0</v>
      </c>
      <c r="F28" s="2" t="str">
        <f t="shared" si="1"/>
        <v>INSERT INTO tblExamSheet VALUES (seqExamSheet.nextval, 23);</v>
      </c>
    </row>
    <row r="29">
      <c r="A29" s="1">
        <v>24.0</v>
      </c>
      <c r="B29" s="1" t="s">
        <v>308</v>
      </c>
      <c r="C29" s="1">
        <v>24.0</v>
      </c>
      <c r="F29" s="2" t="str">
        <f t="shared" si="1"/>
        <v>INSERT INTO tblExamSheet VALUES (seqExamSheet.nextval, 24);</v>
      </c>
    </row>
    <row r="30">
      <c r="A30" s="1">
        <v>25.0</v>
      </c>
      <c r="B30" s="1" t="s">
        <v>308</v>
      </c>
      <c r="C30" s="1">
        <v>25.0</v>
      </c>
      <c r="F30" s="2" t="str">
        <f t="shared" si="1"/>
        <v>INSERT INTO tblExamSheet VALUES (seqExamSheet.nextval, 25);</v>
      </c>
    </row>
    <row r="31">
      <c r="A31" s="1">
        <v>26.0</v>
      </c>
      <c r="B31" s="1" t="s">
        <v>308</v>
      </c>
      <c r="C31" s="1">
        <v>26.0</v>
      </c>
      <c r="F31" s="2" t="str">
        <f t="shared" si="1"/>
        <v>INSERT INTO tblExamSheet VALUES (seqExamSheet.nextval, 26);</v>
      </c>
    </row>
    <row r="32">
      <c r="A32" s="1">
        <v>27.0</v>
      </c>
      <c r="B32" s="1" t="s">
        <v>308</v>
      </c>
      <c r="C32" s="1">
        <v>27.0</v>
      </c>
      <c r="F32" s="2" t="str">
        <f t="shared" si="1"/>
        <v>INSERT INTO tblExamSheet VALUES (seqExamSheet.nextval, 27);</v>
      </c>
    </row>
    <row r="33">
      <c r="A33" s="1">
        <v>28.0</v>
      </c>
      <c r="B33" s="1" t="s">
        <v>308</v>
      </c>
      <c r="C33" s="1">
        <v>28.0</v>
      </c>
      <c r="F33" s="2" t="str">
        <f t="shared" si="1"/>
        <v>INSERT INTO tblExamSheet VALUES (seqExamSheet.nextval, 28);</v>
      </c>
    </row>
    <row r="34">
      <c r="A34" s="1">
        <v>29.0</v>
      </c>
      <c r="B34" s="1" t="s">
        <v>308</v>
      </c>
      <c r="C34" s="1">
        <v>29.0</v>
      </c>
      <c r="F34" s="2" t="str">
        <f t="shared" si="1"/>
        <v>INSERT INTO tblExamSheet VALUES (seqExamSheet.nextval, 29);</v>
      </c>
    </row>
    <row r="35">
      <c r="A35" s="1">
        <v>30.0</v>
      </c>
      <c r="B35" s="1" t="s">
        <v>308</v>
      </c>
      <c r="C35" s="1">
        <v>30.0</v>
      </c>
      <c r="F35" s="2" t="str">
        <f t="shared" si="1"/>
        <v>INSERT INTO tblExamSheet VALUES (seqExamSheet.nextval, 30);</v>
      </c>
    </row>
    <row r="36">
      <c r="A36" s="1">
        <v>31.0</v>
      </c>
      <c r="B36" s="1" t="s">
        <v>308</v>
      </c>
      <c r="C36" s="1">
        <v>31.0</v>
      </c>
      <c r="F36" s="2" t="str">
        <f t="shared" si="1"/>
        <v>INSERT INTO tblExamSheet VALUES (seqExamSheet.nextval, 31);</v>
      </c>
    </row>
    <row r="37">
      <c r="A37" s="1">
        <v>32.0</v>
      </c>
      <c r="B37" s="1" t="s">
        <v>308</v>
      </c>
      <c r="C37" s="1">
        <v>32.0</v>
      </c>
      <c r="F37" s="2" t="str">
        <f t="shared" si="1"/>
        <v>INSERT INTO tblExamSheet VALUES (seqExamSheet.nextval, 32);</v>
      </c>
    </row>
    <row r="38">
      <c r="A38" s="1">
        <v>33.0</v>
      </c>
      <c r="B38" s="1" t="s">
        <v>308</v>
      </c>
      <c r="C38" s="1">
        <v>33.0</v>
      </c>
      <c r="F38" s="2" t="str">
        <f t="shared" si="1"/>
        <v>INSERT INTO tblExamSheet VALUES (seqExamSheet.nextval, 33);</v>
      </c>
    </row>
    <row r="39">
      <c r="A39" s="1">
        <v>34.0</v>
      </c>
      <c r="B39" s="1" t="s">
        <v>308</v>
      </c>
      <c r="C39" s="1">
        <v>34.0</v>
      </c>
      <c r="F39" s="2" t="str">
        <f t="shared" si="1"/>
        <v>INSERT INTO tblExamSheet VALUES (seqExamSheet.nextval, 34);</v>
      </c>
    </row>
    <row r="40">
      <c r="A40" s="1">
        <v>35.0</v>
      </c>
      <c r="B40" s="1" t="s">
        <v>308</v>
      </c>
      <c r="C40" s="1">
        <v>35.0</v>
      </c>
      <c r="F40" s="2" t="str">
        <f t="shared" si="1"/>
        <v>INSERT INTO tblExamSheet VALUES (seqExamSheet.nextval, 35);</v>
      </c>
    </row>
    <row r="41">
      <c r="A41" s="1">
        <v>36.0</v>
      </c>
      <c r="B41" s="1" t="s">
        <v>308</v>
      </c>
      <c r="C41" s="1">
        <v>36.0</v>
      </c>
      <c r="F41" s="2" t="str">
        <f t="shared" si="1"/>
        <v>INSERT INTO tblExamSheet VALUES (seqExamSheet.nextval, 36);</v>
      </c>
    </row>
    <row r="42">
      <c r="A42" s="1">
        <v>37.0</v>
      </c>
      <c r="B42" s="1" t="s">
        <v>308</v>
      </c>
      <c r="C42" s="1">
        <v>37.0</v>
      </c>
      <c r="F42" s="2" t="str">
        <f t="shared" si="1"/>
        <v>INSERT INTO tblExamSheet VALUES (seqExamSheet.nextval, 37);</v>
      </c>
    </row>
    <row r="43">
      <c r="A43" s="1">
        <v>38.0</v>
      </c>
      <c r="B43" s="1" t="s">
        <v>308</v>
      </c>
      <c r="C43" s="1">
        <v>38.0</v>
      </c>
      <c r="F43" s="2" t="str">
        <f t="shared" si="1"/>
        <v>INSERT INTO tblExamSheet VALUES (seqExamSheet.nextval, 38);</v>
      </c>
    </row>
    <row r="44">
      <c r="A44" s="1">
        <v>39.0</v>
      </c>
      <c r="B44" s="1" t="s">
        <v>308</v>
      </c>
      <c r="C44" s="1">
        <v>39.0</v>
      </c>
      <c r="F44" s="2" t="str">
        <f t="shared" si="1"/>
        <v>INSERT INTO tblExamSheet VALUES (seqExamSheet.nextval, 39);</v>
      </c>
    </row>
    <row r="45">
      <c r="A45" s="1">
        <v>40.0</v>
      </c>
      <c r="B45" s="1" t="s">
        <v>308</v>
      </c>
      <c r="C45" s="1">
        <v>40.0</v>
      </c>
      <c r="F45" s="2" t="str">
        <f t="shared" si="1"/>
        <v>INSERT INTO tblExamSheet VALUES (seqExamSheet.nextval, 40);</v>
      </c>
    </row>
  </sheetData>
  <mergeCells count="1">
    <mergeCell ref="B3:E3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</cols>
  <sheetData>
    <row r="3">
      <c r="B3" s="38" t="s">
        <v>164</v>
      </c>
    </row>
    <row r="5">
      <c r="B5" s="1" t="s">
        <v>309</v>
      </c>
      <c r="C5" s="1" t="s">
        <v>310</v>
      </c>
      <c r="D5" s="1" t="s">
        <v>311</v>
      </c>
      <c r="E5" s="1" t="s">
        <v>305</v>
      </c>
    </row>
    <row r="6">
      <c r="A6" s="1">
        <v>1.0</v>
      </c>
      <c r="B6" s="1" t="s">
        <v>312</v>
      </c>
      <c r="C6" s="1" t="str">
        <f t="shared" ref="C6:C71" si="1">TEXT(RANDBETWEEN(DATE(2023,1,1),DATE(2025,12,31)),"yyyy-mm-dd")</f>
        <v>2023-09-20</v>
      </c>
      <c r="D6" s="1" t="s">
        <v>313</v>
      </c>
      <c r="E6" s="1">
        <v>1.0</v>
      </c>
      <c r="G6" s="2" t="str">
        <f t="shared" ref="G6:G71" si="2">"INSERT INTO tblExamInfo VALUES (" &amp; B6 &amp; ", '" &amp; C6 &amp; "', '" &amp; D6 &amp; "', " &amp; E6 &amp; ");"</f>
        <v>INSERT INTO tblExamInfo VALUES (seqExamInfo.nextval, '2023-09-20', '필기', 1);</v>
      </c>
    </row>
    <row r="7">
      <c r="A7" s="1">
        <v>2.0</v>
      </c>
      <c r="B7" s="1" t="s">
        <v>312</v>
      </c>
      <c r="C7" s="1" t="str">
        <f t="shared" si="1"/>
        <v>2024-03-07</v>
      </c>
      <c r="D7" s="1" t="s">
        <v>313</v>
      </c>
      <c r="E7" s="1">
        <v>2.0</v>
      </c>
      <c r="G7" s="2" t="str">
        <f t="shared" si="2"/>
        <v>INSERT INTO tblExamInfo VALUES (seqExamInfo.nextval, '2024-03-07', '필기', 2);</v>
      </c>
    </row>
    <row r="8">
      <c r="A8" s="1">
        <v>3.0</v>
      </c>
      <c r="B8" s="1" t="s">
        <v>312</v>
      </c>
      <c r="C8" s="1" t="str">
        <f t="shared" si="1"/>
        <v>2023-03-19</v>
      </c>
      <c r="D8" s="1" t="s">
        <v>313</v>
      </c>
      <c r="E8" s="1">
        <v>3.0</v>
      </c>
      <c r="G8" s="2" t="str">
        <f t="shared" si="2"/>
        <v>INSERT INTO tblExamInfo VALUES (seqExamInfo.nextval, '2023-03-19', '필기', 3);</v>
      </c>
    </row>
    <row r="9">
      <c r="A9" s="1">
        <v>4.0</v>
      </c>
      <c r="B9" s="1" t="s">
        <v>312</v>
      </c>
      <c r="C9" s="1" t="str">
        <f t="shared" si="1"/>
        <v>2023-03-25</v>
      </c>
      <c r="D9" s="1" t="s">
        <v>313</v>
      </c>
      <c r="E9" s="1">
        <v>4.0</v>
      </c>
      <c r="G9" s="2" t="str">
        <f t="shared" si="2"/>
        <v>INSERT INTO tblExamInfo VALUES (seqExamInfo.nextval, '2023-03-25', '필기', 4);</v>
      </c>
    </row>
    <row r="10">
      <c r="A10" s="1">
        <v>5.0</v>
      </c>
      <c r="B10" s="1" t="s">
        <v>312</v>
      </c>
      <c r="C10" s="1" t="str">
        <f t="shared" si="1"/>
        <v>2023-06-15</v>
      </c>
      <c r="D10" s="1" t="s">
        <v>313</v>
      </c>
      <c r="E10" s="1">
        <v>5.0</v>
      </c>
      <c r="G10" s="2" t="str">
        <f t="shared" si="2"/>
        <v>INSERT INTO tblExamInfo VALUES (seqExamInfo.nextval, '2023-06-15', '필기', 5);</v>
      </c>
    </row>
    <row r="11">
      <c r="A11" s="1">
        <v>6.0</v>
      </c>
      <c r="B11" s="1" t="s">
        <v>312</v>
      </c>
      <c r="C11" s="1" t="str">
        <f t="shared" si="1"/>
        <v>2024-02-23</v>
      </c>
      <c r="D11" s="1" t="s">
        <v>313</v>
      </c>
      <c r="E11" s="1">
        <v>6.0</v>
      </c>
      <c r="G11" s="2" t="str">
        <f t="shared" si="2"/>
        <v>INSERT INTO tblExamInfo VALUES (seqExamInfo.nextval, '2024-02-23', '필기', 6);</v>
      </c>
    </row>
    <row r="12">
      <c r="A12" s="1">
        <v>7.0</v>
      </c>
      <c r="B12" s="1" t="s">
        <v>312</v>
      </c>
      <c r="C12" s="1" t="str">
        <f t="shared" si="1"/>
        <v>2023-12-15</v>
      </c>
      <c r="D12" s="1" t="s">
        <v>313</v>
      </c>
      <c r="E12" s="1">
        <v>7.0</v>
      </c>
      <c r="G12" s="2" t="str">
        <f t="shared" si="2"/>
        <v>INSERT INTO tblExamInfo VALUES (seqExamInfo.nextval, '2023-12-15', '필기', 7);</v>
      </c>
    </row>
    <row r="13">
      <c r="A13" s="1">
        <v>8.0</v>
      </c>
      <c r="B13" s="1" t="s">
        <v>312</v>
      </c>
      <c r="C13" s="1" t="str">
        <f t="shared" si="1"/>
        <v>2024-01-11</v>
      </c>
      <c r="D13" s="1" t="s">
        <v>313</v>
      </c>
      <c r="E13" s="1">
        <v>8.0</v>
      </c>
      <c r="G13" s="2" t="str">
        <f t="shared" si="2"/>
        <v>INSERT INTO tblExamInfo VALUES (seqExamInfo.nextval, '2024-01-11', '필기', 8);</v>
      </c>
    </row>
    <row r="14">
      <c r="A14" s="1">
        <v>9.0</v>
      </c>
      <c r="B14" s="1" t="s">
        <v>312</v>
      </c>
      <c r="C14" s="1" t="str">
        <f t="shared" si="1"/>
        <v>2024-08-27</v>
      </c>
      <c r="D14" s="1" t="s">
        <v>313</v>
      </c>
      <c r="E14" s="1">
        <v>9.0</v>
      </c>
      <c r="G14" s="2" t="str">
        <f t="shared" si="2"/>
        <v>INSERT INTO tblExamInfo VALUES (seqExamInfo.nextval, '2024-08-27', '필기', 9);</v>
      </c>
    </row>
    <row r="15">
      <c r="A15" s="1">
        <v>10.0</v>
      </c>
      <c r="B15" s="1" t="s">
        <v>312</v>
      </c>
      <c r="C15" s="1" t="str">
        <f t="shared" si="1"/>
        <v>2023-02-26</v>
      </c>
      <c r="D15" s="1" t="s">
        <v>313</v>
      </c>
      <c r="E15" s="1">
        <v>10.0</v>
      </c>
      <c r="G15" s="2" t="str">
        <f t="shared" si="2"/>
        <v>INSERT INTO tblExamInfo VALUES (seqExamInfo.nextval, '2023-02-26', '필기', 10);</v>
      </c>
    </row>
    <row r="16">
      <c r="A16" s="1">
        <v>11.0</v>
      </c>
      <c r="B16" s="1" t="s">
        <v>312</v>
      </c>
      <c r="C16" s="1" t="str">
        <f t="shared" si="1"/>
        <v>2025-07-11</v>
      </c>
      <c r="D16" s="1" t="s">
        <v>313</v>
      </c>
      <c r="E16" s="1">
        <v>11.0</v>
      </c>
      <c r="G16" s="2" t="str">
        <f t="shared" si="2"/>
        <v>INSERT INTO tblExamInfo VALUES (seqExamInfo.nextval, '2025-07-11', '필기', 11);</v>
      </c>
    </row>
    <row r="17">
      <c r="A17" s="1">
        <v>12.0</v>
      </c>
      <c r="B17" s="1" t="s">
        <v>312</v>
      </c>
      <c r="C17" s="1" t="str">
        <f t="shared" si="1"/>
        <v>2024-10-23</v>
      </c>
      <c r="D17" s="1" t="s">
        <v>313</v>
      </c>
      <c r="E17" s="1">
        <v>12.0</v>
      </c>
      <c r="G17" s="2" t="str">
        <f t="shared" si="2"/>
        <v>INSERT INTO tblExamInfo VALUES (seqExamInfo.nextval, '2024-10-23', '필기', 12);</v>
      </c>
    </row>
    <row r="18">
      <c r="A18" s="1">
        <v>13.0</v>
      </c>
      <c r="B18" s="1" t="s">
        <v>312</v>
      </c>
      <c r="C18" s="1" t="str">
        <f t="shared" si="1"/>
        <v>2025-01-02</v>
      </c>
      <c r="D18" s="1" t="s">
        <v>313</v>
      </c>
      <c r="E18" s="1">
        <v>13.0</v>
      </c>
      <c r="G18" s="2" t="str">
        <f t="shared" si="2"/>
        <v>INSERT INTO tblExamInfo VALUES (seqExamInfo.nextval, '2025-01-02', '필기', 13);</v>
      </c>
    </row>
    <row r="19">
      <c r="A19" s="1">
        <v>14.0</v>
      </c>
      <c r="B19" s="1" t="s">
        <v>312</v>
      </c>
      <c r="C19" s="1" t="str">
        <f t="shared" si="1"/>
        <v>2025-10-20</v>
      </c>
      <c r="D19" s="1" t="s">
        <v>313</v>
      </c>
      <c r="E19" s="1">
        <v>14.0</v>
      </c>
      <c r="G19" s="2" t="str">
        <f t="shared" si="2"/>
        <v>INSERT INTO tblExamInfo VALUES (seqExamInfo.nextval, '2025-10-20', '필기', 14);</v>
      </c>
    </row>
    <row r="20">
      <c r="A20" s="1">
        <v>15.0</v>
      </c>
      <c r="B20" s="1" t="s">
        <v>312</v>
      </c>
      <c r="C20" s="1" t="str">
        <f t="shared" si="1"/>
        <v>2024-10-20</v>
      </c>
      <c r="D20" s="1" t="s">
        <v>313</v>
      </c>
      <c r="E20" s="1">
        <v>15.0</v>
      </c>
      <c r="G20" s="2" t="str">
        <f t="shared" si="2"/>
        <v>INSERT INTO tblExamInfo VALUES (seqExamInfo.nextval, '2024-10-20', '필기', 15);</v>
      </c>
    </row>
    <row r="21">
      <c r="A21" s="1">
        <v>16.0</v>
      </c>
      <c r="B21" s="1" t="s">
        <v>312</v>
      </c>
      <c r="C21" s="1" t="str">
        <f t="shared" si="1"/>
        <v>2025-03-25</v>
      </c>
      <c r="D21" s="1" t="s">
        <v>313</v>
      </c>
      <c r="E21" s="1">
        <v>16.0</v>
      </c>
      <c r="G21" s="2" t="str">
        <f t="shared" si="2"/>
        <v>INSERT INTO tblExamInfo VALUES (seqExamInfo.nextval, '2025-03-25', '필기', 16);</v>
      </c>
    </row>
    <row r="22">
      <c r="A22" s="1">
        <v>17.0</v>
      </c>
      <c r="B22" s="1" t="s">
        <v>312</v>
      </c>
      <c r="C22" s="1" t="str">
        <f t="shared" si="1"/>
        <v>2025-03-31</v>
      </c>
      <c r="D22" s="1" t="s">
        <v>313</v>
      </c>
      <c r="E22" s="1">
        <v>17.0</v>
      </c>
      <c r="G22" s="2" t="str">
        <f t="shared" si="2"/>
        <v>INSERT INTO tblExamInfo VALUES (seqExamInfo.nextval, '2025-03-31', '필기', 17);</v>
      </c>
    </row>
    <row r="23">
      <c r="A23" s="1">
        <v>18.0</v>
      </c>
      <c r="B23" s="1" t="s">
        <v>312</v>
      </c>
      <c r="C23" s="1" t="str">
        <f t="shared" si="1"/>
        <v>2025-07-15</v>
      </c>
      <c r="D23" s="1" t="s">
        <v>313</v>
      </c>
      <c r="E23" s="1">
        <v>18.0</v>
      </c>
      <c r="G23" s="2" t="str">
        <f t="shared" si="2"/>
        <v>INSERT INTO tblExamInfo VALUES (seqExamInfo.nextval, '2025-07-15', '필기', 18);</v>
      </c>
    </row>
    <row r="24">
      <c r="A24" s="1">
        <v>19.0</v>
      </c>
      <c r="B24" s="1" t="s">
        <v>312</v>
      </c>
      <c r="C24" s="1" t="str">
        <f t="shared" si="1"/>
        <v>2023-03-25</v>
      </c>
      <c r="D24" s="1" t="s">
        <v>313</v>
      </c>
      <c r="E24" s="1">
        <v>19.0</v>
      </c>
      <c r="G24" s="2" t="str">
        <f t="shared" si="2"/>
        <v>INSERT INTO tblExamInfo VALUES (seqExamInfo.nextval, '2023-03-25', '필기', 19);</v>
      </c>
    </row>
    <row r="25">
      <c r="A25" s="1">
        <v>20.0</v>
      </c>
      <c r="B25" s="1" t="s">
        <v>312</v>
      </c>
      <c r="C25" s="1" t="str">
        <f t="shared" si="1"/>
        <v>2025-03-22</v>
      </c>
      <c r="D25" s="1" t="s">
        <v>313</v>
      </c>
      <c r="E25" s="1">
        <v>20.0</v>
      </c>
      <c r="G25" s="2" t="str">
        <f t="shared" si="2"/>
        <v>INSERT INTO tblExamInfo VALUES (seqExamInfo.nextval, '2025-03-22', '필기', 20);</v>
      </c>
    </row>
    <row r="26">
      <c r="A26" s="1">
        <v>21.0</v>
      </c>
      <c r="B26" s="1" t="s">
        <v>312</v>
      </c>
      <c r="C26" s="1" t="str">
        <f t="shared" si="1"/>
        <v>2023-06-04</v>
      </c>
      <c r="D26" s="1" t="s">
        <v>313</v>
      </c>
      <c r="E26" s="1">
        <v>21.0</v>
      </c>
      <c r="G26" s="2" t="str">
        <f t="shared" si="2"/>
        <v>INSERT INTO tblExamInfo VALUES (seqExamInfo.nextval, '2023-06-04', '필기', 21);</v>
      </c>
    </row>
    <row r="27">
      <c r="A27" s="1">
        <v>22.0</v>
      </c>
      <c r="B27" s="1" t="s">
        <v>312</v>
      </c>
      <c r="C27" s="1" t="str">
        <f t="shared" si="1"/>
        <v>2024-04-19</v>
      </c>
      <c r="D27" s="1" t="s">
        <v>313</v>
      </c>
      <c r="E27" s="1">
        <v>22.0</v>
      </c>
      <c r="G27" s="2" t="str">
        <f t="shared" si="2"/>
        <v>INSERT INTO tblExamInfo VALUES (seqExamInfo.nextval, '2024-04-19', '필기', 22);</v>
      </c>
    </row>
    <row r="28">
      <c r="A28" s="1">
        <v>23.0</v>
      </c>
      <c r="B28" s="1" t="s">
        <v>312</v>
      </c>
      <c r="C28" s="1" t="str">
        <f t="shared" si="1"/>
        <v>2025-08-13</v>
      </c>
      <c r="D28" s="1" t="s">
        <v>313</v>
      </c>
      <c r="E28" s="1">
        <v>23.0</v>
      </c>
      <c r="G28" s="2" t="str">
        <f t="shared" si="2"/>
        <v>INSERT INTO tblExamInfo VALUES (seqExamInfo.nextval, '2025-08-13', '필기', 23);</v>
      </c>
    </row>
    <row r="29">
      <c r="A29" s="1">
        <v>24.0</v>
      </c>
      <c r="B29" s="1" t="s">
        <v>312</v>
      </c>
      <c r="C29" s="1" t="str">
        <f t="shared" si="1"/>
        <v>2024-12-02</v>
      </c>
      <c r="D29" s="1" t="s">
        <v>313</v>
      </c>
      <c r="E29" s="1">
        <v>24.0</v>
      </c>
      <c r="G29" s="2" t="str">
        <f t="shared" si="2"/>
        <v>INSERT INTO tblExamInfo VALUES (seqExamInfo.nextval, '2024-12-02', '필기', 24);</v>
      </c>
    </row>
    <row r="30">
      <c r="A30" s="1">
        <v>25.0</v>
      </c>
      <c r="B30" s="1" t="s">
        <v>312</v>
      </c>
      <c r="C30" s="1" t="str">
        <f t="shared" si="1"/>
        <v>2025-10-20</v>
      </c>
      <c r="D30" s="1" t="s">
        <v>313</v>
      </c>
      <c r="E30" s="1">
        <v>25.0</v>
      </c>
      <c r="G30" s="2" t="str">
        <f t="shared" si="2"/>
        <v>INSERT INTO tblExamInfo VALUES (seqExamInfo.nextval, '2025-10-20', '필기', 25);</v>
      </c>
    </row>
    <row r="31">
      <c r="A31" s="1">
        <v>26.0</v>
      </c>
      <c r="B31" s="1" t="s">
        <v>312</v>
      </c>
      <c r="C31" s="1" t="str">
        <f t="shared" si="1"/>
        <v>2024-05-26</v>
      </c>
      <c r="D31" s="1" t="s">
        <v>313</v>
      </c>
      <c r="E31" s="1">
        <v>26.0</v>
      </c>
      <c r="G31" s="2" t="str">
        <f t="shared" si="2"/>
        <v>INSERT INTO tblExamInfo VALUES (seqExamInfo.nextval, '2024-05-26', '필기', 26);</v>
      </c>
    </row>
    <row r="32">
      <c r="A32" s="1">
        <v>27.0</v>
      </c>
      <c r="B32" s="1" t="s">
        <v>312</v>
      </c>
      <c r="C32" s="1" t="str">
        <f t="shared" si="1"/>
        <v>2023-10-17</v>
      </c>
      <c r="D32" s="1" t="s">
        <v>313</v>
      </c>
      <c r="E32" s="2">
        <f t="shared" ref="E32:E45" si="3">RANDBETWEEN(27,40)</f>
        <v>32</v>
      </c>
      <c r="G32" s="2" t="str">
        <f t="shared" si="2"/>
        <v>INSERT INTO tblExamInfo VALUES (seqExamInfo.nextval, '2023-10-17', '필기', 32);</v>
      </c>
    </row>
    <row r="33">
      <c r="A33" s="1">
        <v>28.0</v>
      </c>
      <c r="B33" s="1" t="s">
        <v>312</v>
      </c>
      <c r="C33" s="1" t="str">
        <f t="shared" si="1"/>
        <v>2024-04-07</v>
      </c>
      <c r="D33" s="1" t="s">
        <v>313</v>
      </c>
      <c r="E33" s="2">
        <f t="shared" si="3"/>
        <v>40</v>
      </c>
      <c r="G33" s="2" t="str">
        <f t="shared" si="2"/>
        <v>INSERT INTO tblExamInfo VALUES (seqExamInfo.nextval, '2024-04-07', '필기', 40);</v>
      </c>
    </row>
    <row r="34">
      <c r="A34" s="1">
        <v>29.0</v>
      </c>
      <c r="B34" s="1" t="s">
        <v>312</v>
      </c>
      <c r="C34" s="1" t="str">
        <f t="shared" si="1"/>
        <v>2024-11-25</v>
      </c>
      <c r="D34" s="1" t="s">
        <v>313</v>
      </c>
      <c r="E34" s="2">
        <f t="shared" si="3"/>
        <v>30</v>
      </c>
      <c r="G34" s="2" t="str">
        <f t="shared" si="2"/>
        <v>INSERT INTO tblExamInfo VALUES (seqExamInfo.nextval, '2024-11-25', '필기', 30);</v>
      </c>
    </row>
    <row r="35">
      <c r="A35" s="1">
        <v>30.0</v>
      </c>
      <c r="B35" s="1" t="s">
        <v>312</v>
      </c>
      <c r="C35" s="1" t="str">
        <f t="shared" si="1"/>
        <v>2023-03-29</v>
      </c>
      <c r="D35" s="1" t="s">
        <v>313</v>
      </c>
      <c r="E35" s="2">
        <f t="shared" si="3"/>
        <v>30</v>
      </c>
      <c r="G35" s="2" t="str">
        <f t="shared" si="2"/>
        <v>INSERT INTO tblExamInfo VALUES (seqExamInfo.nextval, '2023-03-29', '필기', 30);</v>
      </c>
    </row>
    <row r="36">
      <c r="A36" s="1">
        <v>31.0</v>
      </c>
      <c r="B36" s="1" t="s">
        <v>312</v>
      </c>
      <c r="C36" s="1" t="str">
        <f t="shared" si="1"/>
        <v>2025-03-13</v>
      </c>
      <c r="D36" s="1" t="s">
        <v>313</v>
      </c>
      <c r="E36" s="2">
        <f t="shared" si="3"/>
        <v>38</v>
      </c>
      <c r="G36" s="2" t="str">
        <f t="shared" si="2"/>
        <v>INSERT INTO tblExamInfo VALUES (seqExamInfo.nextval, '2025-03-13', '필기', 38);</v>
      </c>
    </row>
    <row r="37">
      <c r="A37" s="1">
        <v>32.0</v>
      </c>
      <c r="B37" s="1" t="s">
        <v>312</v>
      </c>
      <c r="C37" s="1" t="str">
        <f t="shared" si="1"/>
        <v>2024-03-21</v>
      </c>
      <c r="D37" s="1" t="s">
        <v>313</v>
      </c>
      <c r="E37" s="2">
        <f t="shared" si="3"/>
        <v>35</v>
      </c>
      <c r="G37" s="2" t="str">
        <f t="shared" si="2"/>
        <v>INSERT INTO tblExamInfo VALUES (seqExamInfo.nextval, '2024-03-21', '필기', 35);</v>
      </c>
    </row>
    <row r="38">
      <c r="A38" s="1">
        <v>33.0</v>
      </c>
      <c r="B38" s="1" t="s">
        <v>312</v>
      </c>
      <c r="C38" s="1" t="str">
        <f t="shared" si="1"/>
        <v>2024-09-07</v>
      </c>
      <c r="D38" s="1" t="s">
        <v>313</v>
      </c>
      <c r="E38" s="2">
        <f t="shared" si="3"/>
        <v>31</v>
      </c>
      <c r="G38" s="2" t="str">
        <f t="shared" si="2"/>
        <v>INSERT INTO tblExamInfo VALUES (seqExamInfo.nextval, '2024-09-07', '필기', 31);</v>
      </c>
    </row>
    <row r="39">
      <c r="A39" s="1">
        <v>34.0</v>
      </c>
      <c r="B39" s="1" t="s">
        <v>312</v>
      </c>
      <c r="C39" s="1" t="str">
        <f t="shared" si="1"/>
        <v>2025-10-26</v>
      </c>
      <c r="D39" s="1" t="s">
        <v>314</v>
      </c>
      <c r="E39" s="2">
        <f t="shared" si="3"/>
        <v>34</v>
      </c>
      <c r="G39" s="2" t="str">
        <f t="shared" si="2"/>
        <v>INSERT INTO tblExamInfo VALUES (seqExamInfo.nextval, '2025-10-26', '실기', 34);</v>
      </c>
    </row>
    <row r="40">
      <c r="A40" s="1">
        <v>35.0</v>
      </c>
      <c r="B40" s="1" t="s">
        <v>312</v>
      </c>
      <c r="C40" s="1" t="str">
        <f t="shared" si="1"/>
        <v>2025-04-16</v>
      </c>
      <c r="D40" s="1" t="s">
        <v>314</v>
      </c>
      <c r="E40" s="2">
        <f t="shared" si="3"/>
        <v>36</v>
      </c>
      <c r="G40" s="2" t="str">
        <f t="shared" si="2"/>
        <v>INSERT INTO tblExamInfo VALUES (seqExamInfo.nextval, '2025-04-16', '실기', 36);</v>
      </c>
    </row>
    <row r="41">
      <c r="A41" s="1">
        <v>36.0</v>
      </c>
      <c r="B41" s="1" t="s">
        <v>312</v>
      </c>
      <c r="C41" s="1" t="str">
        <f t="shared" si="1"/>
        <v>2025-01-04</v>
      </c>
      <c r="D41" s="1" t="s">
        <v>314</v>
      </c>
      <c r="E41" s="2">
        <f t="shared" si="3"/>
        <v>31</v>
      </c>
      <c r="G41" s="2" t="str">
        <f t="shared" si="2"/>
        <v>INSERT INTO tblExamInfo VALUES (seqExamInfo.nextval, '2025-01-04', '실기', 31);</v>
      </c>
    </row>
    <row r="42">
      <c r="A42" s="1">
        <v>37.0</v>
      </c>
      <c r="B42" s="1" t="s">
        <v>312</v>
      </c>
      <c r="C42" s="1" t="str">
        <f t="shared" si="1"/>
        <v>2025-12-24</v>
      </c>
      <c r="D42" s="1" t="s">
        <v>314</v>
      </c>
      <c r="E42" s="2">
        <f t="shared" si="3"/>
        <v>37</v>
      </c>
      <c r="G42" s="2" t="str">
        <f t="shared" si="2"/>
        <v>INSERT INTO tblExamInfo VALUES (seqExamInfo.nextval, '2025-12-24', '실기', 37);</v>
      </c>
    </row>
    <row r="43">
      <c r="A43" s="1">
        <v>38.0</v>
      </c>
      <c r="B43" s="1" t="s">
        <v>312</v>
      </c>
      <c r="C43" s="1" t="str">
        <f t="shared" si="1"/>
        <v>2025-04-07</v>
      </c>
      <c r="D43" s="1" t="s">
        <v>314</v>
      </c>
      <c r="E43" s="2">
        <f t="shared" si="3"/>
        <v>40</v>
      </c>
      <c r="G43" s="2" t="str">
        <f t="shared" si="2"/>
        <v>INSERT INTO tblExamInfo VALUES (seqExamInfo.nextval, '2025-04-07', '실기', 40);</v>
      </c>
    </row>
    <row r="44">
      <c r="A44" s="1">
        <v>39.0</v>
      </c>
      <c r="B44" s="1" t="s">
        <v>312</v>
      </c>
      <c r="C44" s="1" t="str">
        <f t="shared" si="1"/>
        <v>2023-10-17</v>
      </c>
      <c r="D44" s="1" t="s">
        <v>314</v>
      </c>
      <c r="E44" s="2">
        <f t="shared" si="3"/>
        <v>37</v>
      </c>
      <c r="G44" s="2" t="str">
        <f t="shared" si="2"/>
        <v>INSERT INTO tblExamInfo VALUES (seqExamInfo.nextval, '2023-10-17', '실기', 37);</v>
      </c>
    </row>
    <row r="45">
      <c r="A45" s="1">
        <v>40.0</v>
      </c>
      <c r="B45" s="1" t="s">
        <v>312</v>
      </c>
      <c r="C45" s="1" t="str">
        <f t="shared" si="1"/>
        <v>2025-05-12</v>
      </c>
      <c r="D45" s="1" t="s">
        <v>314</v>
      </c>
      <c r="E45" s="2">
        <f t="shared" si="3"/>
        <v>32</v>
      </c>
      <c r="G45" s="2" t="str">
        <f t="shared" si="2"/>
        <v>INSERT INTO tblExamInfo VALUES (seqExamInfo.nextval, '2025-05-12', '실기', 32);</v>
      </c>
    </row>
    <row r="46">
      <c r="A46" s="1">
        <v>41.0</v>
      </c>
      <c r="B46" s="1" t="s">
        <v>312</v>
      </c>
      <c r="C46" s="1" t="str">
        <f t="shared" si="1"/>
        <v>2024-05-03</v>
      </c>
      <c r="D46" s="1" t="s">
        <v>314</v>
      </c>
      <c r="E46" s="1">
        <v>1.0</v>
      </c>
      <c r="G46" s="2" t="str">
        <f t="shared" si="2"/>
        <v>INSERT INTO tblExamInfo VALUES (seqExamInfo.nextval, '2024-05-03', '실기', 1);</v>
      </c>
    </row>
    <row r="47">
      <c r="A47" s="1">
        <v>42.0</v>
      </c>
      <c r="B47" s="1" t="s">
        <v>312</v>
      </c>
      <c r="C47" s="1" t="str">
        <f t="shared" si="1"/>
        <v>2023-08-20</v>
      </c>
      <c r="D47" s="1" t="s">
        <v>314</v>
      </c>
      <c r="E47" s="1">
        <v>2.0</v>
      </c>
      <c r="G47" s="2" t="str">
        <f t="shared" si="2"/>
        <v>INSERT INTO tblExamInfo VALUES (seqExamInfo.nextval, '2023-08-20', '실기', 2);</v>
      </c>
    </row>
    <row r="48">
      <c r="A48" s="1">
        <v>43.0</v>
      </c>
      <c r="B48" s="1" t="s">
        <v>312</v>
      </c>
      <c r="C48" s="1" t="str">
        <f t="shared" si="1"/>
        <v>2023-04-23</v>
      </c>
      <c r="D48" s="1" t="s">
        <v>314</v>
      </c>
      <c r="E48" s="1">
        <v>3.0</v>
      </c>
      <c r="G48" s="2" t="str">
        <f t="shared" si="2"/>
        <v>INSERT INTO tblExamInfo VALUES (seqExamInfo.nextval, '2023-04-23', '실기', 3);</v>
      </c>
    </row>
    <row r="49">
      <c r="A49" s="1">
        <v>44.0</v>
      </c>
      <c r="B49" s="1" t="s">
        <v>312</v>
      </c>
      <c r="C49" s="1" t="str">
        <f t="shared" si="1"/>
        <v>2025-04-08</v>
      </c>
      <c r="D49" s="1" t="s">
        <v>314</v>
      </c>
      <c r="E49" s="1">
        <v>4.0</v>
      </c>
      <c r="G49" s="2" t="str">
        <f t="shared" si="2"/>
        <v>INSERT INTO tblExamInfo VALUES (seqExamInfo.nextval, '2025-04-08', '실기', 4);</v>
      </c>
    </row>
    <row r="50">
      <c r="A50" s="1">
        <v>45.0</v>
      </c>
      <c r="B50" s="1" t="s">
        <v>312</v>
      </c>
      <c r="C50" s="1" t="str">
        <f t="shared" si="1"/>
        <v>2025-01-24</v>
      </c>
      <c r="D50" s="1" t="s">
        <v>314</v>
      </c>
      <c r="E50" s="1">
        <v>5.0</v>
      </c>
      <c r="G50" s="2" t="str">
        <f t="shared" si="2"/>
        <v>INSERT INTO tblExamInfo VALUES (seqExamInfo.nextval, '2025-01-24', '실기', 5);</v>
      </c>
    </row>
    <row r="51">
      <c r="A51" s="1">
        <v>46.0</v>
      </c>
      <c r="B51" s="1" t="s">
        <v>312</v>
      </c>
      <c r="C51" s="1" t="str">
        <f t="shared" si="1"/>
        <v>2024-10-03</v>
      </c>
      <c r="D51" s="1" t="s">
        <v>314</v>
      </c>
      <c r="E51" s="1">
        <v>6.0</v>
      </c>
      <c r="G51" s="2" t="str">
        <f t="shared" si="2"/>
        <v>INSERT INTO tblExamInfo VALUES (seqExamInfo.nextval, '2024-10-03', '실기', 6);</v>
      </c>
    </row>
    <row r="52">
      <c r="A52" s="1">
        <v>47.0</v>
      </c>
      <c r="B52" s="1" t="s">
        <v>312</v>
      </c>
      <c r="C52" s="1" t="str">
        <f t="shared" si="1"/>
        <v>2024-07-24</v>
      </c>
      <c r="D52" s="1" t="s">
        <v>314</v>
      </c>
      <c r="E52" s="1">
        <v>7.0</v>
      </c>
      <c r="G52" s="2" t="str">
        <f t="shared" si="2"/>
        <v>INSERT INTO tblExamInfo VALUES (seqExamInfo.nextval, '2024-07-24', '실기', 7);</v>
      </c>
    </row>
    <row r="53">
      <c r="A53" s="1">
        <v>48.0</v>
      </c>
      <c r="B53" s="1" t="s">
        <v>312</v>
      </c>
      <c r="C53" s="1" t="str">
        <f t="shared" si="1"/>
        <v>2025-05-12</v>
      </c>
      <c r="D53" s="1" t="s">
        <v>314</v>
      </c>
      <c r="E53" s="1">
        <v>8.0</v>
      </c>
      <c r="G53" s="2" t="str">
        <f t="shared" si="2"/>
        <v>INSERT INTO tblExamInfo VALUES (seqExamInfo.nextval, '2025-05-12', '실기', 8);</v>
      </c>
    </row>
    <row r="54">
      <c r="A54" s="1">
        <v>49.0</v>
      </c>
      <c r="B54" s="1" t="s">
        <v>312</v>
      </c>
      <c r="C54" s="1" t="str">
        <f t="shared" si="1"/>
        <v>2025-05-11</v>
      </c>
      <c r="D54" s="1" t="s">
        <v>314</v>
      </c>
      <c r="E54" s="1">
        <v>9.0</v>
      </c>
      <c r="G54" s="2" t="str">
        <f t="shared" si="2"/>
        <v>INSERT INTO tblExamInfo VALUES (seqExamInfo.nextval, '2025-05-11', '실기', 9);</v>
      </c>
    </row>
    <row r="55">
      <c r="A55" s="1">
        <v>50.0</v>
      </c>
      <c r="B55" s="1" t="s">
        <v>312</v>
      </c>
      <c r="C55" s="1" t="str">
        <f t="shared" si="1"/>
        <v>2023-01-19</v>
      </c>
      <c r="D55" s="1" t="s">
        <v>314</v>
      </c>
      <c r="E55" s="1">
        <v>10.0</v>
      </c>
      <c r="G55" s="2" t="str">
        <f t="shared" si="2"/>
        <v>INSERT INTO tblExamInfo VALUES (seqExamInfo.nextval, '2023-01-19', '실기', 10);</v>
      </c>
    </row>
    <row r="56">
      <c r="A56" s="1">
        <v>51.0</v>
      </c>
      <c r="B56" s="1" t="s">
        <v>312</v>
      </c>
      <c r="C56" s="1" t="str">
        <f t="shared" si="1"/>
        <v>2025-08-11</v>
      </c>
      <c r="D56" s="1" t="s">
        <v>314</v>
      </c>
      <c r="E56" s="1">
        <v>11.0</v>
      </c>
      <c r="G56" s="2" t="str">
        <f t="shared" si="2"/>
        <v>INSERT INTO tblExamInfo VALUES (seqExamInfo.nextval, '2025-08-11', '실기', 11);</v>
      </c>
    </row>
    <row r="57">
      <c r="A57" s="1">
        <v>52.0</v>
      </c>
      <c r="B57" s="1" t="s">
        <v>312</v>
      </c>
      <c r="C57" s="1" t="str">
        <f t="shared" si="1"/>
        <v>2025-07-12</v>
      </c>
      <c r="D57" s="1" t="s">
        <v>314</v>
      </c>
      <c r="E57" s="1">
        <v>12.0</v>
      </c>
      <c r="G57" s="2" t="str">
        <f t="shared" si="2"/>
        <v>INSERT INTO tblExamInfo VALUES (seqExamInfo.nextval, '2025-07-12', '실기', 12);</v>
      </c>
    </row>
    <row r="58">
      <c r="A58" s="1">
        <v>53.0</v>
      </c>
      <c r="B58" s="1" t="s">
        <v>312</v>
      </c>
      <c r="C58" s="1" t="str">
        <f t="shared" si="1"/>
        <v>2025-06-07</v>
      </c>
      <c r="D58" s="1" t="s">
        <v>314</v>
      </c>
      <c r="E58" s="1">
        <v>13.0</v>
      </c>
      <c r="G58" s="2" t="str">
        <f t="shared" si="2"/>
        <v>INSERT INTO tblExamInfo VALUES (seqExamInfo.nextval, '2025-06-07', '실기', 13);</v>
      </c>
    </row>
    <row r="59">
      <c r="A59" s="1">
        <v>54.0</v>
      </c>
      <c r="B59" s="1" t="s">
        <v>312</v>
      </c>
      <c r="C59" s="1" t="str">
        <f t="shared" si="1"/>
        <v>2023-09-25</v>
      </c>
      <c r="D59" s="1" t="s">
        <v>314</v>
      </c>
      <c r="E59" s="1">
        <v>14.0</v>
      </c>
      <c r="G59" s="2" t="str">
        <f t="shared" si="2"/>
        <v>INSERT INTO tblExamInfo VALUES (seqExamInfo.nextval, '2023-09-25', '실기', 14);</v>
      </c>
    </row>
    <row r="60">
      <c r="A60" s="1">
        <v>55.0</v>
      </c>
      <c r="B60" s="1" t="s">
        <v>312</v>
      </c>
      <c r="C60" s="1" t="str">
        <f t="shared" si="1"/>
        <v>2023-10-21</v>
      </c>
      <c r="D60" s="1" t="s">
        <v>314</v>
      </c>
      <c r="E60" s="1">
        <v>15.0</v>
      </c>
      <c r="G60" s="2" t="str">
        <f t="shared" si="2"/>
        <v>INSERT INTO tblExamInfo VALUES (seqExamInfo.nextval, '2023-10-21', '실기', 15);</v>
      </c>
    </row>
    <row r="61">
      <c r="A61" s="1">
        <v>56.0</v>
      </c>
      <c r="B61" s="1" t="s">
        <v>312</v>
      </c>
      <c r="C61" s="1" t="str">
        <f t="shared" si="1"/>
        <v>2025-10-09</v>
      </c>
      <c r="D61" s="1" t="s">
        <v>314</v>
      </c>
      <c r="E61" s="1">
        <v>16.0</v>
      </c>
      <c r="G61" s="2" t="str">
        <f t="shared" si="2"/>
        <v>INSERT INTO tblExamInfo VALUES (seqExamInfo.nextval, '2025-10-09', '실기', 16);</v>
      </c>
    </row>
    <row r="62">
      <c r="A62" s="1">
        <v>57.0</v>
      </c>
      <c r="B62" s="1" t="s">
        <v>312</v>
      </c>
      <c r="C62" s="1" t="str">
        <f t="shared" si="1"/>
        <v>2023-04-30</v>
      </c>
      <c r="D62" s="1" t="s">
        <v>314</v>
      </c>
      <c r="E62" s="1">
        <v>17.0</v>
      </c>
      <c r="G62" s="2" t="str">
        <f t="shared" si="2"/>
        <v>INSERT INTO tblExamInfo VALUES (seqExamInfo.nextval, '2023-04-30', '실기', 17);</v>
      </c>
    </row>
    <row r="63">
      <c r="A63" s="1">
        <v>58.0</v>
      </c>
      <c r="B63" s="1" t="s">
        <v>312</v>
      </c>
      <c r="C63" s="1" t="str">
        <f t="shared" si="1"/>
        <v>2023-08-20</v>
      </c>
      <c r="D63" s="1" t="s">
        <v>314</v>
      </c>
      <c r="E63" s="1">
        <v>18.0</v>
      </c>
      <c r="G63" s="2" t="str">
        <f t="shared" si="2"/>
        <v>INSERT INTO tblExamInfo VALUES (seqExamInfo.nextval, '2023-08-20', '실기', 18);</v>
      </c>
    </row>
    <row r="64">
      <c r="A64" s="1">
        <v>59.0</v>
      </c>
      <c r="B64" s="1" t="s">
        <v>312</v>
      </c>
      <c r="C64" s="1" t="str">
        <f t="shared" si="1"/>
        <v>2024-02-24</v>
      </c>
      <c r="D64" s="1" t="s">
        <v>314</v>
      </c>
      <c r="E64" s="1">
        <v>19.0</v>
      </c>
      <c r="G64" s="2" t="str">
        <f t="shared" si="2"/>
        <v>INSERT INTO tblExamInfo VALUES (seqExamInfo.nextval, '2024-02-24', '실기', 19);</v>
      </c>
    </row>
    <row r="65">
      <c r="A65" s="1">
        <v>60.0</v>
      </c>
      <c r="B65" s="1" t="s">
        <v>312</v>
      </c>
      <c r="C65" s="1" t="str">
        <f t="shared" si="1"/>
        <v>2024-03-25</v>
      </c>
      <c r="D65" s="1" t="s">
        <v>314</v>
      </c>
      <c r="E65" s="1">
        <v>20.0</v>
      </c>
      <c r="G65" s="2" t="str">
        <f t="shared" si="2"/>
        <v>INSERT INTO tblExamInfo VALUES (seqExamInfo.nextval, '2024-03-25', '실기', 20);</v>
      </c>
    </row>
    <row r="66">
      <c r="A66" s="1">
        <v>61.0</v>
      </c>
      <c r="B66" s="1" t="s">
        <v>312</v>
      </c>
      <c r="C66" s="1" t="str">
        <f t="shared" si="1"/>
        <v>2024-10-28</v>
      </c>
      <c r="D66" s="1" t="s">
        <v>314</v>
      </c>
      <c r="E66" s="1">
        <v>21.0</v>
      </c>
      <c r="G66" s="2" t="str">
        <f t="shared" si="2"/>
        <v>INSERT INTO tblExamInfo VALUES (seqExamInfo.nextval, '2024-10-28', '실기', 21);</v>
      </c>
    </row>
    <row r="67">
      <c r="A67" s="1">
        <v>62.0</v>
      </c>
      <c r="B67" s="1" t="s">
        <v>312</v>
      </c>
      <c r="C67" s="1" t="str">
        <f t="shared" si="1"/>
        <v>2023-05-08</v>
      </c>
      <c r="D67" s="1" t="s">
        <v>314</v>
      </c>
      <c r="E67" s="1">
        <v>22.0</v>
      </c>
      <c r="G67" s="2" t="str">
        <f t="shared" si="2"/>
        <v>INSERT INTO tblExamInfo VALUES (seqExamInfo.nextval, '2023-05-08', '실기', 22);</v>
      </c>
    </row>
    <row r="68">
      <c r="A68" s="1">
        <v>63.0</v>
      </c>
      <c r="B68" s="1" t="s">
        <v>312</v>
      </c>
      <c r="C68" s="1" t="str">
        <f t="shared" si="1"/>
        <v>2025-06-08</v>
      </c>
      <c r="D68" s="1" t="s">
        <v>314</v>
      </c>
      <c r="E68" s="1">
        <v>23.0</v>
      </c>
      <c r="G68" s="2" t="str">
        <f t="shared" si="2"/>
        <v>INSERT INTO tblExamInfo VALUES (seqExamInfo.nextval, '2025-06-08', '실기', 23);</v>
      </c>
    </row>
    <row r="69">
      <c r="A69" s="1">
        <v>64.0</v>
      </c>
      <c r="B69" s="1" t="s">
        <v>312</v>
      </c>
      <c r="C69" s="1" t="str">
        <f t="shared" si="1"/>
        <v>2025-01-02</v>
      </c>
      <c r="D69" s="1" t="s">
        <v>314</v>
      </c>
      <c r="E69" s="1">
        <v>24.0</v>
      </c>
      <c r="G69" s="2" t="str">
        <f t="shared" si="2"/>
        <v>INSERT INTO tblExamInfo VALUES (seqExamInfo.nextval, '2025-01-02', '실기', 24);</v>
      </c>
    </row>
    <row r="70">
      <c r="A70" s="1">
        <v>65.0</v>
      </c>
      <c r="B70" s="1" t="s">
        <v>312</v>
      </c>
      <c r="C70" s="1" t="str">
        <f t="shared" si="1"/>
        <v>2025-09-12</v>
      </c>
      <c r="D70" s="1" t="s">
        <v>314</v>
      </c>
      <c r="E70" s="1">
        <v>25.0</v>
      </c>
      <c r="G70" s="2" t="str">
        <f t="shared" si="2"/>
        <v>INSERT INTO tblExamInfo VALUES (seqExamInfo.nextval, '2025-09-12', '실기', 25);</v>
      </c>
    </row>
    <row r="71">
      <c r="A71" s="1">
        <v>66.0</v>
      </c>
      <c r="B71" s="1" t="s">
        <v>312</v>
      </c>
      <c r="C71" s="1" t="str">
        <f t="shared" si="1"/>
        <v>2024-11-23</v>
      </c>
      <c r="D71" s="1" t="s">
        <v>314</v>
      </c>
      <c r="E71" s="1">
        <v>26.0</v>
      </c>
      <c r="G71" s="2" t="str">
        <f t="shared" si="2"/>
        <v>INSERT INTO tblExamInfo VALUES (seqExamInfo.nextval, '2024-11-23', '실기', 26);</v>
      </c>
    </row>
  </sheetData>
  <mergeCells count="1">
    <mergeCell ref="B3:F3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88"/>
  </cols>
  <sheetData>
    <row r="2">
      <c r="J2" s="1">
        <v>491.0</v>
      </c>
    </row>
    <row r="3">
      <c r="B3" s="38" t="s">
        <v>167</v>
      </c>
    </row>
    <row r="5">
      <c r="B5" s="36" t="s">
        <v>315</v>
      </c>
      <c r="C5" s="36" t="s">
        <v>210</v>
      </c>
      <c r="D5" s="36" t="s">
        <v>316</v>
      </c>
      <c r="E5" s="36" t="s">
        <v>309</v>
      </c>
    </row>
    <row r="6">
      <c r="A6" s="1">
        <v>1.0</v>
      </c>
      <c r="B6" s="1" t="s">
        <v>317</v>
      </c>
      <c r="C6" s="1">
        <v>1.0</v>
      </c>
      <c r="D6" s="2">
        <f t="shared" ref="D6:D496" si="1">RANDBETWEEN(20,100)</f>
        <v>57</v>
      </c>
      <c r="E6" s="2">
        <f t="shared" ref="E6:E496" si="2">RANDBETWEEN(1,33)</f>
        <v>33</v>
      </c>
      <c r="G6" s="2" t="str">
        <f t="shared" ref="G6:G496" si="3">"INSERT INTO tblWrittenExamResult VALUES (" &amp; B6 &amp; ", " &amp; C6 &amp; ", " &amp; D6 &amp; ", " &amp; E6 &amp; ");"</f>
        <v>INSERT INTO tblWrittenExamResult VALUES (seqWrittenExamResult.nextval, 1, 57, 33);</v>
      </c>
    </row>
    <row r="7">
      <c r="A7" s="1">
        <v>2.0</v>
      </c>
      <c r="B7" s="1" t="s">
        <v>317</v>
      </c>
      <c r="C7" s="1">
        <v>2.0</v>
      </c>
      <c r="D7" s="2">
        <f t="shared" si="1"/>
        <v>27</v>
      </c>
      <c r="E7" s="2">
        <f t="shared" si="2"/>
        <v>13</v>
      </c>
      <c r="G7" s="2" t="str">
        <f t="shared" si="3"/>
        <v>INSERT INTO tblWrittenExamResult VALUES (seqWrittenExamResult.nextval, 2, 27, 13);</v>
      </c>
    </row>
    <row r="8">
      <c r="A8" s="1">
        <v>3.0</v>
      </c>
      <c r="B8" s="1" t="s">
        <v>317</v>
      </c>
      <c r="C8" s="1">
        <v>3.0</v>
      </c>
      <c r="D8" s="2">
        <f t="shared" si="1"/>
        <v>32</v>
      </c>
      <c r="E8" s="2">
        <f t="shared" si="2"/>
        <v>27</v>
      </c>
      <c r="G8" s="2" t="str">
        <f t="shared" si="3"/>
        <v>INSERT INTO tblWrittenExamResult VALUES (seqWrittenExamResult.nextval, 3, 32, 27);</v>
      </c>
    </row>
    <row r="9">
      <c r="A9" s="1">
        <v>4.0</v>
      </c>
      <c r="B9" s="1" t="s">
        <v>317</v>
      </c>
      <c r="C9" s="1">
        <v>4.0</v>
      </c>
      <c r="D9" s="2">
        <f t="shared" si="1"/>
        <v>72</v>
      </c>
      <c r="E9" s="2">
        <f t="shared" si="2"/>
        <v>16</v>
      </c>
      <c r="G9" s="2" t="str">
        <f t="shared" si="3"/>
        <v>INSERT INTO tblWrittenExamResult VALUES (seqWrittenExamResult.nextval, 4, 72, 16);</v>
      </c>
    </row>
    <row r="10">
      <c r="A10" s="1">
        <v>5.0</v>
      </c>
      <c r="B10" s="1" t="s">
        <v>317</v>
      </c>
      <c r="C10" s="1">
        <v>5.0</v>
      </c>
      <c r="D10" s="2">
        <f t="shared" si="1"/>
        <v>50</v>
      </c>
      <c r="E10" s="2">
        <f t="shared" si="2"/>
        <v>1</v>
      </c>
      <c r="G10" s="2" t="str">
        <f t="shared" si="3"/>
        <v>INSERT INTO tblWrittenExamResult VALUES (seqWrittenExamResult.nextval, 5, 50, 1);</v>
      </c>
    </row>
    <row r="11">
      <c r="A11" s="1">
        <v>6.0</v>
      </c>
      <c r="B11" s="1" t="s">
        <v>317</v>
      </c>
      <c r="C11" s="1">
        <v>6.0</v>
      </c>
      <c r="D11" s="2">
        <f t="shared" si="1"/>
        <v>59</v>
      </c>
      <c r="E11" s="2">
        <f t="shared" si="2"/>
        <v>33</v>
      </c>
      <c r="G11" s="2" t="str">
        <f t="shared" si="3"/>
        <v>INSERT INTO tblWrittenExamResult VALUES (seqWrittenExamResult.nextval, 6, 59, 33);</v>
      </c>
    </row>
    <row r="12">
      <c r="A12" s="1">
        <v>7.0</v>
      </c>
      <c r="B12" s="1" t="s">
        <v>317</v>
      </c>
      <c r="C12" s="1">
        <v>7.0</v>
      </c>
      <c r="D12" s="2">
        <f t="shared" si="1"/>
        <v>67</v>
      </c>
      <c r="E12" s="2">
        <f t="shared" si="2"/>
        <v>27</v>
      </c>
      <c r="G12" s="2" t="str">
        <f t="shared" si="3"/>
        <v>INSERT INTO tblWrittenExamResult VALUES (seqWrittenExamResult.nextval, 7, 67, 27);</v>
      </c>
    </row>
    <row r="13">
      <c r="A13" s="1">
        <v>8.0</v>
      </c>
      <c r="B13" s="1" t="s">
        <v>317</v>
      </c>
      <c r="C13" s="1">
        <v>8.0</v>
      </c>
      <c r="D13" s="2">
        <f t="shared" si="1"/>
        <v>55</v>
      </c>
      <c r="E13" s="2">
        <f t="shared" si="2"/>
        <v>32</v>
      </c>
      <c r="G13" s="2" t="str">
        <f t="shared" si="3"/>
        <v>INSERT INTO tblWrittenExamResult VALUES (seqWrittenExamResult.nextval, 8, 55, 32);</v>
      </c>
    </row>
    <row r="14">
      <c r="A14" s="1">
        <v>9.0</v>
      </c>
      <c r="B14" s="1" t="s">
        <v>317</v>
      </c>
      <c r="C14" s="1">
        <v>9.0</v>
      </c>
      <c r="D14" s="2">
        <f t="shared" si="1"/>
        <v>90</v>
      </c>
      <c r="E14" s="2">
        <f t="shared" si="2"/>
        <v>21</v>
      </c>
      <c r="G14" s="2" t="str">
        <f t="shared" si="3"/>
        <v>INSERT INTO tblWrittenExamResult VALUES (seqWrittenExamResult.nextval, 9, 90, 21);</v>
      </c>
    </row>
    <row r="15">
      <c r="A15" s="1">
        <v>10.0</v>
      </c>
      <c r="B15" s="1" t="s">
        <v>317</v>
      </c>
      <c r="C15" s="1">
        <v>10.0</v>
      </c>
      <c r="D15" s="2">
        <f t="shared" si="1"/>
        <v>71</v>
      </c>
      <c r="E15" s="2">
        <f t="shared" si="2"/>
        <v>10</v>
      </c>
      <c r="G15" s="2" t="str">
        <f t="shared" si="3"/>
        <v>INSERT INTO tblWrittenExamResult VALUES (seqWrittenExamResult.nextval, 10, 71, 10);</v>
      </c>
    </row>
    <row r="16">
      <c r="A16" s="1">
        <v>11.0</v>
      </c>
      <c r="B16" s="1" t="s">
        <v>317</v>
      </c>
      <c r="C16" s="1">
        <v>11.0</v>
      </c>
      <c r="D16" s="2">
        <f t="shared" si="1"/>
        <v>92</v>
      </c>
      <c r="E16" s="2">
        <f t="shared" si="2"/>
        <v>10</v>
      </c>
      <c r="G16" s="2" t="str">
        <f t="shared" si="3"/>
        <v>INSERT INTO tblWrittenExamResult VALUES (seqWrittenExamResult.nextval, 11, 92, 10);</v>
      </c>
    </row>
    <row r="17">
      <c r="A17" s="1">
        <v>12.0</v>
      </c>
      <c r="B17" s="1" t="s">
        <v>317</v>
      </c>
      <c r="C17" s="1">
        <v>12.0</v>
      </c>
      <c r="D17" s="2">
        <f t="shared" si="1"/>
        <v>66</v>
      </c>
      <c r="E17" s="2">
        <f t="shared" si="2"/>
        <v>3</v>
      </c>
      <c r="G17" s="2" t="str">
        <f t="shared" si="3"/>
        <v>INSERT INTO tblWrittenExamResult VALUES (seqWrittenExamResult.nextval, 12, 66, 3);</v>
      </c>
    </row>
    <row r="18">
      <c r="A18" s="1">
        <v>13.0</v>
      </c>
      <c r="B18" s="1" t="s">
        <v>317</v>
      </c>
      <c r="C18" s="1">
        <v>13.0</v>
      </c>
      <c r="D18" s="2">
        <f t="shared" si="1"/>
        <v>67</v>
      </c>
      <c r="E18" s="2">
        <f t="shared" si="2"/>
        <v>16</v>
      </c>
      <c r="G18" s="2" t="str">
        <f t="shared" si="3"/>
        <v>INSERT INTO tblWrittenExamResult VALUES (seqWrittenExamResult.nextval, 13, 67, 16);</v>
      </c>
    </row>
    <row r="19">
      <c r="A19" s="1">
        <v>14.0</v>
      </c>
      <c r="B19" s="1" t="s">
        <v>317</v>
      </c>
      <c r="C19" s="1">
        <v>14.0</v>
      </c>
      <c r="D19" s="2">
        <f t="shared" si="1"/>
        <v>42</v>
      </c>
      <c r="E19" s="2">
        <f t="shared" si="2"/>
        <v>10</v>
      </c>
      <c r="G19" s="2" t="str">
        <f t="shared" si="3"/>
        <v>INSERT INTO tblWrittenExamResult VALUES (seqWrittenExamResult.nextval, 14, 42, 10);</v>
      </c>
    </row>
    <row r="20">
      <c r="A20" s="1">
        <v>15.0</v>
      </c>
      <c r="B20" s="1" t="s">
        <v>317</v>
      </c>
      <c r="C20" s="1">
        <v>15.0</v>
      </c>
      <c r="D20" s="2">
        <f t="shared" si="1"/>
        <v>93</v>
      </c>
      <c r="E20" s="2">
        <f t="shared" si="2"/>
        <v>7</v>
      </c>
      <c r="G20" s="2" t="str">
        <f t="shared" si="3"/>
        <v>INSERT INTO tblWrittenExamResult VALUES (seqWrittenExamResult.nextval, 15, 93, 7);</v>
      </c>
    </row>
    <row r="21">
      <c r="A21" s="1">
        <v>16.0</v>
      </c>
      <c r="B21" s="1" t="s">
        <v>317</v>
      </c>
      <c r="C21" s="1">
        <v>16.0</v>
      </c>
      <c r="D21" s="2">
        <f t="shared" si="1"/>
        <v>96</v>
      </c>
      <c r="E21" s="2">
        <f t="shared" si="2"/>
        <v>21</v>
      </c>
      <c r="G21" s="2" t="str">
        <f t="shared" si="3"/>
        <v>INSERT INTO tblWrittenExamResult VALUES (seqWrittenExamResult.nextval, 16, 96, 21);</v>
      </c>
    </row>
    <row r="22">
      <c r="A22" s="1">
        <v>17.0</v>
      </c>
      <c r="B22" s="1" t="s">
        <v>317</v>
      </c>
      <c r="C22" s="1">
        <v>17.0</v>
      </c>
      <c r="D22" s="2">
        <f t="shared" si="1"/>
        <v>98</v>
      </c>
      <c r="E22" s="2">
        <f t="shared" si="2"/>
        <v>13</v>
      </c>
      <c r="G22" s="2" t="str">
        <f t="shared" si="3"/>
        <v>INSERT INTO tblWrittenExamResult VALUES (seqWrittenExamResult.nextval, 17, 98, 13);</v>
      </c>
    </row>
    <row r="23">
      <c r="A23" s="1">
        <v>18.0</v>
      </c>
      <c r="B23" s="1" t="s">
        <v>317</v>
      </c>
      <c r="C23" s="1">
        <v>18.0</v>
      </c>
      <c r="D23" s="2">
        <f t="shared" si="1"/>
        <v>52</v>
      </c>
      <c r="E23" s="2">
        <f t="shared" si="2"/>
        <v>27</v>
      </c>
      <c r="G23" s="2" t="str">
        <f t="shared" si="3"/>
        <v>INSERT INTO tblWrittenExamResult VALUES (seqWrittenExamResult.nextval, 18, 52, 27);</v>
      </c>
    </row>
    <row r="24">
      <c r="A24" s="1">
        <v>19.0</v>
      </c>
      <c r="B24" s="1" t="s">
        <v>317</v>
      </c>
      <c r="C24" s="1">
        <v>19.0</v>
      </c>
      <c r="D24" s="2">
        <f t="shared" si="1"/>
        <v>44</v>
      </c>
      <c r="E24" s="2">
        <f t="shared" si="2"/>
        <v>11</v>
      </c>
      <c r="G24" s="2" t="str">
        <f t="shared" si="3"/>
        <v>INSERT INTO tblWrittenExamResult VALUES (seqWrittenExamResult.nextval, 19, 44, 11);</v>
      </c>
    </row>
    <row r="25">
      <c r="A25" s="1">
        <v>20.0</v>
      </c>
      <c r="B25" s="1" t="s">
        <v>317</v>
      </c>
      <c r="C25" s="1">
        <v>20.0</v>
      </c>
      <c r="D25" s="2">
        <f t="shared" si="1"/>
        <v>58</v>
      </c>
      <c r="E25" s="2">
        <f t="shared" si="2"/>
        <v>21</v>
      </c>
      <c r="G25" s="2" t="str">
        <f t="shared" si="3"/>
        <v>INSERT INTO tblWrittenExamResult VALUES (seqWrittenExamResult.nextval, 20, 58, 21);</v>
      </c>
    </row>
    <row r="26">
      <c r="A26" s="1">
        <v>21.0</v>
      </c>
      <c r="B26" s="1" t="s">
        <v>317</v>
      </c>
      <c r="C26" s="1">
        <v>21.0</v>
      </c>
      <c r="D26" s="2">
        <f t="shared" si="1"/>
        <v>38</v>
      </c>
      <c r="E26" s="2">
        <f t="shared" si="2"/>
        <v>1</v>
      </c>
      <c r="G26" s="2" t="str">
        <f t="shared" si="3"/>
        <v>INSERT INTO tblWrittenExamResult VALUES (seqWrittenExamResult.nextval, 21, 38, 1);</v>
      </c>
    </row>
    <row r="27">
      <c r="A27" s="1">
        <v>22.0</v>
      </c>
      <c r="B27" s="1" t="s">
        <v>317</v>
      </c>
      <c r="C27" s="1">
        <v>22.0</v>
      </c>
      <c r="D27" s="2">
        <f t="shared" si="1"/>
        <v>44</v>
      </c>
      <c r="E27" s="2">
        <f t="shared" si="2"/>
        <v>14</v>
      </c>
      <c r="G27" s="2" t="str">
        <f t="shared" si="3"/>
        <v>INSERT INTO tblWrittenExamResult VALUES (seqWrittenExamResult.nextval, 22, 44, 14);</v>
      </c>
    </row>
    <row r="28">
      <c r="A28" s="1">
        <v>23.0</v>
      </c>
      <c r="B28" s="1" t="s">
        <v>317</v>
      </c>
      <c r="C28" s="1">
        <v>23.0</v>
      </c>
      <c r="D28" s="2">
        <f t="shared" si="1"/>
        <v>54</v>
      </c>
      <c r="E28" s="2">
        <f t="shared" si="2"/>
        <v>10</v>
      </c>
      <c r="G28" s="2" t="str">
        <f t="shared" si="3"/>
        <v>INSERT INTO tblWrittenExamResult VALUES (seqWrittenExamResult.nextval, 23, 54, 10);</v>
      </c>
    </row>
    <row r="29">
      <c r="A29" s="1">
        <v>24.0</v>
      </c>
      <c r="B29" s="1" t="s">
        <v>317</v>
      </c>
      <c r="C29" s="1">
        <v>24.0</v>
      </c>
      <c r="D29" s="2">
        <f t="shared" si="1"/>
        <v>96</v>
      </c>
      <c r="E29" s="2">
        <f t="shared" si="2"/>
        <v>29</v>
      </c>
      <c r="G29" s="2" t="str">
        <f t="shared" si="3"/>
        <v>INSERT INTO tblWrittenExamResult VALUES (seqWrittenExamResult.nextval, 24, 96, 29);</v>
      </c>
    </row>
    <row r="30">
      <c r="A30" s="1">
        <v>25.0</v>
      </c>
      <c r="B30" s="1" t="s">
        <v>317</v>
      </c>
      <c r="C30" s="1">
        <v>25.0</v>
      </c>
      <c r="D30" s="2">
        <f t="shared" si="1"/>
        <v>68</v>
      </c>
      <c r="E30" s="2">
        <f t="shared" si="2"/>
        <v>4</v>
      </c>
      <c r="G30" s="2" t="str">
        <f t="shared" si="3"/>
        <v>INSERT INTO tblWrittenExamResult VALUES (seqWrittenExamResult.nextval, 25, 68, 4);</v>
      </c>
    </row>
    <row r="31">
      <c r="A31" s="1">
        <v>26.0</v>
      </c>
      <c r="B31" s="1" t="s">
        <v>317</v>
      </c>
      <c r="C31" s="1">
        <v>26.0</v>
      </c>
      <c r="D31" s="2">
        <f t="shared" si="1"/>
        <v>68</v>
      </c>
      <c r="E31" s="2">
        <f t="shared" si="2"/>
        <v>8</v>
      </c>
      <c r="G31" s="2" t="str">
        <f t="shared" si="3"/>
        <v>INSERT INTO tblWrittenExamResult VALUES (seqWrittenExamResult.nextval, 26, 68, 8);</v>
      </c>
    </row>
    <row r="32">
      <c r="A32" s="1">
        <v>27.0</v>
      </c>
      <c r="B32" s="1" t="s">
        <v>317</v>
      </c>
      <c r="C32" s="1">
        <v>27.0</v>
      </c>
      <c r="D32" s="2">
        <f t="shared" si="1"/>
        <v>87</v>
      </c>
      <c r="E32" s="2">
        <f t="shared" si="2"/>
        <v>11</v>
      </c>
      <c r="G32" s="2" t="str">
        <f t="shared" si="3"/>
        <v>INSERT INTO tblWrittenExamResult VALUES (seqWrittenExamResult.nextval, 27, 87, 11);</v>
      </c>
    </row>
    <row r="33">
      <c r="A33" s="1">
        <v>28.0</v>
      </c>
      <c r="B33" s="1" t="s">
        <v>317</v>
      </c>
      <c r="C33" s="1">
        <v>28.0</v>
      </c>
      <c r="D33" s="2">
        <f t="shared" si="1"/>
        <v>35</v>
      </c>
      <c r="E33" s="2">
        <f t="shared" si="2"/>
        <v>11</v>
      </c>
      <c r="G33" s="2" t="str">
        <f t="shared" si="3"/>
        <v>INSERT INTO tblWrittenExamResult VALUES (seqWrittenExamResult.nextval, 28, 35, 11);</v>
      </c>
    </row>
    <row r="34">
      <c r="A34" s="1">
        <v>29.0</v>
      </c>
      <c r="B34" s="1" t="s">
        <v>317</v>
      </c>
      <c r="C34" s="1">
        <v>29.0</v>
      </c>
      <c r="D34" s="2">
        <f t="shared" si="1"/>
        <v>100</v>
      </c>
      <c r="E34" s="2">
        <f t="shared" si="2"/>
        <v>7</v>
      </c>
      <c r="G34" s="2" t="str">
        <f t="shared" si="3"/>
        <v>INSERT INTO tblWrittenExamResult VALUES (seqWrittenExamResult.nextval, 29, 100, 7);</v>
      </c>
    </row>
    <row r="35">
      <c r="A35" s="1">
        <v>30.0</v>
      </c>
      <c r="B35" s="1" t="s">
        <v>317</v>
      </c>
      <c r="C35" s="1">
        <v>30.0</v>
      </c>
      <c r="D35" s="2">
        <f t="shared" si="1"/>
        <v>100</v>
      </c>
      <c r="E35" s="2">
        <f t="shared" si="2"/>
        <v>13</v>
      </c>
      <c r="G35" s="2" t="str">
        <f t="shared" si="3"/>
        <v>INSERT INTO tblWrittenExamResult VALUES (seqWrittenExamResult.nextval, 30, 100, 13);</v>
      </c>
    </row>
    <row r="36">
      <c r="A36" s="1">
        <v>31.0</v>
      </c>
      <c r="B36" s="1" t="s">
        <v>317</v>
      </c>
      <c r="C36" s="1">
        <v>31.0</v>
      </c>
      <c r="D36" s="2">
        <f t="shared" si="1"/>
        <v>32</v>
      </c>
      <c r="E36" s="2">
        <f t="shared" si="2"/>
        <v>13</v>
      </c>
      <c r="G36" s="2" t="str">
        <f t="shared" si="3"/>
        <v>INSERT INTO tblWrittenExamResult VALUES (seqWrittenExamResult.nextval, 31, 32, 13);</v>
      </c>
    </row>
    <row r="37">
      <c r="A37" s="1">
        <v>32.0</v>
      </c>
      <c r="B37" s="1" t="s">
        <v>317</v>
      </c>
      <c r="C37" s="1">
        <v>32.0</v>
      </c>
      <c r="D37" s="2">
        <f t="shared" si="1"/>
        <v>89</v>
      </c>
      <c r="E37" s="2">
        <f t="shared" si="2"/>
        <v>12</v>
      </c>
      <c r="G37" s="2" t="str">
        <f t="shared" si="3"/>
        <v>INSERT INTO tblWrittenExamResult VALUES (seqWrittenExamResult.nextval, 32, 89, 12);</v>
      </c>
    </row>
    <row r="38">
      <c r="A38" s="1">
        <v>33.0</v>
      </c>
      <c r="B38" s="1" t="s">
        <v>317</v>
      </c>
      <c r="C38" s="1">
        <v>33.0</v>
      </c>
      <c r="D38" s="2">
        <f t="shared" si="1"/>
        <v>61</v>
      </c>
      <c r="E38" s="2">
        <f t="shared" si="2"/>
        <v>21</v>
      </c>
      <c r="G38" s="2" t="str">
        <f t="shared" si="3"/>
        <v>INSERT INTO tblWrittenExamResult VALUES (seqWrittenExamResult.nextval, 33, 61, 21);</v>
      </c>
    </row>
    <row r="39">
      <c r="A39" s="1">
        <v>34.0</v>
      </c>
      <c r="B39" s="1" t="s">
        <v>317</v>
      </c>
      <c r="C39" s="1">
        <v>34.0</v>
      </c>
      <c r="D39" s="2">
        <f t="shared" si="1"/>
        <v>42</v>
      </c>
      <c r="E39" s="2">
        <f t="shared" si="2"/>
        <v>20</v>
      </c>
      <c r="G39" s="2" t="str">
        <f t="shared" si="3"/>
        <v>INSERT INTO tblWrittenExamResult VALUES (seqWrittenExamResult.nextval, 34, 42, 20);</v>
      </c>
    </row>
    <row r="40">
      <c r="A40" s="1">
        <v>35.0</v>
      </c>
      <c r="B40" s="1" t="s">
        <v>317</v>
      </c>
      <c r="C40" s="1">
        <v>35.0</v>
      </c>
      <c r="D40" s="2">
        <f t="shared" si="1"/>
        <v>46</v>
      </c>
      <c r="E40" s="2">
        <f t="shared" si="2"/>
        <v>18</v>
      </c>
      <c r="G40" s="2" t="str">
        <f t="shared" si="3"/>
        <v>INSERT INTO tblWrittenExamResult VALUES (seqWrittenExamResult.nextval, 35, 46, 18);</v>
      </c>
    </row>
    <row r="41">
      <c r="A41" s="1">
        <v>36.0</v>
      </c>
      <c r="B41" s="1" t="s">
        <v>317</v>
      </c>
      <c r="C41" s="1">
        <v>36.0</v>
      </c>
      <c r="D41" s="2">
        <f t="shared" si="1"/>
        <v>56</v>
      </c>
      <c r="E41" s="2">
        <f t="shared" si="2"/>
        <v>21</v>
      </c>
      <c r="G41" s="2" t="str">
        <f t="shared" si="3"/>
        <v>INSERT INTO tblWrittenExamResult VALUES (seqWrittenExamResult.nextval, 36, 56, 21);</v>
      </c>
    </row>
    <row r="42">
      <c r="A42" s="1">
        <v>37.0</v>
      </c>
      <c r="B42" s="1" t="s">
        <v>317</v>
      </c>
      <c r="C42" s="1">
        <v>37.0</v>
      </c>
      <c r="D42" s="2">
        <f t="shared" si="1"/>
        <v>42</v>
      </c>
      <c r="E42" s="2">
        <f t="shared" si="2"/>
        <v>25</v>
      </c>
      <c r="G42" s="2" t="str">
        <f t="shared" si="3"/>
        <v>INSERT INTO tblWrittenExamResult VALUES (seqWrittenExamResult.nextval, 37, 42, 25);</v>
      </c>
    </row>
    <row r="43">
      <c r="A43" s="1">
        <v>38.0</v>
      </c>
      <c r="B43" s="1" t="s">
        <v>317</v>
      </c>
      <c r="C43" s="1">
        <v>38.0</v>
      </c>
      <c r="D43" s="2">
        <f t="shared" si="1"/>
        <v>74</v>
      </c>
      <c r="E43" s="2">
        <f t="shared" si="2"/>
        <v>31</v>
      </c>
      <c r="G43" s="2" t="str">
        <f t="shared" si="3"/>
        <v>INSERT INTO tblWrittenExamResult VALUES (seqWrittenExamResult.nextval, 38, 74, 31);</v>
      </c>
    </row>
    <row r="44">
      <c r="A44" s="1">
        <v>39.0</v>
      </c>
      <c r="B44" s="1" t="s">
        <v>317</v>
      </c>
      <c r="C44" s="1">
        <v>39.0</v>
      </c>
      <c r="D44" s="2">
        <f t="shared" si="1"/>
        <v>52</v>
      </c>
      <c r="E44" s="2">
        <f t="shared" si="2"/>
        <v>20</v>
      </c>
      <c r="G44" s="2" t="str">
        <f t="shared" si="3"/>
        <v>INSERT INTO tblWrittenExamResult VALUES (seqWrittenExamResult.nextval, 39, 52, 20);</v>
      </c>
    </row>
    <row r="45">
      <c r="A45" s="1">
        <v>40.0</v>
      </c>
      <c r="B45" s="1" t="s">
        <v>317</v>
      </c>
      <c r="C45" s="1">
        <v>40.0</v>
      </c>
      <c r="D45" s="2">
        <f t="shared" si="1"/>
        <v>78</v>
      </c>
      <c r="E45" s="2">
        <f t="shared" si="2"/>
        <v>5</v>
      </c>
      <c r="G45" s="2" t="str">
        <f t="shared" si="3"/>
        <v>INSERT INTO tblWrittenExamResult VALUES (seqWrittenExamResult.nextval, 40, 78, 5);</v>
      </c>
    </row>
    <row r="46">
      <c r="A46" s="1">
        <v>41.0</v>
      </c>
      <c r="B46" s="1" t="s">
        <v>317</v>
      </c>
      <c r="C46" s="1">
        <v>41.0</v>
      </c>
      <c r="D46" s="2">
        <f t="shared" si="1"/>
        <v>100</v>
      </c>
      <c r="E46" s="2">
        <f t="shared" si="2"/>
        <v>22</v>
      </c>
      <c r="G46" s="2" t="str">
        <f t="shared" si="3"/>
        <v>INSERT INTO tblWrittenExamResult VALUES (seqWrittenExamResult.nextval, 41, 100, 22);</v>
      </c>
    </row>
    <row r="47">
      <c r="A47" s="1">
        <v>42.0</v>
      </c>
      <c r="B47" s="1" t="s">
        <v>317</v>
      </c>
      <c r="C47" s="1">
        <v>42.0</v>
      </c>
      <c r="D47" s="2">
        <f t="shared" si="1"/>
        <v>53</v>
      </c>
      <c r="E47" s="2">
        <f t="shared" si="2"/>
        <v>33</v>
      </c>
      <c r="G47" s="2" t="str">
        <f t="shared" si="3"/>
        <v>INSERT INTO tblWrittenExamResult VALUES (seqWrittenExamResult.nextval, 42, 53, 33);</v>
      </c>
    </row>
    <row r="48">
      <c r="A48" s="1">
        <v>43.0</v>
      </c>
      <c r="B48" s="1" t="s">
        <v>317</v>
      </c>
      <c r="C48" s="1">
        <v>43.0</v>
      </c>
      <c r="D48" s="2">
        <f t="shared" si="1"/>
        <v>86</v>
      </c>
      <c r="E48" s="2">
        <f t="shared" si="2"/>
        <v>8</v>
      </c>
      <c r="G48" s="2" t="str">
        <f t="shared" si="3"/>
        <v>INSERT INTO tblWrittenExamResult VALUES (seqWrittenExamResult.nextval, 43, 86, 8);</v>
      </c>
    </row>
    <row r="49">
      <c r="A49" s="1">
        <v>44.0</v>
      </c>
      <c r="B49" s="1" t="s">
        <v>317</v>
      </c>
      <c r="C49" s="1">
        <v>44.0</v>
      </c>
      <c r="D49" s="2">
        <f t="shared" si="1"/>
        <v>97</v>
      </c>
      <c r="E49" s="2">
        <f t="shared" si="2"/>
        <v>5</v>
      </c>
      <c r="G49" s="2" t="str">
        <f t="shared" si="3"/>
        <v>INSERT INTO tblWrittenExamResult VALUES (seqWrittenExamResult.nextval, 44, 97, 5);</v>
      </c>
    </row>
    <row r="50">
      <c r="A50" s="1">
        <v>45.0</v>
      </c>
      <c r="B50" s="1" t="s">
        <v>317</v>
      </c>
      <c r="C50" s="1">
        <v>45.0</v>
      </c>
      <c r="D50" s="2">
        <f t="shared" si="1"/>
        <v>73</v>
      </c>
      <c r="E50" s="2">
        <f t="shared" si="2"/>
        <v>5</v>
      </c>
      <c r="G50" s="2" t="str">
        <f t="shared" si="3"/>
        <v>INSERT INTO tblWrittenExamResult VALUES (seqWrittenExamResult.nextval, 45, 73, 5);</v>
      </c>
    </row>
    <row r="51">
      <c r="A51" s="1">
        <v>46.0</v>
      </c>
      <c r="B51" s="1" t="s">
        <v>317</v>
      </c>
      <c r="C51" s="1">
        <v>46.0</v>
      </c>
      <c r="D51" s="2">
        <f t="shared" si="1"/>
        <v>45</v>
      </c>
      <c r="E51" s="2">
        <f t="shared" si="2"/>
        <v>2</v>
      </c>
      <c r="G51" s="2" t="str">
        <f t="shared" si="3"/>
        <v>INSERT INTO tblWrittenExamResult VALUES (seqWrittenExamResult.nextval, 46, 45, 2);</v>
      </c>
    </row>
    <row r="52">
      <c r="A52" s="1">
        <v>47.0</v>
      </c>
      <c r="B52" s="1" t="s">
        <v>317</v>
      </c>
      <c r="C52" s="1">
        <v>47.0</v>
      </c>
      <c r="D52" s="2">
        <f t="shared" si="1"/>
        <v>69</v>
      </c>
      <c r="E52" s="2">
        <f t="shared" si="2"/>
        <v>13</v>
      </c>
      <c r="G52" s="2" t="str">
        <f t="shared" si="3"/>
        <v>INSERT INTO tblWrittenExamResult VALUES (seqWrittenExamResult.nextval, 47, 69, 13);</v>
      </c>
    </row>
    <row r="53">
      <c r="A53" s="1">
        <v>48.0</v>
      </c>
      <c r="B53" s="1" t="s">
        <v>317</v>
      </c>
      <c r="C53" s="1">
        <v>48.0</v>
      </c>
      <c r="D53" s="2">
        <f t="shared" si="1"/>
        <v>52</v>
      </c>
      <c r="E53" s="2">
        <f t="shared" si="2"/>
        <v>12</v>
      </c>
      <c r="G53" s="2" t="str">
        <f t="shared" si="3"/>
        <v>INSERT INTO tblWrittenExamResult VALUES (seqWrittenExamResult.nextval, 48, 52, 12);</v>
      </c>
    </row>
    <row r="54">
      <c r="A54" s="1">
        <v>49.0</v>
      </c>
      <c r="B54" s="1" t="s">
        <v>317</v>
      </c>
      <c r="C54" s="1">
        <v>49.0</v>
      </c>
      <c r="D54" s="2">
        <f t="shared" si="1"/>
        <v>99</v>
      </c>
      <c r="E54" s="2">
        <f t="shared" si="2"/>
        <v>15</v>
      </c>
      <c r="G54" s="2" t="str">
        <f t="shared" si="3"/>
        <v>INSERT INTO tblWrittenExamResult VALUES (seqWrittenExamResult.nextval, 49, 99, 15);</v>
      </c>
    </row>
    <row r="55">
      <c r="A55" s="1">
        <v>50.0</v>
      </c>
      <c r="B55" s="1" t="s">
        <v>317</v>
      </c>
      <c r="C55" s="1">
        <v>50.0</v>
      </c>
      <c r="D55" s="2">
        <f t="shared" si="1"/>
        <v>26</v>
      </c>
      <c r="E55" s="2">
        <f t="shared" si="2"/>
        <v>19</v>
      </c>
      <c r="G55" s="2" t="str">
        <f t="shared" si="3"/>
        <v>INSERT INTO tblWrittenExamResult VALUES (seqWrittenExamResult.nextval, 50, 26, 19);</v>
      </c>
    </row>
    <row r="56">
      <c r="A56" s="1">
        <v>51.0</v>
      </c>
      <c r="B56" s="1" t="s">
        <v>317</v>
      </c>
      <c r="C56" s="1">
        <v>51.0</v>
      </c>
      <c r="D56" s="2">
        <f t="shared" si="1"/>
        <v>65</v>
      </c>
      <c r="E56" s="2">
        <f t="shared" si="2"/>
        <v>9</v>
      </c>
      <c r="G56" s="2" t="str">
        <f t="shared" si="3"/>
        <v>INSERT INTO tblWrittenExamResult VALUES (seqWrittenExamResult.nextval, 51, 65, 9);</v>
      </c>
    </row>
    <row r="57">
      <c r="A57" s="1">
        <v>52.0</v>
      </c>
      <c r="B57" s="1" t="s">
        <v>317</v>
      </c>
      <c r="C57" s="1">
        <v>52.0</v>
      </c>
      <c r="D57" s="2">
        <f t="shared" si="1"/>
        <v>81</v>
      </c>
      <c r="E57" s="2">
        <f t="shared" si="2"/>
        <v>13</v>
      </c>
      <c r="G57" s="2" t="str">
        <f t="shared" si="3"/>
        <v>INSERT INTO tblWrittenExamResult VALUES (seqWrittenExamResult.nextval, 52, 81, 13);</v>
      </c>
    </row>
    <row r="58">
      <c r="A58" s="1">
        <v>53.0</v>
      </c>
      <c r="B58" s="1" t="s">
        <v>317</v>
      </c>
      <c r="C58" s="1">
        <v>53.0</v>
      </c>
      <c r="D58" s="2">
        <f t="shared" si="1"/>
        <v>63</v>
      </c>
      <c r="E58" s="2">
        <f t="shared" si="2"/>
        <v>32</v>
      </c>
      <c r="G58" s="2" t="str">
        <f t="shared" si="3"/>
        <v>INSERT INTO tblWrittenExamResult VALUES (seqWrittenExamResult.nextval, 53, 63, 32);</v>
      </c>
    </row>
    <row r="59">
      <c r="A59" s="1">
        <v>54.0</v>
      </c>
      <c r="B59" s="1" t="s">
        <v>317</v>
      </c>
      <c r="C59" s="1">
        <v>54.0</v>
      </c>
      <c r="D59" s="2">
        <f t="shared" si="1"/>
        <v>45</v>
      </c>
      <c r="E59" s="2">
        <f t="shared" si="2"/>
        <v>23</v>
      </c>
      <c r="G59" s="2" t="str">
        <f t="shared" si="3"/>
        <v>INSERT INTO tblWrittenExamResult VALUES (seqWrittenExamResult.nextval, 54, 45, 23);</v>
      </c>
    </row>
    <row r="60">
      <c r="A60" s="1">
        <v>55.0</v>
      </c>
      <c r="B60" s="1" t="s">
        <v>317</v>
      </c>
      <c r="C60" s="1">
        <v>55.0</v>
      </c>
      <c r="D60" s="2">
        <f t="shared" si="1"/>
        <v>37</v>
      </c>
      <c r="E60" s="2">
        <f t="shared" si="2"/>
        <v>30</v>
      </c>
      <c r="G60" s="2" t="str">
        <f t="shared" si="3"/>
        <v>INSERT INTO tblWrittenExamResult VALUES (seqWrittenExamResult.nextval, 55, 37, 30);</v>
      </c>
    </row>
    <row r="61">
      <c r="A61" s="1">
        <v>56.0</v>
      </c>
      <c r="B61" s="1" t="s">
        <v>317</v>
      </c>
      <c r="C61" s="1">
        <v>56.0</v>
      </c>
      <c r="D61" s="2">
        <f t="shared" si="1"/>
        <v>69</v>
      </c>
      <c r="E61" s="2">
        <f t="shared" si="2"/>
        <v>18</v>
      </c>
      <c r="G61" s="2" t="str">
        <f t="shared" si="3"/>
        <v>INSERT INTO tblWrittenExamResult VALUES (seqWrittenExamResult.nextval, 56, 69, 18);</v>
      </c>
    </row>
    <row r="62">
      <c r="A62" s="1">
        <v>57.0</v>
      </c>
      <c r="B62" s="1" t="s">
        <v>317</v>
      </c>
      <c r="C62" s="1">
        <v>57.0</v>
      </c>
      <c r="D62" s="2">
        <f t="shared" si="1"/>
        <v>44</v>
      </c>
      <c r="E62" s="2">
        <f t="shared" si="2"/>
        <v>18</v>
      </c>
      <c r="G62" s="2" t="str">
        <f t="shared" si="3"/>
        <v>INSERT INTO tblWrittenExamResult VALUES (seqWrittenExamResult.nextval, 57, 44, 18);</v>
      </c>
    </row>
    <row r="63">
      <c r="A63" s="1">
        <v>58.0</v>
      </c>
      <c r="B63" s="1" t="s">
        <v>317</v>
      </c>
      <c r="C63" s="1">
        <v>58.0</v>
      </c>
      <c r="D63" s="2">
        <f t="shared" si="1"/>
        <v>71</v>
      </c>
      <c r="E63" s="2">
        <f t="shared" si="2"/>
        <v>19</v>
      </c>
      <c r="G63" s="2" t="str">
        <f t="shared" si="3"/>
        <v>INSERT INTO tblWrittenExamResult VALUES (seqWrittenExamResult.nextval, 58, 71, 19);</v>
      </c>
    </row>
    <row r="64">
      <c r="A64" s="1">
        <v>59.0</v>
      </c>
      <c r="B64" s="1" t="s">
        <v>317</v>
      </c>
      <c r="C64" s="1">
        <v>59.0</v>
      </c>
      <c r="D64" s="2">
        <f t="shared" si="1"/>
        <v>38</v>
      </c>
      <c r="E64" s="2">
        <f t="shared" si="2"/>
        <v>15</v>
      </c>
      <c r="G64" s="2" t="str">
        <f t="shared" si="3"/>
        <v>INSERT INTO tblWrittenExamResult VALUES (seqWrittenExamResult.nextval, 59, 38, 15);</v>
      </c>
    </row>
    <row r="65">
      <c r="A65" s="1">
        <v>60.0</v>
      </c>
      <c r="B65" s="1" t="s">
        <v>317</v>
      </c>
      <c r="C65" s="1">
        <v>60.0</v>
      </c>
      <c r="D65" s="2">
        <f t="shared" si="1"/>
        <v>26</v>
      </c>
      <c r="E65" s="2">
        <f t="shared" si="2"/>
        <v>26</v>
      </c>
      <c r="G65" s="2" t="str">
        <f t="shared" si="3"/>
        <v>INSERT INTO tblWrittenExamResult VALUES (seqWrittenExamResult.nextval, 60, 26, 26);</v>
      </c>
    </row>
    <row r="66">
      <c r="A66" s="1">
        <v>61.0</v>
      </c>
      <c r="B66" s="1" t="s">
        <v>317</v>
      </c>
      <c r="C66" s="1">
        <v>61.0</v>
      </c>
      <c r="D66" s="2">
        <f t="shared" si="1"/>
        <v>82</v>
      </c>
      <c r="E66" s="2">
        <f t="shared" si="2"/>
        <v>9</v>
      </c>
      <c r="G66" s="2" t="str">
        <f t="shared" si="3"/>
        <v>INSERT INTO tblWrittenExamResult VALUES (seqWrittenExamResult.nextval, 61, 82, 9);</v>
      </c>
    </row>
    <row r="67">
      <c r="A67" s="1">
        <v>62.0</v>
      </c>
      <c r="B67" s="1" t="s">
        <v>317</v>
      </c>
      <c r="C67" s="1">
        <v>62.0</v>
      </c>
      <c r="D67" s="2">
        <f t="shared" si="1"/>
        <v>93</v>
      </c>
      <c r="E67" s="2">
        <f t="shared" si="2"/>
        <v>28</v>
      </c>
      <c r="G67" s="2" t="str">
        <f t="shared" si="3"/>
        <v>INSERT INTO tblWrittenExamResult VALUES (seqWrittenExamResult.nextval, 62, 93, 28);</v>
      </c>
    </row>
    <row r="68">
      <c r="A68" s="1">
        <v>63.0</v>
      </c>
      <c r="B68" s="1" t="s">
        <v>317</v>
      </c>
      <c r="C68" s="1">
        <v>63.0</v>
      </c>
      <c r="D68" s="2">
        <f t="shared" si="1"/>
        <v>56</v>
      </c>
      <c r="E68" s="2">
        <f t="shared" si="2"/>
        <v>31</v>
      </c>
      <c r="G68" s="2" t="str">
        <f t="shared" si="3"/>
        <v>INSERT INTO tblWrittenExamResult VALUES (seqWrittenExamResult.nextval, 63, 56, 31);</v>
      </c>
    </row>
    <row r="69">
      <c r="A69" s="1">
        <v>64.0</v>
      </c>
      <c r="B69" s="1" t="s">
        <v>317</v>
      </c>
      <c r="C69" s="1">
        <v>64.0</v>
      </c>
      <c r="D69" s="2">
        <f t="shared" si="1"/>
        <v>58</v>
      </c>
      <c r="E69" s="2">
        <f t="shared" si="2"/>
        <v>33</v>
      </c>
      <c r="G69" s="2" t="str">
        <f t="shared" si="3"/>
        <v>INSERT INTO tblWrittenExamResult VALUES (seqWrittenExamResult.nextval, 64, 58, 33);</v>
      </c>
    </row>
    <row r="70">
      <c r="A70" s="1">
        <v>65.0</v>
      </c>
      <c r="B70" s="1" t="s">
        <v>317</v>
      </c>
      <c r="C70" s="1">
        <v>65.0</v>
      </c>
      <c r="D70" s="2">
        <f t="shared" si="1"/>
        <v>30</v>
      </c>
      <c r="E70" s="2">
        <f t="shared" si="2"/>
        <v>25</v>
      </c>
      <c r="G70" s="2" t="str">
        <f t="shared" si="3"/>
        <v>INSERT INTO tblWrittenExamResult VALUES (seqWrittenExamResult.nextval, 65, 30, 25);</v>
      </c>
    </row>
    <row r="71">
      <c r="A71" s="1">
        <v>66.0</v>
      </c>
      <c r="B71" s="1" t="s">
        <v>317</v>
      </c>
      <c r="C71" s="1">
        <v>66.0</v>
      </c>
      <c r="D71" s="2">
        <f t="shared" si="1"/>
        <v>94</v>
      </c>
      <c r="E71" s="2">
        <f t="shared" si="2"/>
        <v>32</v>
      </c>
      <c r="G71" s="2" t="str">
        <f t="shared" si="3"/>
        <v>INSERT INTO tblWrittenExamResult VALUES (seqWrittenExamResult.nextval, 66, 94, 32);</v>
      </c>
    </row>
    <row r="72">
      <c r="A72" s="1">
        <v>67.0</v>
      </c>
      <c r="B72" s="1" t="s">
        <v>317</v>
      </c>
      <c r="C72" s="1">
        <v>67.0</v>
      </c>
      <c r="D72" s="2">
        <f t="shared" si="1"/>
        <v>77</v>
      </c>
      <c r="E72" s="2">
        <f t="shared" si="2"/>
        <v>3</v>
      </c>
      <c r="G72" s="2" t="str">
        <f t="shared" si="3"/>
        <v>INSERT INTO tblWrittenExamResult VALUES (seqWrittenExamResult.nextval, 67, 77, 3);</v>
      </c>
    </row>
    <row r="73">
      <c r="A73" s="1">
        <v>68.0</v>
      </c>
      <c r="B73" s="1" t="s">
        <v>317</v>
      </c>
      <c r="C73" s="1">
        <v>68.0</v>
      </c>
      <c r="D73" s="2">
        <f t="shared" si="1"/>
        <v>88</v>
      </c>
      <c r="E73" s="2">
        <f t="shared" si="2"/>
        <v>9</v>
      </c>
      <c r="G73" s="2" t="str">
        <f t="shared" si="3"/>
        <v>INSERT INTO tblWrittenExamResult VALUES (seqWrittenExamResult.nextval, 68, 88, 9);</v>
      </c>
    </row>
    <row r="74">
      <c r="A74" s="1">
        <v>69.0</v>
      </c>
      <c r="B74" s="1" t="s">
        <v>317</v>
      </c>
      <c r="C74" s="1">
        <v>69.0</v>
      </c>
      <c r="D74" s="2">
        <f t="shared" si="1"/>
        <v>69</v>
      </c>
      <c r="E74" s="2">
        <f t="shared" si="2"/>
        <v>31</v>
      </c>
      <c r="G74" s="2" t="str">
        <f t="shared" si="3"/>
        <v>INSERT INTO tblWrittenExamResult VALUES (seqWrittenExamResult.nextval, 69, 69, 31);</v>
      </c>
    </row>
    <row r="75">
      <c r="A75" s="1">
        <v>70.0</v>
      </c>
      <c r="B75" s="1" t="s">
        <v>317</v>
      </c>
      <c r="C75" s="1">
        <v>70.0</v>
      </c>
      <c r="D75" s="2">
        <f t="shared" si="1"/>
        <v>75</v>
      </c>
      <c r="E75" s="2">
        <f t="shared" si="2"/>
        <v>12</v>
      </c>
      <c r="G75" s="2" t="str">
        <f t="shared" si="3"/>
        <v>INSERT INTO tblWrittenExamResult VALUES (seqWrittenExamResult.nextval, 70, 75, 12);</v>
      </c>
    </row>
    <row r="76">
      <c r="A76" s="1">
        <v>71.0</v>
      </c>
      <c r="B76" s="1" t="s">
        <v>317</v>
      </c>
      <c r="C76" s="1">
        <v>71.0</v>
      </c>
      <c r="D76" s="2">
        <f t="shared" si="1"/>
        <v>23</v>
      </c>
      <c r="E76" s="2">
        <f t="shared" si="2"/>
        <v>29</v>
      </c>
      <c r="G76" s="2" t="str">
        <f t="shared" si="3"/>
        <v>INSERT INTO tblWrittenExamResult VALUES (seqWrittenExamResult.nextval, 71, 23, 29);</v>
      </c>
    </row>
    <row r="77">
      <c r="A77" s="1">
        <v>72.0</v>
      </c>
      <c r="B77" s="1" t="s">
        <v>317</v>
      </c>
      <c r="C77" s="1">
        <v>72.0</v>
      </c>
      <c r="D77" s="2">
        <f t="shared" si="1"/>
        <v>21</v>
      </c>
      <c r="E77" s="2">
        <f t="shared" si="2"/>
        <v>9</v>
      </c>
      <c r="G77" s="2" t="str">
        <f t="shared" si="3"/>
        <v>INSERT INTO tblWrittenExamResult VALUES (seqWrittenExamResult.nextval, 72, 21, 9);</v>
      </c>
    </row>
    <row r="78">
      <c r="A78" s="1">
        <v>73.0</v>
      </c>
      <c r="B78" s="1" t="s">
        <v>317</v>
      </c>
      <c r="C78" s="1">
        <v>73.0</v>
      </c>
      <c r="D78" s="2">
        <f t="shared" si="1"/>
        <v>90</v>
      </c>
      <c r="E78" s="2">
        <f t="shared" si="2"/>
        <v>22</v>
      </c>
      <c r="G78" s="2" t="str">
        <f t="shared" si="3"/>
        <v>INSERT INTO tblWrittenExamResult VALUES (seqWrittenExamResult.nextval, 73, 90, 22);</v>
      </c>
    </row>
    <row r="79">
      <c r="A79" s="1">
        <v>74.0</v>
      </c>
      <c r="B79" s="1" t="s">
        <v>317</v>
      </c>
      <c r="C79" s="1">
        <v>74.0</v>
      </c>
      <c r="D79" s="2">
        <f t="shared" si="1"/>
        <v>28</v>
      </c>
      <c r="E79" s="2">
        <f t="shared" si="2"/>
        <v>11</v>
      </c>
      <c r="G79" s="2" t="str">
        <f t="shared" si="3"/>
        <v>INSERT INTO tblWrittenExamResult VALUES (seqWrittenExamResult.nextval, 74, 28, 11);</v>
      </c>
    </row>
    <row r="80">
      <c r="A80" s="1">
        <v>75.0</v>
      </c>
      <c r="B80" s="1" t="s">
        <v>317</v>
      </c>
      <c r="C80" s="1">
        <v>75.0</v>
      </c>
      <c r="D80" s="2">
        <f t="shared" si="1"/>
        <v>77</v>
      </c>
      <c r="E80" s="2">
        <f t="shared" si="2"/>
        <v>12</v>
      </c>
      <c r="G80" s="2" t="str">
        <f t="shared" si="3"/>
        <v>INSERT INTO tblWrittenExamResult VALUES (seqWrittenExamResult.nextval, 75, 77, 12);</v>
      </c>
    </row>
    <row r="81">
      <c r="A81" s="1">
        <v>76.0</v>
      </c>
      <c r="B81" s="1" t="s">
        <v>317</v>
      </c>
      <c r="C81" s="1">
        <v>76.0</v>
      </c>
      <c r="D81" s="2">
        <f t="shared" si="1"/>
        <v>41</v>
      </c>
      <c r="E81" s="2">
        <f t="shared" si="2"/>
        <v>10</v>
      </c>
      <c r="G81" s="2" t="str">
        <f t="shared" si="3"/>
        <v>INSERT INTO tblWrittenExamResult VALUES (seqWrittenExamResult.nextval, 76, 41, 10);</v>
      </c>
    </row>
    <row r="82">
      <c r="A82" s="1">
        <v>77.0</v>
      </c>
      <c r="B82" s="1" t="s">
        <v>317</v>
      </c>
      <c r="C82" s="1">
        <v>77.0</v>
      </c>
      <c r="D82" s="2">
        <f t="shared" si="1"/>
        <v>42</v>
      </c>
      <c r="E82" s="2">
        <f t="shared" si="2"/>
        <v>27</v>
      </c>
      <c r="G82" s="2" t="str">
        <f t="shared" si="3"/>
        <v>INSERT INTO tblWrittenExamResult VALUES (seqWrittenExamResult.nextval, 77, 42, 27);</v>
      </c>
    </row>
    <row r="83">
      <c r="A83" s="1">
        <v>78.0</v>
      </c>
      <c r="B83" s="1" t="s">
        <v>317</v>
      </c>
      <c r="C83" s="1">
        <v>78.0</v>
      </c>
      <c r="D83" s="2">
        <f t="shared" si="1"/>
        <v>42</v>
      </c>
      <c r="E83" s="2">
        <f t="shared" si="2"/>
        <v>19</v>
      </c>
      <c r="G83" s="2" t="str">
        <f t="shared" si="3"/>
        <v>INSERT INTO tblWrittenExamResult VALUES (seqWrittenExamResult.nextval, 78, 42, 19);</v>
      </c>
    </row>
    <row r="84">
      <c r="A84" s="1">
        <v>79.0</v>
      </c>
      <c r="B84" s="1" t="s">
        <v>317</v>
      </c>
      <c r="C84" s="1">
        <v>79.0</v>
      </c>
      <c r="D84" s="2">
        <f t="shared" si="1"/>
        <v>40</v>
      </c>
      <c r="E84" s="2">
        <f t="shared" si="2"/>
        <v>25</v>
      </c>
      <c r="G84" s="2" t="str">
        <f t="shared" si="3"/>
        <v>INSERT INTO tblWrittenExamResult VALUES (seqWrittenExamResult.nextval, 79, 40, 25);</v>
      </c>
    </row>
    <row r="85">
      <c r="A85" s="1">
        <v>80.0</v>
      </c>
      <c r="B85" s="1" t="s">
        <v>317</v>
      </c>
      <c r="C85" s="1">
        <v>80.0</v>
      </c>
      <c r="D85" s="2">
        <f t="shared" si="1"/>
        <v>39</v>
      </c>
      <c r="E85" s="2">
        <f t="shared" si="2"/>
        <v>29</v>
      </c>
      <c r="G85" s="2" t="str">
        <f t="shared" si="3"/>
        <v>INSERT INTO tblWrittenExamResult VALUES (seqWrittenExamResult.nextval, 80, 39, 29);</v>
      </c>
    </row>
    <row r="86">
      <c r="A86" s="1">
        <v>81.0</v>
      </c>
      <c r="B86" s="1" t="s">
        <v>317</v>
      </c>
      <c r="C86" s="1">
        <v>81.0</v>
      </c>
      <c r="D86" s="2">
        <f t="shared" si="1"/>
        <v>74</v>
      </c>
      <c r="E86" s="2">
        <f t="shared" si="2"/>
        <v>21</v>
      </c>
      <c r="G86" s="2" t="str">
        <f t="shared" si="3"/>
        <v>INSERT INTO tblWrittenExamResult VALUES (seqWrittenExamResult.nextval, 81, 74, 21);</v>
      </c>
    </row>
    <row r="87">
      <c r="A87" s="1">
        <v>82.0</v>
      </c>
      <c r="B87" s="1" t="s">
        <v>317</v>
      </c>
      <c r="C87" s="1">
        <v>82.0</v>
      </c>
      <c r="D87" s="2">
        <f t="shared" si="1"/>
        <v>53</v>
      </c>
      <c r="E87" s="2">
        <f t="shared" si="2"/>
        <v>27</v>
      </c>
      <c r="G87" s="2" t="str">
        <f t="shared" si="3"/>
        <v>INSERT INTO tblWrittenExamResult VALUES (seqWrittenExamResult.nextval, 82, 53, 27);</v>
      </c>
    </row>
    <row r="88">
      <c r="A88" s="1">
        <v>83.0</v>
      </c>
      <c r="B88" s="1" t="s">
        <v>317</v>
      </c>
      <c r="C88" s="1">
        <v>83.0</v>
      </c>
      <c r="D88" s="2">
        <f t="shared" si="1"/>
        <v>58</v>
      </c>
      <c r="E88" s="2">
        <f t="shared" si="2"/>
        <v>5</v>
      </c>
      <c r="G88" s="2" t="str">
        <f t="shared" si="3"/>
        <v>INSERT INTO tblWrittenExamResult VALUES (seqWrittenExamResult.nextval, 83, 58, 5);</v>
      </c>
    </row>
    <row r="89">
      <c r="A89" s="1">
        <v>84.0</v>
      </c>
      <c r="B89" s="1" t="s">
        <v>317</v>
      </c>
      <c r="C89" s="1">
        <v>84.0</v>
      </c>
      <c r="D89" s="2">
        <f t="shared" si="1"/>
        <v>49</v>
      </c>
      <c r="E89" s="2">
        <f t="shared" si="2"/>
        <v>1</v>
      </c>
      <c r="G89" s="2" t="str">
        <f t="shared" si="3"/>
        <v>INSERT INTO tblWrittenExamResult VALUES (seqWrittenExamResult.nextval, 84, 49, 1);</v>
      </c>
    </row>
    <row r="90">
      <c r="A90" s="1">
        <v>85.0</v>
      </c>
      <c r="B90" s="1" t="s">
        <v>317</v>
      </c>
      <c r="C90" s="1">
        <v>85.0</v>
      </c>
      <c r="D90" s="2">
        <f t="shared" si="1"/>
        <v>87</v>
      </c>
      <c r="E90" s="2">
        <f t="shared" si="2"/>
        <v>2</v>
      </c>
      <c r="G90" s="2" t="str">
        <f t="shared" si="3"/>
        <v>INSERT INTO tblWrittenExamResult VALUES (seqWrittenExamResult.nextval, 85, 87, 2);</v>
      </c>
    </row>
    <row r="91">
      <c r="A91" s="1">
        <v>86.0</v>
      </c>
      <c r="B91" s="1" t="s">
        <v>317</v>
      </c>
      <c r="C91" s="1">
        <v>86.0</v>
      </c>
      <c r="D91" s="2">
        <f t="shared" si="1"/>
        <v>76</v>
      </c>
      <c r="E91" s="2">
        <f t="shared" si="2"/>
        <v>1</v>
      </c>
      <c r="G91" s="2" t="str">
        <f t="shared" si="3"/>
        <v>INSERT INTO tblWrittenExamResult VALUES (seqWrittenExamResult.nextval, 86, 76, 1);</v>
      </c>
    </row>
    <row r="92">
      <c r="A92" s="1">
        <v>87.0</v>
      </c>
      <c r="B92" s="1" t="s">
        <v>317</v>
      </c>
      <c r="C92" s="1">
        <v>87.0</v>
      </c>
      <c r="D92" s="2">
        <f t="shared" si="1"/>
        <v>100</v>
      </c>
      <c r="E92" s="2">
        <f t="shared" si="2"/>
        <v>4</v>
      </c>
      <c r="G92" s="2" t="str">
        <f t="shared" si="3"/>
        <v>INSERT INTO tblWrittenExamResult VALUES (seqWrittenExamResult.nextval, 87, 100, 4);</v>
      </c>
    </row>
    <row r="93">
      <c r="A93" s="1">
        <v>88.0</v>
      </c>
      <c r="B93" s="1" t="s">
        <v>317</v>
      </c>
      <c r="C93" s="1">
        <v>88.0</v>
      </c>
      <c r="D93" s="2">
        <f t="shared" si="1"/>
        <v>81</v>
      </c>
      <c r="E93" s="2">
        <f t="shared" si="2"/>
        <v>5</v>
      </c>
      <c r="G93" s="2" t="str">
        <f t="shared" si="3"/>
        <v>INSERT INTO tblWrittenExamResult VALUES (seqWrittenExamResult.nextval, 88, 81, 5);</v>
      </c>
    </row>
    <row r="94">
      <c r="A94" s="1">
        <v>89.0</v>
      </c>
      <c r="B94" s="1" t="s">
        <v>317</v>
      </c>
      <c r="C94" s="1">
        <v>89.0</v>
      </c>
      <c r="D94" s="2">
        <f t="shared" si="1"/>
        <v>76</v>
      </c>
      <c r="E94" s="2">
        <f t="shared" si="2"/>
        <v>3</v>
      </c>
      <c r="G94" s="2" t="str">
        <f t="shared" si="3"/>
        <v>INSERT INTO tblWrittenExamResult VALUES (seqWrittenExamResult.nextval, 89, 76, 3);</v>
      </c>
    </row>
    <row r="95">
      <c r="A95" s="1">
        <v>90.0</v>
      </c>
      <c r="B95" s="1" t="s">
        <v>317</v>
      </c>
      <c r="C95" s="1">
        <v>90.0</v>
      </c>
      <c r="D95" s="2">
        <f t="shared" si="1"/>
        <v>27</v>
      </c>
      <c r="E95" s="2">
        <f t="shared" si="2"/>
        <v>20</v>
      </c>
      <c r="G95" s="2" t="str">
        <f t="shared" si="3"/>
        <v>INSERT INTO tblWrittenExamResult VALUES (seqWrittenExamResult.nextval, 90, 27, 20);</v>
      </c>
    </row>
    <row r="96">
      <c r="A96" s="1">
        <v>91.0</v>
      </c>
      <c r="B96" s="1" t="s">
        <v>317</v>
      </c>
      <c r="C96" s="1">
        <v>91.0</v>
      </c>
      <c r="D96" s="2">
        <f t="shared" si="1"/>
        <v>26</v>
      </c>
      <c r="E96" s="2">
        <f t="shared" si="2"/>
        <v>30</v>
      </c>
      <c r="G96" s="2" t="str">
        <f t="shared" si="3"/>
        <v>INSERT INTO tblWrittenExamResult VALUES (seqWrittenExamResult.nextval, 91, 26, 30);</v>
      </c>
    </row>
    <row r="97">
      <c r="A97" s="1">
        <v>92.0</v>
      </c>
      <c r="B97" s="1" t="s">
        <v>317</v>
      </c>
      <c r="C97" s="1">
        <v>92.0</v>
      </c>
      <c r="D97" s="2">
        <f t="shared" si="1"/>
        <v>23</v>
      </c>
      <c r="E97" s="2">
        <f t="shared" si="2"/>
        <v>26</v>
      </c>
      <c r="G97" s="2" t="str">
        <f t="shared" si="3"/>
        <v>INSERT INTO tblWrittenExamResult VALUES (seqWrittenExamResult.nextval, 92, 23, 26);</v>
      </c>
    </row>
    <row r="98">
      <c r="A98" s="1">
        <v>93.0</v>
      </c>
      <c r="B98" s="1" t="s">
        <v>317</v>
      </c>
      <c r="C98" s="1">
        <v>93.0</v>
      </c>
      <c r="D98" s="2">
        <f t="shared" si="1"/>
        <v>22</v>
      </c>
      <c r="E98" s="2">
        <f t="shared" si="2"/>
        <v>21</v>
      </c>
      <c r="G98" s="2" t="str">
        <f t="shared" si="3"/>
        <v>INSERT INTO tblWrittenExamResult VALUES (seqWrittenExamResult.nextval, 93, 22, 21);</v>
      </c>
    </row>
    <row r="99">
      <c r="A99" s="1">
        <v>94.0</v>
      </c>
      <c r="B99" s="1" t="s">
        <v>317</v>
      </c>
      <c r="C99" s="1">
        <v>94.0</v>
      </c>
      <c r="D99" s="2">
        <f t="shared" si="1"/>
        <v>38</v>
      </c>
      <c r="E99" s="2">
        <f t="shared" si="2"/>
        <v>29</v>
      </c>
      <c r="G99" s="2" t="str">
        <f t="shared" si="3"/>
        <v>INSERT INTO tblWrittenExamResult VALUES (seqWrittenExamResult.nextval, 94, 38, 29);</v>
      </c>
    </row>
    <row r="100">
      <c r="A100" s="1">
        <v>95.0</v>
      </c>
      <c r="B100" s="1" t="s">
        <v>317</v>
      </c>
      <c r="C100" s="1">
        <v>95.0</v>
      </c>
      <c r="D100" s="2">
        <f t="shared" si="1"/>
        <v>57</v>
      </c>
      <c r="E100" s="2">
        <f t="shared" si="2"/>
        <v>29</v>
      </c>
      <c r="G100" s="2" t="str">
        <f t="shared" si="3"/>
        <v>INSERT INTO tblWrittenExamResult VALUES (seqWrittenExamResult.nextval, 95, 57, 29);</v>
      </c>
    </row>
    <row r="101">
      <c r="A101" s="1">
        <v>96.0</v>
      </c>
      <c r="B101" s="1" t="s">
        <v>317</v>
      </c>
      <c r="C101" s="1">
        <v>96.0</v>
      </c>
      <c r="D101" s="2">
        <f t="shared" si="1"/>
        <v>68</v>
      </c>
      <c r="E101" s="2">
        <f t="shared" si="2"/>
        <v>24</v>
      </c>
      <c r="G101" s="2" t="str">
        <f t="shared" si="3"/>
        <v>INSERT INTO tblWrittenExamResult VALUES (seqWrittenExamResult.nextval, 96, 68, 24);</v>
      </c>
    </row>
    <row r="102">
      <c r="A102" s="1">
        <v>97.0</v>
      </c>
      <c r="B102" s="1" t="s">
        <v>317</v>
      </c>
      <c r="C102" s="1">
        <v>97.0</v>
      </c>
      <c r="D102" s="2">
        <f t="shared" si="1"/>
        <v>51</v>
      </c>
      <c r="E102" s="2">
        <f t="shared" si="2"/>
        <v>2</v>
      </c>
      <c r="G102" s="2" t="str">
        <f t="shared" si="3"/>
        <v>INSERT INTO tblWrittenExamResult VALUES (seqWrittenExamResult.nextval, 97, 51, 2);</v>
      </c>
    </row>
    <row r="103">
      <c r="A103" s="1">
        <v>98.0</v>
      </c>
      <c r="B103" s="1" t="s">
        <v>317</v>
      </c>
      <c r="C103" s="1">
        <v>98.0</v>
      </c>
      <c r="D103" s="2">
        <f t="shared" si="1"/>
        <v>85</v>
      </c>
      <c r="E103" s="2">
        <f t="shared" si="2"/>
        <v>20</v>
      </c>
      <c r="G103" s="2" t="str">
        <f t="shared" si="3"/>
        <v>INSERT INTO tblWrittenExamResult VALUES (seqWrittenExamResult.nextval, 98, 85, 20);</v>
      </c>
    </row>
    <row r="104">
      <c r="A104" s="1">
        <v>99.0</v>
      </c>
      <c r="B104" s="1" t="s">
        <v>317</v>
      </c>
      <c r="C104" s="1">
        <v>99.0</v>
      </c>
      <c r="D104" s="2">
        <f t="shared" si="1"/>
        <v>40</v>
      </c>
      <c r="E104" s="2">
        <f t="shared" si="2"/>
        <v>1</v>
      </c>
      <c r="G104" s="2" t="str">
        <f t="shared" si="3"/>
        <v>INSERT INTO tblWrittenExamResult VALUES (seqWrittenExamResult.nextval, 99, 40, 1);</v>
      </c>
    </row>
    <row r="105">
      <c r="A105" s="1">
        <v>100.0</v>
      </c>
      <c r="B105" s="1" t="s">
        <v>317</v>
      </c>
      <c r="C105" s="1">
        <v>100.0</v>
      </c>
      <c r="D105" s="2">
        <f t="shared" si="1"/>
        <v>23</v>
      </c>
      <c r="E105" s="2">
        <f t="shared" si="2"/>
        <v>6</v>
      </c>
      <c r="G105" s="2" t="str">
        <f t="shared" si="3"/>
        <v>INSERT INTO tblWrittenExamResult VALUES (seqWrittenExamResult.nextval, 100, 23, 6);</v>
      </c>
    </row>
    <row r="106">
      <c r="A106" s="1">
        <v>101.0</v>
      </c>
      <c r="B106" s="1" t="s">
        <v>317</v>
      </c>
      <c r="C106" s="1">
        <v>101.0</v>
      </c>
      <c r="D106" s="2">
        <f t="shared" si="1"/>
        <v>83</v>
      </c>
      <c r="E106" s="2">
        <f t="shared" si="2"/>
        <v>24</v>
      </c>
      <c r="G106" s="2" t="str">
        <f t="shared" si="3"/>
        <v>INSERT INTO tblWrittenExamResult VALUES (seqWrittenExamResult.nextval, 101, 83, 24);</v>
      </c>
    </row>
    <row r="107">
      <c r="A107" s="1">
        <v>102.0</v>
      </c>
      <c r="B107" s="1" t="s">
        <v>317</v>
      </c>
      <c r="C107" s="1">
        <v>102.0</v>
      </c>
      <c r="D107" s="2">
        <f t="shared" si="1"/>
        <v>78</v>
      </c>
      <c r="E107" s="2">
        <f t="shared" si="2"/>
        <v>7</v>
      </c>
      <c r="G107" s="2" t="str">
        <f t="shared" si="3"/>
        <v>INSERT INTO tblWrittenExamResult VALUES (seqWrittenExamResult.nextval, 102, 78, 7);</v>
      </c>
    </row>
    <row r="108">
      <c r="A108" s="1">
        <v>103.0</v>
      </c>
      <c r="B108" s="1" t="s">
        <v>317</v>
      </c>
      <c r="C108" s="1">
        <v>103.0</v>
      </c>
      <c r="D108" s="2">
        <f t="shared" si="1"/>
        <v>29</v>
      </c>
      <c r="E108" s="2">
        <f t="shared" si="2"/>
        <v>6</v>
      </c>
      <c r="G108" s="2" t="str">
        <f t="shared" si="3"/>
        <v>INSERT INTO tblWrittenExamResult VALUES (seqWrittenExamResult.nextval, 103, 29, 6);</v>
      </c>
    </row>
    <row r="109">
      <c r="A109" s="1">
        <v>104.0</v>
      </c>
      <c r="B109" s="1" t="s">
        <v>317</v>
      </c>
      <c r="C109" s="1">
        <v>104.0</v>
      </c>
      <c r="D109" s="2">
        <f t="shared" si="1"/>
        <v>73</v>
      </c>
      <c r="E109" s="2">
        <f t="shared" si="2"/>
        <v>10</v>
      </c>
      <c r="G109" s="2" t="str">
        <f t="shared" si="3"/>
        <v>INSERT INTO tblWrittenExamResult VALUES (seqWrittenExamResult.nextval, 104, 73, 10);</v>
      </c>
    </row>
    <row r="110">
      <c r="A110" s="1">
        <v>105.0</v>
      </c>
      <c r="B110" s="1" t="s">
        <v>317</v>
      </c>
      <c r="C110" s="1">
        <v>105.0</v>
      </c>
      <c r="D110" s="2">
        <f t="shared" si="1"/>
        <v>27</v>
      </c>
      <c r="E110" s="2">
        <f t="shared" si="2"/>
        <v>20</v>
      </c>
      <c r="G110" s="2" t="str">
        <f t="shared" si="3"/>
        <v>INSERT INTO tblWrittenExamResult VALUES (seqWrittenExamResult.nextval, 105, 27, 20);</v>
      </c>
    </row>
    <row r="111">
      <c r="A111" s="1">
        <v>106.0</v>
      </c>
      <c r="B111" s="1" t="s">
        <v>317</v>
      </c>
      <c r="C111" s="1">
        <v>106.0</v>
      </c>
      <c r="D111" s="2">
        <f t="shared" si="1"/>
        <v>24</v>
      </c>
      <c r="E111" s="2">
        <f t="shared" si="2"/>
        <v>32</v>
      </c>
      <c r="G111" s="2" t="str">
        <f t="shared" si="3"/>
        <v>INSERT INTO tblWrittenExamResult VALUES (seqWrittenExamResult.nextval, 106, 24, 32);</v>
      </c>
    </row>
    <row r="112">
      <c r="A112" s="1">
        <v>107.0</v>
      </c>
      <c r="B112" s="1" t="s">
        <v>317</v>
      </c>
      <c r="C112" s="1">
        <v>107.0</v>
      </c>
      <c r="D112" s="2">
        <f t="shared" si="1"/>
        <v>29</v>
      </c>
      <c r="E112" s="2">
        <f t="shared" si="2"/>
        <v>22</v>
      </c>
      <c r="G112" s="2" t="str">
        <f t="shared" si="3"/>
        <v>INSERT INTO tblWrittenExamResult VALUES (seqWrittenExamResult.nextval, 107, 29, 22);</v>
      </c>
    </row>
    <row r="113">
      <c r="A113" s="1">
        <v>108.0</v>
      </c>
      <c r="B113" s="1" t="s">
        <v>317</v>
      </c>
      <c r="C113" s="1">
        <v>108.0</v>
      </c>
      <c r="D113" s="2">
        <f t="shared" si="1"/>
        <v>61</v>
      </c>
      <c r="E113" s="2">
        <f t="shared" si="2"/>
        <v>7</v>
      </c>
      <c r="G113" s="2" t="str">
        <f t="shared" si="3"/>
        <v>INSERT INTO tblWrittenExamResult VALUES (seqWrittenExamResult.nextval, 108, 61, 7);</v>
      </c>
    </row>
    <row r="114">
      <c r="A114" s="1">
        <v>109.0</v>
      </c>
      <c r="B114" s="1" t="s">
        <v>317</v>
      </c>
      <c r="C114" s="1">
        <v>109.0</v>
      </c>
      <c r="D114" s="2">
        <f t="shared" si="1"/>
        <v>96</v>
      </c>
      <c r="E114" s="2">
        <f t="shared" si="2"/>
        <v>17</v>
      </c>
      <c r="G114" s="2" t="str">
        <f t="shared" si="3"/>
        <v>INSERT INTO tblWrittenExamResult VALUES (seqWrittenExamResult.nextval, 109, 96, 17);</v>
      </c>
    </row>
    <row r="115">
      <c r="A115" s="1">
        <v>110.0</v>
      </c>
      <c r="B115" s="1" t="s">
        <v>317</v>
      </c>
      <c r="C115" s="1">
        <v>110.0</v>
      </c>
      <c r="D115" s="2">
        <f t="shared" si="1"/>
        <v>35</v>
      </c>
      <c r="E115" s="2">
        <f t="shared" si="2"/>
        <v>29</v>
      </c>
      <c r="G115" s="2" t="str">
        <f t="shared" si="3"/>
        <v>INSERT INTO tblWrittenExamResult VALUES (seqWrittenExamResult.nextval, 110, 35, 29);</v>
      </c>
    </row>
    <row r="116">
      <c r="A116" s="1">
        <v>111.0</v>
      </c>
      <c r="B116" s="1" t="s">
        <v>317</v>
      </c>
      <c r="C116" s="1">
        <v>111.0</v>
      </c>
      <c r="D116" s="2">
        <f t="shared" si="1"/>
        <v>69</v>
      </c>
      <c r="E116" s="2">
        <f t="shared" si="2"/>
        <v>5</v>
      </c>
      <c r="G116" s="2" t="str">
        <f t="shared" si="3"/>
        <v>INSERT INTO tblWrittenExamResult VALUES (seqWrittenExamResult.nextval, 111, 69, 5);</v>
      </c>
    </row>
    <row r="117">
      <c r="A117" s="1">
        <v>112.0</v>
      </c>
      <c r="B117" s="1" t="s">
        <v>317</v>
      </c>
      <c r="C117" s="1">
        <v>112.0</v>
      </c>
      <c r="D117" s="2">
        <f t="shared" si="1"/>
        <v>24</v>
      </c>
      <c r="E117" s="2">
        <f t="shared" si="2"/>
        <v>28</v>
      </c>
      <c r="G117" s="2" t="str">
        <f t="shared" si="3"/>
        <v>INSERT INTO tblWrittenExamResult VALUES (seqWrittenExamResult.nextval, 112, 24, 28);</v>
      </c>
    </row>
    <row r="118">
      <c r="A118" s="1">
        <v>113.0</v>
      </c>
      <c r="B118" s="1" t="s">
        <v>317</v>
      </c>
      <c r="C118" s="1">
        <v>113.0</v>
      </c>
      <c r="D118" s="2">
        <f t="shared" si="1"/>
        <v>88</v>
      </c>
      <c r="E118" s="2">
        <f t="shared" si="2"/>
        <v>20</v>
      </c>
      <c r="G118" s="2" t="str">
        <f t="shared" si="3"/>
        <v>INSERT INTO tblWrittenExamResult VALUES (seqWrittenExamResult.nextval, 113, 88, 20);</v>
      </c>
    </row>
    <row r="119">
      <c r="A119" s="1">
        <v>114.0</v>
      </c>
      <c r="B119" s="1" t="s">
        <v>317</v>
      </c>
      <c r="C119" s="1">
        <v>114.0</v>
      </c>
      <c r="D119" s="2">
        <f t="shared" si="1"/>
        <v>31</v>
      </c>
      <c r="E119" s="2">
        <f t="shared" si="2"/>
        <v>26</v>
      </c>
      <c r="G119" s="2" t="str">
        <f t="shared" si="3"/>
        <v>INSERT INTO tblWrittenExamResult VALUES (seqWrittenExamResult.nextval, 114, 31, 26);</v>
      </c>
    </row>
    <row r="120">
      <c r="A120" s="1">
        <v>115.0</v>
      </c>
      <c r="B120" s="1" t="s">
        <v>317</v>
      </c>
      <c r="C120" s="1">
        <v>115.0</v>
      </c>
      <c r="D120" s="2">
        <f t="shared" si="1"/>
        <v>61</v>
      </c>
      <c r="E120" s="2">
        <f t="shared" si="2"/>
        <v>33</v>
      </c>
      <c r="G120" s="2" t="str">
        <f t="shared" si="3"/>
        <v>INSERT INTO tblWrittenExamResult VALUES (seqWrittenExamResult.nextval, 115, 61, 33);</v>
      </c>
    </row>
    <row r="121">
      <c r="A121" s="1">
        <v>116.0</v>
      </c>
      <c r="B121" s="1" t="s">
        <v>317</v>
      </c>
      <c r="C121" s="1">
        <v>116.0</v>
      </c>
      <c r="D121" s="2">
        <f t="shared" si="1"/>
        <v>71</v>
      </c>
      <c r="E121" s="2">
        <f t="shared" si="2"/>
        <v>32</v>
      </c>
      <c r="G121" s="2" t="str">
        <f t="shared" si="3"/>
        <v>INSERT INTO tblWrittenExamResult VALUES (seqWrittenExamResult.nextval, 116, 71, 32);</v>
      </c>
    </row>
    <row r="122">
      <c r="A122" s="1">
        <v>117.0</v>
      </c>
      <c r="B122" s="1" t="s">
        <v>317</v>
      </c>
      <c r="C122" s="1">
        <v>117.0</v>
      </c>
      <c r="D122" s="2">
        <f t="shared" si="1"/>
        <v>56</v>
      </c>
      <c r="E122" s="2">
        <f t="shared" si="2"/>
        <v>3</v>
      </c>
      <c r="G122" s="2" t="str">
        <f t="shared" si="3"/>
        <v>INSERT INTO tblWrittenExamResult VALUES (seqWrittenExamResult.nextval, 117, 56, 3);</v>
      </c>
    </row>
    <row r="123">
      <c r="A123" s="1">
        <v>118.0</v>
      </c>
      <c r="B123" s="1" t="s">
        <v>317</v>
      </c>
      <c r="C123" s="1">
        <v>118.0</v>
      </c>
      <c r="D123" s="2">
        <f t="shared" si="1"/>
        <v>39</v>
      </c>
      <c r="E123" s="2">
        <f t="shared" si="2"/>
        <v>31</v>
      </c>
      <c r="G123" s="2" t="str">
        <f t="shared" si="3"/>
        <v>INSERT INTO tblWrittenExamResult VALUES (seqWrittenExamResult.nextval, 118, 39, 31);</v>
      </c>
    </row>
    <row r="124">
      <c r="A124" s="1">
        <v>119.0</v>
      </c>
      <c r="B124" s="1" t="s">
        <v>317</v>
      </c>
      <c r="C124" s="1">
        <v>119.0</v>
      </c>
      <c r="D124" s="2">
        <f t="shared" si="1"/>
        <v>53</v>
      </c>
      <c r="E124" s="2">
        <f t="shared" si="2"/>
        <v>26</v>
      </c>
      <c r="G124" s="2" t="str">
        <f t="shared" si="3"/>
        <v>INSERT INTO tblWrittenExamResult VALUES (seqWrittenExamResult.nextval, 119, 53, 26);</v>
      </c>
    </row>
    <row r="125">
      <c r="A125" s="1">
        <v>120.0</v>
      </c>
      <c r="B125" s="1" t="s">
        <v>317</v>
      </c>
      <c r="C125" s="1">
        <v>120.0</v>
      </c>
      <c r="D125" s="2">
        <f t="shared" si="1"/>
        <v>93</v>
      </c>
      <c r="E125" s="2">
        <f t="shared" si="2"/>
        <v>18</v>
      </c>
      <c r="G125" s="2" t="str">
        <f t="shared" si="3"/>
        <v>INSERT INTO tblWrittenExamResult VALUES (seqWrittenExamResult.nextval, 120, 93, 18);</v>
      </c>
    </row>
    <row r="126">
      <c r="A126" s="1">
        <v>121.0</v>
      </c>
      <c r="B126" s="1" t="s">
        <v>317</v>
      </c>
      <c r="C126" s="1">
        <v>121.0</v>
      </c>
      <c r="D126" s="2">
        <f t="shared" si="1"/>
        <v>88</v>
      </c>
      <c r="E126" s="2">
        <f t="shared" si="2"/>
        <v>33</v>
      </c>
      <c r="G126" s="2" t="str">
        <f t="shared" si="3"/>
        <v>INSERT INTO tblWrittenExamResult VALUES (seqWrittenExamResult.nextval, 121, 88, 33);</v>
      </c>
    </row>
    <row r="127">
      <c r="A127" s="1">
        <v>122.0</v>
      </c>
      <c r="B127" s="1" t="s">
        <v>317</v>
      </c>
      <c r="C127" s="1">
        <v>122.0</v>
      </c>
      <c r="D127" s="2">
        <f t="shared" si="1"/>
        <v>80</v>
      </c>
      <c r="E127" s="2">
        <f t="shared" si="2"/>
        <v>14</v>
      </c>
      <c r="G127" s="2" t="str">
        <f t="shared" si="3"/>
        <v>INSERT INTO tblWrittenExamResult VALUES (seqWrittenExamResult.nextval, 122, 80, 14);</v>
      </c>
    </row>
    <row r="128">
      <c r="A128" s="1">
        <v>123.0</v>
      </c>
      <c r="B128" s="1" t="s">
        <v>317</v>
      </c>
      <c r="C128" s="1">
        <v>123.0</v>
      </c>
      <c r="D128" s="2">
        <f t="shared" si="1"/>
        <v>20</v>
      </c>
      <c r="E128" s="2">
        <f t="shared" si="2"/>
        <v>7</v>
      </c>
      <c r="G128" s="2" t="str">
        <f t="shared" si="3"/>
        <v>INSERT INTO tblWrittenExamResult VALUES (seqWrittenExamResult.nextval, 123, 20, 7);</v>
      </c>
    </row>
    <row r="129">
      <c r="A129" s="1">
        <v>124.0</v>
      </c>
      <c r="B129" s="1" t="s">
        <v>317</v>
      </c>
      <c r="C129" s="1">
        <v>124.0</v>
      </c>
      <c r="D129" s="2">
        <f t="shared" si="1"/>
        <v>98</v>
      </c>
      <c r="E129" s="2">
        <f t="shared" si="2"/>
        <v>7</v>
      </c>
      <c r="G129" s="2" t="str">
        <f t="shared" si="3"/>
        <v>INSERT INTO tblWrittenExamResult VALUES (seqWrittenExamResult.nextval, 124, 98, 7);</v>
      </c>
    </row>
    <row r="130">
      <c r="A130" s="1">
        <v>125.0</v>
      </c>
      <c r="B130" s="1" t="s">
        <v>317</v>
      </c>
      <c r="C130" s="1">
        <v>125.0</v>
      </c>
      <c r="D130" s="2">
        <f t="shared" si="1"/>
        <v>96</v>
      </c>
      <c r="E130" s="2">
        <f t="shared" si="2"/>
        <v>21</v>
      </c>
      <c r="G130" s="2" t="str">
        <f t="shared" si="3"/>
        <v>INSERT INTO tblWrittenExamResult VALUES (seqWrittenExamResult.nextval, 125, 96, 21);</v>
      </c>
    </row>
    <row r="131">
      <c r="A131" s="1">
        <v>126.0</v>
      </c>
      <c r="B131" s="1" t="s">
        <v>317</v>
      </c>
      <c r="C131" s="1">
        <v>126.0</v>
      </c>
      <c r="D131" s="2">
        <f t="shared" si="1"/>
        <v>33</v>
      </c>
      <c r="E131" s="2">
        <f t="shared" si="2"/>
        <v>13</v>
      </c>
      <c r="G131" s="2" t="str">
        <f t="shared" si="3"/>
        <v>INSERT INTO tblWrittenExamResult VALUES (seqWrittenExamResult.nextval, 126, 33, 13);</v>
      </c>
    </row>
    <row r="132">
      <c r="A132" s="1">
        <v>127.0</v>
      </c>
      <c r="B132" s="1" t="s">
        <v>317</v>
      </c>
      <c r="C132" s="1">
        <v>127.0</v>
      </c>
      <c r="D132" s="2">
        <f t="shared" si="1"/>
        <v>22</v>
      </c>
      <c r="E132" s="2">
        <f t="shared" si="2"/>
        <v>12</v>
      </c>
      <c r="G132" s="2" t="str">
        <f t="shared" si="3"/>
        <v>INSERT INTO tblWrittenExamResult VALUES (seqWrittenExamResult.nextval, 127, 22, 12);</v>
      </c>
    </row>
    <row r="133">
      <c r="A133" s="1">
        <v>128.0</v>
      </c>
      <c r="B133" s="1" t="s">
        <v>317</v>
      </c>
      <c r="C133" s="1">
        <v>128.0</v>
      </c>
      <c r="D133" s="2">
        <f t="shared" si="1"/>
        <v>49</v>
      </c>
      <c r="E133" s="2">
        <f t="shared" si="2"/>
        <v>4</v>
      </c>
      <c r="G133" s="2" t="str">
        <f t="shared" si="3"/>
        <v>INSERT INTO tblWrittenExamResult VALUES (seqWrittenExamResult.nextval, 128, 49, 4);</v>
      </c>
    </row>
    <row r="134">
      <c r="A134" s="1">
        <v>129.0</v>
      </c>
      <c r="B134" s="1" t="s">
        <v>317</v>
      </c>
      <c r="C134" s="1">
        <v>129.0</v>
      </c>
      <c r="D134" s="2">
        <f t="shared" si="1"/>
        <v>80</v>
      </c>
      <c r="E134" s="2">
        <f t="shared" si="2"/>
        <v>19</v>
      </c>
      <c r="G134" s="2" t="str">
        <f t="shared" si="3"/>
        <v>INSERT INTO tblWrittenExamResult VALUES (seqWrittenExamResult.nextval, 129, 80, 19);</v>
      </c>
    </row>
    <row r="135">
      <c r="A135" s="1">
        <v>130.0</v>
      </c>
      <c r="B135" s="1" t="s">
        <v>317</v>
      </c>
      <c r="C135" s="1">
        <v>130.0</v>
      </c>
      <c r="D135" s="2">
        <f t="shared" si="1"/>
        <v>21</v>
      </c>
      <c r="E135" s="2">
        <f t="shared" si="2"/>
        <v>22</v>
      </c>
      <c r="G135" s="2" t="str">
        <f t="shared" si="3"/>
        <v>INSERT INTO tblWrittenExamResult VALUES (seqWrittenExamResult.nextval, 130, 21, 22);</v>
      </c>
    </row>
    <row r="136">
      <c r="A136" s="1">
        <v>131.0</v>
      </c>
      <c r="B136" s="1" t="s">
        <v>317</v>
      </c>
      <c r="C136" s="1">
        <v>131.0</v>
      </c>
      <c r="D136" s="2">
        <f t="shared" si="1"/>
        <v>48</v>
      </c>
      <c r="E136" s="2">
        <f t="shared" si="2"/>
        <v>20</v>
      </c>
      <c r="G136" s="2" t="str">
        <f t="shared" si="3"/>
        <v>INSERT INTO tblWrittenExamResult VALUES (seqWrittenExamResult.nextval, 131, 48, 20);</v>
      </c>
    </row>
    <row r="137">
      <c r="A137" s="1">
        <v>132.0</v>
      </c>
      <c r="B137" s="1" t="s">
        <v>317</v>
      </c>
      <c r="C137" s="1">
        <v>132.0</v>
      </c>
      <c r="D137" s="2">
        <f t="shared" si="1"/>
        <v>99</v>
      </c>
      <c r="E137" s="2">
        <f t="shared" si="2"/>
        <v>12</v>
      </c>
      <c r="G137" s="2" t="str">
        <f t="shared" si="3"/>
        <v>INSERT INTO tblWrittenExamResult VALUES (seqWrittenExamResult.nextval, 132, 99, 12);</v>
      </c>
    </row>
    <row r="138">
      <c r="A138" s="1">
        <v>133.0</v>
      </c>
      <c r="B138" s="1" t="s">
        <v>317</v>
      </c>
      <c r="C138" s="1">
        <v>133.0</v>
      </c>
      <c r="D138" s="2">
        <f t="shared" si="1"/>
        <v>61</v>
      </c>
      <c r="E138" s="2">
        <f t="shared" si="2"/>
        <v>23</v>
      </c>
      <c r="G138" s="2" t="str">
        <f t="shared" si="3"/>
        <v>INSERT INTO tblWrittenExamResult VALUES (seqWrittenExamResult.nextval, 133, 61, 23);</v>
      </c>
    </row>
    <row r="139">
      <c r="A139" s="1">
        <v>134.0</v>
      </c>
      <c r="B139" s="1" t="s">
        <v>317</v>
      </c>
      <c r="C139" s="1">
        <v>134.0</v>
      </c>
      <c r="D139" s="2">
        <f t="shared" si="1"/>
        <v>31</v>
      </c>
      <c r="E139" s="2">
        <f t="shared" si="2"/>
        <v>26</v>
      </c>
      <c r="G139" s="2" t="str">
        <f t="shared" si="3"/>
        <v>INSERT INTO tblWrittenExamResult VALUES (seqWrittenExamResult.nextval, 134, 31, 26);</v>
      </c>
    </row>
    <row r="140">
      <c r="A140" s="1">
        <v>135.0</v>
      </c>
      <c r="B140" s="1" t="s">
        <v>317</v>
      </c>
      <c r="C140" s="1">
        <v>135.0</v>
      </c>
      <c r="D140" s="2">
        <f t="shared" si="1"/>
        <v>45</v>
      </c>
      <c r="E140" s="2">
        <f t="shared" si="2"/>
        <v>33</v>
      </c>
      <c r="G140" s="2" t="str">
        <f t="shared" si="3"/>
        <v>INSERT INTO tblWrittenExamResult VALUES (seqWrittenExamResult.nextval, 135, 45, 33);</v>
      </c>
    </row>
    <row r="141">
      <c r="A141" s="1">
        <v>136.0</v>
      </c>
      <c r="B141" s="1" t="s">
        <v>317</v>
      </c>
      <c r="C141" s="1">
        <v>136.0</v>
      </c>
      <c r="D141" s="2">
        <f t="shared" si="1"/>
        <v>36</v>
      </c>
      <c r="E141" s="2">
        <f t="shared" si="2"/>
        <v>26</v>
      </c>
      <c r="G141" s="2" t="str">
        <f t="shared" si="3"/>
        <v>INSERT INTO tblWrittenExamResult VALUES (seqWrittenExamResult.nextval, 136, 36, 26);</v>
      </c>
    </row>
    <row r="142">
      <c r="A142" s="1">
        <v>137.0</v>
      </c>
      <c r="B142" s="1" t="s">
        <v>317</v>
      </c>
      <c r="C142" s="1">
        <v>137.0</v>
      </c>
      <c r="D142" s="2">
        <f t="shared" si="1"/>
        <v>63</v>
      </c>
      <c r="E142" s="2">
        <f t="shared" si="2"/>
        <v>26</v>
      </c>
      <c r="G142" s="2" t="str">
        <f t="shared" si="3"/>
        <v>INSERT INTO tblWrittenExamResult VALUES (seqWrittenExamResult.nextval, 137, 63, 26);</v>
      </c>
    </row>
    <row r="143">
      <c r="A143" s="1">
        <v>138.0</v>
      </c>
      <c r="B143" s="1" t="s">
        <v>317</v>
      </c>
      <c r="C143" s="1">
        <v>138.0</v>
      </c>
      <c r="D143" s="2">
        <f t="shared" si="1"/>
        <v>81</v>
      </c>
      <c r="E143" s="2">
        <f t="shared" si="2"/>
        <v>25</v>
      </c>
      <c r="G143" s="2" t="str">
        <f t="shared" si="3"/>
        <v>INSERT INTO tblWrittenExamResult VALUES (seqWrittenExamResult.nextval, 138, 81, 25);</v>
      </c>
    </row>
    <row r="144">
      <c r="A144" s="1">
        <v>139.0</v>
      </c>
      <c r="B144" s="1" t="s">
        <v>317</v>
      </c>
      <c r="C144" s="1">
        <v>139.0</v>
      </c>
      <c r="D144" s="2">
        <f t="shared" si="1"/>
        <v>80</v>
      </c>
      <c r="E144" s="2">
        <f t="shared" si="2"/>
        <v>32</v>
      </c>
      <c r="G144" s="2" t="str">
        <f t="shared" si="3"/>
        <v>INSERT INTO tblWrittenExamResult VALUES (seqWrittenExamResult.nextval, 139, 80, 32);</v>
      </c>
    </row>
    <row r="145">
      <c r="A145" s="1">
        <v>140.0</v>
      </c>
      <c r="B145" s="1" t="s">
        <v>317</v>
      </c>
      <c r="C145" s="1">
        <v>140.0</v>
      </c>
      <c r="D145" s="2">
        <f t="shared" si="1"/>
        <v>68</v>
      </c>
      <c r="E145" s="2">
        <f t="shared" si="2"/>
        <v>9</v>
      </c>
      <c r="G145" s="2" t="str">
        <f t="shared" si="3"/>
        <v>INSERT INTO tblWrittenExamResult VALUES (seqWrittenExamResult.nextval, 140, 68, 9);</v>
      </c>
    </row>
    <row r="146">
      <c r="A146" s="1">
        <v>141.0</v>
      </c>
      <c r="B146" s="1" t="s">
        <v>317</v>
      </c>
      <c r="C146" s="1">
        <v>141.0</v>
      </c>
      <c r="D146" s="2">
        <f t="shared" si="1"/>
        <v>76</v>
      </c>
      <c r="E146" s="2">
        <f t="shared" si="2"/>
        <v>31</v>
      </c>
      <c r="G146" s="2" t="str">
        <f t="shared" si="3"/>
        <v>INSERT INTO tblWrittenExamResult VALUES (seqWrittenExamResult.nextval, 141, 76, 31);</v>
      </c>
    </row>
    <row r="147">
      <c r="A147" s="1">
        <v>142.0</v>
      </c>
      <c r="B147" s="1" t="s">
        <v>317</v>
      </c>
      <c r="C147" s="1">
        <v>142.0</v>
      </c>
      <c r="D147" s="2">
        <f t="shared" si="1"/>
        <v>65</v>
      </c>
      <c r="E147" s="2">
        <f t="shared" si="2"/>
        <v>3</v>
      </c>
      <c r="G147" s="2" t="str">
        <f t="shared" si="3"/>
        <v>INSERT INTO tblWrittenExamResult VALUES (seqWrittenExamResult.nextval, 142, 65, 3);</v>
      </c>
    </row>
    <row r="148">
      <c r="A148" s="1">
        <v>143.0</v>
      </c>
      <c r="B148" s="1" t="s">
        <v>317</v>
      </c>
      <c r="C148" s="1">
        <v>143.0</v>
      </c>
      <c r="D148" s="2">
        <f t="shared" si="1"/>
        <v>88</v>
      </c>
      <c r="E148" s="2">
        <f t="shared" si="2"/>
        <v>1</v>
      </c>
      <c r="G148" s="2" t="str">
        <f t="shared" si="3"/>
        <v>INSERT INTO tblWrittenExamResult VALUES (seqWrittenExamResult.nextval, 143, 88, 1);</v>
      </c>
    </row>
    <row r="149">
      <c r="A149" s="1">
        <v>144.0</v>
      </c>
      <c r="B149" s="1" t="s">
        <v>317</v>
      </c>
      <c r="C149" s="1">
        <v>144.0</v>
      </c>
      <c r="D149" s="2">
        <f t="shared" si="1"/>
        <v>31</v>
      </c>
      <c r="E149" s="2">
        <f t="shared" si="2"/>
        <v>22</v>
      </c>
      <c r="G149" s="2" t="str">
        <f t="shared" si="3"/>
        <v>INSERT INTO tblWrittenExamResult VALUES (seqWrittenExamResult.nextval, 144, 31, 22);</v>
      </c>
    </row>
    <row r="150">
      <c r="A150" s="1">
        <v>145.0</v>
      </c>
      <c r="B150" s="1" t="s">
        <v>317</v>
      </c>
      <c r="C150" s="1">
        <v>145.0</v>
      </c>
      <c r="D150" s="2">
        <f t="shared" si="1"/>
        <v>91</v>
      </c>
      <c r="E150" s="2">
        <f t="shared" si="2"/>
        <v>5</v>
      </c>
      <c r="G150" s="2" t="str">
        <f t="shared" si="3"/>
        <v>INSERT INTO tblWrittenExamResult VALUES (seqWrittenExamResult.nextval, 145, 91, 5);</v>
      </c>
    </row>
    <row r="151">
      <c r="A151" s="1">
        <v>146.0</v>
      </c>
      <c r="B151" s="1" t="s">
        <v>317</v>
      </c>
      <c r="C151" s="1">
        <v>146.0</v>
      </c>
      <c r="D151" s="2">
        <f t="shared" si="1"/>
        <v>88</v>
      </c>
      <c r="E151" s="2">
        <f t="shared" si="2"/>
        <v>16</v>
      </c>
      <c r="G151" s="2" t="str">
        <f t="shared" si="3"/>
        <v>INSERT INTO tblWrittenExamResult VALUES (seqWrittenExamResult.nextval, 146, 88, 16);</v>
      </c>
    </row>
    <row r="152">
      <c r="A152" s="1">
        <v>147.0</v>
      </c>
      <c r="B152" s="1" t="s">
        <v>317</v>
      </c>
      <c r="C152" s="1">
        <v>147.0</v>
      </c>
      <c r="D152" s="2">
        <f t="shared" si="1"/>
        <v>98</v>
      </c>
      <c r="E152" s="2">
        <f t="shared" si="2"/>
        <v>20</v>
      </c>
      <c r="G152" s="2" t="str">
        <f t="shared" si="3"/>
        <v>INSERT INTO tblWrittenExamResult VALUES (seqWrittenExamResult.nextval, 147, 98, 20);</v>
      </c>
    </row>
    <row r="153">
      <c r="A153" s="1">
        <v>148.0</v>
      </c>
      <c r="B153" s="1" t="s">
        <v>317</v>
      </c>
      <c r="C153" s="1">
        <v>148.0</v>
      </c>
      <c r="D153" s="2">
        <f t="shared" si="1"/>
        <v>50</v>
      </c>
      <c r="E153" s="2">
        <f t="shared" si="2"/>
        <v>11</v>
      </c>
      <c r="G153" s="2" t="str">
        <f t="shared" si="3"/>
        <v>INSERT INTO tblWrittenExamResult VALUES (seqWrittenExamResult.nextval, 148, 50, 11);</v>
      </c>
    </row>
    <row r="154">
      <c r="A154" s="1">
        <v>149.0</v>
      </c>
      <c r="B154" s="1" t="s">
        <v>317</v>
      </c>
      <c r="C154" s="1">
        <v>149.0</v>
      </c>
      <c r="D154" s="2">
        <f t="shared" si="1"/>
        <v>20</v>
      </c>
      <c r="E154" s="2">
        <f t="shared" si="2"/>
        <v>22</v>
      </c>
      <c r="G154" s="2" t="str">
        <f t="shared" si="3"/>
        <v>INSERT INTO tblWrittenExamResult VALUES (seqWrittenExamResult.nextval, 149, 20, 22);</v>
      </c>
    </row>
    <row r="155">
      <c r="A155" s="1">
        <v>150.0</v>
      </c>
      <c r="B155" s="1" t="s">
        <v>317</v>
      </c>
      <c r="C155" s="1">
        <v>150.0</v>
      </c>
      <c r="D155" s="2">
        <f t="shared" si="1"/>
        <v>47</v>
      </c>
      <c r="E155" s="2">
        <f t="shared" si="2"/>
        <v>20</v>
      </c>
      <c r="G155" s="2" t="str">
        <f t="shared" si="3"/>
        <v>INSERT INTO tblWrittenExamResult VALUES (seqWrittenExamResult.nextval, 150, 47, 20);</v>
      </c>
    </row>
    <row r="156">
      <c r="A156" s="1">
        <v>151.0</v>
      </c>
      <c r="B156" s="1" t="s">
        <v>317</v>
      </c>
      <c r="C156" s="1">
        <v>151.0</v>
      </c>
      <c r="D156" s="2">
        <f t="shared" si="1"/>
        <v>27</v>
      </c>
      <c r="E156" s="2">
        <f t="shared" si="2"/>
        <v>22</v>
      </c>
      <c r="G156" s="2" t="str">
        <f t="shared" si="3"/>
        <v>INSERT INTO tblWrittenExamResult VALUES (seqWrittenExamResult.nextval, 151, 27, 22);</v>
      </c>
    </row>
    <row r="157">
      <c r="A157" s="1">
        <v>152.0</v>
      </c>
      <c r="B157" s="1" t="s">
        <v>317</v>
      </c>
      <c r="C157" s="1">
        <v>152.0</v>
      </c>
      <c r="D157" s="2">
        <f t="shared" si="1"/>
        <v>65</v>
      </c>
      <c r="E157" s="2">
        <f t="shared" si="2"/>
        <v>26</v>
      </c>
      <c r="G157" s="2" t="str">
        <f t="shared" si="3"/>
        <v>INSERT INTO tblWrittenExamResult VALUES (seqWrittenExamResult.nextval, 152, 65, 26);</v>
      </c>
    </row>
    <row r="158">
      <c r="A158" s="1">
        <v>153.0</v>
      </c>
      <c r="B158" s="1" t="s">
        <v>317</v>
      </c>
      <c r="C158" s="1">
        <v>153.0</v>
      </c>
      <c r="D158" s="2">
        <f t="shared" si="1"/>
        <v>52</v>
      </c>
      <c r="E158" s="2">
        <f t="shared" si="2"/>
        <v>20</v>
      </c>
      <c r="G158" s="2" t="str">
        <f t="shared" si="3"/>
        <v>INSERT INTO tblWrittenExamResult VALUES (seqWrittenExamResult.nextval, 153, 52, 20);</v>
      </c>
    </row>
    <row r="159">
      <c r="A159" s="1">
        <v>154.0</v>
      </c>
      <c r="B159" s="1" t="s">
        <v>317</v>
      </c>
      <c r="C159" s="1">
        <v>154.0</v>
      </c>
      <c r="D159" s="2">
        <f t="shared" si="1"/>
        <v>67</v>
      </c>
      <c r="E159" s="2">
        <f t="shared" si="2"/>
        <v>33</v>
      </c>
      <c r="G159" s="2" t="str">
        <f t="shared" si="3"/>
        <v>INSERT INTO tblWrittenExamResult VALUES (seqWrittenExamResult.nextval, 154, 67, 33);</v>
      </c>
    </row>
    <row r="160">
      <c r="A160" s="1">
        <v>155.0</v>
      </c>
      <c r="B160" s="1" t="s">
        <v>317</v>
      </c>
      <c r="C160" s="1">
        <v>155.0</v>
      </c>
      <c r="D160" s="2">
        <f t="shared" si="1"/>
        <v>49</v>
      </c>
      <c r="E160" s="2">
        <f t="shared" si="2"/>
        <v>29</v>
      </c>
      <c r="G160" s="2" t="str">
        <f t="shared" si="3"/>
        <v>INSERT INTO tblWrittenExamResult VALUES (seqWrittenExamResult.nextval, 155, 49, 29);</v>
      </c>
    </row>
    <row r="161">
      <c r="A161" s="1">
        <v>156.0</v>
      </c>
      <c r="B161" s="1" t="s">
        <v>317</v>
      </c>
      <c r="C161" s="1">
        <v>156.0</v>
      </c>
      <c r="D161" s="2">
        <f t="shared" si="1"/>
        <v>41</v>
      </c>
      <c r="E161" s="2">
        <f t="shared" si="2"/>
        <v>27</v>
      </c>
      <c r="G161" s="2" t="str">
        <f t="shared" si="3"/>
        <v>INSERT INTO tblWrittenExamResult VALUES (seqWrittenExamResult.nextval, 156, 41, 27);</v>
      </c>
    </row>
    <row r="162">
      <c r="A162" s="1">
        <v>157.0</v>
      </c>
      <c r="B162" s="1" t="s">
        <v>317</v>
      </c>
      <c r="C162" s="1">
        <v>157.0</v>
      </c>
      <c r="D162" s="2">
        <f t="shared" si="1"/>
        <v>98</v>
      </c>
      <c r="E162" s="2">
        <f t="shared" si="2"/>
        <v>16</v>
      </c>
      <c r="G162" s="2" t="str">
        <f t="shared" si="3"/>
        <v>INSERT INTO tblWrittenExamResult VALUES (seqWrittenExamResult.nextval, 157, 98, 16);</v>
      </c>
    </row>
    <row r="163">
      <c r="A163" s="1">
        <v>158.0</v>
      </c>
      <c r="B163" s="1" t="s">
        <v>317</v>
      </c>
      <c r="C163" s="1">
        <v>158.0</v>
      </c>
      <c r="D163" s="2">
        <f t="shared" si="1"/>
        <v>95</v>
      </c>
      <c r="E163" s="2">
        <f t="shared" si="2"/>
        <v>19</v>
      </c>
      <c r="G163" s="2" t="str">
        <f t="shared" si="3"/>
        <v>INSERT INTO tblWrittenExamResult VALUES (seqWrittenExamResult.nextval, 158, 95, 19);</v>
      </c>
    </row>
    <row r="164">
      <c r="A164" s="1">
        <v>159.0</v>
      </c>
      <c r="B164" s="1" t="s">
        <v>317</v>
      </c>
      <c r="C164" s="1">
        <v>159.0</v>
      </c>
      <c r="D164" s="2">
        <f t="shared" si="1"/>
        <v>71</v>
      </c>
      <c r="E164" s="2">
        <f t="shared" si="2"/>
        <v>9</v>
      </c>
      <c r="G164" s="2" t="str">
        <f t="shared" si="3"/>
        <v>INSERT INTO tblWrittenExamResult VALUES (seqWrittenExamResult.nextval, 159, 71, 9);</v>
      </c>
    </row>
    <row r="165">
      <c r="A165" s="1">
        <v>160.0</v>
      </c>
      <c r="B165" s="1" t="s">
        <v>317</v>
      </c>
      <c r="C165" s="1">
        <v>160.0</v>
      </c>
      <c r="D165" s="2">
        <f t="shared" si="1"/>
        <v>82</v>
      </c>
      <c r="E165" s="2">
        <f t="shared" si="2"/>
        <v>5</v>
      </c>
      <c r="G165" s="2" t="str">
        <f t="shared" si="3"/>
        <v>INSERT INTO tblWrittenExamResult VALUES (seqWrittenExamResult.nextval, 160, 82, 5);</v>
      </c>
    </row>
    <row r="166">
      <c r="A166" s="1">
        <v>161.0</v>
      </c>
      <c r="B166" s="1" t="s">
        <v>317</v>
      </c>
      <c r="C166" s="1">
        <v>161.0</v>
      </c>
      <c r="D166" s="2">
        <f t="shared" si="1"/>
        <v>78</v>
      </c>
      <c r="E166" s="2">
        <f t="shared" si="2"/>
        <v>12</v>
      </c>
      <c r="G166" s="2" t="str">
        <f t="shared" si="3"/>
        <v>INSERT INTO tblWrittenExamResult VALUES (seqWrittenExamResult.nextval, 161, 78, 12);</v>
      </c>
    </row>
    <row r="167">
      <c r="A167" s="1">
        <v>162.0</v>
      </c>
      <c r="B167" s="1" t="s">
        <v>317</v>
      </c>
      <c r="C167" s="1">
        <v>162.0</v>
      </c>
      <c r="D167" s="2">
        <f t="shared" si="1"/>
        <v>86</v>
      </c>
      <c r="E167" s="2">
        <f t="shared" si="2"/>
        <v>24</v>
      </c>
      <c r="G167" s="2" t="str">
        <f t="shared" si="3"/>
        <v>INSERT INTO tblWrittenExamResult VALUES (seqWrittenExamResult.nextval, 162, 86, 24);</v>
      </c>
    </row>
    <row r="168">
      <c r="A168" s="1">
        <v>163.0</v>
      </c>
      <c r="B168" s="1" t="s">
        <v>317</v>
      </c>
      <c r="C168" s="1">
        <v>163.0</v>
      </c>
      <c r="D168" s="2">
        <f t="shared" si="1"/>
        <v>56</v>
      </c>
      <c r="E168" s="2">
        <f t="shared" si="2"/>
        <v>5</v>
      </c>
      <c r="G168" s="2" t="str">
        <f t="shared" si="3"/>
        <v>INSERT INTO tblWrittenExamResult VALUES (seqWrittenExamResult.nextval, 163, 56, 5);</v>
      </c>
    </row>
    <row r="169">
      <c r="A169" s="1">
        <v>164.0</v>
      </c>
      <c r="B169" s="1" t="s">
        <v>317</v>
      </c>
      <c r="C169" s="1">
        <v>164.0</v>
      </c>
      <c r="D169" s="2">
        <f t="shared" si="1"/>
        <v>29</v>
      </c>
      <c r="E169" s="2">
        <f t="shared" si="2"/>
        <v>31</v>
      </c>
      <c r="G169" s="2" t="str">
        <f t="shared" si="3"/>
        <v>INSERT INTO tblWrittenExamResult VALUES (seqWrittenExamResult.nextval, 164, 29, 31);</v>
      </c>
    </row>
    <row r="170">
      <c r="A170" s="1">
        <v>165.0</v>
      </c>
      <c r="B170" s="1" t="s">
        <v>317</v>
      </c>
      <c r="C170" s="1">
        <v>165.0</v>
      </c>
      <c r="D170" s="2">
        <f t="shared" si="1"/>
        <v>45</v>
      </c>
      <c r="E170" s="2">
        <f t="shared" si="2"/>
        <v>11</v>
      </c>
      <c r="G170" s="2" t="str">
        <f t="shared" si="3"/>
        <v>INSERT INTO tblWrittenExamResult VALUES (seqWrittenExamResult.nextval, 165, 45, 11);</v>
      </c>
    </row>
    <row r="171">
      <c r="A171" s="1">
        <v>166.0</v>
      </c>
      <c r="B171" s="1" t="s">
        <v>317</v>
      </c>
      <c r="C171" s="1">
        <v>166.0</v>
      </c>
      <c r="D171" s="2">
        <f t="shared" si="1"/>
        <v>99</v>
      </c>
      <c r="E171" s="2">
        <f t="shared" si="2"/>
        <v>21</v>
      </c>
      <c r="G171" s="2" t="str">
        <f t="shared" si="3"/>
        <v>INSERT INTO tblWrittenExamResult VALUES (seqWrittenExamResult.nextval, 166, 99, 21);</v>
      </c>
    </row>
    <row r="172">
      <c r="A172" s="1">
        <v>167.0</v>
      </c>
      <c r="B172" s="1" t="s">
        <v>317</v>
      </c>
      <c r="C172" s="1">
        <v>167.0</v>
      </c>
      <c r="D172" s="2">
        <f t="shared" si="1"/>
        <v>69</v>
      </c>
      <c r="E172" s="2">
        <f t="shared" si="2"/>
        <v>1</v>
      </c>
      <c r="G172" s="2" t="str">
        <f t="shared" si="3"/>
        <v>INSERT INTO tblWrittenExamResult VALUES (seqWrittenExamResult.nextval, 167, 69, 1);</v>
      </c>
    </row>
    <row r="173">
      <c r="A173" s="1">
        <v>168.0</v>
      </c>
      <c r="B173" s="1" t="s">
        <v>317</v>
      </c>
      <c r="C173" s="1">
        <v>168.0</v>
      </c>
      <c r="D173" s="2">
        <f t="shared" si="1"/>
        <v>72</v>
      </c>
      <c r="E173" s="2">
        <f t="shared" si="2"/>
        <v>15</v>
      </c>
      <c r="G173" s="2" t="str">
        <f t="shared" si="3"/>
        <v>INSERT INTO tblWrittenExamResult VALUES (seqWrittenExamResult.nextval, 168, 72, 15);</v>
      </c>
    </row>
    <row r="174">
      <c r="A174" s="1">
        <v>169.0</v>
      </c>
      <c r="B174" s="1" t="s">
        <v>317</v>
      </c>
      <c r="C174" s="1">
        <v>169.0</v>
      </c>
      <c r="D174" s="2">
        <f t="shared" si="1"/>
        <v>43</v>
      </c>
      <c r="E174" s="2">
        <f t="shared" si="2"/>
        <v>31</v>
      </c>
      <c r="G174" s="2" t="str">
        <f t="shared" si="3"/>
        <v>INSERT INTO tblWrittenExamResult VALUES (seqWrittenExamResult.nextval, 169, 43, 31);</v>
      </c>
    </row>
    <row r="175">
      <c r="A175" s="1">
        <v>170.0</v>
      </c>
      <c r="B175" s="1" t="s">
        <v>317</v>
      </c>
      <c r="C175" s="1">
        <v>170.0</v>
      </c>
      <c r="D175" s="2">
        <f t="shared" si="1"/>
        <v>100</v>
      </c>
      <c r="E175" s="2">
        <f t="shared" si="2"/>
        <v>1</v>
      </c>
      <c r="G175" s="2" t="str">
        <f t="shared" si="3"/>
        <v>INSERT INTO tblWrittenExamResult VALUES (seqWrittenExamResult.nextval, 170, 100, 1);</v>
      </c>
    </row>
    <row r="176">
      <c r="A176" s="1">
        <v>171.0</v>
      </c>
      <c r="B176" s="1" t="s">
        <v>317</v>
      </c>
      <c r="C176" s="1">
        <v>171.0</v>
      </c>
      <c r="D176" s="2">
        <f t="shared" si="1"/>
        <v>61</v>
      </c>
      <c r="E176" s="2">
        <f t="shared" si="2"/>
        <v>21</v>
      </c>
      <c r="G176" s="2" t="str">
        <f t="shared" si="3"/>
        <v>INSERT INTO tblWrittenExamResult VALUES (seqWrittenExamResult.nextval, 171, 61, 21);</v>
      </c>
    </row>
    <row r="177">
      <c r="A177" s="1">
        <v>172.0</v>
      </c>
      <c r="B177" s="1" t="s">
        <v>317</v>
      </c>
      <c r="C177" s="1">
        <v>172.0</v>
      </c>
      <c r="D177" s="2">
        <f t="shared" si="1"/>
        <v>81</v>
      </c>
      <c r="E177" s="2">
        <f t="shared" si="2"/>
        <v>10</v>
      </c>
      <c r="G177" s="2" t="str">
        <f t="shared" si="3"/>
        <v>INSERT INTO tblWrittenExamResult VALUES (seqWrittenExamResult.nextval, 172, 81, 10);</v>
      </c>
    </row>
    <row r="178">
      <c r="A178" s="1">
        <v>173.0</v>
      </c>
      <c r="B178" s="1" t="s">
        <v>317</v>
      </c>
      <c r="C178" s="1">
        <v>173.0</v>
      </c>
      <c r="D178" s="2">
        <f t="shared" si="1"/>
        <v>83</v>
      </c>
      <c r="E178" s="2">
        <f t="shared" si="2"/>
        <v>23</v>
      </c>
      <c r="G178" s="2" t="str">
        <f t="shared" si="3"/>
        <v>INSERT INTO tblWrittenExamResult VALUES (seqWrittenExamResult.nextval, 173, 83, 23);</v>
      </c>
    </row>
    <row r="179">
      <c r="A179" s="1">
        <v>174.0</v>
      </c>
      <c r="B179" s="1" t="s">
        <v>317</v>
      </c>
      <c r="C179" s="1">
        <v>174.0</v>
      </c>
      <c r="D179" s="2">
        <f t="shared" si="1"/>
        <v>88</v>
      </c>
      <c r="E179" s="2">
        <f t="shared" si="2"/>
        <v>8</v>
      </c>
      <c r="G179" s="2" t="str">
        <f t="shared" si="3"/>
        <v>INSERT INTO tblWrittenExamResult VALUES (seqWrittenExamResult.nextval, 174, 88, 8);</v>
      </c>
    </row>
    <row r="180">
      <c r="A180" s="1">
        <v>175.0</v>
      </c>
      <c r="B180" s="1" t="s">
        <v>317</v>
      </c>
      <c r="C180" s="1">
        <v>175.0</v>
      </c>
      <c r="D180" s="2">
        <f t="shared" si="1"/>
        <v>88</v>
      </c>
      <c r="E180" s="2">
        <f t="shared" si="2"/>
        <v>2</v>
      </c>
      <c r="G180" s="2" t="str">
        <f t="shared" si="3"/>
        <v>INSERT INTO tblWrittenExamResult VALUES (seqWrittenExamResult.nextval, 175, 88, 2);</v>
      </c>
    </row>
    <row r="181">
      <c r="A181" s="1">
        <v>176.0</v>
      </c>
      <c r="B181" s="1" t="s">
        <v>317</v>
      </c>
      <c r="C181" s="1">
        <v>176.0</v>
      </c>
      <c r="D181" s="2">
        <f t="shared" si="1"/>
        <v>85</v>
      </c>
      <c r="E181" s="2">
        <f t="shared" si="2"/>
        <v>32</v>
      </c>
      <c r="G181" s="2" t="str">
        <f t="shared" si="3"/>
        <v>INSERT INTO tblWrittenExamResult VALUES (seqWrittenExamResult.nextval, 176, 85, 32);</v>
      </c>
    </row>
    <row r="182">
      <c r="A182" s="1">
        <v>177.0</v>
      </c>
      <c r="B182" s="1" t="s">
        <v>317</v>
      </c>
      <c r="C182" s="1">
        <v>177.0</v>
      </c>
      <c r="D182" s="2">
        <f t="shared" si="1"/>
        <v>93</v>
      </c>
      <c r="E182" s="2">
        <f t="shared" si="2"/>
        <v>24</v>
      </c>
      <c r="G182" s="2" t="str">
        <f t="shared" si="3"/>
        <v>INSERT INTO tblWrittenExamResult VALUES (seqWrittenExamResult.nextval, 177, 93, 24);</v>
      </c>
    </row>
    <row r="183">
      <c r="A183" s="1">
        <v>178.0</v>
      </c>
      <c r="B183" s="1" t="s">
        <v>317</v>
      </c>
      <c r="C183" s="1">
        <v>178.0</v>
      </c>
      <c r="D183" s="2">
        <f t="shared" si="1"/>
        <v>47</v>
      </c>
      <c r="E183" s="2">
        <f t="shared" si="2"/>
        <v>29</v>
      </c>
      <c r="G183" s="2" t="str">
        <f t="shared" si="3"/>
        <v>INSERT INTO tblWrittenExamResult VALUES (seqWrittenExamResult.nextval, 178, 47, 29);</v>
      </c>
    </row>
    <row r="184">
      <c r="A184" s="1">
        <v>179.0</v>
      </c>
      <c r="B184" s="1" t="s">
        <v>317</v>
      </c>
      <c r="C184" s="1">
        <v>179.0</v>
      </c>
      <c r="D184" s="2">
        <f t="shared" si="1"/>
        <v>83</v>
      </c>
      <c r="E184" s="2">
        <f t="shared" si="2"/>
        <v>14</v>
      </c>
      <c r="G184" s="2" t="str">
        <f t="shared" si="3"/>
        <v>INSERT INTO tblWrittenExamResult VALUES (seqWrittenExamResult.nextval, 179, 83, 14);</v>
      </c>
    </row>
    <row r="185">
      <c r="A185" s="1">
        <v>180.0</v>
      </c>
      <c r="B185" s="1" t="s">
        <v>317</v>
      </c>
      <c r="C185" s="1">
        <v>180.0</v>
      </c>
      <c r="D185" s="2">
        <f t="shared" si="1"/>
        <v>55</v>
      </c>
      <c r="E185" s="2">
        <f t="shared" si="2"/>
        <v>15</v>
      </c>
      <c r="G185" s="2" t="str">
        <f t="shared" si="3"/>
        <v>INSERT INTO tblWrittenExamResult VALUES (seqWrittenExamResult.nextval, 180, 55, 15);</v>
      </c>
    </row>
    <row r="186">
      <c r="A186" s="1">
        <v>181.0</v>
      </c>
      <c r="B186" s="1" t="s">
        <v>317</v>
      </c>
      <c r="C186" s="1">
        <v>181.0</v>
      </c>
      <c r="D186" s="2">
        <f t="shared" si="1"/>
        <v>100</v>
      </c>
      <c r="E186" s="2">
        <f t="shared" si="2"/>
        <v>9</v>
      </c>
      <c r="G186" s="2" t="str">
        <f t="shared" si="3"/>
        <v>INSERT INTO tblWrittenExamResult VALUES (seqWrittenExamResult.nextval, 181, 100, 9);</v>
      </c>
    </row>
    <row r="187">
      <c r="A187" s="1">
        <v>182.0</v>
      </c>
      <c r="B187" s="1" t="s">
        <v>317</v>
      </c>
      <c r="C187" s="1">
        <v>182.0</v>
      </c>
      <c r="D187" s="2">
        <f t="shared" si="1"/>
        <v>27</v>
      </c>
      <c r="E187" s="2">
        <f t="shared" si="2"/>
        <v>24</v>
      </c>
      <c r="G187" s="2" t="str">
        <f t="shared" si="3"/>
        <v>INSERT INTO tblWrittenExamResult VALUES (seqWrittenExamResult.nextval, 182, 27, 24);</v>
      </c>
    </row>
    <row r="188">
      <c r="A188" s="1">
        <v>183.0</v>
      </c>
      <c r="B188" s="1" t="s">
        <v>317</v>
      </c>
      <c r="C188" s="1">
        <v>183.0</v>
      </c>
      <c r="D188" s="2">
        <f t="shared" si="1"/>
        <v>61</v>
      </c>
      <c r="E188" s="2">
        <f t="shared" si="2"/>
        <v>27</v>
      </c>
      <c r="G188" s="2" t="str">
        <f t="shared" si="3"/>
        <v>INSERT INTO tblWrittenExamResult VALUES (seqWrittenExamResult.nextval, 183, 61, 27);</v>
      </c>
    </row>
    <row r="189">
      <c r="A189" s="1">
        <v>184.0</v>
      </c>
      <c r="B189" s="1" t="s">
        <v>317</v>
      </c>
      <c r="C189" s="1">
        <v>184.0</v>
      </c>
      <c r="D189" s="2">
        <f t="shared" si="1"/>
        <v>45</v>
      </c>
      <c r="E189" s="2">
        <f t="shared" si="2"/>
        <v>23</v>
      </c>
      <c r="G189" s="2" t="str">
        <f t="shared" si="3"/>
        <v>INSERT INTO tblWrittenExamResult VALUES (seqWrittenExamResult.nextval, 184, 45, 23);</v>
      </c>
    </row>
    <row r="190">
      <c r="A190" s="1">
        <v>185.0</v>
      </c>
      <c r="B190" s="1" t="s">
        <v>317</v>
      </c>
      <c r="C190" s="1">
        <v>185.0</v>
      </c>
      <c r="D190" s="2">
        <f t="shared" si="1"/>
        <v>66</v>
      </c>
      <c r="E190" s="2">
        <f t="shared" si="2"/>
        <v>22</v>
      </c>
      <c r="G190" s="2" t="str">
        <f t="shared" si="3"/>
        <v>INSERT INTO tblWrittenExamResult VALUES (seqWrittenExamResult.nextval, 185, 66, 22);</v>
      </c>
    </row>
    <row r="191">
      <c r="A191" s="1">
        <v>186.0</v>
      </c>
      <c r="B191" s="1" t="s">
        <v>317</v>
      </c>
      <c r="C191" s="1">
        <v>186.0</v>
      </c>
      <c r="D191" s="2">
        <f t="shared" si="1"/>
        <v>29</v>
      </c>
      <c r="E191" s="2">
        <f t="shared" si="2"/>
        <v>17</v>
      </c>
      <c r="G191" s="2" t="str">
        <f t="shared" si="3"/>
        <v>INSERT INTO tblWrittenExamResult VALUES (seqWrittenExamResult.nextval, 186, 29, 17);</v>
      </c>
    </row>
    <row r="192">
      <c r="A192" s="1">
        <v>187.0</v>
      </c>
      <c r="B192" s="1" t="s">
        <v>317</v>
      </c>
      <c r="C192" s="1">
        <v>187.0</v>
      </c>
      <c r="D192" s="2">
        <f t="shared" si="1"/>
        <v>71</v>
      </c>
      <c r="E192" s="2">
        <f t="shared" si="2"/>
        <v>5</v>
      </c>
      <c r="G192" s="2" t="str">
        <f t="shared" si="3"/>
        <v>INSERT INTO tblWrittenExamResult VALUES (seqWrittenExamResult.nextval, 187, 71, 5);</v>
      </c>
    </row>
    <row r="193">
      <c r="A193" s="1">
        <v>188.0</v>
      </c>
      <c r="B193" s="1" t="s">
        <v>317</v>
      </c>
      <c r="C193" s="1">
        <v>188.0</v>
      </c>
      <c r="D193" s="2">
        <f t="shared" si="1"/>
        <v>34</v>
      </c>
      <c r="E193" s="2">
        <f t="shared" si="2"/>
        <v>28</v>
      </c>
      <c r="G193" s="2" t="str">
        <f t="shared" si="3"/>
        <v>INSERT INTO tblWrittenExamResult VALUES (seqWrittenExamResult.nextval, 188, 34, 28);</v>
      </c>
    </row>
    <row r="194">
      <c r="A194" s="1">
        <v>189.0</v>
      </c>
      <c r="B194" s="1" t="s">
        <v>317</v>
      </c>
      <c r="C194" s="1">
        <v>189.0</v>
      </c>
      <c r="D194" s="2">
        <f t="shared" si="1"/>
        <v>68</v>
      </c>
      <c r="E194" s="2">
        <f t="shared" si="2"/>
        <v>28</v>
      </c>
      <c r="G194" s="2" t="str">
        <f t="shared" si="3"/>
        <v>INSERT INTO tblWrittenExamResult VALUES (seqWrittenExamResult.nextval, 189, 68, 28);</v>
      </c>
    </row>
    <row r="195">
      <c r="A195" s="1">
        <v>190.0</v>
      </c>
      <c r="B195" s="1" t="s">
        <v>317</v>
      </c>
      <c r="C195" s="1">
        <v>190.0</v>
      </c>
      <c r="D195" s="2">
        <f t="shared" si="1"/>
        <v>79</v>
      </c>
      <c r="E195" s="2">
        <f t="shared" si="2"/>
        <v>3</v>
      </c>
      <c r="G195" s="2" t="str">
        <f t="shared" si="3"/>
        <v>INSERT INTO tblWrittenExamResult VALUES (seqWrittenExamResult.nextval, 190, 79, 3);</v>
      </c>
    </row>
    <row r="196">
      <c r="A196" s="1">
        <v>191.0</v>
      </c>
      <c r="B196" s="1" t="s">
        <v>317</v>
      </c>
      <c r="C196" s="1">
        <v>191.0</v>
      </c>
      <c r="D196" s="2">
        <f t="shared" si="1"/>
        <v>74</v>
      </c>
      <c r="E196" s="2">
        <f t="shared" si="2"/>
        <v>22</v>
      </c>
      <c r="G196" s="2" t="str">
        <f t="shared" si="3"/>
        <v>INSERT INTO tblWrittenExamResult VALUES (seqWrittenExamResult.nextval, 191, 74, 22);</v>
      </c>
    </row>
    <row r="197">
      <c r="A197" s="1">
        <v>192.0</v>
      </c>
      <c r="B197" s="1" t="s">
        <v>317</v>
      </c>
      <c r="C197" s="1">
        <v>192.0</v>
      </c>
      <c r="D197" s="2">
        <f t="shared" si="1"/>
        <v>74</v>
      </c>
      <c r="E197" s="2">
        <f t="shared" si="2"/>
        <v>8</v>
      </c>
      <c r="G197" s="2" t="str">
        <f t="shared" si="3"/>
        <v>INSERT INTO tblWrittenExamResult VALUES (seqWrittenExamResult.nextval, 192, 74, 8);</v>
      </c>
    </row>
    <row r="198">
      <c r="A198" s="1">
        <v>193.0</v>
      </c>
      <c r="B198" s="1" t="s">
        <v>317</v>
      </c>
      <c r="C198" s="1">
        <v>193.0</v>
      </c>
      <c r="D198" s="2">
        <f t="shared" si="1"/>
        <v>81</v>
      </c>
      <c r="E198" s="2">
        <f t="shared" si="2"/>
        <v>8</v>
      </c>
      <c r="G198" s="2" t="str">
        <f t="shared" si="3"/>
        <v>INSERT INTO tblWrittenExamResult VALUES (seqWrittenExamResult.nextval, 193, 81, 8);</v>
      </c>
    </row>
    <row r="199">
      <c r="A199" s="1">
        <v>194.0</v>
      </c>
      <c r="B199" s="1" t="s">
        <v>317</v>
      </c>
      <c r="C199" s="1">
        <v>194.0</v>
      </c>
      <c r="D199" s="2">
        <f t="shared" si="1"/>
        <v>91</v>
      </c>
      <c r="E199" s="2">
        <f t="shared" si="2"/>
        <v>11</v>
      </c>
      <c r="G199" s="2" t="str">
        <f t="shared" si="3"/>
        <v>INSERT INTO tblWrittenExamResult VALUES (seqWrittenExamResult.nextval, 194, 91, 11);</v>
      </c>
    </row>
    <row r="200">
      <c r="A200" s="1">
        <v>195.0</v>
      </c>
      <c r="B200" s="1" t="s">
        <v>317</v>
      </c>
      <c r="C200" s="1">
        <v>195.0</v>
      </c>
      <c r="D200" s="2">
        <f t="shared" si="1"/>
        <v>93</v>
      </c>
      <c r="E200" s="2">
        <f t="shared" si="2"/>
        <v>3</v>
      </c>
      <c r="G200" s="2" t="str">
        <f t="shared" si="3"/>
        <v>INSERT INTO tblWrittenExamResult VALUES (seqWrittenExamResult.nextval, 195, 93, 3);</v>
      </c>
    </row>
    <row r="201">
      <c r="A201" s="1">
        <v>196.0</v>
      </c>
      <c r="B201" s="1" t="s">
        <v>317</v>
      </c>
      <c r="C201" s="1">
        <v>196.0</v>
      </c>
      <c r="D201" s="2">
        <f t="shared" si="1"/>
        <v>88</v>
      </c>
      <c r="E201" s="2">
        <f t="shared" si="2"/>
        <v>7</v>
      </c>
      <c r="G201" s="2" t="str">
        <f t="shared" si="3"/>
        <v>INSERT INTO tblWrittenExamResult VALUES (seqWrittenExamResult.nextval, 196, 88, 7);</v>
      </c>
    </row>
    <row r="202">
      <c r="A202" s="1">
        <v>197.0</v>
      </c>
      <c r="B202" s="1" t="s">
        <v>317</v>
      </c>
      <c r="C202" s="1">
        <v>197.0</v>
      </c>
      <c r="D202" s="2">
        <f t="shared" si="1"/>
        <v>28</v>
      </c>
      <c r="E202" s="2">
        <f t="shared" si="2"/>
        <v>12</v>
      </c>
      <c r="G202" s="2" t="str">
        <f t="shared" si="3"/>
        <v>INSERT INTO tblWrittenExamResult VALUES (seqWrittenExamResult.nextval, 197, 28, 12);</v>
      </c>
    </row>
    <row r="203">
      <c r="A203" s="1">
        <v>198.0</v>
      </c>
      <c r="B203" s="1" t="s">
        <v>317</v>
      </c>
      <c r="C203" s="1">
        <v>198.0</v>
      </c>
      <c r="D203" s="2">
        <f t="shared" si="1"/>
        <v>83</v>
      </c>
      <c r="E203" s="2">
        <f t="shared" si="2"/>
        <v>14</v>
      </c>
      <c r="G203" s="2" t="str">
        <f t="shared" si="3"/>
        <v>INSERT INTO tblWrittenExamResult VALUES (seqWrittenExamResult.nextval, 198, 83, 14);</v>
      </c>
    </row>
    <row r="204">
      <c r="A204" s="1">
        <v>199.0</v>
      </c>
      <c r="B204" s="1" t="s">
        <v>317</v>
      </c>
      <c r="C204" s="1">
        <v>199.0</v>
      </c>
      <c r="D204" s="2">
        <f t="shared" si="1"/>
        <v>85</v>
      </c>
      <c r="E204" s="2">
        <f t="shared" si="2"/>
        <v>6</v>
      </c>
      <c r="G204" s="2" t="str">
        <f t="shared" si="3"/>
        <v>INSERT INTO tblWrittenExamResult VALUES (seqWrittenExamResult.nextval, 199, 85, 6);</v>
      </c>
    </row>
    <row r="205">
      <c r="A205" s="1">
        <v>200.0</v>
      </c>
      <c r="B205" s="1" t="s">
        <v>317</v>
      </c>
      <c r="C205" s="1">
        <v>200.0</v>
      </c>
      <c r="D205" s="2">
        <f t="shared" si="1"/>
        <v>45</v>
      </c>
      <c r="E205" s="2">
        <f t="shared" si="2"/>
        <v>12</v>
      </c>
      <c r="G205" s="2" t="str">
        <f t="shared" si="3"/>
        <v>INSERT INTO tblWrittenExamResult VALUES (seqWrittenExamResult.nextval, 200, 45, 12);</v>
      </c>
    </row>
    <row r="206">
      <c r="A206" s="1">
        <v>201.0</v>
      </c>
      <c r="B206" s="1" t="s">
        <v>317</v>
      </c>
      <c r="C206" s="1">
        <v>201.0</v>
      </c>
      <c r="D206" s="2">
        <f t="shared" si="1"/>
        <v>87</v>
      </c>
      <c r="E206" s="2">
        <f t="shared" si="2"/>
        <v>17</v>
      </c>
      <c r="G206" s="2" t="str">
        <f t="shared" si="3"/>
        <v>INSERT INTO tblWrittenExamResult VALUES (seqWrittenExamResult.nextval, 201, 87, 17);</v>
      </c>
    </row>
    <row r="207">
      <c r="A207" s="1">
        <v>202.0</v>
      </c>
      <c r="B207" s="1" t="s">
        <v>317</v>
      </c>
      <c r="C207" s="1">
        <v>202.0</v>
      </c>
      <c r="D207" s="2">
        <f t="shared" si="1"/>
        <v>42</v>
      </c>
      <c r="E207" s="2">
        <f t="shared" si="2"/>
        <v>18</v>
      </c>
      <c r="G207" s="2" t="str">
        <f t="shared" si="3"/>
        <v>INSERT INTO tblWrittenExamResult VALUES (seqWrittenExamResult.nextval, 202, 42, 18);</v>
      </c>
    </row>
    <row r="208">
      <c r="A208" s="1">
        <v>203.0</v>
      </c>
      <c r="B208" s="1" t="s">
        <v>317</v>
      </c>
      <c r="C208" s="1">
        <v>203.0</v>
      </c>
      <c r="D208" s="2">
        <f t="shared" si="1"/>
        <v>22</v>
      </c>
      <c r="E208" s="2">
        <f t="shared" si="2"/>
        <v>25</v>
      </c>
      <c r="G208" s="2" t="str">
        <f t="shared" si="3"/>
        <v>INSERT INTO tblWrittenExamResult VALUES (seqWrittenExamResult.nextval, 203, 22, 25);</v>
      </c>
    </row>
    <row r="209">
      <c r="A209" s="1">
        <v>204.0</v>
      </c>
      <c r="B209" s="1" t="s">
        <v>317</v>
      </c>
      <c r="C209" s="1">
        <v>204.0</v>
      </c>
      <c r="D209" s="2">
        <f t="shared" si="1"/>
        <v>49</v>
      </c>
      <c r="E209" s="2">
        <f t="shared" si="2"/>
        <v>21</v>
      </c>
      <c r="G209" s="2" t="str">
        <f t="shared" si="3"/>
        <v>INSERT INTO tblWrittenExamResult VALUES (seqWrittenExamResult.nextval, 204, 49, 21);</v>
      </c>
    </row>
    <row r="210">
      <c r="A210" s="1">
        <v>205.0</v>
      </c>
      <c r="B210" s="1" t="s">
        <v>317</v>
      </c>
      <c r="C210" s="1">
        <v>205.0</v>
      </c>
      <c r="D210" s="2">
        <f t="shared" si="1"/>
        <v>47</v>
      </c>
      <c r="E210" s="2">
        <f t="shared" si="2"/>
        <v>15</v>
      </c>
      <c r="G210" s="2" t="str">
        <f t="shared" si="3"/>
        <v>INSERT INTO tblWrittenExamResult VALUES (seqWrittenExamResult.nextval, 205, 47, 15);</v>
      </c>
    </row>
    <row r="211">
      <c r="A211" s="1">
        <v>206.0</v>
      </c>
      <c r="B211" s="1" t="s">
        <v>317</v>
      </c>
      <c r="C211" s="1">
        <v>206.0</v>
      </c>
      <c r="D211" s="2">
        <f t="shared" si="1"/>
        <v>55</v>
      </c>
      <c r="E211" s="2">
        <f t="shared" si="2"/>
        <v>31</v>
      </c>
      <c r="G211" s="2" t="str">
        <f t="shared" si="3"/>
        <v>INSERT INTO tblWrittenExamResult VALUES (seqWrittenExamResult.nextval, 206, 55, 31);</v>
      </c>
    </row>
    <row r="212">
      <c r="A212" s="1">
        <v>207.0</v>
      </c>
      <c r="B212" s="1" t="s">
        <v>317</v>
      </c>
      <c r="C212" s="1">
        <v>207.0</v>
      </c>
      <c r="D212" s="2">
        <f t="shared" si="1"/>
        <v>65</v>
      </c>
      <c r="E212" s="2">
        <f t="shared" si="2"/>
        <v>3</v>
      </c>
      <c r="G212" s="2" t="str">
        <f t="shared" si="3"/>
        <v>INSERT INTO tblWrittenExamResult VALUES (seqWrittenExamResult.nextval, 207, 65, 3);</v>
      </c>
    </row>
    <row r="213">
      <c r="A213" s="1">
        <v>208.0</v>
      </c>
      <c r="B213" s="1" t="s">
        <v>317</v>
      </c>
      <c r="C213" s="1">
        <v>208.0</v>
      </c>
      <c r="D213" s="2">
        <f t="shared" si="1"/>
        <v>29</v>
      </c>
      <c r="E213" s="2">
        <f t="shared" si="2"/>
        <v>25</v>
      </c>
      <c r="G213" s="2" t="str">
        <f t="shared" si="3"/>
        <v>INSERT INTO tblWrittenExamResult VALUES (seqWrittenExamResult.nextval, 208, 29, 25);</v>
      </c>
    </row>
    <row r="214">
      <c r="A214" s="1">
        <v>209.0</v>
      </c>
      <c r="B214" s="1" t="s">
        <v>317</v>
      </c>
      <c r="C214" s="1">
        <v>209.0</v>
      </c>
      <c r="D214" s="2">
        <f t="shared" si="1"/>
        <v>63</v>
      </c>
      <c r="E214" s="2">
        <f t="shared" si="2"/>
        <v>2</v>
      </c>
      <c r="G214" s="2" t="str">
        <f t="shared" si="3"/>
        <v>INSERT INTO tblWrittenExamResult VALUES (seqWrittenExamResult.nextval, 209, 63, 2);</v>
      </c>
    </row>
    <row r="215">
      <c r="A215" s="1">
        <v>210.0</v>
      </c>
      <c r="B215" s="1" t="s">
        <v>317</v>
      </c>
      <c r="C215" s="1">
        <v>210.0</v>
      </c>
      <c r="D215" s="2">
        <f t="shared" si="1"/>
        <v>90</v>
      </c>
      <c r="E215" s="2">
        <f t="shared" si="2"/>
        <v>23</v>
      </c>
      <c r="G215" s="2" t="str">
        <f t="shared" si="3"/>
        <v>INSERT INTO tblWrittenExamResult VALUES (seqWrittenExamResult.nextval, 210, 90, 23);</v>
      </c>
    </row>
    <row r="216">
      <c r="A216" s="1">
        <v>211.0</v>
      </c>
      <c r="B216" s="1" t="s">
        <v>317</v>
      </c>
      <c r="C216" s="1">
        <v>211.0</v>
      </c>
      <c r="D216" s="2">
        <f t="shared" si="1"/>
        <v>87</v>
      </c>
      <c r="E216" s="2">
        <f t="shared" si="2"/>
        <v>7</v>
      </c>
      <c r="G216" s="2" t="str">
        <f t="shared" si="3"/>
        <v>INSERT INTO tblWrittenExamResult VALUES (seqWrittenExamResult.nextval, 211, 87, 7);</v>
      </c>
    </row>
    <row r="217">
      <c r="A217" s="1">
        <v>212.0</v>
      </c>
      <c r="B217" s="1" t="s">
        <v>317</v>
      </c>
      <c r="C217" s="1">
        <v>212.0</v>
      </c>
      <c r="D217" s="2">
        <f t="shared" si="1"/>
        <v>77</v>
      </c>
      <c r="E217" s="2">
        <f t="shared" si="2"/>
        <v>32</v>
      </c>
      <c r="G217" s="2" t="str">
        <f t="shared" si="3"/>
        <v>INSERT INTO tblWrittenExamResult VALUES (seqWrittenExamResult.nextval, 212, 77, 32);</v>
      </c>
    </row>
    <row r="218">
      <c r="A218" s="1">
        <v>213.0</v>
      </c>
      <c r="B218" s="1" t="s">
        <v>317</v>
      </c>
      <c r="C218" s="1">
        <v>213.0</v>
      </c>
      <c r="D218" s="2">
        <f t="shared" si="1"/>
        <v>73</v>
      </c>
      <c r="E218" s="2">
        <f t="shared" si="2"/>
        <v>6</v>
      </c>
      <c r="G218" s="2" t="str">
        <f t="shared" si="3"/>
        <v>INSERT INTO tblWrittenExamResult VALUES (seqWrittenExamResult.nextval, 213, 73, 6);</v>
      </c>
    </row>
    <row r="219">
      <c r="A219" s="1">
        <v>214.0</v>
      </c>
      <c r="B219" s="1" t="s">
        <v>317</v>
      </c>
      <c r="C219" s="1">
        <v>214.0</v>
      </c>
      <c r="D219" s="2">
        <f t="shared" si="1"/>
        <v>72</v>
      </c>
      <c r="E219" s="2">
        <f t="shared" si="2"/>
        <v>19</v>
      </c>
      <c r="G219" s="2" t="str">
        <f t="shared" si="3"/>
        <v>INSERT INTO tblWrittenExamResult VALUES (seqWrittenExamResult.nextval, 214, 72, 19);</v>
      </c>
    </row>
    <row r="220">
      <c r="A220" s="1">
        <v>215.0</v>
      </c>
      <c r="B220" s="1" t="s">
        <v>317</v>
      </c>
      <c r="C220" s="1">
        <v>215.0</v>
      </c>
      <c r="D220" s="2">
        <f t="shared" si="1"/>
        <v>25</v>
      </c>
      <c r="E220" s="2">
        <f t="shared" si="2"/>
        <v>29</v>
      </c>
      <c r="G220" s="2" t="str">
        <f t="shared" si="3"/>
        <v>INSERT INTO tblWrittenExamResult VALUES (seqWrittenExamResult.nextval, 215, 25, 29);</v>
      </c>
    </row>
    <row r="221">
      <c r="A221" s="1">
        <v>216.0</v>
      </c>
      <c r="B221" s="1" t="s">
        <v>317</v>
      </c>
      <c r="C221" s="1">
        <v>216.0</v>
      </c>
      <c r="D221" s="2">
        <f t="shared" si="1"/>
        <v>87</v>
      </c>
      <c r="E221" s="2">
        <f t="shared" si="2"/>
        <v>22</v>
      </c>
      <c r="G221" s="2" t="str">
        <f t="shared" si="3"/>
        <v>INSERT INTO tblWrittenExamResult VALUES (seqWrittenExamResult.nextval, 216, 87, 22);</v>
      </c>
    </row>
    <row r="222">
      <c r="A222" s="1">
        <v>217.0</v>
      </c>
      <c r="B222" s="1" t="s">
        <v>317</v>
      </c>
      <c r="C222" s="1">
        <v>217.0</v>
      </c>
      <c r="D222" s="2">
        <f t="shared" si="1"/>
        <v>33</v>
      </c>
      <c r="E222" s="2">
        <f t="shared" si="2"/>
        <v>14</v>
      </c>
      <c r="G222" s="2" t="str">
        <f t="shared" si="3"/>
        <v>INSERT INTO tblWrittenExamResult VALUES (seqWrittenExamResult.nextval, 217, 33, 14);</v>
      </c>
    </row>
    <row r="223">
      <c r="A223" s="1">
        <v>218.0</v>
      </c>
      <c r="B223" s="1" t="s">
        <v>317</v>
      </c>
      <c r="C223" s="1">
        <v>218.0</v>
      </c>
      <c r="D223" s="2">
        <f t="shared" si="1"/>
        <v>76</v>
      </c>
      <c r="E223" s="2">
        <f t="shared" si="2"/>
        <v>11</v>
      </c>
      <c r="G223" s="2" t="str">
        <f t="shared" si="3"/>
        <v>INSERT INTO tblWrittenExamResult VALUES (seqWrittenExamResult.nextval, 218, 76, 11);</v>
      </c>
    </row>
    <row r="224">
      <c r="A224" s="1">
        <v>219.0</v>
      </c>
      <c r="B224" s="1" t="s">
        <v>317</v>
      </c>
      <c r="C224" s="1">
        <v>219.0</v>
      </c>
      <c r="D224" s="2">
        <f t="shared" si="1"/>
        <v>97</v>
      </c>
      <c r="E224" s="2">
        <f t="shared" si="2"/>
        <v>25</v>
      </c>
      <c r="G224" s="2" t="str">
        <f t="shared" si="3"/>
        <v>INSERT INTO tblWrittenExamResult VALUES (seqWrittenExamResult.nextval, 219, 97, 25);</v>
      </c>
    </row>
    <row r="225">
      <c r="A225" s="1">
        <v>220.0</v>
      </c>
      <c r="B225" s="1" t="s">
        <v>317</v>
      </c>
      <c r="C225" s="1">
        <v>220.0</v>
      </c>
      <c r="D225" s="2">
        <f t="shared" si="1"/>
        <v>48</v>
      </c>
      <c r="E225" s="2">
        <f t="shared" si="2"/>
        <v>14</v>
      </c>
      <c r="G225" s="2" t="str">
        <f t="shared" si="3"/>
        <v>INSERT INTO tblWrittenExamResult VALUES (seqWrittenExamResult.nextval, 220, 48, 14);</v>
      </c>
    </row>
    <row r="226">
      <c r="A226" s="1">
        <v>221.0</v>
      </c>
      <c r="B226" s="1" t="s">
        <v>317</v>
      </c>
      <c r="C226" s="1">
        <v>221.0</v>
      </c>
      <c r="D226" s="2">
        <f t="shared" si="1"/>
        <v>41</v>
      </c>
      <c r="E226" s="2">
        <f t="shared" si="2"/>
        <v>18</v>
      </c>
      <c r="G226" s="2" t="str">
        <f t="shared" si="3"/>
        <v>INSERT INTO tblWrittenExamResult VALUES (seqWrittenExamResult.nextval, 221, 41, 18);</v>
      </c>
    </row>
    <row r="227">
      <c r="A227" s="1">
        <v>222.0</v>
      </c>
      <c r="B227" s="1" t="s">
        <v>317</v>
      </c>
      <c r="C227" s="1">
        <v>222.0</v>
      </c>
      <c r="D227" s="2">
        <f t="shared" si="1"/>
        <v>47</v>
      </c>
      <c r="E227" s="2">
        <f t="shared" si="2"/>
        <v>28</v>
      </c>
      <c r="G227" s="2" t="str">
        <f t="shared" si="3"/>
        <v>INSERT INTO tblWrittenExamResult VALUES (seqWrittenExamResult.nextval, 222, 47, 28);</v>
      </c>
    </row>
    <row r="228">
      <c r="A228" s="1">
        <v>223.0</v>
      </c>
      <c r="B228" s="1" t="s">
        <v>317</v>
      </c>
      <c r="C228" s="1">
        <v>223.0</v>
      </c>
      <c r="D228" s="2">
        <f t="shared" si="1"/>
        <v>38</v>
      </c>
      <c r="E228" s="2">
        <f t="shared" si="2"/>
        <v>17</v>
      </c>
      <c r="G228" s="2" t="str">
        <f t="shared" si="3"/>
        <v>INSERT INTO tblWrittenExamResult VALUES (seqWrittenExamResult.nextval, 223, 38, 17);</v>
      </c>
    </row>
    <row r="229">
      <c r="A229" s="1">
        <v>224.0</v>
      </c>
      <c r="B229" s="1" t="s">
        <v>317</v>
      </c>
      <c r="C229" s="1">
        <v>224.0</v>
      </c>
      <c r="D229" s="2">
        <f t="shared" si="1"/>
        <v>71</v>
      </c>
      <c r="E229" s="2">
        <f t="shared" si="2"/>
        <v>10</v>
      </c>
      <c r="G229" s="2" t="str">
        <f t="shared" si="3"/>
        <v>INSERT INTO tblWrittenExamResult VALUES (seqWrittenExamResult.nextval, 224, 71, 10);</v>
      </c>
    </row>
    <row r="230">
      <c r="A230" s="1">
        <v>225.0</v>
      </c>
      <c r="B230" s="1" t="s">
        <v>317</v>
      </c>
      <c r="C230" s="1">
        <v>225.0</v>
      </c>
      <c r="D230" s="2">
        <f t="shared" si="1"/>
        <v>60</v>
      </c>
      <c r="E230" s="2">
        <f t="shared" si="2"/>
        <v>13</v>
      </c>
      <c r="G230" s="2" t="str">
        <f t="shared" si="3"/>
        <v>INSERT INTO tblWrittenExamResult VALUES (seqWrittenExamResult.nextval, 225, 60, 13);</v>
      </c>
    </row>
    <row r="231">
      <c r="A231" s="1">
        <v>226.0</v>
      </c>
      <c r="B231" s="1" t="s">
        <v>317</v>
      </c>
      <c r="C231" s="1">
        <v>226.0</v>
      </c>
      <c r="D231" s="2">
        <f t="shared" si="1"/>
        <v>57</v>
      </c>
      <c r="E231" s="2">
        <f t="shared" si="2"/>
        <v>32</v>
      </c>
      <c r="G231" s="2" t="str">
        <f t="shared" si="3"/>
        <v>INSERT INTO tblWrittenExamResult VALUES (seqWrittenExamResult.nextval, 226, 57, 32);</v>
      </c>
    </row>
    <row r="232">
      <c r="A232" s="1">
        <v>227.0</v>
      </c>
      <c r="B232" s="1" t="s">
        <v>317</v>
      </c>
      <c r="C232" s="1">
        <v>227.0</v>
      </c>
      <c r="D232" s="2">
        <f t="shared" si="1"/>
        <v>56</v>
      </c>
      <c r="E232" s="2">
        <f t="shared" si="2"/>
        <v>3</v>
      </c>
      <c r="G232" s="2" t="str">
        <f t="shared" si="3"/>
        <v>INSERT INTO tblWrittenExamResult VALUES (seqWrittenExamResult.nextval, 227, 56, 3);</v>
      </c>
    </row>
    <row r="233">
      <c r="A233" s="1">
        <v>228.0</v>
      </c>
      <c r="B233" s="1" t="s">
        <v>317</v>
      </c>
      <c r="C233" s="1">
        <v>228.0</v>
      </c>
      <c r="D233" s="2">
        <f t="shared" si="1"/>
        <v>54</v>
      </c>
      <c r="E233" s="2">
        <f t="shared" si="2"/>
        <v>23</v>
      </c>
      <c r="G233" s="2" t="str">
        <f t="shared" si="3"/>
        <v>INSERT INTO tblWrittenExamResult VALUES (seqWrittenExamResult.nextval, 228, 54, 23);</v>
      </c>
    </row>
    <row r="234">
      <c r="A234" s="1">
        <v>229.0</v>
      </c>
      <c r="B234" s="1" t="s">
        <v>317</v>
      </c>
      <c r="C234" s="1">
        <v>229.0</v>
      </c>
      <c r="D234" s="2">
        <f t="shared" si="1"/>
        <v>70</v>
      </c>
      <c r="E234" s="2">
        <f t="shared" si="2"/>
        <v>15</v>
      </c>
      <c r="G234" s="2" t="str">
        <f t="shared" si="3"/>
        <v>INSERT INTO tblWrittenExamResult VALUES (seqWrittenExamResult.nextval, 229, 70, 15);</v>
      </c>
    </row>
    <row r="235">
      <c r="A235" s="1">
        <v>230.0</v>
      </c>
      <c r="B235" s="1" t="s">
        <v>317</v>
      </c>
      <c r="C235" s="1">
        <v>230.0</v>
      </c>
      <c r="D235" s="2">
        <f t="shared" si="1"/>
        <v>24</v>
      </c>
      <c r="E235" s="2">
        <f t="shared" si="2"/>
        <v>25</v>
      </c>
      <c r="G235" s="2" t="str">
        <f t="shared" si="3"/>
        <v>INSERT INTO tblWrittenExamResult VALUES (seqWrittenExamResult.nextval, 230, 24, 25);</v>
      </c>
    </row>
    <row r="236">
      <c r="A236" s="1">
        <v>231.0</v>
      </c>
      <c r="B236" s="1" t="s">
        <v>317</v>
      </c>
      <c r="C236" s="1">
        <v>231.0</v>
      </c>
      <c r="D236" s="2">
        <f t="shared" si="1"/>
        <v>88</v>
      </c>
      <c r="E236" s="2">
        <f t="shared" si="2"/>
        <v>12</v>
      </c>
      <c r="G236" s="2" t="str">
        <f t="shared" si="3"/>
        <v>INSERT INTO tblWrittenExamResult VALUES (seqWrittenExamResult.nextval, 231, 88, 12);</v>
      </c>
    </row>
    <row r="237">
      <c r="A237" s="1">
        <v>232.0</v>
      </c>
      <c r="B237" s="1" t="s">
        <v>317</v>
      </c>
      <c r="C237" s="1">
        <v>232.0</v>
      </c>
      <c r="D237" s="2">
        <f t="shared" si="1"/>
        <v>20</v>
      </c>
      <c r="E237" s="2">
        <f t="shared" si="2"/>
        <v>10</v>
      </c>
      <c r="G237" s="2" t="str">
        <f t="shared" si="3"/>
        <v>INSERT INTO tblWrittenExamResult VALUES (seqWrittenExamResult.nextval, 232, 20, 10);</v>
      </c>
    </row>
    <row r="238">
      <c r="A238" s="1">
        <v>233.0</v>
      </c>
      <c r="B238" s="1" t="s">
        <v>317</v>
      </c>
      <c r="C238" s="1">
        <v>233.0</v>
      </c>
      <c r="D238" s="2">
        <f t="shared" si="1"/>
        <v>95</v>
      </c>
      <c r="E238" s="2">
        <f t="shared" si="2"/>
        <v>15</v>
      </c>
      <c r="G238" s="2" t="str">
        <f t="shared" si="3"/>
        <v>INSERT INTO tblWrittenExamResult VALUES (seqWrittenExamResult.nextval, 233, 95, 15);</v>
      </c>
    </row>
    <row r="239">
      <c r="A239" s="1">
        <v>234.0</v>
      </c>
      <c r="B239" s="1" t="s">
        <v>317</v>
      </c>
      <c r="C239" s="1">
        <v>234.0</v>
      </c>
      <c r="D239" s="2">
        <f t="shared" si="1"/>
        <v>43</v>
      </c>
      <c r="E239" s="2">
        <f t="shared" si="2"/>
        <v>31</v>
      </c>
      <c r="G239" s="2" t="str">
        <f t="shared" si="3"/>
        <v>INSERT INTO tblWrittenExamResult VALUES (seqWrittenExamResult.nextval, 234, 43, 31);</v>
      </c>
    </row>
    <row r="240">
      <c r="A240" s="1">
        <v>235.0</v>
      </c>
      <c r="B240" s="1" t="s">
        <v>317</v>
      </c>
      <c r="C240" s="1">
        <v>235.0</v>
      </c>
      <c r="D240" s="2">
        <f t="shared" si="1"/>
        <v>49</v>
      </c>
      <c r="E240" s="2">
        <f t="shared" si="2"/>
        <v>13</v>
      </c>
      <c r="G240" s="2" t="str">
        <f t="shared" si="3"/>
        <v>INSERT INTO tblWrittenExamResult VALUES (seqWrittenExamResult.nextval, 235, 49, 13);</v>
      </c>
    </row>
    <row r="241">
      <c r="A241" s="1">
        <v>236.0</v>
      </c>
      <c r="B241" s="1" t="s">
        <v>317</v>
      </c>
      <c r="C241" s="1">
        <v>236.0</v>
      </c>
      <c r="D241" s="2">
        <f t="shared" si="1"/>
        <v>40</v>
      </c>
      <c r="E241" s="2">
        <f t="shared" si="2"/>
        <v>21</v>
      </c>
      <c r="G241" s="2" t="str">
        <f t="shared" si="3"/>
        <v>INSERT INTO tblWrittenExamResult VALUES (seqWrittenExamResult.nextval, 236, 40, 21);</v>
      </c>
    </row>
    <row r="242">
      <c r="A242" s="1">
        <v>237.0</v>
      </c>
      <c r="B242" s="1" t="s">
        <v>317</v>
      </c>
      <c r="C242" s="1">
        <v>237.0</v>
      </c>
      <c r="D242" s="2">
        <f t="shared" si="1"/>
        <v>75</v>
      </c>
      <c r="E242" s="2">
        <f t="shared" si="2"/>
        <v>28</v>
      </c>
      <c r="G242" s="2" t="str">
        <f t="shared" si="3"/>
        <v>INSERT INTO tblWrittenExamResult VALUES (seqWrittenExamResult.nextval, 237, 75, 28);</v>
      </c>
    </row>
    <row r="243">
      <c r="A243" s="1">
        <v>238.0</v>
      </c>
      <c r="B243" s="1" t="s">
        <v>317</v>
      </c>
      <c r="C243" s="1">
        <v>238.0</v>
      </c>
      <c r="D243" s="2">
        <f t="shared" si="1"/>
        <v>24</v>
      </c>
      <c r="E243" s="2">
        <f t="shared" si="2"/>
        <v>15</v>
      </c>
      <c r="G243" s="2" t="str">
        <f t="shared" si="3"/>
        <v>INSERT INTO tblWrittenExamResult VALUES (seqWrittenExamResult.nextval, 238, 24, 15);</v>
      </c>
    </row>
    <row r="244">
      <c r="A244" s="1">
        <v>239.0</v>
      </c>
      <c r="B244" s="1" t="s">
        <v>317</v>
      </c>
      <c r="C244" s="1">
        <v>239.0</v>
      </c>
      <c r="D244" s="2">
        <f t="shared" si="1"/>
        <v>66</v>
      </c>
      <c r="E244" s="2">
        <f t="shared" si="2"/>
        <v>33</v>
      </c>
      <c r="G244" s="2" t="str">
        <f t="shared" si="3"/>
        <v>INSERT INTO tblWrittenExamResult VALUES (seqWrittenExamResult.nextval, 239, 66, 33);</v>
      </c>
    </row>
    <row r="245">
      <c r="A245" s="1">
        <v>240.0</v>
      </c>
      <c r="B245" s="1" t="s">
        <v>317</v>
      </c>
      <c r="C245" s="1">
        <v>240.0</v>
      </c>
      <c r="D245" s="2">
        <f t="shared" si="1"/>
        <v>58</v>
      </c>
      <c r="E245" s="2">
        <f t="shared" si="2"/>
        <v>22</v>
      </c>
      <c r="G245" s="2" t="str">
        <f t="shared" si="3"/>
        <v>INSERT INTO tblWrittenExamResult VALUES (seqWrittenExamResult.nextval, 240, 58, 22);</v>
      </c>
    </row>
    <row r="246">
      <c r="A246" s="1">
        <v>241.0</v>
      </c>
      <c r="B246" s="1" t="s">
        <v>317</v>
      </c>
      <c r="C246" s="1">
        <v>241.0</v>
      </c>
      <c r="D246" s="2">
        <f t="shared" si="1"/>
        <v>84</v>
      </c>
      <c r="E246" s="2">
        <f t="shared" si="2"/>
        <v>23</v>
      </c>
      <c r="G246" s="2" t="str">
        <f t="shared" si="3"/>
        <v>INSERT INTO tblWrittenExamResult VALUES (seqWrittenExamResult.nextval, 241, 84, 23);</v>
      </c>
    </row>
    <row r="247">
      <c r="A247" s="1">
        <v>242.0</v>
      </c>
      <c r="B247" s="1" t="s">
        <v>317</v>
      </c>
      <c r="C247" s="1">
        <v>242.0</v>
      </c>
      <c r="D247" s="2">
        <f t="shared" si="1"/>
        <v>74</v>
      </c>
      <c r="E247" s="2">
        <f t="shared" si="2"/>
        <v>1</v>
      </c>
      <c r="G247" s="2" t="str">
        <f t="shared" si="3"/>
        <v>INSERT INTO tblWrittenExamResult VALUES (seqWrittenExamResult.nextval, 242, 74, 1);</v>
      </c>
    </row>
    <row r="248">
      <c r="A248" s="1">
        <v>243.0</v>
      </c>
      <c r="B248" s="1" t="s">
        <v>317</v>
      </c>
      <c r="C248" s="1">
        <v>243.0</v>
      </c>
      <c r="D248" s="2">
        <f t="shared" si="1"/>
        <v>69</v>
      </c>
      <c r="E248" s="2">
        <f t="shared" si="2"/>
        <v>29</v>
      </c>
      <c r="G248" s="2" t="str">
        <f t="shared" si="3"/>
        <v>INSERT INTO tblWrittenExamResult VALUES (seqWrittenExamResult.nextval, 243, 69, 29);</v>
      </c>
    </row>
    <row r="249">
      <c r="A249" s="1">
        <v>244.0</v>
      </c>
      <c r="B249" s="1" t="s">
        <v>317</v>
      </c>
      <c r="C249" s="1">
        <v>244.0</v>
      </c>
      <c r="D249" s="2">
        <f t="shared" si="1"/>
        <v>90</v>
      </c>
      <c r="E249" s="2">
        <f t="shared" si="2"/>
        <v>14</v>
      </c>
      <c r="G249" s="2" t="str">
        <f t="shared" si="3"/>
        <v>INSERT INTO tblWrittenExamResult VALUES (seqWrittenExamResult.nextval, 244, 90, 14);</v>
      </c>
    </row>
    <row r="250">
      <c r="A250" s="1">
        <v>245.0</v>
      </c>
      <c r="B250" s="1" t="s">
        <v>317</v>
      </c>
      <c r="C250" s="1">
        <v>245.0</v>
      </c>
      <c r="D250" s="2">
        <f t="shared" si="1"/>
        <v>84</v>
      </c>
      <c r="E250" s="2">
        <f t="shared" si="2"/>
        <v>27</v>
      </c>
      <c r="G250" s="2" t="str">
        <f t="shared" si="3"/>
        <v>INSERT INTO tblWrittenExamResult VALUES (seqWrittenExamResult.nextval, 245, 84, 27);</v>
      </c>
    </row>
    <row r="251">
      <c r="A251" s="1">
        <v>246.0</v>
      </c>
      <c r="B251" s="1" t="s">
        <v>317</v>
      </c>
      <c r="C251" s="1">
        <v>246.0</v>
      </c>
      <c r="D251" s="2">
        <f t="shared" si="1"/>
        <v>79</v>
      </c>
      <c r="E251" s="2">
        <f t="shared" si="2"/>
        <v>8</v>
      </c>
      <c r="G251" s="2" t="str">
        <f t="shared" si="3"/>
        <v>INSERT INTO tblWrittenExamResult VALUES (seqWrittenExamResult.nextval, 246, 79, 8);</v>
      </c>
    </row>
    <row r="252">
      <c r="A252" s="1">
        <v>247.0</v>
      </c>
      <c r="B252" s="1" t="s">
        <v>317</v>
      </c>
      <c r="C252" s="1">
        <v>247.0</v>
      </c>
      <c r="D252" s="2">
        <f t="shared" si="1"/>
        <v>28</v>
      </c>
      <c r="E252" s="2">
        <f t="shared" si="2"/>
        <v>9</v>
      </c>
      <c r="G252" s="2" t="str">
        <f t="shared" si="3"/>
        <v>INSERT INTO tblWrittenExamResult VALUES (seqWrittenExamResult.nextval, 247, 28, 9);</v>
      </c>
    </row>
    <row r="253">
      <c r="A253" s="1">
        <v>248.0</v>
      </c>
      <c r="B253" s="1" t="s">
        <v>317</v>
      </c>
      <c r="C253" s="1">
        <v>248.0</v>
      </c>
      <c r="D253" s="2">
        <f t="shared" si="1"/>
        <v>83</v>
      </c>
      <c r="E253" s="2">
        <f t="shared" si="2"/>
        <v>7</v>
      </c>
      <c r="G253" s="2" t="str">
        <f t="shared" si="3"/>
        <v>INSERT INTO tblWrittenExamResult VALUES (seqWrittenExamResult.nextval, 248, 83, 7);</v>
      </c>
    </row>
    <row r="254">
      <c r="A254" s="1">
        <v>249.0</v>
      </c>
      <c r="B254" s="1" t="s">
        <v>317</v>
      </c>
      <c r="C254" s="1">
        <v>249.0</v>
      </c>
      <c r="D254" s="2">
        <f t="shared" si="1"/>
        <v>24</v>
      </c>
      <c r="E254" s="2">
        <f t="shared" si="2"/>
        <v>14</v>
      </c>
      <c r="G254" s="2" t="str">
        <f t="shared" si="3"/>
        <v>INSERT INTO tblWrittenExamResult VALUES (seqWrittenExamResult.nextval, 249, 24, 14);</v>
      </c>
    </row>
    <row r="255">
      <c r="A255" s="1">
        <v>250.0</v>
      </c>
      <c r="B255" s="1" t="s">
        <v>317</v>
      </c>
      <c r="C255" s="1">
        <v>250.0</v>
      </c>
      <c r="D255" s="2">
        <f t="shared" si="1"/>
        <v>36</v>
      </c>
      <c r="E255" s="2">
        <f t="shared" si="2"/>
        <v>22</v>
      </c>
      <c r="G255" s="2" t="str">
        <f t="shared" si="3"/>
        <v>INSERT INTO tblWrittenExamResult VALUES (seqWrittenExamResult.nextval, 250, 36, 22);</v>
      </c>
    </row>
    <row r="256">
      <c r="A256" s="1">
        <v>251.0</v>
      </c>
      <c r="B256" s="1" t="s">
        <v>317</v>
      </c>
      <c r="C256" s="1">
        <v>251.0</v>
      </c>
      <c r="D256" s="2">
        <f t="shared" si="1"/>
        <v>31</v>
      </c>
      <c r="E256" s="2">
        <f t="shared" si="2"/>
        <v>8</v>
      </c>
      <c r="G256" s="2" t="str">
        <f t="shared" si="3"/>
        <v>INSERT INTO tblWrittenExamResult VALUES (seqWrittenExamResult.nextval, 251, 31, 8);</v>
      </c>
    </row>
    <row r="257">
      <c r="A257" s="1">
        <v>252.0</v>
      </c>
      <c r="B257" s="1" t="s">
        <v>317</v>
      </c>
      <c r="C257" s="1">
        <v>252.0</v>
      </c>
      <c r="D257" s="2">
        <f t="shared" si="1"/>
        <v>52</v>
      </c>
      <c r="E257" s="2">
        <f t="shared" si="2"/>
        <v>11</v>
      </c>
      <c r="G257" s="2" t="str">
        <f t="shared" si="3"/>
        <v>INSERT INTO tblWrittenExamResult VALUES (seqWrittenExamResult.nextval, 252, 52, 11);</v>
      </c>
    </row>
    <row r="258">
      <c r="A258" s="1">
        <v>253.0</v>
      </c>
      <c r="B258" s="1" t="s">
        <v>317</v>
      </c>
      <c r="C258" s="1">
        <v>253.0</v>
      </c>
      <c r="D258" s="2">
        <f t="shared" si="1"/>
        <v>85</v>
      </c>
      <c r="E258" s="2">
        <f t="shared" si="2"/>
        <v>15</v>
      </c>
      <c r="G258" s="2" t="str">
        <f t="shared" si="3"/>
        <v>INSERT INTO tblWrittenExamResult VALUES (seqWrittenExamResult.nextval, 253, 85, 15);</v>
      </c>
    </row>
    <row r="259">
      <c r="A259" s="1">
        <v>254.0</v>
      </c>
      <c r="B259" s="1" t="s">
        <v>317</v>
      </c>
      <c r="C259" s="1">
        <v>254.0</v>
      </c>
      <c r="D259" s="2">
        <f t="shared" si="1"/>
        <v>68</v>
      </c>
      <c r="E259" s="2">
        <f t="shared" si="2"/>
        <v>27</v>
      </c>
      <c r="G259" s="2" t="str">
        <f t="shared" si="3"/>
        <v>INSERT INTO tblWrittenExamResult VALUES (seqWrittenExamResult.nextval, 254, 68, 27);</v>
      </c>
    </row>
    <row r="260">
      <c r="A260" s="1">
        <v>255.0</v>
      </c>
      <c r="B260" s="1" t="s">
        <v>317</v>
      </c>
      <c r="C260" s="1">
        <v>255.0</v>
      </c>
      <c r="D260" s="2">
        <f t="shared" si="1"/>
        <v>20</v>
      </c>
      <c r="E260" s="2">
        <f t="shared" si="2"/>
        <v>27</v>
      </c>
      <c r="G260" s="2" t="str">
        <f t="shared" si="3"/>
        <v>INSERT INTO tblWrittenExamResult VALUES (seqWrittenExamResult.nextval, 255, 20, 27);</v>
      </c>
    </row>
    <row r="261">
      <c r="A261" s="1">
        <v>256.0</v>
      </c>
      <c r="B261" s="1" t="s">
        <v>317</v>
      </c>
      <c r="C261" s="1">
        <v>256.0</v>
      </c>
      <c r="D261" s="2">
        <f t="shared" si="1"/>
        <v>54</v>
      </c>
      <c r="E261" s="2">
        <f t="shared" si="2"/>
        <v>23</v>
      </c>
      <c r="G261" s="2" t="str">
        <f t="shared" si="3"/>
        <v>INSERT INTO tblWrittenExamResult VALUES (seqWrittenExamResult.nextval, 256, 54, 23);</v>
      </c>
    </row>
    <row r="262">
      <c r="A262" s="1">
        <v>257.0</v>
      </c>
      <c r="B262" s="1" t="s">
        <v>317</v>
      </c>
      <c r="C262" s="1">
        <v>257.0</v>
      </c>
      <c r="D262" s="2">
        <f t="shared" si="1"/>
        <v>81</v>
      </c>
      <c r="E262" s="2">
        <f t="shared" si="2"/>
        <v>26</v>
      </c>
      <c r="G262" s="2" t="str">
        <f t="shared" si="3"/>
        <v>INSERT INTO tblWrittenExamResult VALUES (seqWrittenExamResult.nextval, 257, 81, 26);</v>
      </c>
    </row>
    <row r="263">
      <c r="A263" s="1">
        <v>258.0</v>
      </c>
      <c r="B263" s="1" t="s">
        <v>317</v>
      </c>
      <c r="C263" s="1">
        <v>258.0</v>
      </c>
      <c r="D263" s="2">
        <f t="shared" si="1"/>
        <v>30</v>
      </c>
      <c r="E263" s="2">
        <f t="shared" si="2"/>
        <v>21</v>
      </c>
      <c r="G263" s="2" t="str">
        <f t="shared" si="3"/>
        <v>INSERT INTO tblWrittenExamResult VALUES (seqWrittenExamResult.nextval, 258, 30, 21);</v>
      </c>
    </row>
    <row r="264">
      <c r="A264" s="1">
        <v>259.0</v>
      </c>
      <c r="B264" s="1" t="s">
        <v>317</v>
      </c>
      <c r="C264" s="1">
        <v>259.0</v>
      </c>
      <c r="D264" s="2">
        <f t="shared" si="1"/>
        <v>70</v>
      </c>
      <c r="E264" s="2">
        <f t="shared" si="2"/>
        <v>2</v>
      </c>
      <c r="G264" s="2" t="str">
        <f t="shared" si="3"/>
        <v>INSERT INTO tblWrittenExamResult VALUES (seqWrittenExamResult.nextval, 259, 70, 2);</v>
      </c>
    </row>
    <row r="265">
      <c r="A265" s="1">
        <v>260.0</v>
      </c>
      <c r="B265" s="1" t="s">
        <v>317</v>
      </c>
      <c r="C265" s="1">
        <v>260.0</v>
      </c>
      <c r="D265" s="2">
        <f t="shared" si="1"/>
        <v>55</v>
      </c>
      <c r="E265" s="2">
        <f t="shared" si="2"/>
        <v>3</v>
      </c>
      <c r="G265" s="2" t="str">
        <f t="shared" si="3"/>
        <v>INSERT INTO tblWrittenExamResult VALUES (seqWrittenExamResult.nextval, 260, 55, 3);</v>
      </c>
    </row>
    <row r="266">
      <c r="A266" s="1">
        <v>261.0</v>
      </c>
      <c r="B266" s="1" t="s">
        <v>317</v>
      </c>
      <c r="C266" s="1">
        <v>261.0</v>
      </c>
      <c r="D266" s="2">
        <f t="shared" si="1"/>
        <v>89</v>
      </c>
      <c r="E266" s="2">
        <f t="shared" si="2"/>
        <v>1</v>
      </c>
      <c r="G266" s="2" t="str">
        <f t="shared" si="3"/>
        <v>INSERT INTO tblWrittenExamResult VALUES (seqWrittenExamResult.nextval, 261, 89, 1);</v>
      </c>
    </row>
    <row r="267">
      <c r="A267" s="1">
        <v>262.0</v>
      </c>
      <c r="B267" s="1" t="s">
        <v>317</v>
      </c>
      <c r="C267" s="1">
        <v>262.0</v>
      </c>
      <c r="D267" s="2">
        <f t="shared" si="1"/>
        <v>88</v>
      </c>
      <c r="E267" s="2">
        <f t="shared" si="2"/>
        <v>25</v>
      </c>
      <c r="G267" s="2" t="str">
        <f t="shared" si="3"/>
        <v>INSERT INTO tblWrittenExamResult VALUES (seqWrittenExamResult.nextval, 262, 88, 25);</v>
      </c>
    </row>
    <row r="268">
      <c r="A268" s="1">
        <v>263.0</v>
      </c>
      <c r="B268" s="1" t="s">
        <v>317</v>
      </c>
      <c r="C268" s="1">
        <v>263.0</v>
      </c>
      <c r="D268" s="2">
        <f t="shared" si="1"/>
        <v>63</v>
      </c>
      <c r="E268" s="2">
        <f t="shared" si="2"/>
        <v>6</v>
      </c>
      <c r="G268" s="2" t="str">
        <f t="shared" si="3"/>
        <v>INSERT INTO tblWrittenExamResult VALUES (seqWrittenExamResult.nextval, 263, 63, 6);</v>
      </c>
    </row>
    <row r="269">
      <c r="A269" s="1">
        <v>264.0</v>
      </c>
      <c r="B269" s="1" t="s">
        <v>317</v>
      </c>
      <c r="C269" s="1">
        <v>264.0</v>
      </c>
      <c r="D269" s="2">
        <f t="shared" si="1"/>
        <v>95</v>
      </c>
      <c r="E269" s="2">
        <f t="shared" si="2"/>
        <v>10</v>
      </c>
      <c r="G269" s="2" t="str">
        <f t="shared" si="3"/>
        <v>INSERT INTO tblWrittenExamResult VALUES (seqWrittenExamResult.nextval, 264, 95, 10);</v>
      </c>
    </row>
    <row r="270">
      <c r="A270" s="1">
        <v>265.0</v>
      </c>
      <c r="B270" s="1" t="s">
        <v>317</v>
      </c>
      <c r="C270" s="1">
        <v>265.0</v>
      </c>
      <c r="D270" s="2">
        <f t="shared" si="1"/>
        <v>78</v>
      </c>
      <c r="E270" s="2">
        <f t="shared" si="2"/>
        <v>33</v>
      </c>
      <c r="G270" s="2" t="str">
        <f t="shared" si="3"/>
        <v>INSERT INTO tblWrittenExamResult VALUES (seqWrittenExamResult.nextval, 265, 78, 33);</v>
      </c>
    </row>
    <row r="271">
      <c r="A271" s="1">
        <v>266.0</v>
      </c>
      <c r="B271" s="1" t="s">
        <v>317</v>
      </c>
      <c r="C271" s="1">
        <v>266.0</v>
      </c>
      <c r="D271" s="2">
        <f t="shared" si="1"/>
        <v>70</v>
      </c>
      <c r="E271" s="2">
        <f t="shared" si="2"/>
        <v>2</v>
      </c>
      <c r="G271" s="2" t="str">
        <f t="shared" si="3"/>
        <v>INSERT INTO tblWrittenExamResult VALUES (seqWrittenExamResult.nextval, 266, 70, 2);</v>
      </c>
    </row>
    <row r="272">
      <c r="A272" s="1">
        <v>267.0</v>
      </c>
      <c r="B272" s="1" t="s">
        <v>317</v>
      </c>
      <c r="C272" s="1">
        <v>267.0</v>
      </c>
      <c r="D272" s="2">
        <f t="shared" si="1"/>
        <v>33</v>
      </c>
      <c r="E272" s="2">
        <f t="shared" si="2"/>
        <v>31</v>
      </c>
      <c r="G272" s="2" t="str">
        <f t="shared" si="3"/>
        <v>INSERT INTO tblWrittenExamResult VALUES (seqWrittenExamResult.nextval, 267, 33, 31);</v>
      </c>
    </row>
    <row r="273">
      <c r="A273" s="1">
        <v>268.0</v>
      </c>
      <c r="B273" s="1" t="s">
        <v>317</v>
      </c>
      <c r="C273" s="1">
        <v>268.0</v>
      </c>
      <c r="D273" s="2">
        <f t="shared" si="1"/>
        <v>44</v>
      </c>
      <c r="E273" s="2">
        <f t="shared" si="2"/>
        <v>13</v>
      </c>
      <c r="G273" s="2" t="str">
        <f t="shared" si="3"/>
        <v>INSERT INTO tblWrittenExamResult VALUES (seqWrittenExamResult.nextval, 268, 44, 13);</v>
      </c>
    </row>
    <row r="274">
      <c r="A274" s="1">
        <v>269.0</v>
      </c>
      <c r="B274" s="1" t="s">
        <v>317</v>
      </c>
      <c r="C274" s="1">
        <v>269.0</v>
      </c>
      <c r="D274" s="2">
        <f t="shared" si="1"/>
        <v>20</v>
      </c>
      <c r="E274" s="2">
        <f t="shared" si="2"/>
        <v>8</v>
      </c>
      <c r="G274" s="2" t="str">
        <f t="shared" si="3"/>
        <v>INSERT INTO tblWrittenExamResult VALUES (seqWrittenExamResult.nextval, 269, 20, 8);</v>
      </c>
    </row>
    <row r="275">
      <c r="A275" s="1">
        <v>270.0</v>
      </c>
      <c r="B275" s="1" t="s">
        <v>317</v>
      </c>
      <c r="C275" s="1">
        <v>270.0</v>
      </c>
      <c r="D275" s="2">
        <f t="shared" si="1"/>
        <v>92</v>
      </c>
      <c r="E275" s="2">
        <f t="shared" si="2"/>
        <v>12</v>
      </c>
      <c r="G275" s="2" t="str">
        <f t="shared" si="3"/>
        <v>INSERT INTO tblWrittenExamResult VALUES (seqWrittenExamResult.nextval, 270, 92, 12);</v>
      </c>
    </row>
    <row r="276">
      <c r="A276" s="1">
        <v>271.0</v>
      </c>
      <c r="B276" s="1" t="s">
        <v>317</v>
      </c>
      <c r="C276" s="1">
        <v>271.0</v>
      </c>
      <c r="D276" s="2">
        <f t="shared" si="1"/>
        <v>97</v>
      </c>
      <c r="E276" s="2">
        <f t="shared" si="2"/>
        <v>7</v>
      </c>
      <c r="G276" s="2" t="str">
        <f t="shared" si="3"/>
        <v>INSERT INTO tblWrittenExamResult VALUES (seqWrittenExamResult.nextval, 271, 97, 7);</v>
      </c>
    </row>
    <row r="277">
      <c r="A277" s="1">
        <v>272.0</v>
      </c>
      <c r="B277" s="1" t="s">
        <v>317</v>
      </c>
      <c r="C277" s="1">
        <v>272.0</v>
      </c>
      <c r="D277" s="2">
        <f t="shared" si="1"/>
        <v>35</v>
      </c>
      <c r="E277" s="2">
        <f t="shared" si="2"/>
        <v>8</v>
      </c>
      <c r="G277" s="2" t="str">
        <f t="shared" si="3"/>
        <v>INSERT INTO tblWrittenExamResult VALUES (seqWrittenExamResult.nextval, 272, 35, 8);</v>
      </c>
    </row>
    <row r="278">
      <c r="A278" s="1">
        <v>273.0</v>
      </c>
      <c r="B278" s="1" t="s">
        <v>317</v>
      </c>
      <c r="C278" s="1">
        <v>273.0</v>
      </c>
      <c r="D278" s="2">
        <f t="shared" si="1"/>
        <v>20</v>
      </c>
      <c r="E278" s="2">
        <f t="shared" si="2"/>
        <v>22</v>
      </c>
      <c r="G278" s="2" t="str">
        <f t="shared" si="3"/>
        <v>INSERT INTO tblWrittenExamResult VALUES (seqWrittenExamResult.nextval, 273, 20, 22);</v>
      </c>
    </row>
    <row r="279">
      <c r="A279" s="1">
        <v>274.0</v>
      </c>
      <c r="B279" s="1" t="s">
        <v>317</v>
      </c>
      <c r="C279" s="1">
        <v>274.0</v>
      </c>
      <c r="D279" s="2">
        <f t="shared" si="1"/>
        <v>55</v>
      </c>
      <c r="E279" s="2">
        <f t="shared" si="2"/>
        <v>31</v>
      </c>
      <c r="G279" s="2" t="str">
        <f t="shared" si="3"/>
        <v>INSERT INTO tblWrittenExamResult VALUES (seqWrittenExamResult.nextval, 274, 55, 31);</v>
      </c>
    </row>
    <row r="280">
      <c r="A280" s="1">
        <v>275.0</v>
      </c>
      <c r="B280" s="1" t="s">
        <v>317</v>
      </c>
      <c r="C280" s="1">
        <v>275.0</v>
      </c>
      <c r="D280" s="2">
        <f t="shared" si="1"/>
        <v>99</v>
      </c>
      <c r="E280" s="2">
        <f t="shared" si="2"/>
        <v>12</v>
      </c>
      <c r="G280" s="2" t="str">
        <f t="shared" si="3"/>
        <v>INSERT INTO tblWrittenExamResult VALUES (seqWrittenExamResult.nextval, 275, 99, 12);</v>
      </c>
    </row>
    <row r="281">
      <c r="A281" s="1">
        <v>276.0</v>
      </c>
      <c r="B281" s="1" t="s">
        <v>317</v>
      </c>
      <c r="C281" s="1">
        <v>276.0</v>
      </c>
      <c r="D281" s="2">
        <f t="shared" si="1"/>
        <v>28</v>
      </c>
      <c r="E281" s="2">
        <f t="shared" si="2"/>
        <v>25</v>
      </c>
      <c r="G281" s="2" t="str">
        <f t="shared" si="3"/>
        <v>INSERT INTO tblWrittenExamResult VALUES (seqWrittenExamResult.nextval, 276, 28, 25);</v>
      </c>
    </row>
    <row r="282">
      <c r="A282" s="1">
        <v>277.0</v>
      </c>
      <c r="B282" s="1" t="s">
        <v>317</v>
      </c>
      <c r="C282" s="1">
        <v>277.0</v>
      </c>
      <c r="D282" s="2">
        <f t="shared" si="1"/>
        <v>68</v>
      </c>
      <c r="E282" s="2">
        <f t="shared" si="2"/>
        <v>14</v>
      </c>
      <c r="G282" s="2" t="str">
        <f t="shared" si="3"/>
        <v>INSERT INTO tblWrittenExamResult VALUES (seqWrittenExamResult.nextval, 277, 68, 14);</v>
      </c>
    </row>
    <row r="283">
      <c r="A283" s="1">
        <v>278.0</v>
      </c>
      <c r="B283" s="1" t="s">
        <v>317</v>
      </c>
      <c r="C283" s="1">
        <v>278.0</v>
      </c>
      <c r="D283" s="2">
        <f t="shared" si="1"/>
        <v>44</v>
      </c>
      <c r="E283" s="2">
        <f t="shared" si="2"/>
        <v>27</v>
      </c>
      <c r="G283" s="2" t="str">
        <f t="shared" si="3"/>
        <v>INSERT INTO tblWrittenExamResult VALUES (seqWrittenExamResult.nextval, 278, 44, 27);</v>
      </c>
    </row>
    <row r="284">
      <c r="A284" s="1">
        <v>279.0</v>
      </c>
      <c r="B284" s="1" t="s">
        <v>317</v>
      </c>
      <c r="C284" s="1">
        <v>279.0</v>
      </c>
      <c r="D284" s="2">
        <f t="shared" si="1"/>
        <v>43</v>
      </c>
      <c r="E284" s="2">
        <f t="shared" si="2"/>
        <v>28</v>
      </c>
      <c r="G284" s="2" t="str">
        <f t="shared" si="3"/>
        <v>INSERT INTO tblWrittenExamResult VALUES (seqWrittenExamResult.nextval, 279, 43, 28);</v>
      </c>
    </row>
    <row r="285">
      <c r="A285" s="1">
        <v>280.0</v>
      </c>
      <c r="B285" s="1" t="s">
        <v>317</v>
      </c>
      <c r="C285" s="1">
        <v>280.0</v>
      </c>
      <c r="D285" s="2">
        <f t="shared" si="1"/>
        <v>62</v>
      </c>
      <c r="E285" s="2">
        <f t="shared" si="2"/>
        <v>25</v>
      </c>
      <c r="G285" s="2" t="str">
        <f t="shared" si="3"/>
        <v>INSERT INTO tblWrittenExamResult VALUES (seqWrittenExamResult.nextval, 280, 62, 25);</v>
      </c>
    </row>
    <row r="286">
      <c r="A286" s="1">
        <v>281.0</v>
      </c>
      <c r="B286" s="1" t="s">
        <v>317</v>
      </c>
      <c r="C286" s="1">
        <v>281.0</v>
      </c>
      <c r="D286" s="2">
        <f t="shared" si="1"/>
        <v>49</v>
      </c>
      <c r="E286" s="2">
        <f t="shared" si="2"/>
        <v>31</v>
      </c>
      <c r="G286" s="2" t="str">
        <f t="shared" si="3"/>
        <v>INSERT INTO tblWrittenExamResult VALUES (seqWrittenExamResult.nextval, 281, 49, 31);</v>
      </c>
    </row>
    <row r="287">
      <c r="A287" s="1">
        <v>282.0</v>
      </c>
      <c r="B287" s="1" t="s">
        <v>317</v>
      </c>
      <c r="C287" s="1">
        <v>282.0</v>
      </c>
      <c r="D287" s="2">
        <f t="shared" si="1"/>
        <v>84</v>
      </c>
      <c r="E287" s="2">
        <f t="shared" si="2"/>
        <v>19</v>
      </c>
      <c r="G287" s="2" t="str">
        <f t="shared" si="3"/>
        <v>INSERT INTO tblWrittenExamResult VALUES (seqWrittenExamResult.nextval, 282, 84, 19);</v>
      </c>
    </row>
    <row r="288">
      <c r="A288" s="1">
        <v>283.0</v>
      </c>
      <c r="B288" s="1" t="s">
        <v>317</v>
      </c>
      <c r="C288" s="1">
        <v>283.0</v>
      </c>
      <c r="D288" s="2">
        <f t="shared" si="1"/>
        <v>75</v>
      </c>
      <c r="E288" s="2">
        <f t="shared" si="2"/>
        <v>8</v>
      </c>
      <c r="G288" s="2" t="str">
        <f t="shared" si="3"/>
        <v>INSERT INTO tblWrittenExamResult VALUES (seqWrittenExamResult.nextval, 283, 75, 8);</v>
      </c>
    </row>
    <row r="289">
      <c r="A289" s="1">
        <v>284.0</v>
      </c>
      <c r="B289" s="1" t="s">
        <v>317</v>
      </c>
      <c r="C289" s="1">
        <v>284.0</v>
      </c>
      <c r="D289" s="2">
        <f t="shared" si="1"/>
        <v>80</v>
      </c>
      <c r="E289" s="2">
        <f t="shared" si="2"/>
        <v>9</v>
      </c>
      <c r="G289" s="2" t="str">
        <f t="shared" si="3"/>
        <v>INSERT INTO tblWrittenExamResult VALUES (seqWrittenExamResult.nextval, 284, 80, 9);</v>
      </c>
    </row>
    <row r="290">
      <c r="A290" s="1">
        <v>285.0</v>
      </c>
      <c r="B290" s="1" t="s">
        <v>317</v>
      </c>
      <c r="C290" s="1">
        <v>285.0</v>
      </c>
      <c r="D290" s="2">
        <f t="shared" si="1"/>
        <v>64</v>
      </c>
      <c r="E290" s="2">
        <f t="shared" si="2"/>
        <v>3</v>
      </c>
      <c r="G290" s="2" t="str">
        <f t="shared" si="3"/>
        <v>INSERT INTO tblWrittenExamResult VALUES (seqWrittenExamResult.nextval, 285, 64, 3);</v>
      </c>
    </row>
    <row r="291">
      <c r="A291" s="1">
        <v>286.0</v>
      </c>
      <c r="B291" s="1" t="s">
        <v>317</v>
      </c>
      <c r="C291" s="1">
        <v>286.0</v>
      </c>
      <c r="D291" s="2">
        <f t="shared" si="1"/>
        <v>63</v>
      </c>
      <c r="E291" s="2">
        <f t="shared" si="2"/>
        <v>15</v>
      </c>
      <c r="G291" s="2" t="str">
        <f t="shared" si="3"/>
        <v>INSERT INTO tblWrittenExamResult VALUES (seqWrittenExamResult.nextval, 286, 63, 15);</v>
      </c>
    </row>
    <row r="292">
      <c r="A292" s="1">
        <v>287.0</v>
      </c>
      <c r="B292" s="1" t="s">
        <v>317</v>
      </c>
      <c r="C292" s="1">
        <v>287.0</v>
      </c>
      <c r="D292" s="2">
        <f t="shared" si="1"/>
        <v>39</v>
      </c>
      <c r="E292" s="2">
        <f t="shared" si="2"/>
        <v>9</v>
      </c>
      <c r="G292" s="2" t="str">
        <f t="shared" si="3"/>
        <v>INSERT INTO tblWrittenExamResult VALUES (seqWrittenExamResult.nextval, 287, 39, 9);</v>
      </c>
    </row>
    <row r="293">
      <c r="A293" s="1">
        <v>288.0</v>
      </c>
      <c r="B293" s="1" t="s">
        <v>317</v>
      </c>
      <c r="C293" s="1">
        <v>288.0</v>
      </c>
      <c r="D293" s="2">
        <f t="shared" si="1"/>
        <v>90</v>
      </c>
      <c r="E293" s="2">
        <f t="shared" si="2"/>
        <v>5</v>
      </c>
      <c r="G293" s="2" t="str">
        <f t="shared" si="3"/>
        <v>INSERT INTO tblWrittenExamResult VALUES (seqWrittenExamResult.nextval, 288, 90, 5);</v>
      </c>
    </row>
    <row r="294">
      <c r="A294" s="1">
        <v>289.0</v>
      </c>
      <c r="B294" s="1" t="s">
        <v>317</v>
      </c>
      <c r="C294" s="1">
        <v>289.0</v>
      </c>
      <c r="D294" s="2">
        <f t="shared" si="1"/>
        <v>95</v>
      </c>
      <c r="E294" s="2">
        <f t="shared" si="2"/>
        <v>19</v>
      </c>
      <c r="G294" s="2" t="str">
        <f t="shared" si="3"/>
        <v>INSERT INTO tblWrittenExamResult VALUES (seqWrittenExamResult.nextval, 289, 95, 19);</v>
      </c>
    </row>
    <row r="295">
      <c r="A295" s="1">
        <v>290.0</v>
      </c>
      <c r="B295" s="1" t="s">
        <v>317</v>
      </c>
      <c r="C295" s="1">
        <v>290.0</v>
      </c>
      <c r="D295" s="2">
        <f t="shared" si="1"/>
        <v>97</v>
      </c>
      <c r="E295" s="2">
        <f t="shared" si="2"/>
        <v>8</v>
      </c>
      <c r="G295" s="2" t="str">
        <f t="shared" si="3"/>
        <v>INSERT INTO tblWrittenExamResult VALUES (seqWrittenExamResult.nextval, 290, 97, 8);</v>
      </c>
    </row>
    <row r="296">
      <c r="A296" s="1">
        <v>291.0</v>
      </c>
      <c r="B296" s="1" t="s">
        <v>317</v>
      </c>
      <c r="C296" s="1">
        <v>291.0</v>
      </c>
      <c r="D296" s="2">
        <f t="shared" si="1"/>
        <v>49</v>
      </c>
      <c r="E296" s="2">
        <f t="shared" si="2"/>
        <v>20</v>
      </c>
      <c r="G296" s="2" t="str">
        <f t="shared" si="3"/>
        <v>INSERT INTO tblWrittenExamResult VALUES (seqWrittenExamResult.nextval, 291, 49, 20);</v>
      </c>
    </row>
    <row r="297">
      <c r="A297" s="1">
        <v>292.0</v>
      </c>
      <c r="B297" s="1" t="s">
        <v>317</v>
      </c>
      <c r="C297" s="1">
        <v>292.0</v>
      </c>
      <c r="D297" s="2">
        <f t="shared" si="1"/>
        <v>27</v>
      </c>
      <c r="E297" s="2">
        <f t="shared" si="2"/>
        <v>9</v>
      </c>
      <c r="G297" s="2" t="str">
        <f t="shared" si="3"/>
        <v>INSERT INTO tblWrittenExamResult VALUES (seqWrittenExamResult.nextval, 292, 27, 9);</v>
      </c>
    </row>
    <row r="298">
      <c r="A298" s="1">
        <v>293.0</v>
      </c>
      <c r="B298" s="1" t="s">
        <v>317</v>
      </c>
      <c r="C298" s="1">
        <v>293.0</v>
      </c>
      <c r="D298" s="2">
        <f t="shared" si="1"/>
        <v>46</v>
      </c>
      <c r="E298" s="2">
        <f t="shared" si="2"/>
        <v>18</v>
      </c>
      <c r="G298" s="2" t="str">
        <f t="shared" si="3"/>
        <v>INSERT INTO tblWrittenExamResult VALUES (seqWrittenExamResult.nextval, 293, 46, 18);</v>
      </c>
    </row>
    <row r="299">
      <c r="A299" s="1">
        <v>294.0</v>
      </c>
      <c r="B299" s="1" t="s">
        <v>317</v>
      </c>
      <c r="C299" s="1">
        <v>294.0</v>
      </c>
      <c r="D299" s="2">
        <f t="shared" si="1"/>
        <v>34</v>
      </c>
      <c r="E299" s="2">
        <f t="shared" si="2"/>
        <v>32</v>
      </c>
      <c r="G299" s="2" t="str">
        <f t="shared" si="3"/>
        <v>INSERT INTO tblWrittenExamResult VALUES (seqWrittenExamResult.nextval, 294, 34, 32);</v>
      </c>
    </row>
    <row r="300">
      <c r="A300" s="1">
        <v>295.0</v>
      </c>
      <c r="B300" s="1" t="s">
        <v>317</v>
      </c>
      <c r="C300" s="1">
        <v>295.0</v>
      </c>
      <c r="D300" s="2">
        <f t="shared" si="1"/>
        <v>38</v>
      </c>
      <c r="E300" s="2">
        <f t="shared" si="2"/>
        <v>14</v>
      </c>
      <c r="G300" s="2" t="str">
        <f t="shared" si="3"/>
        <v>INSERT INTO tblWrittenExamResult VALUES (seqWrittenExamResult.nextval, 295, 38, 14);</v>
      </c>
    </row>
    <row r="301">
      <c r="A301" s="1">
        <v>296.0</v>
      </c>
      <c r="B301" s="1" t="s">
        <v>317</v>
      </c>
      <c r="C301" s="1">
        <v>296.0</v>
      </c>
      <c r="D301" s="2">
        <f t="shared" si="1"/>
        <v>59</v>
      </c>
      <c r="E301" s="2">
        <f t="shared" si="2"/>
        <v>1</v>
      </c>
      <c r="G301" s="2" t="str">
        <f t="shared" si="3"/>
        <v>INSERT INTO tblWrittenExamResult VALUES (seqWrittenExamResult.nextval, 296, 59, 1);</v>
      </c>
    </row>
    <row r="302">
      <c r="A302" s="1">
        <v>297.0</v>
      </c>
      <c r="B302" s="1" t="s">
        <v>317</v>
      </c>
      <c r="C302" s="1">
        <v>297.0</v>
      </c>
      <c r="D302" s="2">
        <f t="shared" si="1"/>
        <v>71</v>
      </c>
      <c r="E302" s="2">
        <f t="shared" si="2"/>
        <v>20</v>
      </c>
      <c r="G302" s="2" t="str">
        <f t="shared" si="3"/>
        <v>INSERT INTO tblWrittenExamResult VALUES (seqWrittenExamResult.nextval, 297, 71, 20);</v>
      </c>
    </row>
    <row r="303">
      <c r="A303" s="1">
        <v>298.0</v>
      </c>
      <c r="B303" s="1" t="s">
        <v>317</v>
      </c>
      <c r="C303" s="1">
        <v>298.0</v>
      </c>
      <c r="D303" s="2">
        <f t="shared" si="1"/>
        <v>48</v>
      </c>
      <c r="E303" s="2">
        <f t="shared" si="2"/>
        <v>29</v>
      </c>
      <c r="G303" s="2" t="str">
        <f t="shared" si="3"/>
        <v>INSERT INTO tblWrittenExamResult VALUES (seqWrittenExamResult.nextval, 298, 48, 29);</v>
      </c>
    </row>
    <row r="304">
      <c r="A304" s="1">
        <v>299.0</v>
      </c>
      <c r="B304" s="1" t="s">
        <v>317</v>
      </c>
      <c r="C304" s="1">
        <v>299.0</v>
      </c>
      <c r="D304" s="2">
        <f t="shared" si="1"/>
        <v>48</v>
      </c>
      <c r="E304" s="2">
        <f t="shared" si="2"/>
        <v>27</v>
      </c>
      <c r="G304" s="2" t="str">
        <f t="shared" si="3"/>
        <v>INSERT INTO tblWrittenExamResult VALUES (seqWrittenExamResult.nextval, 299, 48, 27);</v>
      </c>
    </row>
    <row r="305">
      <c r="A305" s="1">
        <v>300.0</v>
      </c>
      <c r="B305" s="1" t="s">
        <v>317</v>
      </c>
      <c r="C305" s="1">
        <v>300.0</v>
      </c>
      <c r="D305" s="2">
        <f t="shared" si="1"/>
        <v>65</v>
      </c>
      <c r="E305" s="2">
        <f t="shared" si="2"/>
        <v>10</v>
      </c>
      <c r="G305" s="2" t="str">
        <f t="shared" si="3"/>
        <v>INSERT INTO tblWrittenExamResult VALUES (seqWrittenExamResult.nextval, 300, 65, 10);</v>
      </c>
    </row>
    <row r="306">
      <c r="A306" s="1">
        <v>301.0</v>
      </c>
      <c r="B306" s="1" t="s">
        <v>317</v>
      </c>
      <c r="C306" s="1">
        <v>301.0</v>
      </c>
      <c r="D306" s="2">
        <f t="shared" si="1"/>
        <v>94</v>
      </c>
      <c r="E306" s="2">
        <f t="shared" si="2"/>
        <v>9</v>
      </c>
      <c r="G306" s="2" t="str">
        <f t="shared" si="3"/>
        <v>INSERT INTO tblWrittenExamResult VALUES (seqWrittenExamResult.nextval, 301, 94, 9);</v>
      </c>
    </row>
    <row r="307">
      <c r="A307" s="1">
        <v>302.0</v>
      </c>
      <c r="B307" s="1" t="s">
        <v>317</v>
      </c>
      <c r="C307" s="1">
        <v>302.0</v>
      </c>
      <c r="D307" s="2">
        <f t="shared" si="1"/>
        <v>97</v>
      </c>
      <c r="E307" s="2">
        <f t="shared" si="2"/>
        <v>4</v>
      </c>
      <c r="G307" s="2" t="str">
        <f t="shared" si="3"/>
        <v>INSERT INTO tblWrittenExamResult VALUES (seqWrittenExamResult.nextval, 302, 97, 4);</v>
      </c>
    </row>
    <row r="308">
      <c r="A308" s="1">
        <v>303.0</v>
      </c>
      <c r="B308" s="1" t="s">
        <v>317</v>
      </c>
      <c r="C308" s="1">
        <v>303.0</v>
      </c>
      <c r="D308" s="2">
        <f t="shared" si="1"/>
        <v>98</v>
      </c>
      <c r="E308" s="2">
        <f t="shared" si="2"/>
        <v>12</v>
      </c>
      <c r="G308" s="2" t="str">
        <f t="shared" si="3"/>
        <v>INSERT INTO tblWrittenExamResult VALUES (seqWrittenExamResult.nextval, 303, 98, 12);</v>
      </c>
    </row>
    <row r="309">
      <c r="A309" s="1">
        <v>304.0</v>
      </c>
      <c r="B309" s="1" t="s">
        <v>317</v>
      </c>
      <c r="C309" s="1">
        <v>304.0</v>
      </c>
      <c r="D309" s="2">
        <f t="shared" si="1"/>
        <v>52</v>
      </c>
      <c r="E309" s="2">
        <f t="shared" si="2"/>
        <v>6</v>
      </c>
      <c r="G309" s="2" t="str">
        <f t="shared" si="3"/>
        <v>INSERT INTO tblWrittenExamResult VALUES (seqWrittenExamResult.nextval, 304, 52, 6);</v>
      </c>
    </row>
    <row r="310">
      <c r="A310" s="1">
        <v>305.0</v>
      </c>
      <c r="B310" s="1" t="s">
        <v>317</v>
      </c>
      <c r="C310" s="1">
        <v>305.0</v>
      </c>
      <c r="D310" s="2">
        <f t="shared" si="1"/>
        <v>72</v>
      </c>
      <c r="E310" s="2">
        <f t="shared" si="2"/>
        <v>10</v>
      </c>
      <c r="G310" s="2" t="str">
        <f t="shared" si="3"/>
        <v>INSERT INTO tblWrittenExamResult VALUES (seqWrittenExamResult.nextval, 305, 72, 10);</v>
      </c>
    </row>
    <row r="311">
      <c r="A311" s="1">
        <v>306.0</v>
      </c>
      <c r="B311" s="1" t="s">
        <v>317</v>
      </c>
      <c r="C311" s="1">
        <v>306.0</v>
      </c>
      <c r="D311" s="2">
        <f t="shared" si="1"/>
        <v>55</v>
      </c>
      <c r="E311" s="2">
        <f t="shared" si="2"/>
        <v>19</v>
      </c>
      <c r="G311" s="2" t="str">
        <f t="shared" si="3"/>
        <v>INSERT INTO tblWrittenExamResult VALUES (seqWrittenExamResult.nextval, 306, 55, 19);</v>
      </c>
    </row>
    <row r="312">
      <c r="A312" s="1">
        <v>307.0</v>
      </c>
      <c r="B312" s="1" t="s">
        <v>317</v>
      </c>
      <c r="C312" s="1">
        <v>307.0</v>
      </c>
      <c r="D312" s="2">
        <f t="shared" si="1"/>
        <v>36</v>
      </c>
      <c r="E312" s="2">
        <f t="shared" si="2"/>
        <v>17</v>
      </c>
      <c r="G312" s="2" t="str">
        <f t="shared" si="3"/>
        <v>INSERT INTO tblWrittenExamResult VALUES (seqWrittenExamResult.nextval, 307, 36, 17);</v>
      </c>
    </row>
    <row r="313">
      <c r="A313" s="1">
        <v>308.0</v>
      </c>
      <c r="B313" s="1" t="s">
        <v>317</v>
      </c>
      <c r="C313" s="1">
        <v>308.0</v>
      </c>
      <c r="D313" s="2">
        <f t="shared" si="1"/>
        <v>41</v>
      </c>
      <c r="E313" s="2">
        <f t="shared" si="2"/>
        <v>14</v>
      </c>
      <c r="G313" s="2" t="str">
        <f t="shared" si="3"/>
        <v>INSERT INTO tblWrittenExamResult VALUES (seqWrittenExamResult.nextval, 308, 41, 14);</v>
      </c>
    </row>
    <row r="314">
      <c r="A314" s="1">
        <v>309.0</v>
      </c>
      <c r="B314" s="1" t="s">
        <v>317</v>
      </c>
      <c r="C314" s="1">
        <v>309.0</v>
      </c>
      <c r="D314" s="2">
        <f t="shared" si="1"/>
        <v>63</v>
      </c>
      <c r="E314" s="2">
        <f t="shared" si="2"/>
        <v>20</v>
      </c>
      <c r="G314" s="2" t="str">
        <f t="shared" si="3"/>
        <v>INSERT INTO tblWrittenExamResult VALUES (seqWrittenExamResult.nextval, 309, 63, 20);</v>
      </c>
    </row>
    <row r="315">
      <c r="A315" s="1">
        <v>310.0</v>
      </c>
      <c r="B315" s="1" t="s">
        <v>317</v>
      </c>
      <c r="C315" s="1">
        <v>310.0</v>
      </c>
      <c r="D315" s="2">
        <f t="shared" si="1"/>
        <v>35</v>
      </c>
      <c r="E315" s="2">
        <f t="shared" si="2"/>
        <v>24</v>
      </c>
      <c r="G315" s="2" t="str">
        <f t="shared" si="3"/>
        <v>INSERT INTO tblWrittenExamResult VALUES (seqWrittenExamResult.nextval, 310, 35, 24);</v>
      </c>
    </row>
    <row r="316">
      <c r="A316" s="1">
        <v>311.0</v>
      </c>
      <c r="B316" s="1" t="s">
        <v>317</v>
      </c>
      <c r="C316" s="1">
        <v>311.0</v>
      </c>
      <c r="D316" s="2">
        <f t="shared" si="1"/>
        <v>68</v>
      </c>
      <c r="E316" s="2">
        <f t="shared" si="2"/>
        <v>30</v>
      </c>
      <c r="G316" s="2" t="str">
        <f t="shared" si="3"/>
        <v>INSERT INTO tblWrittenExamResult VALUES (seqWrittenExamResult.nextval, 311, 68, 30);</v>
      </c>
    </row>
    <row r="317">
      <c r="A317" s="1">
        <v>312.0</v>
      </c>
      <c r="B317" s="1" t="s">
        <v>317</v>
      </c>
      <c r="C317" s="1">
        <v>312.0</v>
      </c>
      <c r="D317" s="2">
        <f t="shared" si="1"/>
        <v>50</v>
      </c>
      <c r="E317" s="2">
        <f t="shared" si="2"/>
        <v>18</v>
      </c>
      <c r="G317" s="2" t="str">
        <f t="shared" si="3"/>
        <v>INSERT INTO tblWrittenExamResult VALUES (seqWrittenExamResult.nextval, 312, 50, 18);</v>
      </c>
    </row>
    <row r="318">
      <c r="A318" s="1">
        <v>313.0</v>
      </c>
      <c r="B318" s="1" t="s">
        <v>317</v>
      </c>
      <c r="C318" s="1">
        <v>313.0</v>
      </c>
      <c r="D318" s="2">
        <f t="shared" si="1"/>
        <v>69</v>
      </c>
      <c r="E318" s="2">
        <f t="shared" si="2"/>
        <v>4</v>
      </c>
      <c r="G318" s="2" t="str">
        <f t="shared" si="3"/>
        <v>INSERT INTO tblWrittenExamResult VALUES (seqWrittenExamResult.nextval, 313, 69, 4);</v>
      </c>
    </row>
    <row r="319">
      <c r="A319" s="1">
        <v>314.0</v>
      </c>
      <c r="B319" s="1" t="s">
        <v>317</v>
      </c>
      <c r="C319" s="1">
        <v>314.0</v>
      </c>
      <c r="D319" s="2">
        <f t="shared" si="1"/>
        <v>96</v>
      </c>
      <c r="E319" s="2">
        <f t="shared" si="2"/>
        <v>20</v>
      </c>
      <c r="G319" s="2" t="str">
        <f t="shared" si="3"/>
        <v>INSERT INTO tblWrittenExamResult VALUES (seqWrittenExamResult.nextval, 314, 96, 20);</v>
      </c>
    </row>
    <row r="320">
      <c r="A320" s="1">
        <v>315.0</v>
      </c>
      <c r="B320" s="1" t="s">
        <v>317</v>
      </c>
      <c r="C320" s="1">
        <v>315.0</v>
      </c>
      <c r="D320" s="2">
        <f t="shared" si="1"/>
        <v>50</v>
      </c>
      <c r="E320" s="2">
        <f t="shared" si="2"/>
        <v>30</v>
      </c>
      <c r="G320" s="2" t="str">
        <f t="shared" si="3"/>
        <v>INSERT INTO tblWrittenExamResult VALUES (seqWrittenExamResult.nextval, 315, 50, 30);</v>
      </c>
    </row>
    <row r="321">
      <c r="A321" s="1">
        <v>316.0</v>
      </c>
      <c r="B321" s="1" t="s">
        <v>317</v>
      </c>
      <c r="C321" s="1">
        <v>316.0</v>
      </c>
      <c r="D321" s="2">
        <f t="shared" si="1"/>
        <v>82</v>
      </c>
      <c r="E321" s="2">
        <f t="shared" si="2"/>
        <v>5</v>
      </c>
      <c r="G321" s="2" t="str">
        <f t="shared" si="3"/>
        <v>INSERT INTO tblWrittenExamResult VALUES (seqWrittenExamResult.nextval, 316, 82, 5);</v>
      </c>
    </row>
    <row r="322">
      <c r="A322" s="1">
        <v>317.0</v>
      </c>
      <c r="B322" s="1" t="s">
        <v>317</v>
      </c>
      <c r="C322" s="1">
        <v>317.0</v>
      </c>
      <c r="D322" s="2">
        <f t="shared" si="1"/>
        <v>95</v>
      </c>
      <c r="E322" s="2">
        <f t="shared" si="2"/>
        <v>8</v>
      </c>
      <c r="G322" s="2" t="str">
        <f t="shared" si="3"/>
        <v>INSERT INTO tblWrittenExamResult VALUES (seqWrittenExamResult.nextval, 317, 95, 8);</v>
      </c>
    </row>
    <row r="323">
      <c r="A323" s="1">
        <v>318.0</v>
      </c>
      <c r="B323" s="1" t="s">
        <v>317</v>
      </c>
      <c r="C323" s="1">
        <v>318.0</v>
      </c>
      <c r="D323" s="2">
        <f t="shared" si="1"/>
        <v>57</v>
      </c>
      <c r="E323" s="2">
        <f t="shared" si="2"/>
        <v>4</v>
      </c>
      <c r="G323" s="2" t="str">
        <f t="shared" si="3"/>
        <v>INSERT INTO tblWrittenExamResult VALUES (seqWrittenExamResult.nextval, 318, 57, 4);</v>
      </c>
    </row>
    <row r="324">
      <c r="A324" s="1">
        <v>319.0</v>
      </c>
      <c r="B324" s="1" t="s">
        <v>317</v>
      </c>
      <c r="C324" s="1">
        <v>319.0</v>
      </c>
      <c r="D324" s="2">
        <f t="shared" si="1"/>
        <v>39</v>
      </c>
      <c r="E324" s="2">
        <f t="shared" si="2"/>
        <v>33</v>
      </c>
      <c r="G324" s="2" t="str">
        <f t="shared" si="3"/>
        <v>INSERT INTO tblWrittenExamResult VALUES (seqWrittenExamResult.nextval, 319, 39, 33);</v>
      </c>
    </row>
    <row r="325">
      <c r="A325" s="1">
        <v>320.0</v>
      </c>
      <c r="B325" s="1" t="s">
        <v>317</v>
      </c>
      <c r="C325" s="1">
        <v>320.0</v>
      </c>
      <c r="D325" s="2">
        <f t="shared" si="1"/>
        <v>63</v>
      </c>
      <c r="E325" s="2">
        <f t="shared" si="2"/>
        <v>11</v>
      </c>
      <c r="G325" s="2" t="str">
        <f t="shared" si="3"/>
        <v>INSERT INTO tblWrittenExamResult VALUES (seqWrittenExamResult.nextval, 320, 63, 11);</v>
      </c>
    </row>
    <row r="326">
      <c r="A326" s="1">
        <v>321.0</v>
      </c>
      <c r="B326" s="1" t="s">
        <v>317</v>
      </c>
      <c r="C326" s="1">
        <v>321.0</v>
      </c>
      <c r="D326" s="2">
        <f t="shared" si="1"/>
        <v>46</v>
      </c>
      <c r="E326" s="2">
        <f t="shared" si="2"/>
        <v>11</v>
      </c>
      <c r="G326" s="2" t="str">
        <f t="shared" si="3"/>
        <v>INSERT INTO tblWrittenExamResult VALUES (seqWrittenExamResult.nextval, 321, 46, 11);</v>
      </c>
    </row>
    <row r="327">
      <c r="A327" s="1">
        <v>322.0</v>
      </c>
      <c r="B327" s="1" t="s">
        <v>317</v>
      </c>
      <c r="C327" s="1">
        <v>322.0</v>
      </c>
      <c r="D327" s="2">
        <f t="shared" si="1"/>
        <v>89</v>
      </c>
      <c r="E327" s="2">
        <f t="shared" si="2"/>
        <v>14</v>
      </c>
      <c r="G327" s="2" t="str">
        <f t="shared" si="3"/>
        <v>INSERT INTO tblWrittenExamResult VALUES (seqWrittenExamResult.nextval, 322, 89, 14);</v>
      </c>
    </row>
    <row r="328">
      <c r="A328" s="1">
        <v>323.0</v>
      </c>
      <c r="B328" s="1" t="s">
        <v>317</v>
      </c>
      <c r="C328" s="1">
        <v>323.0</v>
      </c>
      <c r="D328" s="2">
        <f t="shared" si="1"/>
        <v>21</v>
      </c>
      <c r="E328" s="2">
        <f t="shared" si="2"/>
        <v>18</v>
      </c>
      <c r="G328" s="2" t="str">
        <f t="shared" si="3"/>
        <v>INSERT INTO tblWrittenExamResult VALUES (seqWrittenExamResult.nextval, 323, 21, 18);</v>
      </c>
    </row>
    <row r="329">
      <c r="A329" s="1">
        <v>324.0</v>
      </c>
      <c r="B329" s="1" t="s">
        <v>317</v>
      </c>
      <c r="C329" s="1">
        <v>324.0</v>
      </c>
      <c r="D329" s="2">
        <f t="shared" si="1"/>
        <v>59</v>
      </c>
      <c r="E329" s="2">
        <f t="shared" si="2"/>
        <v>8</v>
      </c>
      <c r="G329" s="2" t="str">
        <f t="shared" si="3"/>
        <v>INSERT INTO tblWrittenExamResult VALUES (seqWrittenExamResult.nextval, 324, 59, 8);</v>
      </c>
    </row>
    <row r="330">
      <c r="A330" s="1">
        <v>325.0</v>
      </c>
      <c r="B330" s="1" t="s">
        <v>317</v>
      </c>
      <c r="C330" s="1">
        <v>325.0</v>
      </c>
      <c r="D330" s="2">
        <f t="shared" si="1"/>
        <v>77</v>
      </c>
      <c r="E330" s="2">
        <f t="shared" si="2"/>
        <v>12</v>
      </c>
      <c r="G330" s="2" t="str">
        <f t="shared" si="3"/>
        <v>INSERT INTO tblWrittenExamResult VALUES (seqWrittenExamResult.nextval, 325, 77, 12);</v>
      </c>
    </row>
    <row r="331">
      <c r="A331" s="1">
        <v>326.0</v>
      </c>
      <c r="B331" s="1" t="s">
        <v>317</v>
      </c>
      <c r="C331" s="1">
        <v>326.0</v>
      </c>
      <c r="D331" s="2">
        <f t="shared" si="1"/>
        <v>60</v>
      </c>
      <c r="E331" s="2">
        <f t="shared" si="2"/>
        <v>30</v>
      </c>
      <c r="G331" s="2" t="str">
        <f t="shared" si="3"/>
        <v>INSERT INTO tblWrittenExamResult VALUES (seqWrittenExamResult.nextval, 326, 60, 30);</v>
      </c>
    </row>
    <row r="332">
      <c r="A332" s="1">
        <v>327.0</v>
      </c>
      <c r="B332" s="1" t="s">
        <v>317</v>
      </c>
      <c r="C332" s="1">
        <v>327.0</v>
      </c>
      <c r="D332" s="2">
        <f t="shared" si="1"/>
        <v>44</v>
      </c>
      <c r="E332" s="2">
        <f t="shared" si="2"/>
        <v>22</v>
      </c>
      <c r="G332" s="2" t="str">
        <f t="shared" si="3"/>
        <v>INSERT INTO tblWrittenExamResult VALUES (seqWrittenExamResult.nextval, 327, 44, 22);</v>
      </c>
    </row>
    <row r="333">
      <c r="A333" s="1">
        <v>328.0</v>
      </c>
      <c r="B333" s="1" t="s">
        <v>317</v>
      </c>
      <c r="C333" s="1">
        <v>328.0</v>
      </c>
      <c r="D333" s="2">
        <f t="shared" si="1"/>
        <v>34</v>
      </c>
      <c r="E333" s="2">
        <f t="shared" si="2"/>
        <v>25</v>
      </c>
      <c r="G333" s="2" t="str">
        <f t="shared" si="3"/>
        <v>INSERT INTO tblWrittenExamResult VALUES (seqWrittenExamResult.nextval, 328, 34, 25);</v>
      </c>
    </row>
    <row r="334">
      <c r="A334" s="1">
        <v>329.0</v>
      </c>
      <c r="B334" s="1" t="s">
        <v>317</v>
      </c>
      <c r="C334" s="1">
        <v>329.0</v>
      </c>
      <c r="D334" s="2">
        <f t="shared" si="1"/>
        <v>66</v>
      </c>
      <c r="E334" s="2">
        <f t="shared" si="2"/>
        <v>16</v>
      </c>
      <c r="G334" s="2" t="str">
        <f t="shared" si="3"/>
        <v>INSERT INTO tblWrittenExamResult VALUES (seqWrittenExamResult.nextval, 329, 66, 16);</v>
      </c>
    </row>
    <row r="335">
      <c r="A335" s="1">
        <v>330.0</v>
      </c>
      <c r="B335" s="1" t="s">
        <v>317</v>
      </c>
      <c r="C335" s="1">
        <v>330.0</v>
      </c>
      <c r="D335" s="2">
        <f t="shared" si="1"/>
        <v>40</v>
      </c>
      <c r="E335" s="2">
        <f t="shared" si="2"/>
        <v>25</v>
      </c>
      <c r="G335" s="2" t="str">
        <f t="shared" si="3"/>
        <v>INSERT INTO tblWrittenExamResult VALUES (seqWrittenExamResult.nextval, 330, 40, 25);</v>
      </c>
    </row>
    <row r="336">
      <c r="A336" s="1">
        <v>331.0</v>
      </c>
      <c r="B336" s="1" t="s">
        <v>317</v>
      </c>
      <c r="C336" s="1">
        <v>331.0</v>
      </c>
      <c r="D336" s="2">
        <f t="shared" si="1"/>
        <v>62</v>
      </c>
      <c r="E336" s="2">
        <f t="shared" si="2"/>
        <v>30</v>
      </c>
      <c r="G336" s="2" t="str">
        <f t="shared" si="3"/>
        <v>INSERT INTO tblWrittenExamResult VALUES (seqWrittenExamResult.nextval, 331, 62, 30);</v>
      </c>
    </row>
    <row r="337">
      <c r="A337" s="1">
        <v>332.0</v>
      </c>
      <c r="B337" s="1" t="s">
        <v>317</v>
      </c>
      <c r="C337" s="1">
        <v>332.0</v>
      </c>
      <c r="D337" s="2">
        <f t="shared" si="1"/>
        <v>67</v>
      </c>
      <c r="E337" s="2">
        <f t="shared" si="2"/>
        <v>27</v>
      </c>
      <c r="G337" s="2" t="str">
        <f t="shared" si="3"/>
        <v>INSERT INTO tblWrittenExamResult VALUES (seqWrittenExamResult.nextval, 332, 67, 27);</v>
      </c>
    </row>
    <row r="338">
      <c r="A338" s="1">
        <v>333.0</v>
      </c>
      <c r="B338" s="1" t="s">
        <v>317</v>
      </c>
      <c r="C338" s="1">
        <v>333.0</v>
      </c>
      <c r="D338" s="2">
        <f t="shared" si="1"/>
        <v>54</v>
      </c>
      <c r="E338" s="2">
        <f t="shared" si="2"/>
        <v>5</v>
      </c>
      <c r="G338" s="2" t="str">
        <f t="shared" si="3"/>
        <v>INSERT INTO tblWrittenExamResult VALUES (seqWrittenExamResult.nextval, 333, 54, 5);</v>
      </c>
    </row>
    <row r="339">
      <c r="A339" s="1">
        <v>334.0</v>
      </c>
      <c r="B339" s="1" t="s">
        <v>317</v>
      </c>
      <c r="C339" s="1">
        <v>334.0</v>
      </c>
      <c r="D339" s="2">
        <f t="shared" si="1"/>
        <v>29</v>
      </c>
      <c r="E339" s="2">
        <f t="shared" si="2"/>
        <v>22</v>
      </c>
      <c r="G339" s="2" t="str">
        <f t="shared" si="3"/>
        <v>INSERT INTO tblWrittenExamResult VALUES (seqWrittenExamResult.nextval, 334, 29, 22);</v>
      </c>
    </row>
    <row r="340">
      <c r="A340" s="1">
        <v>335.0</v>
      </c>
      <c r="B340" s="1" t="s">
        <v>317</v>
      </c>
      <c r="C340" s="1">
        <v>335.0</v>
      </c>
      <c r="D340" s="2">
        <f t="shared" si="1"/>
        <v>51</v>
      </c>
      <c r="E340" s="2">
        <f t="shared" si="2"/>
        <v>26</v>
      </c>
      <c r="G340" s="2" t="str">
        <f t="shared" si="3"/>
        <v>INSERT INTO tblWrittenExamResult VALUES (seqWrittenExamResult.nextval, 335, 51, 26);</v>
      </c>
    </row>
    <row r="341">
      <c r="A341" s="1">
        <v>336.0</v>
      </c>
      <c r="B341" s="1" t="s">
        <v>317</v>
      </c>
      <c r="C341" s="1">
        <v>336.0</v>
      </c>
      <c r="D341" s="2">
        <f t="shared" si="1"/>
        <v>51</v>
      </c>
      <c r="E341" s="2">
        <f t="shared" si="2"/>
        <v>30</v>
      </c>
      <c r="G341" s="2" t="str">
        <f t="shared" si="3"/>
        <v>INSERT INTO tblWrittenExamResult VALUES (seqWrittenExamResult.nextval, 336, 51, 30);</v>
      </c>
    </row>
    <row r="342">
      <c r="A342" s="1">
        <v>337.0</v>
      </c>
      <c r="B342" s="1" t="s">
        <v>317</v>
      </c>
      <c r="C342" s="1">
        <v>337.0</v>
      </c>
      <c r="D342" s="2">
        <f t="shared" si="1"/>
        <v>53</v>
      </c>
      <c r="E342" s="2">
        <f t="shared" si="2"/>
        <v>29</v>
      </c>
      <c r="G342" s="2" t="str">
        <f t="shared" si="3"/>
        <v>INSERT INTO tblWrittenExamResult VALUES (seqWrittenExamResult.nextval, 337, 53, 29);</v>
      </c>
    </row>
    <row r="343">
      <c r="A343" s="1">
        <v>338.0</v>
      </c>
      <c r="B343" s="1" t="s">
        <v>317</v>
      </c>
      <c r="C343" s="1">
        <v>338.0</v>
      </c>
      <c r="D343" s="2">
        <f t="shared" si="1"/>
        <v>26</v>
      </c>
      <c r="E343" s="2">
        <f t="shared" si="2"/>
        <v>24</v>
      </c>
      <c r="G343" s="2" t="str">
        <f t="shared" si="3"/>
        <v>INSERT INTO tblWrittenExamResult VALUES (seqWrittenExamResult.nextval, 338, 26, 24);</v>
      </c>
    </row>
    <row r="344">
      <c r="A344" s="1">
        <v>339.0</v>
      </c>
      <c r="B344" s="1" t="s">
        <v>317</v>
      </c>
      <c r="C344" s="1">
        <v>339.0</v>
      </c>
      <c r="D344" s="2">
        <f t="shared" si="1"/>
        <v>90</v>
      </c>
      <c r="E344" s="2">
        <f t="shared" si="2"/>
        <v>30</v>
      </c>
      <c r="G344" s="2" t="str">
        <f t="shared" si="3"/>
        <v>INSERT INTO tblWrittenExamResult VALUES (seqWrittenExamResult.nextval, 339, 90, 30);</v>
      </c>
    </row>
    <row r="345">
      <c r="A345" s="1">
        <v>340.0</v>
      </c>
      <c r="B345" s="1" t="s">
        <v>317</v>
      </c>
      <c r="C345" s="1">
        <v>340.0</v>
      </c>
      <c r="D345" s="2">
        <f t="shared" si="1"/>
        <v>74</v>
      </c>
      <c r="E345" s="2">
        <f t="shared" si="2"/>
        <v>1</v>
      </c>
      <c r="G345" s="2" t="str">
        <f t="shared" si="3"/>
        <v>INSERT INTO tblWrittenExamResult VALUES (seqWrittenExamResult.nextval, 340, 74, 1);</v>
      </c>
    </row>
    <row r="346">
      <c r="A346" s="1">
        <v>341.0</v>
      </c>
      <c r="B346" s="1" t="s">
        <v>317</v>
      </c>
      <c r="C346" s="1">
        <v>341.0</v>
      </c>
      <c r="D346" s="2">
        <f t="shared" si="1"/>
        <v>86</v>
      </c>
      <c r="E346" s="2">
        <f t="shared" si="2"/>
        <v>7</v>
      </c>
      <c r="G346" s="2" t="str">
        <f t="shared" si="3"/>
        <v>INSERT INTO tblWrittenExamResult VALUES (seqWrittenExamResult.nextval, 341, 86, 7);</v>
      </c>
    </row>
    <row r="347">
      <c r="A347" s="1">
        <v>342.0</v>
      </c>
      <c r="B347" s="1" t="s">
        <v>317</v>
      </c>
      <c r="C347" s="1">
        <v>342.0</v>
      </c>
      <c r="D347" s="2">
        <f t="shared" si="1"/>
        <v>60</v>
      </c>
      <c r="E347" s="2">
        <f t="shared" si="2"/>
        <v>29</v>
      </c>
      <c r="G347" s="2" t="str">
        <f t="shared" si="3"/>
        <v>INSERT INTO tblWrittenExamResult VALUES (seqWrittenExamResult.nextval, 342, 60, 29);</v>
      </c>
    </row>
    <row r="348">
      <c r="A348" s="1">
        <v>343.0</v>
      </c>
      <c r="B348" s="1" t="s">
        <v>317</v>
      </c>
      <c r="C348" s="1">
        <v>343.0</v>
      </c>
      <c r="D348" s="2">
        <f t="shared" si="1"/>
        <v>71</v>
      </c>
      <c r="E348" s="2">
        <f t="shared" si="2"/>
        <v>5</v>
      </c>
      <c r="G348" s="2" t="str">
        <f t="shared" si="3"/>
        <v>INSERT INTO tblWrittenExamResult VALUES (seqWrittenExamResult.nextval, 343, 71, 5);</v>
      </c>
    </row>
    <row r="349">
      <c r="A349" s="1">
        <v>344.0</v>
      </c>
      <c r="B349" s="1" t="s">
        <v>317</v>
      </c>
      <c r="C349" s="1">
        <v>344.0</v>
      </c>
      <c r="D349" s="2">
        <f t="shared" si="1"/>
        <v>100</v>
      </c>
      <c r="E349" s="2">
        <f t="shared" si="2"/>
        <v>27</v>
      </c>
      <c r="G349" s="2" t="str">
        <f t="shared" si="3"/>
        <v>INSERT INTO tblWrittenExamResult VALUES (seqWrittenExamResult.nextval, 344, 100, 27);</v>
      </c>
    </row>
    <row r="350">
      <c r="A350" s="1">
        <v>345.0</v>
      </c>
      <c r="B350" s="1" t="s">
        <v>317</v>
      </c>
      <c r="C350" s="1">
        <v>345.0</v>
      </c>
      <c r="D350" s="2">
        <f t="shared" si="1"/>
        <v>98</v>
      </c>
      <c r="E350" s="2">
        <f t="shared" si="2"/>
        <v>6</v>
      </c>
      <c r="G350" s="2" t="str">
        <f t="shared" si="3"/>
        <v>INSERT INTO tblWrittenExamResult VALUES (seqWrittenExamResult.nextval, 345, 98, 6);</v>
      </c>
    </row>
    <row r="351">
      <c r="A351" s="1">
        <v>346.0</v>
      </c>
      <c r="B351" s="1" t="s">
        <v>317</v>
      </c>
      <c r="C351" s="1">
        <v>346.0</v>
      </c>
      <c r="D351" s="2">
        <f t="shared" si="1"/>
        <v>86</v>
      </c>
      <c r="E351" s="2">
        <f t="shared" si="2"/>
        <v>17</v>
      </c>
      <c r="G351" s="2" t="str">
        <f t="shared" si="3"/>
        <v>INSERT INTO tblWrittenExamResult VALUES (seqWrittenExamResult.nextval, 346, 86, 17);</v>
      </c>
    </row>
    <row r="352">
      <c r="A352" s="1">
        <v>347.0</v>
      </c>
      <c r="B352" s="1" t="s">
        <v>317</v>
      </c>
      <c r="C352" s="1">
        <v>347.0</v>
      </c>
      <c r="D352" s="2">
        <f t="shared" si="1"/>
        <v>22</v>
      </c>
      <c r="E352" s="2">
        <f t="shared" si="2"/>
        <v>14</v>
      </c>
      <c r="G352" s="2" t="str">
        <f t="shared" si="3"/>
        <v>INSERT INTO tblWrittenExamResult VALUES (seqWrittenExamResult.nextval, 347, 22, 14);</v>
      </c>
    </row>
    <row r="353">
      <c r="A353" s="1">
        <v>348.0</v>
      </c>
      <c r="B353" s="1" t="s">
        <v>317</v>
      </c>
      <c r="C353" s="1">
        <v>348.0</v>
      </c>
      <c r="D353" s="2">
        <f t="shared" si="1"/>
        <v>81</v>
      </c>
      <c r="E353" s="2">
        <f t="shared" si="2"/>
        <v>10</v>
      </c>
      <c r="G353" s="2" t="str">
        <f t="shared" si="3"/>
        <v>INSERT INTO tblWrittenExamResult VALUES (seqWrittenExamResult.nextval, 348, 81, 10);</v>
      </c>
    </row>
    <row r="354">
      <c r="A354" s="1">
        <v>349.0</v>
      </c>
      <c r="B354" s="1" t="s">
        <v>317</v>
      </c>
      <c r="C354" s="1">
        <v>349.0</v>
      </c>
      <c r="D354" s="2">
        <f t="shared" si="1"/>
        <v>35</v>
      </c>
      <c r="E354" s="2">
        <f t="shared" si="2"/>
        <v>8</v>
      </c>
      <c r="G354" s="2" t="str">
        <f t="shared" si="3"/>
        <v>INSERT INTO tblWrittenExamResult VALUES (seqWrittenExamResult.nextval, 349, 35, 8);</v>
      </c>
    </row>
    <row r="355">
      <c r="A355" s="1">
        <v>350.0</v>
      </c>
      <c r="B355" s="1" t="s">
        <v>317</v>
      </c>
      <c r="C355" s="1">
        <v>350.0</v>
      </c>
      <c r="D355" s="2">
        <f t="shared" si="1"/>
        <v>37</v>
      </c>
      <c r="E355" s="2">
        <f t="shared" si="2"/>
        <v>26</v>
      </c>
      <c r="G355" s="2" t="str">
        <f t="shared" si="3"/>
        <v>INSERT INTO tblWrittenExamResult VALUES (seqWrittenExamResult.nextval, 350, 37, 26);</v>
      </c>
    </row>
    <row r="356">
      <c r="A356" s="1">
        <v>351.0</v>
      </c>
      <c r="B356" s="1" t="s">
        <v>317</v>
      </c>
      <c r="C356" s="1">
        <v>351.0</v>
      </c>
      <c r="D356" s="2">
        <f t="shared" si="1"/>
        <v>30</v>
      </c>
      <c r="E356" s="2">
        <f t="shared" si="2"/>
        <v>18</v>
      </c>
      <c r="G356" s="2" t="str">
        <f t="shared" si="3"/>
        <v>INSERT INTO tblWrittenExamResult VALUES (seqWrittenExamResult.nextval, 351, 30, 18);</v>
      </c>
    </row>
    <row r="357">
      <c r="A357" s="1">
        <v>352.0</v>
      </c>
      <c r="B357" s="1" t="s">
        <v>317</v>
      </c>
      <c r="C357" s="1">
        <v>352.0</v>
      </c>
      <c r="D357" s="2">
        <f t="shared" si="1"/>
        <v>36</v>
      </c>
      <c r="E357" s="2">
        <f t="shared" si="2"/>
        <v>24</v>
      </c>
      <c r="G357" s="2" t="str">
        <f t="shared" si="3"/>
        <v>INSERT INTO tblWrittenExamResult VALUES (seqWrittenExamResult.nextval, 352, 36, 24);</v>
      </c>
    </row>
    <row r="358">
      <c r="A358" s="1">
        <v>353.0</v>
      </c>
      <c r="B358" s="1" t="s">
        <v>317</v>
      </c>
      <c r="C358" s="1">
        <v>353.0</v>
      </c>
      <c r="D358" s="2">
        <f t="shared" si="1"/>
        <v>35</v>
      </c>
      <c r="E358" s="2">
        <f t="shared" si="2"/>
        <v>28</v>
      </c>
      <c r="G358" s="2" t="str">
        <f t="shared" si="3"/>
        <v>INSERT INTO tblWrittenExamResult VALUES (seqWrittenExamResult.nextval, 353, 35, 28);</v>
      </c>
    </row>
    <row r="359">
      <c r="A359" s="1">
        <v>354.0</v>
      </c>
      <c r="B359" s="1" t="s">
        <v>317</v>
      </c>
      <c r="C359" s="1">
        <v>354.0</v>
      </c>
      <c r="D359" s="2">
        <f t="shared" si="1"/>
        <v>70</v>
      </c>
      <c r="E359" s="2">
        <f t="shared" si="2"/>
        <v>18</v>
      </c>
      <c r="G359" s="2" t="str">
        <f t="shared" si="3"/>
        <v>INSERT INTO tblWrittenExamResult VALUES (seqWrittenExamResult.nextval, 354, 70, 18);</v>
      </c>
    </row>
    <row r="360">
      <c r="A360" s="1">
        <v>355.0</v>
      </c>
      <c r="B360" s="1" t="s">
        <v>317</v>
      </c>
      <c r="C360" s="1">
        <v>355.0</v>
      </c>
      <c r="D360" s="2">
        <f t="shared" si="1"/>
        <v>51</v>
      </c>
      <c r="E360" s="2">
        <f t="shared" si="2"/>
        <v>22</v>
      </c>
      <c r="G360" s="2" t="str">
        <f t="shared" si="3"/>
        <v>INSERT INTO tblWrittenExamResult VALUES (seqWrittenExamResult.nextval, 355, 51, 22);</v>
      </c>
    </row>
    <row r="361">
      <c r="A361" s="1">
        <v>356.0</v>
      </c>
      <c r="B361" s="1" t="s">
        <v>317</v>
      </c>
      <c r="C361" s="1">
        <v>356.0</v>
      </c>
      <c r="D361" s="2">
        <f t="shared" si="1"/>
        <v>56</v>
      </c>
      <c r="E361" s="2">
        <f t="shared" si="2"/>
        <v>32</v>
      </c>
      <c r="G361" s="2" t="str">
        <f t="shared" si="3"/>
        <v>INSERT INTO tblWrittenExamResult VALUES (seqWrittenExamResult.nextval, 356, 56, 32);</v>
      </c>
    </row>
    <row r="362">
      <c r="A362" s="1">
        <v>357.0</v>
      </c>
      <c r="B362" s="1" t="s">
        <v>317</v>
      </c>
      <c r="C362" s="1">
        <v>357.0</v>
      </c>
      <c r="D362" s="2">
        <f t="shared" si="1"/>
        <v>46</v>
      </c>
      <c r="E362" s="2">
        <f t="shared" si="2"/>
        <v>32</v>
      </c>
      <c r="G362" s="2" t="str">
        <f t="shared" si="3"/>
        <v>INSERT INTO tblWrittenExamResult VALUES (seqWrittenExamResult.nextval, 357, 46, 32);</v>
      </c>
    </row>
    <row r="363">
      <c r="A363" s="1">
        <v>358.0</v>
      </c>
      <c r="B363" s="1" t="s">
        <v>317</v>
      </c>
      <c r="C363" s="1">
        <v>358.0</v>
      </c>
      <c r="D363" s="2">
        <f t="shared" si="1"/>
        <v>81</v>
      </c>
      <c r="E363" s="2">
        <f t="shared" si="2"/>
        <v>33</v>
      </c>
      <c r="G363" s="2" t="str">
        <f t="shared" si="3"/>
        <v>INSERT INTO tblWrittenExamResult VALUES (seqWrittenExamResult.nextval, 358, 81, 33);</v>
      </c>
    </row>
    <row r="364">
      <c r="A364" s="1">
        <v>359.0</v>
      </c>
      <c r="B364" s="1" t="s">
        <v>317</v>
      </c>
      <c r="C364" s="1">
        <v>359.0</v>
      </c>
      <c r="D364" s="2">
        <f t="shared" si="1"/>
        <v>70</v>
      </c>
      <c r="E364" s="2">
        <f t="shared" si="2"/>
        <v>31</v>
      </c>
      <c r="G364" s="2" t="str">
        <f t="shared" si="3"/>
        <v>INSERT INTO tblWrittenExamResult VALUES (seqWrittenExamResult.nextval, 359, 70, 31);</v>
      </c>
    </row>
    <row r="365">
      <c r="A365" s="1">
        <v>360.0</v>
      </c>
      <c r="B365" s="1" t="s">
        <v>317</v>
      </c>
      <c r="C365" s="1">
        <v>360.0</v>
      </c>
      <c r="D365" s="2">
        <f t="shared" si="1"/>
        <v>88</v>
      </c>
      <c r="E365" s="2">
        <f t="shared" si="2"/>
        <v>7</v>
      </c>
      <c r="G365" s="2" t="str">
        <f t="shared" si="3"/>
        <v>INSERT INTO tblWrittenExamResult VALUES (seqWrittenExamResult.nextval, 360, 88, 7);</v>
      </c>
    </row>
    <row r="366">
      <c r="A366" s="1">
        <v>361.0</v>
      </c>
      <c r="B366" s="1" t="s">
        <v>317</v>
      </c>
      <c r="C366" s="1">
        <v>361.0</v>
      </c>
      <c r="D366" s="2">
        <f t="shared" si="1"/>
        <v>87</v>
      </c>
      <c r="E366" s="2">
        <f t="shared" si="2"/>
        <v>5</v>
      </c>
      <c r="G366" s="2" t="str">
        <f t="shared" si="3"/>
        <v>INSERT INTO tblWrittenExamResult VALUES (seqWrittenExamResult.nextval, 361, 87, 5);</v>
      </c>
    </row>
    <row r="367">
      <c r="A367" s="1">
        <v>362.0</v>
      </c>
      <c r="B367" s="1" t="s">
        <v>317</v>
      </c>
      <c r="C367" s="1">
        <v>362.0</v>
      </c>
      <c r="D367" s="2">
        <f t="shared" si="1"/>
        <v>69</v>
      </c>
      <c r="E367" s="2">
        <f t="shared" si="2"/>
        <v>2</v>
      </c>
      <c r="G367" s="2" t="str">
        <f t="shared" si="3"/>
        <v>INSERT INTO tblWrittenExamResult VALUES (seqWrittenExamResult.nextval, 362, 69, 2);</v>
      </c>
    </row>
    <row r="368">
      <c r="A368" s="1">
        <v>363.0</v>
      </c>
      <c r="B368" s="1" t="s">
        <v>317</v>
      </c>
      <c r="C368" s="1">
        <v>363.0</v>
      </c>
      <c r="D368" s="2">
        <f t="shared" si="1"/>
        <v>21</v>
      </c>
      <c r="E368" s="2">
        <f t="shared" si="2"/>
        <v>19</v>
      </c>
      <c r="G368" s="2" t="str">
        <f t="shared" si="3"/>
        <v>INSERT INTO tblWrittenExamResult VALUES (seqWrittenExamResult.nextval, 363, 21, 19);</v>
      </c>
    </row>
    <row r="369">
      <c r="A369" s="1">
        <v>364.0</v>
      </c>
      <c r="B369" s="1" t="s">
        <v>317</v>
      </c>
      <c r="C369" s="1">
        <v>364.0</v>
      </c>
      <c r="D369" s="2">
        <f t="shared" si="1"/>
        <v>21</v>
      </c>
      <c r="E369" s="2">
        <f t="shared" si="2"/>
        <v>29</v>
      </c>
      <c r="G369" s="2" t="str">
        <f t="shared" si="3"/>
        <v>INSERT INTO tblWrittenExamResult VALUES (seqWrittenExamResult.nextval, 364, 21, 29);</v>
      </c>
    </row>
    <row r="370">
      <c r="A370" s="1">
        <v>365.0</v>
      </c>
      <c r="B370" s="1" t="s">
        <v>317</v>
      </c>
      <c r="C370" s="1">
        <v>365.0</v>
      </c>
      <c r="D370" s="2">
        <f t="shared" si="1"/>
        <v>22</v>
      </c>
      <c r="E370" s="2">
        <f t="shared" si="2"/>
        <v>18</v>
      </c>
      <c r="G370" s="2" t="str">
        <f t="shared" si="3"/>
        <v>INSERT INTO tblWrittenExamResult VALUES (seqWrittenExamResult.nextval, 365, 22, 18);</v>
      </c>
    </row>
    <row r="371">
      <c r="A371" s="1">
        <v>366.0</v>
      </c>
      <c r="B371" s="1" t="s">
        <v>317</v>
      </c>
      <c r="C371" s="1">
        <v>366.0</v>
      </c>
      <c r="D371" s="2">
        <f t="shared" si="1"/>
        <v>100</v>
      </c>
      <c r="E371" s="2">
        <f t="shared" si="2"/>
        <v>7</v>
      </c>
      <c r="G371" s="2" t="str">
        <f t="shared" si="3"/>
        <v>INSERT INTO tblWrittenExamResult VALUES (seqWrittenExamResult.nextval, 366, 100, 7);</v>
      </c>
    </row>
    <row r="372">
      <c r="A372" s="1">
        <v>367.0</v>
      </c>
      <c r="B372" s="1" t="s">
        <v>317</v>
      </c>
      <c r="C372" s="1">
        <v>367.0</v>
      </c>
      <c r="D372" s="2">
        <f t="shared" si="1"/>
        <v>97</v>
      </c>
      <c r="E372" s="2">
        <f t="shared" si="2"/>
        <v>20</v>
      </c>
      <c r="G372" s="2" t="str">
        <f t="shared" si="3"/>
        <v>INSERT INTO tblWrittenExamResult VALUES (seqWrittenExamResult.nextval, 367, 97, 20);</v>
      </c>
    </row>
    <row r="373">
      <c r="A373" s="1">
        <v>368.0</v>
      </c>
      <c r="B373" s="1" t="s">
        <v>317</v>
      </c>
      <c r="C373" s="1">
        <v>368.0</v>
      </c>
      <c r="D373" s="2">
        <f t="shared" si="1"/>
        <v>35</v>
      </c>
      <c r="E373" s="2">
        <f t="shared" si="2"/>
        <v>19</v>
      </c>
      <c r="G373" s="2" t="str">
        <f t="shared" si="3"/>
        <v>INSERT INTO tblWrittenExamResult VALUES (seqWrittenExamResult.nextval, 368, 35, 19);</v>
      </c>
    </row>
    <row r="374">
      <c r="A374" s="1">
        <v>369.0</v>
      </c>
      <c r="B374" s="1" t="s">
        <v>317</v>
      </c>
      <c r="C374" s="1">
        <v>369.0</v>
      </c>
      <c r="D374" s="2">
        <f t="shared" si="1"/>
        <v>40</v>
      </c>
      <c r="E374" s="2">
        <f t="shared" si="2"/>
        <v>17</v>
      </c>
      <c r="G374" s="2" t="str">
        <f t="shared" si="3"/>
        <v>INSERT INTO tblWrittenExamResult VALUES (seqWrittenExamResult.nextval, 369, 40, 17);</v>
      </c>
    </row>
    <row r="375">
      <c r="A375" s="1">
        <v>370.0</v>
      </c>
      <c r="B375" s="1" t="s">
        <v>317</v>
      </c>
      <c r="C375" s="1">
        <v>370.0</v>
      </c>
      <c r="D375" s="2">
        <f t="shared" si="1"/>
        <v>31</v>
      </c>
      <c r="E375" s="2">
        <f t="shared" si="2"/>
        <v>33</v>
      </c>
      <c r="G375" s="2" t="str">
        <f t="shared" si="3"/>
        <v>INSERT INTO tblWrittenExamResult VALUES (seqWrittenExamResult.nextval, 370, 31, 33);</v>
      </c>
    </row>
    <row r="376">
      <c r="A376" s="1">
        <v>371.0</v>
      </c>
      <c r="B376" s="1" t="s">
        <v>317</v>
      </c>
      <c r="C376" s="1">
        <v>371.0</v>
      </c>
      <c r="D376" s="2">
        <f t="shared" si="1"/>
        <v>82</v>
      </c>
      <c r="E376" s="2">
        <f t="shared" si="2"/>
        <v>18</v>
      </c>
      <c r="G376" s="2" t="str">
        <f t="shared" si="3"/>
        <v>INSERT INTO tblWrittenExamResult VALUES (seqWrittenExamResult.nextval, 371, 82, 18);</v>
      </c>
    </row>
    <row r="377">
      <c r="A377" s="1">
        <v>372.0</v>
      </c>
      <c r="B377" s="1" t="s">
        <v>317</v>
      </c>
      <c r="C377" s="1">
        <v>372.0</v>
      </c>
      <c r="D377" s="2">
        <f t="shared" si="1"/>
        <v>34</v>
      </c>
      <c r="E377" s="2">
        <f t="shared" si="2"/>
        <v>32</v>
      </c>
      <c r="G377" s="2" t="str">
        <f t="shared" si="3"/>
        <v>INSERT INTO tblWrittenExamResult VALUES (seqWrittenExamResult.nextval, 372, 34, 32);</v>
      </c>
    </row>
    <row r="378">
      <c r="A378" s="1">
        <v>373.0</v>
      </c>
      <c r="B378" s="1" t="s">
        <v>317</v>
      </c>
      <c r="C378" s="1">
        <v>373.0</v>
      </c>
      <c r="D378" s="2">
        <f t="shared" si="1"/>
        <v>98</v>
      </c>
      <c r="E378" s="2">
        <f t="shared" si="2"/>
        <v>8</v>
      </c>
      <c r="G378" s="2" t="str">
        <f t="shared" si="3"/>
        <v>INSERT INTO tblWrittenExamResult VALUES (seqWrittenExamResult.nextval, 373, 98, 8);</v>
      </c>
    </row>
    <row r="379">
      <c r="A379" s="1">
        <v>374.0</v>
      </c>
      <c r="B379" s="1" t="s">
        <v>317</v>
      </c>
      <c r="C379" s="1">
        <v>374.0</v>
      </c>
      <c r="D379" s="2">
        <f t="shared" si="1"/>
        <v>89</v>
      </c>
      <c r="E379" s="2">
        <f t="shared" si="2"/>
        <v>23</v>
      </c>
      <c r="G379" s="2" t="str">
        <f t="shared" si="3"/>
        <v>INSERT INTO tblWrittenExamResult VALUES (seqWrittenExamResult.nextval, 374, 89, 23);</v>
      </c>
    </row>
    <row r="380">
      <c r="A380" s="1">
        <v>375.0</v>
      </c>
      <c r="B380" s="1" t="s">
        <v>317</v>
      </c>
      <c r="C380" s="1">
        <v>375.0</v>
      </c>
      <c r="D380" s="2">
        <f t="shared" si="1"/>
        <v>73</v>
      </c>
      <c r="E380" s="2">
        <f t="shared" si="2"/>
        <v>3</v>
      </c>
      <c r="G380" s="2" t="str">
        <f t="shared" si="3"/>
        <v>INSERT INTO tblWrittenExamResult VALUES (seqWrittenExamResult.nextval, 375, 73, 3);</v>
      </c>
    </row>
    <row r="381">
      <c r="A381" s="1">
        <v>376.0</v>
      </c>
      <c r="B381" s="1" t="s">
        <v>317</v>
      </c>
      <c r="C381" s="1">
        <v>376.0</v>
      </c>
      <c r="D381" s="2">
        <f t="shared" si="1"/>
        <v>22</v>
      </c>
      <c r="E381" s="2">
        <f t="shared" si="2"/>
        <v>4</v>
      </c>
      <c r="G381" s="2" t="str">
        <f t="shared" si="3"/>
        <v>INSERT INTO tblWrittenExamResult VALUES (seqWrittenExamResult.nextval, 376, 22, 4);</v>
      </c>
    </row>
    <row r="382">
      <c r="A382" s="1">
        <v>377.0</v>
      </c>
      <c r="B382" s="1" t="s">
        <v>317</v>
      </c>
      <c r="C382" s="1">
        <v>377.0</v>
      </c>
      <c r="D382" s="2">
        <f t="shared" si="1"/>
        <v>66</v>
      </c>
      <c r="E382" s="2">
        <f t="shared" si="2"/>
        <v>8</v>
      </c>
      <c r="G382" s="2" t="str">
        <f t="shared" si="3"/>
        <v>INSERT INTO tblWrittenExamResult VALUES (seqWrittenExamResult.nextval, 377, 66, 8);</v>
      </c>
    </row>
    <row r="383">
      <c r="A383" s="1">
        <v>378.0</v>
      </c>
      <c r="B383" s="1" t="s">
        <v>317</v>
      </c>
      <c r="C383" s="1">
        <v>378.0</v>
      </c>
      <c r="D383" s="2">
        <f t="shared" si="1"/>
        <v>24</v>
      </c>
      <c r="E383" s="2">
        <f t="shared" si="2"/>
        <v>18</v>
      </c>
      <c r="G383" s="2" t="str">
        <f t="shared" si="3"/>
        <v>INSERT INTO tblWrittenExamResult VALUES (seqWrittenExamResult.nextval, 378, 24, 18);</v>
      </c>
    </row>
    <row r="384">
      <c r="A384" s="1">
        <v>379.0</v>
      </c>
      <c r="B384" s="1" t="s">
        <v>317</v>
      </c>
      <c r="C384" s="1">
        <v>379.0</v>
      </c>
      <c r="D384" s="2">
        <f t="shared" si="1"/>
        <v>23</v>
      </c>
      <c r="E384" s="2">
        <f t="shared" si="2"/>
        <v>31</v>
      </c>
      <c r="G384" s="2" t="str">
        <f t="shared" si="3"/>
        <v>INSERT INTO tblWrittenExamResult VALUES (seqWrittenExamResult.nextval, 379, 23, 31);</v>
      </c>
    </row>
    <row r="385">
      <c r="A385" s="1">
        <v>380.0</v>
      </c>
      <c r="B385" s="1" t="s">
        <v>317</v>
      </c>
      <c r="C385" s="1">
        <v>380.0</v>
      </c>
      <c r="D385" s="2">
        <f t="shared" si="1"/>
        <v>20</v>
      </c>
      <c r="E385" s="2">
        <f t="shared" si="2"/>
        <v>21</v>
      </c>
      <c r="G385" s="2" t="str">
        <f t="shared" si="3"/>
        <v>INSERT INTO tblWrittenExamResult VALUES (seqWrittenExamResult.nextval, 380, 20, 21);</v>
      </c>
    </row>
    <row r="386">
      <c r="A386" s="1">
        <v>381.0</v>
      </c>
      <c r="B386" s="1" t="s">
        <v>317</v>
      </c>
      <c r="C386" s="1">
        <v>381.0</v>
      </c>
      <c r="D386" s="2">
        <f t="shared" si="1"/>
        <v>58</v>
      </c>
      <c r="E386" s="2">
        <f t="shared" si="2"/>
        <v>4</v>
      </c>
      <c r="G386" s="2" t="str">
        <f t="shared" si="3"/>
        <v>INSERT INTO tblWrittenExamResult VALUES (seqWrittenExamResult.nextval, 381, 58, 4);</v>
      </c>
    </row>
    <row r="387">
      <c r="A387" s="1">
        <v>382.0</v>
      </c>
      <c r="B387" s="1" t="s">
        <v>317</v>
      </c>
      <c r="C387" s="1">
        <v>382.0</v>
      </c>
      <c r="D387" s="2">
        <f t="shared" si="1"/>
        <v>92</v>
      </c>
      <c r="E387" s="2">
        <f t="shared" si="2"/>
        <v>11</v>
      </c>
      <c r="G387" s="2" t="str">
        <f t="shared" si="3"/>
        <v>INSERT INTO tblWrittenExamResult VALUES (seqWrittenExamResult.nextval, 382, 92, 11);</v>
      </c>
    </row>
    <row r="388">
      <c r="A388" s="1">
        <v>383.0</v>
      </c>
      <c r="B388" s="1" t="s">
        <v>317</v>
      </c>
      <c r="C388" s="1">
        <v>383.0</v>
      </c>
      <c r="D388" s="2">
        <f t="shared" si="1"/>
        <v>33</v>
      </c>
      <c r="E388" s="2">
        <f t="shared" si="2"/>
        <v>27</v>
      </c>
      <c r="G388" s="2" t="str">
        <f t="shared" si="3"/>
        <v>INSERT INTO tblWrittenExamResult VALUES (seqWrittenExamResult.nextval, 383, 33, 27);</v>
      </c>
    </row>
    <row r="389">
      <c r="A389" s="1">
        <v>384.0</v>
      </c>
      <c r="B389" s="1" t="s">
        <v>317</v>
      </c>
      <c r="C389" s="1">
        <v>384.0</v>
      </c>
      <c r="D389" s="2">
        <f t="shared" si="1"/>
        <v>67</v>
      </c>
      <c r="E389" s="2">
        <f t="shared" si="2"/>
        <v>12</v>
      </c>
      <c r="G389" s="2" t="str">
        <f t="shared" si="3"/>
        <v>INSERT INTO tblWrittenExamResult VALUES (seqWrittenExamResult.nextval, 384, 67, 12);</v>
      </c>
    </row>
    <row r="390">
      <c r="A390" s="1">
        <v>385.0</v>
      </c>
      <c r="B390" s="1" t="s">
        <v>317</v>
      </c>
      <c r="C390" s="1">
        <v>385.0</v>
      </c>
      <c r="D390" s="2">
        <f t="shared" si="1"/>
        <v>98</v>
      </c>
      <c r="E390" s="2">
        <f t="shared" si="2"/>
        <v>26</v>
      </c>
      <c r="G390" s="2" t="str">
        <f t="shared" si="3"/>
        <v>INSERT INTO tblWrittenExamResult VALUES (seqWrittenExamResult.nextval, 385, 98, 26);</v>
      </c>
    </row>
    <row r="391">
      <c r="A391" s="1">
        <v>386.0</v>
      </c>
      <c r="B391" s="1" t="s">
        <v>317</v>
      </c>
      <c r="C391" s="1">
        <v>386.0</v>
      </c>
      <c r="D391" s="2">
        <f t="shared" si="1"/>
        <v>81</v>
      </c>
      <c r="E391" s="2">
        <f t="shared" si="2"/>
        <v>22</v>
      </c>
      <c r="G391" s="2" t="str">
        <f t="shared" si="3"/>
        <v>INSERT INTO tblWrittenExamResult VALUES (seqWrittenExamResult.nextval, 386, 81, 22);</v>
      </c>
    </row>
    <row r="392">
      <c r="A392" s="1">
        <v>387.0</v>
      </c>
      <c r="B392" s="1" t="s">
        <v>317</v>
      </c>
      <c r="C392" s="1">
        <v>387.0</v>
      </c>
      <c r="D392" s="2">
        <f t="shared" si="1"/>
        <v>35</v>
      </c>
      <c r="E392" s="2">
        <f t="shared" si="2"/>
        <v>24</v>
      </c>
      <c r="G392" s="2" t="str">
        <f t="shared" si="3"/>
        <v>INSERT INTO tblWrittenExamResult VALUES (seqWrittenExamResult.nextval, 387, 35, 24);</v>
      </c>
    </row>
    <row r="393">
      <c r="A393" s="1">
        <v>388.0</v>
      </c>
      <c r="B393" s="1" t="s">
        <v>317</v>
      </c>
      <c r="C393" s="1">
        <v>388.0</v>
      </c>
      <c r="D393" s="2">
        <f t="shared" si="1"/>
        <v>56</v>
      </c>
      <c r="E393" s="2">
        <f t="shared" si="2"/>
        <v>33</v>
      </c>
      <c r="G393" s="2" t="str">
        <f t="shared" si="3"/>
        <v>INSERT INTO tblWrittenExamResult VALUES (seqWrittenExamResult.nextval, 388, 56, 33);</v>
      </c>
    </row>
    <row r="394">
      <c r="A394" s="1">
        <v>389.0</v>
      </c>
      <c r="B394" s="1" t="s">
        <v>317</v>
      </c>
      <c r="C394" s="1">
        <v>389.0</v>
      </c>
      <c r="D394" s="2">
        <f t="shared" si="1"/>
        <v>51</v>
      </c>
      <c r="E394" s="2">
        <f t="shared" si="2"/>
        <v>31</v>
      </c>
      <c r="G394" s="2" t="str">
        <f t="shared" si="3"/>
        <v>INSERT INTO tblWrittenExamResult VALUES (seqWrittenExamResult.nextval, 389, 51, 31);</v>
      </c>
    </row>
    <row r="395">
      <c r="A395" s="1">
        <v>390.0</v>
      </c>
      <c r="B395" s="1" t="s">
        <v>317</v>
      </c>
      <c r="C395" s="1">
        <v>390.0</v>
      </c>
      <c r="D395" s="2">
        <f t="shared" si="1"/>
        <v>50</v>
      </c>
      <c r="E395" s="2">
        <f t="shared" si="2"/>
        <v>2</v>
      </c>
      <c r="G395" s="2" t="str">
        <f t="shared" si="3"/>
        <v>INSERT INTO tblWrittenExamResult VALUES (seqWrittenExamResult.nextval, 390, 50, 2);</v>
      </c>
    </row>
    <row r="396">
      <c r="A396" s="1">
        <v>391.0</v>
      </c>
      <c r="B396" s="1" t="s">
        <v>317</v>
      </c>
      <c r="C396" s="1">
        <v>391.0</v>
      </c>
      <c r="D396" s="2">
        <f t="shared" si="1"/>
        <v>22</v>
      </c>
      <c r="E396" s="2">
        <f t="shared" si="2"/>
        <v>29</v>
      </c>
      <c r="G396" s="2" t="str">
        <f t="shared" si="3"/>
        <v>INSERT INTO tblWrittenExamResult VALUES (seqWrittenExamResult.nextval, 391, 22, 29);</v>
      </c>
    </row>
    <row r="397">
      <c r="A397" s="1">
        <v>392.0</v>
      </c>
      <c r="B397" s="1" t="s">
        <v>317</v>
      </c>
      <c r="C397" s="1">
        <v>392.0</v>
      </c>
      <c r="D397" s="2">
        <f t="shared" si="1"/>
        <v>50</v>
      </c>
      <c r="E397" s="2">
        <f t="shared" si="2"/>
        <v>25</v>
      </c>
      <c r="G397" s="2" t="str">
        <f t="shared" si="3"/>
        <v>INSERT INTO tblWrittenExamResult VALUES (seqWrittenExamResult.nextval, 392, 50, 25);</v>
      </c>
    </row>
    <row r="398">
      <c r="A398" s="1">
        <v>393.0</v>
      </c>
      <c r="B398" s="1" t="s">
        <v>317</v>
      </c>
      <c r="C398" s="1">
        <v>393.0</v>
      </c>
      <c r="D398" s="2">
        <f t="shared" si="1"/>
        <v>92</v>
      </c>
      <c r="E398" s="2">
        <f t="shared" si="2"/>
        <v>15</v>
      </c>
      <c r="G398" s="2" t="str">
        <f t="shared" si="3"/>
        <v>INSERT INTO tblWrittenExamResult VALUES (seqWrittenExamResult.nextval, 393, 92, 15);</v>
      </c>
    </row>
    <row r="399">
      <c r="A399" s="1">
        <v>394.0</v>
      </c>
      <c r="B399" s="1" t="s">
        <v>317</v>
      </c>
      <c r="C399" s="1">
        <v>394.0</v>
      </c>
      <c r="D399" s="2">
        <f t="shared" si="1"/>
        <v>86</v>
      </c>
      <c r="E399" s="2">
        <f t="shared" si="2"/>
        <v>31</v>
      </c>
      <c r="G399" s="2" t="str">
        <f t="shared" si="3"/>
        <v>INSERT INTO tblWrittenExamResult VALUES (seqWrittenExamResult.nextval, 394, 86, 31);</v>
      </c>
    </row>
    <row r="400">
      <c r="A400" s="1">
        <v>395.0</v>
      </c>
      <c r="B400" s="1" t="s">
        <v>317</v>
      </c>
      <c r="C400" s="1">
        <v>395.0</v>
      </c>
      <c r="D400" s="2">
        <f t="shared" si="1"/>
        <v>76</v>
      </c>
      <c r="E400" s="2">
        <f t="shared" si="2"/>
        <v>7</v>
      </c>
      <c r="G400" s="2" t="str">
        <f t="shared" si="3"/>
        <v>INSERT INTO tblWrittenExamResult VALUES (seqWrittenExamResult.nextval, 395, 76, 7);</v>
      </c>
    </row>
    <row r="401">
      <c r="A401" s="1">
        <v>396.0</v>
      </c>
      <c r="B401" s="1" t="s">
        <v>317</v>
      </c>
      <c r="C401" s="1">
        <v>396.0</v>
      </c>
      <c r="D401" s="2">
        <f t="shared" si="1"/>
        <v>98</v>
      </c>
      <c r="E401" s="2">
        <f t="shared" si="2"/>
        <v>5</v>
      </c>
      <c r="G401" s="2" t="str">
        <f t="shared" si="3"/>
        <v>INSERT INTO tblWrittenExamResult VALUES (seqWrittenExamResult.nextval, 396, 98, 5);</v>
      </c>
    </row>
    <row r="402">
      <c r="A402" s="1">
        <v>397.0</v>
      </c>
      <c r="B402" s="1" t="s">
        <v>317</v>
      </c>
      <c r="C402" s="1">
        <v>397.0</v>
      </c>
      <c r="D402" s="2">
        <f t="shared" si="1"/>
        <v>94</v>
      </c>
      <c r="E402" s="2">
        <f t="shared" si="2"/>
        <v>5</v>
      </c>
      <c r="G402" s="2" t="str">
        <f t="shared" si="3"/>
        <v>INSERT INTO tblWrittenExamResult VALUES (seqWrittenExamResult.nextval, 397, 94, 5);</v>
      </c>
    </row>
    <row r="403">
      <c r="A403" s="1">
        <v>398.0</v>
      </c>
      <c r="B403" s="1" t="s">
        <v>317</v>
      </c>
      <c r="C403" s="1">
        <v>398.0</v>
      </c>
      <c r="D403" s="2">
        <f t="shared" si="1"/>
        <v>84</v>
      </c>
      <c r="E403" s="2">
        <f t="shared" si="2"/>
        <v>19</v>
      </c>
      <c r="G403" s="2" t="str">
        <f t="shared" si="3"/>
        <v>INSERT INTO tblWrittenExamResult VALUES (seqWrittenExamResult.nextval, 398, 84, 19);</v>
      </c>
    </row>
    <row r="404">
      <c r="A404" s="1">
        <v>399.0</v>
      </c>
      <c r="B404" s="1" t="s">
        <v>317</v>
      </c>
      <c r="C404" s="1">
        <v>399.0</v>
      </c>
      <c r="D404" s="2">
        <f t="shared" si="1"/>
        <v>29</v>
      </c>
      <c r="E404" s="2">
        <f t="shared" si="2"/>
        <v>16</v>
      </c>
      <c r="G404" s="2" t="str">
        <f t="shared" si="3"/>
        <v>INSERT INTO tblWrittenExamResult VALUES (seqWrittenExamResult.nextval, 399, 29, 16);</v>
      </c>
    </row>
    <row r="405">
      <c r="A405" s="1">
        <v>400.0</v>
      </c>
      <c r="B405" s="1" t="s">
        <v>317</v>
      </c>
      <c r="C405" s="1">
        <v>400.0</v>
      </c>
      <c r="D405" s="2">
        <f t="shared" si="1"/>
        <v>26</v>
      </c>
      <c r="E405" s="2">
        <f t="shared" si="2"/>
        <v>17</v>
      </c>
      <c r="G405" s="2" t="str">
        <f t="shared" si="3"/>
        <v>INSERT INTO tblWrittenExamResult VALUES (seqWrittenExamResult.nextval, 400, 26, 17);</v>
      </c>
    </row>
    <row r="406">
      <c r="A406" s="1">
        <v>401.0</v>
      </c>
      <c r="B406" s="1" t="s">
        <v>317</v>
      </c>
      <c r="C406" s="1">
        <v>401.0</v>
      </c>
      <c r="D406" s="2">
        <f t="shared" si="1"/>
        <v>61</v>
      </c>
      <c r="E406" s="2">
        <f t="shared" si="2"/>
        <v>10</v>
      </c>
      <c r="G406" s="2" t="str">
        <f t="shared" si="3"/>
        <v>INSERT INTO tblWrittenExamResult VALUES (seqWrittenExamResult.nextval, 401, 61, 10);</v>
      </c>
    </row>
    <row r="407">
      <c r="A407" s="1">
        <v>402.0</v>
      </c>
      <c r="B407" s="1" t="s">
        <v>317</v>
      </c>
      <c r="C407" s="1">
        <v>402.0</v>
      </c>
      <c r="D407" s="2">
        <f t="shared" si="1"/>
        <v>94</v>
      </c>
      <c r="E407" s="2">
        <f t="shared" si="2"/>
        <v>25</v>
      </c>
      <c r="G407" s="2" t="str">
        <f t="shared" si="3"/>
        <v>INSERT INTO tblWrittenExamResult VALUES (seqWrittenExamResult.nextval, 402, 94, 25);</v>
      </c>
    </row>
    <row r="408">
      <c r="A408" s="1">
        <v>403.0</v>
      </c>
      <c r="B408" s="1" t="s">
        <v>317</v>
      </c>
      <c r="C408" s="1">
        <v>403.0</v>
      </c>
      <c r="D408" s="2">
        <f t="shared" si="1"/>
        <v>35</v>
      </c>
      <c r="E408" s="2">
        <f t="shared" si="2"/>
        <v>29</v>
      </c>
      <c r="G408" s="2" t="str">
        <f t="shared" si="3"/>
        <v>INSERT INTO tblWrittenExamResult VALUES (seqWrittenExamResult.nextval, 403, 35, 29);</v>
      </c>
    </row>
    <row r="409">
      <c r="A409" s="1">
        <v>404.0</v>
      </c>
      <c r="B409" s="1" t="s">
        <v>317</v>
      </c>
      <c r="C409" s="1">
        <v>404.0</v>
      </c>
      <c r="D409" s="2">
        <f t="shared" si="1"/>
        <v>49</v>
      </c>
      <c r="E409" s="2">
        <f t="shared" si="2"/>
        <v>16</v>
      </c>
      <c r="G409" s="2" t="str">
        <f t="shared" si="3"/>
        <v>INSERT INTO tblWrittenExamResult VALUES (seqWrittenExamResult.nextval, 404, 49, 16);</v>
      </c>
    </row>
    <row r="410">
      <c r="A410" s="1">
        <v>405.0</v>
      </c>
      <c r="B410" s="1" t="s">
        <v>317</v>
      </c>
      <c r="C410" s="1">
        <v>405.0</v>
      </c>
      <c r="D410" s="2">
        <f t="shared" si="1"/>
        <v>33</v>
      </c>
      <c r="E410" s="2">
        <f t="shared" si="2"/>
        <v>10</v>
      </c>
      <c r="G410" s="2" t="str">
        <f t="shared" si="3"/>
        <v>INSERT INTO tblWrittenExamResult VALUES (seqWrittenExamResult.nextval, 405, 33, 10);</v>
      </c>
    </row>
    <row r="411">
      <c r="A411" s="1">
        <v>406.0</v>
      </c>
      <c r="B411" s="1" t="s">
        <v>317</v>
      </c>
      <c r="C411" s="1">
        <v>406.0</v>
      </c>
      <c r="D411" s="2">
        <f t="shared" si="1"/>
        <v>57</v>
      </c>
      <c r="E411" s="2">
        <f t="shared" si="2"/>
        <v>21</v>
      </c>
      <c r="G411" s="2" t="str">
        <f t="shared" si="3"/>
        <v>INSERT INTO tblWrittenExamResult VALUES (seqWrittenExamResult.nextval, 406, 57, 21);</v>
      </c>
    </row>
    <row r="412">
      <c r="A412" s="1">
        <v>407.0</v>
      </c>
      <c r="B412" s="1" t="s">
        <v>317</v>
      </c>
      <c r="C412" s="1">
        <v>407.0</v>
      </c>
      <c r="D412" s="2">
        <f t="shared" si="1"/>
        <v>52</v>
      </c>
      <c r="E412" s="2">
        <f t="shared" si="2"/>
        <v>26</v>
      </c>
      <c r="G412" s="2" t="str">
        <f t="shared" si="3"/>
        <v>INSERT INTO tblWrittenExamResult VALUES (seqWrittenExamResult.nextval, 407, 52, 26);</v>
      </c>
    </row>
    <row r="413">
      <c r="A413" s="1">
        <v>408.0</v>
      </c>
      <c r="B413" s="1" t="s">
        <v>317</v>
      </c>
      <c r="C413" s="1">
        <v>408.0</v>
      </c>
      <c r="D413" s="2">
        <f t="shared" si="1"/>
        <v>43</v>
      </c>
      <c r="E413" s="2">
        <f t="shared" si="2"/>
        <v>27</v>
      </c>
      <c r="G413" s="2" t="str">
        <f t="shared" si="3"/>
        <v>INSERT INTO tblWrittenExamResult VALUES (seqWrittenExamResult.nextval, 408, 43, 27);</v>
      </c>
    </row>
    <row r="414">
      <c r="A414" s="1">
        <v>409.0</v>
      </c>
      <c r="B414" s="1" t="s">
        <v>317</v>
      </c>
      <c r="C414" s="1">
        <v>409.0</v>
      </c>
      <c r="D414" s="2">
        <f t="shared" si="1"/>
        <v>33</v>
      </c>
      <c r="E414" s="2">
        <f t="shared" si="2"/>
        <v>24</v>
      </c>
      <c r="G414" s="2" t="str">
        <f t="shared" si="3"/>
        <v>INSERT INTO tblWrittenExamResult VALUES (seqWrittenExamResult.nextval, 409, 33, 24);</v>
      </c>
    </row>
    <row r="415">
      <c r="A415" s="1">
        <v>410.0</v>
      </c>
      <c r="B415" s="1" t="s">
        <v>317</v>
      </c>
      <c r="C415" s="1">
        <v>410.0</v>
      </c>
      <c r="D415" s="2">
        <f t="shared" si="1"/>
        <v>60</v>
      </c>
      <c r="E415" s="2">
        <f t="shared" si="2"/>
        <v>24</v>
      </c>
      <c r="G415" s="2" t="str">
        <f t="shared" si="3"/>
        <v>INSERT INTO tblWrittenExamResult VALUES (seqWrittenExamResult.nextval, 410, 60, 24);</v>
      </c>
    </row>
    <row r="416">
      <c r="A416" s="1">
        <v>411.0</v>
      </c>
      <c r="B416" s="1" t="s">
        <v>317</v>
      </c>
      <c r="C416" s="1">
        <v>411.0</v>
      </c>
      <c r="D416" s="2">
        <f t="shared" si="1"/>
        <v>78</v>
      </c>
      <c r="E416" s="2">
        <f t="shared" si="2"/>
        <v>23</v>
      </c>
      <c r="G416" s="2" t="str">
        <f t="shared" si="3"/>
        <v>INSERT INTO tblWrittenExamResult VALUES (seqWrittenExamResult.nextval, 411, 78, 23);</v>
      </c>
    </row>
    <row r="417">
      <c r="A417" s="1">
        <v>412.0</v>
      </c>
      <c r="B417" s="1" t="s">
        <v>317</v>
      </c>
      <c r="C417" s="1">
        <v>412.0</v>
      </c>
      <c r="D417" s="2">
        <f t="shared" si="1"/>
        <v>75</v>
      </c>
      <c r="E417" s="2">
        <f t="shared" si="2"/>
        <v>2</v>
      </c>
      <c r="G417" s="2" t="str">
        <f t="shared" si="3"/>
        <v>INSERT INTO tblWrittenExamResult VALUES (seqWrittenExamResult.nextval, 412, 75, 2);</v>
      </c>
    </row>
    <row r="418">
      <c r="A418" s="1">
        <v>413.0</v>
      </c>
      <c r="B418" s="1" t="s">
        <v>317</v>
      </c>
      <c r="C418" s="1">
        <v>413.0</v>
      </c>
      <c r="D418" s="2">
        <f t="shared" si="1"/>
        <v>74</v>
      </c>
      <c r="E418" s="2">
        <f t="shared" si="2"/>
        <v>4</v>
      </c>
      <c r="G418" s="2" t="str">
        <f t="shared" si="3"/>
        <v>INSERT INTO tblWrittenExamResult VALUES (seqWrittenExamResult.nextval, 413, 74, 4);</v>
      </c>
    </row>
    <row r="419">
      <c r="A419" s="1">
        <v>414.0</v>
      </c>
      <c r="B419" s="1" t="s">
        <v>317</v>
      </c>
      <c r="C419" s="1">
        <v>414.0</v>
      </c>
      <c r="D419" s="2">
        <f t="shared" si="1"/>
        <v>70</v>
      </c>
      <c r="E419" s="2">
        <f t="shared" si="2"/>
        <v>29</v>
      </c>
      <c r="G419" s="2" t="str">
        <f t="shared" si="3"/>
        <v>INSERT INTO tblWrittenExamResult VALUES (seqWrittenExamResult.nextval, 414, 70, 29);</v>
      </c>
    </row>
    <row r="420">
      <c r="A420" s="1">
        <v>415.0</v>
      </c>
      <c r="B420" s="1" t="s">
        <v>317</v>
      </c>
      <c r="C420" s="1">
        <v>415.0</v>
      </c>
      <c r="D420" s="2">
        <f t="shared" si="1"/>
        <v>59</v>
      </c>
      <c r="E420" s="2">
        <f t="shared" si="2"/>
        <v>1</v>
      </c>
      <c r="G420" s="2" t="str">
        <f t="shared" si="3"/>
        <v>INSERT INTO tblWrittenExamResult VALUES (seqWrittenExamResult.nextval, 415, 59, 1);</v>
      </c>
    </row>
    <row r="421">
      <c r="A421" s="1">
        <v>416.0</v>
      </c>
      <c r="B421" s="1" t="s">
        <v>317</v>
      </c>
      <c r="C421" s="1">
        <v>416.0</v>
      </c>
      <c r="D421" s="2">
        <f t="shared" si="1"/>
        <v>82</v>
      </c>
      <c r="E421" s="2">
        <f t="shared" si="2"/>
        <v>32</v>
      </c>
      <c r="G421" s="2" t="str">
        <f t="shared" si="3"/>
        <v>INSERT INTO tblWrittenExamResult VALUES (seqWrittenExamResult.nextval, 416, 82, 32);</v>
      </c>
    </row>
    <row r="422">
      <c r="A422" s="1">
        <v>417.0</v>
      </c>
      <c r="B422" s="1" t="s">
        <v>317</v>
      </c>
      <c r="C422" s="1">
        <v>417.0</v>
      </c>
      <c r="D422" s="2">
        <f t="shared" si="1"/>
        <v>97</v>
      </c>
      <c r="E422" s="2">
        <f t="shared" si="2"/>
        <v>21</v>
      </c>
      <c r="G422" s="2" t="str">
        <f t="shared" si="3"/>
        <v>INSERT INTO tblWrittenExamResult VALUES (seqWrittenExamResult.nextval, 417, 97, 21);</v>
      </c>
    </row>
    <row r="423">
      <c r="A423" s="1">
        <v>418.0</v>
      </c>
      <c r="B423" s="1" t="s">
        <v>317</v>
      </c>
      <c r="C423" s="1">
        <v>418.0</v>
      </c>
      <c r="D423" s="2">
        <f t="shared" si="1"/>
        <v>81</v>
      </c>
      <c r="E423" s="2">
        <f t="shared" si="2"/>
        <v>5</v>
      </c>
      <c r="G423" s="2" t="str">
        <f t="shared" si="3"/>
        <v>INSERT INTO tblWrittenExamResult VALUES (seqWrittenExamResult.nextval, 418, 81, 5);</v>
      </c>
    </row>
    <row r="424">
      <c r="A424" s="1">
        <v>419.0</v>
      </c>
      <c r="B424" s="1" t="s">
        <v>317</v>
      </c>
      <c r="C424" s="1">
        <v>419.0</v>
      </c>
      <c r="D424" s="2">
        <f t="shared" si="1"/>
        <v>84</v>
      </c>
      <c r="E424" s="2">
        <f t="shared" si="2"/>
        <v>14</v>
      </c>
      <c r="G424" s="2" t="str">
        <f t="shared" si="3"/>
        <v>INSERT INTO tblWrittenExamResult VALUES (seqWrittenExamResult.nextval, 419, 84, 14);</v>
      </c>
    </row>
    <row r="425">
      <c r="A425" s="1">
        <v>420.0</v>
      </c>
      <c r="B425" s="1" t="s">
        <v>317</v>
      </c>
      <c r="C425" s="1">
        <v>420.0</v>
      </c>
      <c r="D425" s="2">
        <f t="shared" si="1"/>
        <v>94</v>
      </c>
      <c r="E425" s="2">
        <f t="shared" si="2"/>
        <v>19</v>
      </c>
      <c r="G425" s="2" t="str">
        <f t="shared" si="3"/>
        <v>INSERT INTO tblWrittenExamResult VALUES (seqWrittenExamResult.nextval, 420, 94, 19);</v>
      </c>
    </row>
    <row r="426">
      <c r="A426" s="1">
        <v>421.0</v>
      </c>
      <c r="B426" s="1" t="s">
        <v>317</v>
      </c>
      <c r="C426" s="1">
        <v>421.0</v>
      </c>
      <c r="D426" s="2">
        <f t="shared" si="1"/>
        <v>48</v>
      </c>
      <c r="E426" s="2">
        <f t="shared" si="2"/>
        <v>4</v>
      </c>
      <c r="G426" s="2" t="str">
        <f t="shared" si="3"/>
        <v>INSERT INTO tblWrittenExamResult VALUES (seqWrittenExamResult.nextval, 421, 48, 4);</v>
      </c>
    </row>
    <row r="427">
      <c r="A427" s="1">
        <v>422.0</v>
      </c>
      <c r="B427" s="1" t="s">
        <v>317</v>
      </c>
      <c r="C427" s="1">
        <v>422.0</v>
      </c>
      <c r="D427" s="2">
        <f t="shared" si="1"/>
        <v>99</v>
      </c>
      <c r="E427" s="2">
        <f t="shared" si="2"/>
        <v>18</v>
      </c>
      <c r="G427" s="2" t="str">
        <f t="shared" si="3"/>
        <v>INSERT INTO tblWrittenExamResult VALUES (seqWrittenExamResult.nextval, 422, 99, 18);</v>
      </c>
    </row>
    <row r="428">
      <c r="A428" s="1">
        <v>423.0</v>
      </c>
      <c r="B428" s="1" t="s">
        <v>317</v>
      </c>
      <c r="C428" s="1">
        <v>423.0</v>
      </c>
      <c r="D428" s="2">
        <f t="shared" si="1"/>
        <v>43</v>
      </c>
      <c r="E428" s="2">
        <f t="shared" si="2"/>
        <v>18</v>
      </c>
      <c r="G428" s="2" t="str">
        <f t="shared" si="3"/>
        <v>INSERT INTO tblWrittenExamResult VALUES (seqWrittenExamResult.nextval, 423, 43, 18);</v>
      </c>
    </row>
    <row r="429">
      <c r="A429" s="1">
        <v>424.0</v>
      </c>
      <c r="B429" s="1" t="s">
        <v>317</v>
      </c>
      <c r="C429" s="1">
        <v>424.0</v>
      </c>
      <c r="D429" s="2">
        <f t="shared" si="1"/>
        <v>23</v>
      </c>
      <c r="E429" s="2">
        <f t="shared" si="2"/>
        <v>19</v>
      </c>
      <c r="G429" s="2" t="str">
        <f t="shared" si="3"/>
        <v>INSERT INTO tblWrittenExamResult VALUES (seqWrittenExamResult.nextval, 424, 23, 19);</v>
      </c>
    </row>
    <row r="430">
      <c r="A430" s="1">
        <v>425.0</v>
      </c>
      <c r="B430" s="1" t="s">
        <v>317</v>
      </c>
      <c r="C430" s="1">
        <v>425.0</v>
      </c>
      <c r="D430" s="2">
        <f t="shared" si="1"/>
        <v>59</v>
      </c>
      <c r="E430" s="2">
        <f t="shared" si="2"/>
        <v>28</v>
      </c>
      <c r="G430" s="2" t="str">
        <f t="shared" si="3"/>
        <v>INSERT INTO tblWrittenExamResult VALUES (seqWrittenExamResult.nextval, 425, 59, 28);</v>
      </c>
    </row>
    <row r="431">
      <c r="A431" s="1">
        <v>426.0</v>
      </c>
      <c r="B431" s="1" t="s">
        <v>317</v>
      </c>
      <c r="C431" s="1">
        <v>426.0</v>
      </c>
      <c r="D431" s="2">
        <f t="shared" si="1"/>
        <v>58</v>
      </c>
      <c r="E431" s="2">
        <f t="shared" si="2"/>
        <v>18</v>
      </c>
      <c r="G431" s="2" t="str">
        <f t="shared" si="3"/>
        <v>INSERT INTO tblWrittenExamResult VALUES (seqWrittenExamResult.nextval, 426, 58, 18);</v>
      </c>
    </row>
    <row r="432">
      <c r="A432" s="1">
        <v>427.0</v>
      </c>
      <c r="B432" s="1" t="s">
        <v>317</v>
      </c>
      <c r="C432" s="1">
        <v>427.0</v>
      </c>
      <c r="D432" s="2">
        <f t="shared" si="1"/>
        <v>55</v>
      </c>
      <c r="E432" s="2">
        <f t="shared" si="2"/>
        <v>31</v>
      </c>
      <c r="G432" s="2" t="str">
        <f t="shared" si="3"/>
        <v>INSERT INTO tblWrittenExamResult VALUES (seqWrittenExamResult.nextval, 427, 55, 31);</v>
      </c>
    </row>
    <row r="433">
      <c r="A433" s="1">
        <v>428.0</v>
      </c>
      <c r="B433" s="1" t="s">
        <v>317</v>
      </c>
      <c r="C433" s="1">
        <v>428.0</v>
      </c>
      <c r="D433" s="2">
        <f t="shared" si="1"/>
        <v>43</v>
      </c>
      <c r="E433" s="2">
        <f t="shared" si="2"/>
        <v>28</v>
      </c>
      <c r="G433" s="2" t="str">
        <f t="shared" si="3"/>
        <v>INSERT INTO tblWrittenExamResult VALUES (seqWrittenExamResult.nextval, 428, 43, 28);</v>
      </c>
    </row>
    <row r="434">
      <c r="A434" s="1">
        <v>429.0</v>
      </c>
      <c r="B434" s="1" t="s">
        <v>317</v>
      </c>
      <c r="C434" s="1">
        <v>429.0</v>
      </c>
      <c r="D434" s="2">
        <f t="shared" si="1"/>
        <v>35</v>
      </c>
      <c r="E434" s="2">
        <f t="shared" si="2"/>
        <v>26</v>
      </c>
      <c r="G434" s="2" t="str">
        <f t="shared" si="3"/>
        <v>INSERT INTO tblWrittenExamResult VALUES (seqWrittenExamResult.nextval, 429, 35, 26);</v>
      </c>
    </row>
    <row r="435">
      <c r="A435" s="1">
        <v>430.0</v>
      </c>
      <c r="B435" s="1" t="s">
        <v>317</v>
      </c>
      <c r="C435" s="1">
        <v>430.0</v>
      </c>
      <c r="D435" s="2">
        <f t="shared" si="1"/>
        <v>81</v>
      </c>
      <c r="E435" s="2">
        <f t="shared" si="2"/>
        <v>14</v>
      </c>
      <c r="G435" s="2" t="str">
        <f t="shared" si="3"/>
        <v>INSERT INTO tblWrittenExamResult VALUES (seqWrittenExamResult.nextval, 430, 81, 14);</v>
      </c>
    </row>
    <row r="436">
      <c r="A436" s="1">
        <v>431.0</v>
      </c>
      <c r="B436" s="1" t="s">
        <v>317</v>
      </c>
      <c r="C436" s="1">
        <v>431.0</v>
      </c>
      <c r="D436" s="2">
        <f t="shared" si="1"/>
        <v>91</v>
      </c>
      <c r="E436" s="2">
        <f t="shared" si="2"/>
        <v>15</v>
      </c>
      <c r="G436" s="2" t="str">
        <f t="shared" si="3"/>
        <v>INSERT INTO tblWrittenExamResult VALUES (seqWrittenExamResult.nextval, 431, 91, 15);</v>
      </c>
    </row>
    <row r="437">
      <c r="A437" s="1">
        <v>432.0</v>
      </c>
      <c r="B437" s="1" t="s">
        <v>317</v>
      </c>
      <c r="C437" s="1">
        <v>432.0</v>
      </c>
      <c r="D437" s="2">
        <f t="shared" si="1"/>
        <v>69</v>
      </c>
      <c r="E437" s="2">
        <f t="shared" si="2"/>
        <v>9</v>
      </c>
      <c r="G437" s="2" t="str">
        <f t="shared" si="3"/>
        <v>INSERT INTO tblWrittenExamResult VALUES (seqWrittenExamResult.nextval, 432, 69, 9);</v>
      </c>
    </row>
    <row r="438">
      <c r="A438" s="1">
        <v>433.0</v>
      </c>
      <c r="B438" s="1" t="s">
        <v>317</v>
      </c>
      <c r="C438" s="1">
        <v>433.0</v>
      </c>
      <c r="D438" s="2">
        <f t="shared" si="1"/>
        <v>78</v>
      </c>
      <c r="E438" s="2">
        <f t="shared" si="2"/>
        <v>3</v>
      </c>
      <c r="G438" s="2" t="str">
        <f t="shared" si="3"/>
        <v>INSERT INTO tblWrittenExamResult VALUES (seqWrittenExamResult.nextval, 433, 78, 3);</v>
      </c>
    </row>
    <row r="439">
      <c r="A439" s="1">
        <v>434.0</v>
      </c>
      <c r="B439" s="1" t="s">
        <v>317</v>
      </c>
      <c r="C439" s="1">
        <v>434.0</v>
      </c>
      <c r="D439" s="2">
        <f t="shared" si="1"/>
        <v>75</v>
      </c>
      <c r="E439" s="2">
        <f t="shared" si="2"/>
        <v>31</v>
      </c>
      <c r="G439" s="2" t="str">
        <f t="shared" si="3"/>
        <v>INSERT INTO tblWrittenExamResult VALUES (seqWrittenExamResult.nextval, 434, 75, 31);</v>
      </c>
    </row>
    <row r="440">
      <c r="A440" s="1">
        <v>435.0</v>
      </c>
      <c r="B440" s="1" t="s">
        <v>317</v>
      </c>
      <c r="C440" s="1">
        <v>435.0</v>
      </c>
      <c r="D440" s="2">
        <f t="shared" si="1"/>
        <v>83</v>
      </c>
      <c r="E440" s="2">
        <f t="shared" si="2"/>
        <v>14</v>
      </c>
      <c r="G440" s="2" t="str">
        <f t="shared" si="3"/>
        <v>INSERT INTO tblWrittenExamResult VALUES (seqWrittenExamResult.nextval, 435, 83, 14);</v>
      </c>
    </row>
    <row r="441">
      <c r="A441" s="1">
        <v>436.0</v>
      </c>
      <c r="B441" s="1" t="s">
        <v>317</v>
      </c>
      <c r="C441" s="1">
        <v>436.0</v>
      </c>
      <c r="D441" s="2">
        <f t="shared" si="1"/>
        <v>29</v>
      </c>
      <c r="E441" s="2">
        <f t="shared" si="2"/>
        <v>29</v>
      </c>
      <c r="G441" s="2" t="str">
        <f t="shared" si="3"/>
        <v>INSERT INTO tblWrittenExamResult VALUES (seqWrittenExamResult.nextval, 436, 29, 29);</v>
      </c>
    </row>
    <row r="442">
      <c r="A442" s="1">
        <v>437.0</v>
      </c>
      <c r="B442" s="1" t="s">
        <v>317</v>
      </c>
      <c r="C442" s="1">
        <v>437.0</v>
      </c>
      <c r="D442" s="2">
        <f t="shared" si="1"/>
        <v>90</v>
      </c>
      <c r="E442" s="2">
        <f t="shared" si="2"/>
        <v>22</v>
      </c>
      <c r="G442" s="2" t="str">
        <f t="shared" si="3"/>
        <v>INSERT INTO tblWrittenExamResult VALUES (seqWrittenExamResult.nextval, 437, 90, 22);</v>
      </c>
    </row>
    <row r="443">
      <c r="A443" s="1">
        <v>438.0</v>
      </c>
      <c r="B443" s="1" t="s">
        <v>317</v>
      </c>
      <c r="C443" s="1">
        <v>438.0</v>
      </c>
      <c r="D443" s="2">
        <f t="shared" si="1"/>
        <v>20</v>
      </c>
      <c r="E443" s="2">
        <f t="shared" si="2"/>
        <v>6</v>
      </c>
      <c r="G443" s="2" t="str">
        <f t="shared" si="3"/>
        <v>INSERT INTO tblWrittenExamResult VALUES (seqWrittenExamResult.nextval, 438, 20, 6);</v>
      </c>
    </row>
    <row r="444">
      <c r="A444" s="1">
        <v>439.0</v>
      </c>
      <c r="B444" s="1" t="s">
        <v>317</v>
      </c>
      <c r="C444" s="1">
        <v>439.0</v>
      </c>
      <c r="D444" s="2">
        <f t="shared" si="1"/>
        <v>85</v>
      </c>
      <c r="E444" s="2">
        <f t="shared" si="2"/>
        <v>18</v>
      </c>
      <c r="G444" s="2" t="str">
        <f t="shared" si="3"/>
        <v>INSERT INTO tblWrittenExamResult VALUES (seqWrittenExamResult.nextval, 439, 85, 18);</v>
      </c>
    </row>
    <row r="445">
      <c r="A445" s="1">
        <v>440.0</v>
      </c>
      <c r="B445" s="1" t="s">
        <v>317</v>
      </c>
      <c r="C445" s="1">
        <v>440.0</v>
      </c>
      <c r="D445" s="2">
        <f t="shared" si="1"/>
        <v>64</v>
      </c>
      <c r="E445" s="2">
        <f t="shared" si="2"/>
        <v>32</v>
      </c>
      <c r="G445" s="2" t="str">
        <f t="shared" si="3"/>
        <v>INSERT INTO tblWrittenExamResult VALUES (seqWrittenExamResult.nextval, 440, 64, 32);</v>
      </c>
    </row>
    <row r="446">
      <c r="A446" s="1">
        <v>441.0</v>
      </c>
      <c r="B446" s="1" t="s">
        <v>317</v>
      </c>
      <c r="C446" s="1">
        <v>441.0</v>
      </c>
      <c r="D446" s="2">
        <f t="shared" si="1"/>
        <v>67</v>
      </c>
      <c r="E446" s="2">
        <f t="shared" si="2"/>
        <v>14</v>
      </c>
      <c r="G446" s="2" t="str">
        <f t="shared" si="3"/>
        <v>INSERT INTO tblWrittenExamResult VALUES (seqWrittenExamResult.nextval, 441, 67, 14);</v>
      </c>
    </row>
    <row r="447">
      <c r="A447" s="1">
        <v>442.0</v>
      </c>
      <c r="B447" s="1" t="s">
        <v>317</v>
      </c>
      <c r="C447" s="1">
        <v>442.0</v>
      </c>
      <c r="D447" s="2">
        <f t="shared" si="1"/>
        <v>37</v>
      </c>
      <c r="E447" s="2">
        <f t="shared" si="2"/>
        <v>27</v>
      </c>
      <c r="G447" s="2" t="str">
        <f t="shared" si="3"/>
        <v>INSERT INTO tblWrittenExamResult VALUES (seqWrittenExamResult.nextval, 442, 37, 27);</v>
      </c>
    </row>
    <row r="448">
      <c r="A448" s="1">
        <v>443.0</v>
      </c>
      <c r="B448" s="1" t="s">
        <v>317</v>
      </c>
      <c r="C448" s="1">
        <v>443.0</v>
      </c>
      <c r="D448" s="2">
        <f t="shared" si="1"/>
        <v>83</v>
      </c>
      <c r="E448" s="2">
        <f t="shared" si="2"/>
        <v>33</v>
      </c>
      <c r="G448" s="2" t="str">
        <f t="shared" si="3"/>
        <v>INSERT INTO tblWrittenExamResult VALUES (seqWrittenExamResult.nextval, 443, 83, 33);</v>
      </c>
    </row>
    <row r="449">
      <c r="A449" s="1">
        <v>444.0</v>
      </c>
      <c r="B449" s="1" t="s">
        <v>317</v>
      </c>
      <c r="C449" s="1">
        <v>444.0</v>
      </c>
      <c r="D449" s="2">
        <f t="shared" si="1"/>
        <v>55</v>
      </c>
      <c r="E449" s="2">
        <f t="shared" si="2"/>
        <v>19</v>
      </c>
      <c r="G449" s="2" t="str">
        <f t="shared" si="3"/>
        <v>INSERT INTO tblWrittenExamResult VALUES (seqWrittenExamResult.nextval, 444, 55, 19);</v>
      </c>
    </row>
    <row r="450">
      <c r="A450" s="1">
        <v>445.0</v>
      </c>
      <c r="B450" s="1" t="s">
        <v>317</v>
      </c>
      <c r="C450" s="1">
        <v>445.0</v>
      </c>
      <c r="D450" s="2">
        <f t="shared" si="1"/>
        <v>71</v>
      </c>
      <c r="E450" s="2">
        <f t="shared" si="2"/>
        <v>9</v>
      </c>
      <c r="G450" s="2" t="str">
        <f t="shared" si="3"/>
        <v>INSERT INTO tblWrittenExamResult VALUES (seqWrittenExamResult.nextval, 445, 71, 9);</v>
      </c>
    </row>
    <row r="451">
      <c r="A451" s="1">
        <v>446.0</v>
      </c>
      <c r="B451" s="1" t="s">
        <v>317</v>
      </c>
      <c r="C451" s="1">
        <v>446.0</v>
      </c>
      <c r="D451" s="2">
        <f t="shared" si="1"/>
        <v>81</v>
      </c>
      <c r="E451" s="2">
        <f t="shared" si="2"/>
        <v>22</v>
      </c>
      <c r="G451" s="2" t="str">
        <f t="shared" si="3"/>
        <v>INSERT INTO tblWrittenExamResult VALUES (seqWrittenExamResult.nextval, 446, 81, 22);</v>
      </c>
    </row>
    <row r="452">
      <c r="A452" s="1">
        <v>447.0</v>
      </c>
      <c r="B452" s="1" t="s">
        <v>317</v>
      </c>
      <c r="C452" s="1">
        <v>447.0</v>
      </c>
      <c r="D452" s="2">
        <f t="shared" si="1"/>
        <v>84</v>
      </c>
      <c r="E452" s="2">
        <f t="shared" si="2"/>
        <v>7</v>
      </c>
      <c r="G452" s="2" t="str">
        <f t="shared" si="3"/>
        <v>INSERT INTO tblWrittenExamResult VALUES (seqWrittenExamResult.nextval, 447, 84, 7);</v>
      </c>
    </row>
    <row r="453">
      <c r="A453" s="1">
        <v>448.0</v>
      </c>
      <c r="B453" s="1" t="s">
        <v>317</v>
      </c>
      <c r="C453" s="1">
        <v>448.0</v>
      </c>
      <c r="D453" s="2">
        <f t="shared" si="1"/>
        <v>85</v>
      </c>
      <c r="E453" s="2">
        <f t="shared" si="2"/>
        <v>32</v>
      </c>
      <c r="G453" s="2" t="str">
        <f t="shared" si="3"/>
        <v>INSERT INTO tblWrittenExamResult VALUES (seqWrittenExamResult.nextval, 448, 85, 32);</v>
      </c>
    </row>
    <row r="454">
      <c r="A454" s="1">
        <v>449.0</v>
      </c>
      <c r="B454" s="1" t="s">
        <v>317</v>
      </c>
      <c r="C454" s="1">
        <v>449.0</v>
      </c>
      <c r="D454" s="2">
        <f t="shared" si="1"/>
        <v>81</v>
      </c>
      <c r="E454" s="2">
        <f t="shared" si="2"/>
        <v>29</v>
      </c>
      <c r="G454" s="2" t="str">
        <f t="shared" si="3"/>
        <v>INSERT INTO tblWrittenExamResult VALUES (seqWrittenExamResult.nextval, 449, 81, 29);</v>
      </c>
    </row>
    <row r="455">
      <c r="A455" s="1">
        <v>450.0</v>
      </c>
      <c r="B455" s="1" t="s">
        <v>317</v>
      </c>
      <c r="C455" s="1">
        <v>450.0</v>
      </c>
      <c r="D455" s="2">
        <f t="shared" si="1"/>
        <v>92</v>
      </c>
      <c r="E455" s="2">
        <f t="shared" si="2"/>
        <v>23</v>
      </c>
      <c r="G455" s="2" t="str">
        <f t="shared" si="3"/>
        <v>INSERT INTO tblWrittenExamResult VALUES (seqWrittenExamResult.nextval, 450, 92, 23);</v>
      </c>
    </row>
    <row r="456">
      <c r="A456" s="1">
        <v>451.0</v>
      </c>
      <c r="B456" s="1" t="s">
        <v>317</v>
      </c>
      <c r="C456" s="1">
        <v>451.0</v>
      </c>
      <c r="D456" s="2">
        <f t="shared" si="1"/>
        <v>45</v>
      </c>
      <c r="E456" s="2">
        <f t="shared" si="2"/>
        <v>7</v>
      </c>
      <c r="G456" s="2" t="str">
        <f t="shared" si="3"/>
        <v>INSERT INTO tblWrittenExamResult VALUES (seqWrittenExamResult.nextval, 451, 45, 7);</v>
      </c>
    </row>
    <row r="457">
      <c r="A457" s="1">
        <v>452.0</v>
      </c>
      <c r="B457" s="1" t="s">
        <v>317</v>
      </c>
      <c r="C457" s="1">
        <v>452.0</v>
      </c>
      <c r="D457" s="2">
        <f t="shared" si="1"/>
        <v>87</v>
      </c>
      <c r="E457" s="2">
        <f t="shared" si="2"/>
        <v>12</v>
      </c>
      <c r="G457" s="2" t="str">
        <f t="shared" si="3"/>
        <v>INSERT INTO tblWrittenExamResult VALUES (seqWrittenExamResult.nextval, 452, 87, 12);</v>
      </c>
    </row>
    <row r="458">
      <c r="A458" s="1">
        <v>453.0</v>
      </c>
      <c r="B458" s="1" t="s">
        <v>317</v>
      </c>
      <c r="C458" s="1">
        <v>453.0</v>
      </c>
      <c r="D458" s="2">
        <f t="shared" si="1"/>
        <v>48</v>
      </c>
      <c r="E458" s="2">
        <f t="shared" si="2"/>
        <v>13</v>
      </c>
      <c r="G458" s="2" t="str">
        <f t="shared" si="3"/>
        <v>INSERT INTO tblWrittenExamResult VALUES (seqWrittenExamResult.nextval, 453, 48, 13);</v>
      </c>
    </row>
    <row r="459">
      <c r="A459" s="1">
        <v>454.0</v>
      </c>
      <c r="B459" s="1" t="s">
        <v>317</v>
      </c>
      <c r="C459" s="1">
        <v>454.0</v>
      </c>
      <c r="D459" s="2">
        <f t="shared" si="1"/>
        <v>94</v>
      </c>
      <c r="E459" s="2">
        <f t="shared" si="2"/>
        <v>7</v>
      </c>
      <c r="G459" s="2" t="str">
        <f t="shared" si="3"/>
        <v>INSERT INTO tblWrittenExamResult VALUES (seqWrittenExamResult.nextval, 454, 94, 7);</v>
      </c>
    </row>
    <row r="460">
      <c r="A460" s="1">
        <v>455.0</v>
      </c>
      <c r="B460" s="1" t="s">
        <v>317</v>
      </c>
      <c r="C460" s="1">
        <v>455.0</v>
      </c>
      <c r="D460" s="2">
        <f t="shared" si="1"/>
        <v>22</v>
      </c>
      <c r="E460" s="2">
        <f t="shared" si="2"/>
        <v>23</v>
      </c>
      <c r="G460" s="2" t="str">
        <f t="shared" si="3"/>
        <v>INSERT INTO tblWrittenExamResult VALUES (seqWrittenExamResult.nextval, 455, 22, 23);</v>
      </c>
    </row>
    <row r="461">
      <c r="A461" s="1">
        <v>456.0</v>
      </c>
      <c r="B461" s="1" t="s">
        <v>317</v>
      </c>
      <c r="C461" s="1">
        <v>456.0</v>
      </c>
      <c r="D461" s="2">
        <f t="shared" si="1"/>
        <v>44</v>
      </c>
      <c r="E461" s="2">
        <f t="shared" si="2"/>
        <v>27</v>
      </c>
      <c r="G461" s="2" t="str">
        <f t="shared" si="3"/>
        <v>INSERT INTO tblWrittenExamResult VALUES (seqWrittenExamResult.nextval, 456, 44, 27);</v>
      </c>
    </row>
    <row r="462">
      <c r="A462" s="1">
        <v>457.0</v>
      </c>
      <c r="B462" s="1" t="s">
        <v>317</v>
      </c>
      <c r="C462" s="1">
        <v>457.0</v>
      </c>
      <c r="D462" s="2">
        <f t="shared" si="1"/>
        <v>38</v>
      </c>
      <c r="E462" s="2">
        <f t="shared" si="2"/>
        <v>21</v>
      </c>
      <c r="G462" s="2" t="str">
        <f t="shared" si="3"/>
        <v>INSERT INTO tblWrittenExamResult VALUES (seqWrittenExamResult.nextval, 457, 38, 21);</v>
      </c>
    </row>
    <row r="463">
      <c r="A463" s="1">
        <v>458.0</v>
      </c>
      <c r="B463" s="1" t="s">
        <v>317</v>
      </c>
      <c r="C463" s="1">
        <v>458.0</v>
      </c>
      <c r="D463" s="2">
        <f t="shared" si="1"/>
        <v>62</v>
      </c>
      <c r="E463" s="2">
        <f t="shared" si="2"/>
        <v>20</v>
      </c>
      <c r="G463" s="2" t="str">
        <f t="shared" si="3"/>
        <v>INSERT INTO tblWrittenExamResult VALUES (seqWrittenExamResult.nextval, 458, 62, 20);</v>
      </c>
    </row>
    <row r="464">
      <c r="A464" s="1">
        <v>459.0</v>
      </c>
      <c r="B464" s="1" t="s">
        <v>317</v>
      </c>
      <c r="C464" s="1">
        <v>459.0</v>
      </c>
      <c r="D464" s="2">
        <f t="shared" si="1"/>
        <v>27</v>
      </c>
      <c r="E464" s="2">
        <f t="shared" si="2"/>
        <v>16</v>
      </c>
      <c r="G464" s="2" t="str">
        <f t="shared" si="3"/>
        <v>INSERT INTO tblWrittenExamResult VALUES (seqWrittenExamResult.nextval, 459, 27, 16);</v>
      </c>
    </row>
    <row r="465">
      <c r="A465" s="1">
        <v>460.0</v>
      </c>
      <c r="B465" s="1" t="s">
        <v>317</v>
      </c>
      <c r="C465" s="1">
        <v>460.0</v>
      </c>
      <c r="D465" s="2">
        <f t="shared" si="1"/>
        <v>70</v>
      </c>
      <c r="E465" s="2">
        <f t="shared" si="2"/>
        <v>1</v>
      </c>
      <c r="G465" s="2" t="str">
        <f t="shared" si="3"/>
        <v>INSERT INTO tblWrittenExamResult VALUES (seqWrittenExamResult.nextval, 460, 70, 1);</v>
      </c>
    </row>
    <row r="466">
      <c r="A466" s="1">
        <v>461.0</v>
      </c>
      <c r="B466" s="1" t="s">
        <v>317</v>
      </c>
      <c r="C466" s="1">
        <v>461.0</v>
      </c>
      <c r="D466" s="2">
        <f t="shared" si="1"/>
        <v>31</v>
      </c>
      <c r="E466" s="2">
        <f t="shared" si="2"/>
        <v>26</v>
      </c>
      <c r="G466" s="2" t="str">
        <f t="shared" si="3"/>
        <v>INSERT INTO tblWrittenExamResult VALUES (seqWrittenExamResult.nextval, 461, 31, 26);</v>
      </c>
    </row>
    <row r="467">
      <c r="A467" s="1">
        <v>462.0</v>
      </c>
      <c r="B467" s="1" t="s">
        <v>317</v>
      </c>
      <c r="C467" s="1">
        <v>462.0</v>
      </c>
      <c r="D467" s="2">
        <f t="shared" si="1"/>
        <v>65</v>
      </c>
      <c r="E467" s="2">
        <f t="shared" si="2"/>
        <v>26</v>
      </c>
      <c r="G467" s="2" t="str">
        <f t="shared" si="3"/>
        <v>INSERT INTO tblWrittenExamResult VALUES (seqWrittenExamResult.nextval, 462, 65, 26);</v>
      </c>
    </row>
    <row r="468">
      <c r="A468" s="1">
        <v>463.0</v>
      </c>
      <c r="B468" s="1" t="s">
        <v>317</v>
      </c>
      <c r="C468" s="1">
        <v>463.0</v>
      </c>
      <c r="D468" s="2">
        <f t="shared" si="1"/>
        <v>75</v>
      </c>
      <c r="E468" s="2">
        <f t="shared" si="2"/>
        <v>33</v>
      </c>
      <c r="G468" s="2" t="str">
        <f t="shared" si="3"/>
        <v>INSERT INTO tblWrittenExamResult VALUES (seqWrittenExamResult.nextval, 463, 75, 33);</v>
      </c>
    </row>
    <row r="469">
      <c r="A469" s="1">
        <v>464.0</v>
      </c>
      <c r="B469" s="1" t="s">
        <v>317</v>
      </c>
      <c r="C469" s="1">
        <v>464.0</v>
      </c>
      <c r="D469" s="2">
        <f t="shared" si="1"/>
        <v>72</v>
      </c>
      <c r="E469" s="2">
        <f t="shared" si="2"/>
        <v>25</v>
      </c>
      <c r="G469" s="2" t="str">
        <f t="shared" si="3"/>
        <v>INSERT INTO tblWrittenExamResult VALUES (seqWrittenExamResult.nextval, 464, 72, 25);</v>
      </c>
    </row>
    <row r="470">
      <c r="A470" s="1">
        <v>465.0</v>
      </c>
      <c r="B470" s="1" t="s">
        <v>317</v>
      </c>
      <c r="C470" s="1">
        <v>465.0</v>
      </c>
      <c r="D470" s="2">
        <f t="shared" si="1"/>
        <v>72</v>
      </c>
      <c r="E470" s="2">
        <f t="shared" si="2"/>
        <v>6</v>
      </c>
      <c r="G470" s="2" t="str">
        <f t="shared" si="3"/>
        <v>INSERT INTO tblWrittenExamResult VALUES (seqWrittenExamResult.nextval, 465, 72, 6);</v>
      </c>
    </row>
    <row r="471">
      <c r="A471" s="1">
        <v>466.0</v>
      </c>
      <c r="B471" s="1" t="s">
        <v>317</v>
      </c>
      <c r="C471" s="1">
        <v>466.0</v>
      </c>
      <c r="D471" s="2">
        <f t="shared" si="1"/>
        <v>75</v>
      </c>
      <c r="E471" s="2">
        <f t="shared" si="2"/>
        <v>6</v>
      </c>
      <c r="G471" s="2" t="str">
        <f t="shared" si="3"/>
        <v>INSERT INTO tblWrittenExamResult VALUES (seqWrittenExamResult.nextval, 466, 75, 6);</v>
      </c>
    </row>
    <row r="472">
      <c r="A472" s="1">
        <v>467.0</v>
      </c>
      <c r="B472" s="1" t="s">
        <v>317</v>
      </c>
      <c r="C472" s="1">
        <v>467.0</v>
      </c>
      <c r="D472" s="2">
        <f t="shared" si="1"/>
        <v>85</v>
      </c>
      <c r="E472" s="2">
        <f t="shared" si="2"/>
        <v>8</v>
      </c>
      <c r="G472" s="2" t="str">
        <f t="shared" si="3"/>
        <v>INSERT INTO tblWrittenExamResult VALUES (seqWrittenExamResult.nextval, 467, 85, 8);</v>
      </c>
    </row>
    <row r="473">
      <c r="A473" s="1">
        <v>468.0</v>
      </c>
      <c r="B473" s="1" t="s">
        <v>317</v>
      </c>
      <c r="C473" s="1">
        <v>468.0</v>
      </c>
      <c r="D473" s="2">
        <f t="shared" si="1"/>
        <v>87</v>
      </c>
      <c r="E473" s="2">
        <f t="shared" si="2"/>
        <v>1</v>
      </c>
      <c r="G473" s="2" t="str">
        <f t="shared" si="3"/>
        <v>INSERT INTO tblWrittenExamResult VALUES (seqWrittenExamResult.nextval, 468, 87, 1);</v>
      </c>
    </row>
    <row r="474">
      <c r="A474" s="1">
        <v>469.0</v>
      </c>
      <c r="B474" s="1" t="s">
        <v>317</v>
      </c>
      <c r="C474" s="1">
        <v>469.0</v>
      </c>
      <c r="D474" s="2">
        <f t="shared" si="1"/>
        <v>72</v>
      </c>
      <c r="E474" s="2">
        <f t="shared" si="2"/>
        <v>20</v>
      </c>
      <c r="G474" s="2" t="str">
        <f t="shared" si="3"/>
        <v>INSERT INTO tblWrittenExamResult VALUES (seqWrittenExamResult.nextval, 469, 72, 20);</v>
      </c>
    </row>
    <row r="475">
      <c r="A475" s="1">
        <v>470.0</v>
      </c>
      <c r="B475" s="1" t="s">
        <v>317</v>
      </c>
      <c r="C475" s="1">
        <v>470.0</v>
      </c>
      <c r="D475" s="2">
        <f t="shared" si="1"/>
        <v>24</v>
      </c>
      <c r="E475" s="2">
        <f t="shared" si="2"/>
        <v>15</v>
      </c>
      <c r="G475" s="2" t="str">
        <f t="shared" si="3"/>
        <v>INSERT INTO tblWrittenExamResult VALUES (seqWrittenExamResult.nextval, 470, 24, 15);</v>
      </c>
    </row>
    <row r="476">
      <c r="A476" s="1">
        <v>471.0</v>
      </c>
      <c r="B476" s="1" t="s">
        <v>317</v>
      </c>
      <c r="C476" s="1">
        <v>471.0</v>
      </c>
      <c r="D476" s="2">
        <f t="shared" si="1"/>
        <v>89</v>
      </c>
      <c r="E476" s="2">
        <f t="shared" si="2"/>
        <v>17</v>
      </c>
      <c r="G476" s="2" t="str">
        <f t="shared" si="3"/>
        <v>INSERT INTO tblWrittenExamResult VALUES (seqWrittenExamResult.nextval, 471, 89, 17);</v>
      </c>
    </row>
    <row r="477">
      <c r="A477" s="1">
        <v>472.0</v>
      </c>
      <c r="B477" s="1" t="s">
        <v>317</v>
      </c>
      <c r="C477" s="1">
        <v>472.0</v>
      </c>
      <c r="D477" s="2">
        <f t="shared" si="1"/>
        <v>92</v>
      </c>
      <c r="E477" s="2">
        <f t="shared" si="2"/>
        <v>9</v>
      </c>
      <c r="G477" s="2" t="str">
        <f t="shared" si="3"/>
        <v>INSERT INTO tblWrittenExamResult VALUES (seqWrittenExamResult.nextval, 472, 92, 9);</v>
      </c>
    </row>
    <row r="478">
      <c r="A478" s="1">
        <v>473.0</v>
      </c>
      <c r="B478" s="1" t="s">
        <v>317</v>
      </c>
      <c r="C478" s="1">
        <v>473.0</v>
      </c>
      <c r="D478" s="2">
        <f t="shared" si="1"/>
        <v>53</v>
      </c>
      <c r="E478" s="2">
        <f t="shared" si="2"/>
        <v>11</v>
      </c>
      <c r="G478" s="2" t="str">
        <f t="shared" si="3"/>
        <v>INSERT INTO tblWrittenExamResult VALUES (seqWrittenExamResult.nextval, 473, 53, 11);</v>
      </c>
    </row>
    <row r="479">
      <c r="A479" s="1">
        <v>474.0</v>
      </c>
      <c r="B479" s="1" t="s">
        <v>317</v>
      </c>
      <c r="C479" s="1">
        <v>474.0</v>
      </c>
      <c r="D479" s="2">
        <f t="shared" si="1"/>
        <v>37</v>
      </c>
      <c r="E479" s="2">
        <f t="shared" si="2"/>
        <v>16</v>
      </c>
      <c r="G479" s="2" t="str">
        <f t="shared" si="3"/>
        <v>INSERT INTO tblWrittenExamResult VALUES (seqWrittenExamResult.nextval, 474, 37, 16);</v>
      </c>
    </row>
    <row r="480">
      <c r="A480" s="1">
        <v>475.0</v>
      </c>
      <c r="B480" s="1" t="s">
        <v>317</v>
      </c>
      <c r="C480" s="1">
        <v>475.0</v>
      </c>
      <c r="D480" s="2">
        <f t="shared" si="1"/>
        <v>38</v>
      </c>
      <c r="E480" s="2">
        <f t="shared" si="2"/>
        <v>16</v>
      </c>
      <c r="G480" s="2" t="str">
        <f t="shared" si="3"/>
        <v>INSERT INTO tblWrittenExamResult VALUES (seqWrittenExamResult.nextval, 475, 38, 16);</v>
      </c>
    </row>
    <row r="481">
      <c r="A481" s="1">
        <v>476.0</v>
      </c>
      <c r="B481" s="1" t="s">
        <v>317</v>
      </c>
      <c r="C481" s="1">
        <v>476.0</v>
      </c>
      <c r="D481" s="2">
        <f t="shared" si="1"/>
        <v>99</v>
      </c>
      <c r="E481" s="2">
        <f t="shared" si="2"/>
        <v>23</v>
      </c>
      <c r="G481" s="2" t="str">
        <f t="shared" si="3"/>
        <v>INSERT INTO tblWrittenExamResult VALUES (seqWrittenExamResult.nextval, 476, 99, 23);</v>
      </c>
    </row>
    <row r="482">
      <c r="A482" s="1">
        <v>477.0</v>
      </c>
      <c r="B482" s="1" t="s">
        <v>317</v>
      </c>
      <c r="C482" s="1">
        <v>477.0</v>
      </c>
      <c r="D482" s="2">
        <f t="shared" si="1"/>
        <v>45</v>
      </c>
      <c r="E482" s="2">
        <f t="shared" si="2"/>
        <v>22</v>
      </c>
      <c r="G482" s="2" t="str">
        <f t="shared" si="3"/>
        <v>INSERT INTO tblWrittenExamResult VALUES (seqWrittenExamResult.nextval, 477, 45, 22);</v>
      </c>
    </row>
    <row r="483">
      <c r="A483" s="1">
        <v>478.0</v>
      </c>
      <c r="B483" s="1" t="s">
        <v>317</v>
      </c>
      <c r="C483" s="1">
        <v>478.0</v>
      </c>
      <c r="D483" s="2">
        <f t="shared" si="1"/>
        <v>53</v>
      </c>
      <c r="E483" s="2">
        <f t="shared" si="2"/>
        <v>13</v>
      </c>
      <c r="G483" s="2" t="str">
        <f t="shared" si="3"/>
        <v>INSERT INTO tblWrittenExamResult VALUES (seqWrittenExamResult.nextval, 478, 53, 13);</v>
      </c>
    </row>
    <row r="484">
      <c r="A484" s="1">
        <v>479.0</v>
      </c>
      <c r="B484" s="1" t="s">
        <v>317</v>
      </c>
      <c r="C484" s="1">
        <v>479.0</v>
      </c>
      <c r="D484" s="2">
        <f t="shared" si="1"/>
        <v>50</v>
      </c>
      <c r="E484" s="2">
        <f t="shared" si="2"/>
        <v>29</v>
      </c>
      <c r="G484" s="2" t="str">
        <f t="shared" si="3"/>
        <v>INSERT INTO tblWrittenExamResult VALUES (seqWrittenExamResult.nextval, 479, 50, 29);</v>
      </c>
    </row>
    <row r="485">
      <c r="A485" s="1">
        <v>480.0</v>
      </c>
      <c r="B485" s="1" t="s">
        <v>317</v>
      </c>
      <c r="C485" s="1">
        <v>480.0</v>
      </c>
      <c r="D485" s="2">
        <f t="shared" si="1"/>
        <v>59</v>
      </c>
      <c r="E485" s="2">
        <f t="shared" si="2"/>
        <v>31</v>
      </c>
      <c r="G485" s="2" t="str">
        <f t="shared" si="3"/>
        <v>INSERT INTO tblWrittenExamResult VALUES (seqWrittenExamResult.nextval, 480, 59, 31);</v>
      </c>
    </row>
    <row r="486">
      <c r="A486" s="1">
        <v>481.0</v>
      </c>
      <c r="B486" s="1" t="s">
        <v>317</v>
      </c>
      <c r="C486" s="1">
        <v>481.0</v>
      </c>
      <c r="D486" s="2">
        <f t="shared" si="1"/>
        <v>23</v>
      </c>
      <c r="E486" s="2">
        <f t="shared" si="2"/>
        <v>23</v>
      </c>
      <c r="G486" s="2" t="str">
        <f t="shared" si="3"/>
        <v>INSERT INTO tblWrittenExamResult VALUES (seqWrittenExamResult.nextval, 481, 23, 23);</v>
      </c>
    </row>
    <row r="487">
      <c r="A487" s="1">
        <v>482.0</v>
      </c>
      <c r="B487" s="1" t="s">
        <v>317</v>
      </c>
      <c r="C487" s="1">
        <v>482.0</v>
      </c>
      <c r="D487" s="2">
        <f t="shared" si="1"/>
        <v>46</v>
      </c>
      <c r="E487" s="2">
        <f t="shared" si="2"/>
        <v>33</v>
      </c>
      <c r="G487" s="2" t="str">
        <f t="shared" si="3"/>
        <v>INSERT INTO tblWrittenExamResult VALUES (seqWrittenExamResult.nextval, 482, 46, 33);</v>
      </c>
    </row>
    <row r="488">
      <c r="A488" s="1">
        <v>483.0</v>
      </c>
      <c r="B488" s="1" t="s">
        <v>317</v>
      </c>
      <c r="C488" s="1">
        <v>483.0</v>
      </c>
      <c r="D488" s="2">
        <f t="shared" si="1"/>
        <v>78</v>
      </c>
      <c r="E488" s="2">
        <f t="shared" si="2"/>
        <v>22</v>
      </c>
      <c r="G488" s="2" t="str">
        <f t="shared" si="3"/>
        <v>INSERT INTO tblWrittenExamResult VALUES (seqWrittenExamResult.nextval, 483, 78, 22);</v>
      </c>
    </row>
    <row r="489">
      <c r="A489" s="1">
        <v>484.0</v>
      </c>
      <c r="B489" s="1" t="s">
        <v>317</v>
      </c>
      <c r="C489" s="1">
        <v>484.0</v>
      </c>
      <c r="D489" s="2">
        <f t="shared" si="1"/>
        <v>83</v>
      </c>
      <c r="E489" s="2">
        <f t="shared" si="2"/>
        <v>7</v>
      </c>
      <c r="G489" s="2" t="str">
        <f t="shared" si="3"/>
        <v>INSERT INTO tblWrittenExamResult VALUES (seqWrittenExamResult.nextval, 484, 83, 7);</v>
      </c>
    </row>
    <row r="490">
      <c r="A490" s="1">
        <v>485.0</v>
      </c>
      <c r="B490" s="1" t="s">
        <v>317</v>
      </c>
      <c r="C490" s="1">
        <v>485.0</v>
      </c>
      <c r="D490" s="2">
        <f t="shared" si="1"/>
        <v>73</v>
      </c>
      <c r="E490" s="2">
        <f t="shared" si="2"/>
        <v>31</v>
      </c>
      <c r="G490" s="2" t="str">
        <f t="shared" si="3"/>
        <v>INSERT INTO tblWrittenExamResult VALUES (seqWrittenExamResult.nextval, 485, 73, 31);</v>
      </c>
    </row>
    <row r="491">
      <c r="A491" s="1">
        <v>486.0</v>
      </c>
      <c r="B491" s="1" t="s">
        <v>317</v>
      </c>
      <c r="C491" s="1">
        <v>486.0</v>
      </c>
      <c r="D491" s="2">
        <f t="shared" si="1"/>
        <v>70</v>
      </c>
      <c r="E491" s="2">
        <f t="shared" si="2"/>
        <v>4</v>
      </c>
      <c r="G491" s="2" t="str">
        <f t="shared" si="3"/>
        <v>INSERT INTO tblWrittenExamResult VALUES (seqWrittenExamResult.nextval, 486, 70, 4);</v>
      </c>
    </row>
    <row r="492">
      <c r="A492" s="1">
        <v>487.0</v>
      </c>
      <c r="B492" s="1" t="s">
        <v>317</v>
      </c>
      <c r="C492" s="1">
        <v>487.0</v>
      </c>
      <c r="D492" s="2">
        <f t="shared" si="1"/>
        <v>69</v>
      </c>
      <c r="E492" s="2">
        <f t="shared" si="2"/>
        <v>17</v>
      </c>
      <c r="G492" s="2" t="str">
        <f t="shared" si="3"/>
        <v>INSERT INTO tblWrittenExamResult VALUES (seqWrittenExamResult.nextval, 487, 69, 17);</v>
      </c>
    </row>
    <row r="493">
      <c r="A493" s="1">
        <v>488.0</v>
      </c>
      <c r="B493" s="1" t="s">
        <v>317</v>
      </c>
      <c r="C493" s="1">
        <v>488.0</v>
      </c>
      <c r="D493" s="2">
        <f t="shared" si="1"/>
        <v>24</v>
      </c>
      <c r="E493" s="2">
        <f t="shared" si="2"/>
        <v>27</v>
      </c>
      <c r="G493" s="2" t="str">
        <f t="shared" si="3"/>
        <v>INSERT INTO tblWrittenExamResult VALUES (seqWrittenExamResult.nextval, 488, 24, 27);</v>
      </c>
    </row>
    <row r="494">
      <c r="A494" s="1">
        <v>489.0</v>
      </c>
      <c r="B494" s="1" t="s">
        <v>317</v>
      </c>
      <c r="C494" s="1">
        <v>489.0</v>
      </c>
      <c r="D494" s="2">
        <f t="shared" si="1"/>
        <v>85</v>
      </c>
      <c r="E494" s="2">
        <f t="shared" si="2"/>
        <v>17</v>
      </c>
      <c r="G494" s="2" t="str">
        <f t="shared" si="3"/>
        <v>INSERT INTO tblWrittenExamResult VALUES (seqWrittenExamResult.nextval, 489, 85, 17);</v>
      </c>
    </row>
    <row r="495">
      <c r="A495" s="1">
        <v>490.0</v>
      </c>
      <c r="B495" s="1" t="s">
        <v>317</v>
      </c>
      <c r="C495" s="1">
        <v>490.0</v>
      </c>
      <c r="D495" s="2">
        <f t="shared" si="1"/>
        <v>29</v>
      </c>
      <c r="E495" s="2">
        <f t="shared" si="2"/>
        <v>16</v>
      </c>
      <c r="G495" s="2" t="str">
        <f t="shared" si="3"/>
        <v>INSERT INTO tblWrittenExamResult VALUES (seqWrittenExamResult.nextval, 490, 29, 16);</v>
      </c>
    </row>
    <row r="496">
      <c r="A496" s="1">
        <v>491.0</v>
      </c>
      <c r="B496" s="1" t="s">
        <v>317</v>
      </c>
      <c r="C496" s="1">
        <v>491.0</v>
      </c>
      <c r="D496" s="2">
        <f t="shared" si="1"/>
        <v>80</v>
      </c>
      <c r="E496" s="2">
        <f t="shared" si="2"/>
        <v>9</v>
      </c>
      <c r="G496" s="2" t="str">
        <f t="shared" si="3"/>
        <v>INSERT INTO tblWrittenExamResult VALUES (seqWrittenExamResult.nextval, 491, 80, 9);</v>
      </c>
    </row>
  </sheetData>
  <mergeCells count="1">
    <mergeCell ref="B3:H3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</cols>
  <sheetData>
    <row r="4">
      <c r="B4" s="38" t="s">
        <v>165</v>
      </c>
    </row>
    <row r="6">
      <c r="B6" s="36" t="s">
        <v>315</v>
      </c>
      <c r="C6" s="36" t="s">
        <v>210</v>
      </c>
      <c r="D6" s="36" t="s">
        <v>316</v>
      </c>
      <c r="E6" s="36" t="s">
        <v>309</v>
      </c>
    </row>
    <row r="7">
      <c r="A7" s="1">
        <v>1.0</v>
      </c>
      <c r="B7" s="1" t="s">
        <v>318</v>
      </c>
      <c r="C7" s="1">
        <v>1.0</v>
      </c>
      <c r="D7" s="2">
        <f t="shared" ref="D7:D497" si="1">RANDBETWEEN(10,100)</f>
        <v>66</v>
      </c>
      <c r="E7" s="1">
        <f t="shared" ref="E7:E497" si="2">RANDBETWEEN(34,66)</f>
        <v>61</v>
      </c>
      <c r="G7" s="2" t="str">
        <f t="shared" ref="G7:G497" si="3">"INSERT INTO tblPracticalExamResult VALUES (" &amp; B7 &amp; ", " &amp; C7 &amp; ", " &amp; D7 &amp; ", " &amp; E7 &amp; ");"</f>
        <v>INSERT INTO tblPracticalExamResult VALUES (seqPracticalExamResult.nextval, 1, 66, 61);</v>
      </c>
    </row>
    <row r="8">
      <c r="A8" s="1">
        <v>2.0</v>
      </c>
      <c r="B8" s="1" t="s">
        <v>318</v>
      </c>
      <c r="C8" s="1">
        <v>2.0</v>
      </c>
      <c r="D8" s="2">
        <f t="shared" si="1"/>
        <v>86</v>
      </c>
      <c r="E8" s="1">
        <f t="shared" si="2"/>
        <v>51</v>
      </c>
      <c r="G8" s="2" t="str">
        <f t="shared" si="3"/>
        <v>INSERT INTO tblPracticalExamResult VALUES (seqPracticalExamResult.nextval, 2, 86, 51);</v>
      </c>
    </row>
    <row r="9">
      <c r="A9" s="1">
        <v>3.0</v>
      </c>
      <c r="B9" s="1" t="s">
        <v>318</v>
      </c>
      <c r="C9" s="1">
        <v>3.0</v>
      </c>
      <c r="D9" s="2">
        <f t="shared" si="1"/>
        <v>25</v>
      </c>
      <c r="E9" s="1">
        <f t="shared" si="2"/>
        <v>35</v>
      </c>
      <c r="G9" s="2" t="str">
        <f t="shared" si="3"/>
        <v>INSERT INTO tblPracticalExamResult VALUES (seqPracticalExamResult.nextval, 3, 25, 35);</v>
      </c>
    </row>
    <row r="10">
      <c r="A10" s="1">
        <v>4.0</v>
      </c>
      <c r="B10" s="1" t="s">
        <v>318</v>
      </c>
      <c r="C10" s="1">
        <v>4.0</v>
      </c>
      <c r="D10" s="2">
        <f t="shared" si="1"/>
        <v>28</v>
      </c>
      <c r="E10" s="1">
        <f t="shared" si="2"/>
        <v>42</v>
      </c>
      <c r="G10" s="2" t="str">
        <f t="shared" si="3"/>
        <v>INSERT INTO tblPracticalExamResult VALUES (seqPracticalExamResult.nextval, 4, 28, 42);</v>
      </c>
    </row>
    <row r="11">
      <c r="A11" s="1">
        <v>5.0</v>
      </c>
      <c r="B11" s="1" t="s">
        <v>318</v>
      </c>
      <c r="C11" s="1">
        <v>5.0</v>
      </c>
      <c r="D11" s="2">
        <f t="shared" si="1"/>
        <v>17</v>
      </c>
      <c r="E11" s="1">
        <f t="shared" si="2"/>
        <v>43</v>
      </c>
      <c r="G11" s="2" t="str">
        <f t="shared" si="3"/>
        <v>INSERT INTO tblPracticalExamResult VALUES (seqPracticalExamResult.nextval, 5, 17, 43);</v>
      </c>
    </row>
    <row r="12">
      <c r="A12" s="1">
        <v>6.0</v>
      </c>
      <c r="B12" s="1" t="s">
        <v>318</v>
      </c>
      <c r="C12" s="1">
        <v>6.0</v>
      </c>
      <c r="D12" s="2">
        <f t="shared" si="1"/>
        <v>11</v>
      </c>
      <c r="E12" s="1">
        <f t="shared" si="2"/>
        <v>45</v>
      </c>
      <c r="G12" s="2" t="str">
        <f t="shared" si="3"/>
        <v>INSERT INTO tblPracticalExamResult VALUES (seqPracticalExamResult.nextval, 6, 11, 45);</v>
      </c>
    </row>
    <row r="13">
      <c r="A13" s="1">
        <v>7.0</v>
      </c>
      <c r="B13" s="1" t="s">
        <v>318</v>
      </c>
      <c r="C13" s="1">
        <v>7.0</v>
      </c>
      <c r="D13" s="2">
        <f t="shared" si="1"/>
        <v>23</v>
      </c>
      <c r="E13" s="1">
        <f t="shared" si="2"/>
        <v>60</v>
      </c>
      <c r="G13" s="2" t="str">
        <f t="shared" si="3"/>
        <v>INSERT INTO tblPracticalExamResult VALUES (seqPracticalExamResult.nextval, 7, 23, 60);</v>
      </c>
    </row>
    <row r="14">
      <c r="A14" s="1">
        <v>8.0</v>
      </c>
      <c r="B14" s="1" t="s">
        <v>318</v>
      </c>
      <c r="C14" s="1">
        <v>8.0</v>
      </c>
      <c r="D14" s="2">
        <f t="shared" si="1"/>
        <v>41</v>
      </c>
      <c r="E14" s="1">
        <f t="shared" si="2"/>
        <v>46</v>
      </c>
      <c r="G14" s="2" t="str">
        <f t="shared" si="3"/>
        <v>INSERT INTO tblPracticalExamResult VALUES (seqPracticalExamResult.nextval, 8, 41, 46);</v>
      </c>
    </row>
    <row r="15">
      <c r="A15" s="1">
        <v>9.0</v>
      </c>
      <c r="B15" s="1" t="s">
        <v>318</v>
      </c>
      <c r="C15" s="1">
        <v>9.0</v>
      </c>
      <c r="D15" s="2">
        <f t="shared" si="1"/>
        <v>23</v>
      </c>
      <c r="E15" s="1">
        <f t="shared" si="2"/>
        <v>50</v>
      </c>
      <c r="G15" s="2" t="str">
        <f t="shared" si="3"/>
        <v>INSERT INTO tblPracticalExamResult VALUES (seqPracticalExamResult.nextval, 9, 23, 50);</v>
      </c>
    </row>
    <row r="16">
      <c r="A16" s="1">
        <v>10.0</v>
      </c>
      <c r="B16" s="1" t="s">
        <v>318</v>
      </c>
      <c r="C16" s="1">
        <v>10.0</v>
      </c>
      <c r="D16" s="2">
        <f t="shared" si="1"/>
        <v>70</v>
      </c>
      <c r="E16" s="1">
        <f t="shared" si="2"/>
        <v>35</v>
      </c>
      <c r="G16" s="2" t="str">
        <f t="shared" si="3"/>
        <v>INSERT INTO tblPracticalExamResult VALUES (seqPracticalExamResult.nextval, 10, 70, 35);</v>
      </c>
    </row>
    <row r="17">
      <c r="A17" s="1">
        <v>11.0</v>
      </c>
      <c r="B17" s="1" t="s">
        <v>318</v>
      </c>
      <c r="C17" s="1">
        <v>11.0</v>
      </c>
      <c r="D17" s="2">
        <f t="shared" si="1"/>
        <v>14</v>
      </c>
      <c r="E17" s="1">
        <f t="shared" si="2"/>
        <v>56</v>
      </c>
      <c r="G17" s="2" t="str">
        <f t="shared" si="3"/>
        <v>INSERT INTO tblPracticalExamResult VALUES (seqPracticalExamResult.nextval, 11, 14, 56);</v>
      </c>
    </row>
    <row r="18">
      <c r="A18" s="1">
        <v>12.0</v>
      </c>
      <c r="B18" s="1" t="s">
        <v>318</v>
      </c>
      <c r="C18" s="1">
        <v>12.0</v>
      </c>
      <c r="D18" s="2">
        <f t="shared" si="1"/>
        <v>73</v>
      </c>
      <c r="E18" s="1">
        <f t="shared" si="2"/>
        <v>35</v>
      </c>
      <c r="G18" s="2" t="str">
        <f t="shared" si="3"/>
        <v>INSERT INTO tblPracticalExamResult VALUES (seqPracticalExamResult.nextval, 12, 73, 35);</v>
      </c>
    </row>
    <row r="19">
      <c r="A19" s="1">
        <v>13.0</v>
      </c>
      <c r="B19" s="1" t="s">
        <v>318</v>
      </c>
      <c r="C19" s="1">
        <v>13.0</v>
      </c>
      <c r="D19" s="2">
        <f t="shared" si="1"/>
        <v>72</v>
      </c>
      <c r="E19" s="1">
        <f t="shared" si="2"/>
        <v>42</v>
      </c>
      <c r="G19" s="2" t="str">
        <f t="shared" si="3"/>
        <v>INSERT INTO tblPracticalExamResult VALUES (seqPracticalExamResult.nextval, 13, 72, 42);</v>
      </c>
    </row>
    <row r="20">
      <c r="A20" s="1">
        <v>14.0</v>
      </c>
      <c r="B20" s="1" t="s">
        <v>318</v>
      </c>
      <c r="C20" s="1">
        <v>14.0</v>
      </c>
      <c r="D20" s="2">
        <f t="shared" si="1"/>
        <v>93</v>
      </c>
      <c r="E20" s="1">
        <f t="shared" si="2"/>
        <v>62</v>
      </c>
      <c r="G20" s="2" t="str">
        <f t="shared" si="3"/>
        <v>INSERT INTO tblPracticalExamResult VALUES (seqPracticalExamResult.nextval, 14, 93, 62);</v>
      </c>
    </row>
    <row r="21">
      <c r="A21" s="1">
        <v>15.0</v>
      </c>
      <c r="B21" s="1" t="s">
        <v>318</v>
      </c>
      <c r="C21" s="1">
        <v>15.0</v>
      </c>
      <c r="D21" s="2">
        <f t="shared" si="1"/>
        <v>90</v>
      </c>
      <c r="E21" s="1">
        <f t="shared" si="2"/>
        <v>37</v>
      </c>
      <c r="G21" s="2" t="str">
        <f t="shared" si="3"/>
        <v>INSERT INTO tblPracticalExamResult VALUES (seqPracticalExamResult.nextval, 15, 90, 37);</v>
      </c>
    </row>
    <row r="22">
      <c r="A22" s="1">
        <v>16.0</v>
      </c>
      <c r="B22" s="1" t="s">
        <v>318</v>
      </c>
      <c r="C22" s="1">
        <v>16.0</v>
      </c>
      <c r="D22" s="2">
        <f t="shared" si="1"/>
        <v>75</v>
      </c>
      <c r="E22" s="1">
        <f t="shared" si="2"/>
        <v>36</v>
      </c>
      <c r="G22" s="2" t="str">
        <f t="shared" si="3"/>
        <v>INSERT INTO tblPracticalExamResult VALUES (seqPracticalExamResult.nextval, 16, 75, 36);</v>
      </c>
    </row>
    <row r="23">
      <c r="A23" s="1">
        <v>17.0</v>
      </c>
      <c r="B23" s="1" t="s">
        <v>318</v>
      </c>
      <c r="C23" s="1">
        <v>17.0</v>
      </c>
      <c r="D23" s="2">
        <f t="shared" si="1"/>
        <v>31</v>
      </c>
      <c r="E23" s="1">
        <f t="shared" si="2"/>
        <v>53</v>
      </c>
      <c r="G23" s="2" t="str">
        <f t="shared" si="3"/>
        <v>INSERT INTO tblPracticalExamResult VALUES (seqPracticalExamResult.nextval, 17, 31, 53);</v>
      </c>
    </row>
    <row r="24">
      <c r="A24" s="1">
        <v>18.0</v>
      </c>
      <c r="B24" s="1" t="s">
        <v>318</v>
      </c>
      <c r="C24" s="1">
        <v>18.0</v>
      </c>
      <c r="D24" s="2">
        <f t="shared" si="1"/>
        <v>68</v>
      </c>
      <c r="E24" s="1">
        <f t="shared" si="2"/>
        <v>43</v>
      </c>
      <c r="G24" s="2" t="str">
        <f t="shared" si="3"/>
        <v>INSERT INTO tblPracticalExamResult VALUES (seqPracticalExamResult.nextval, 18, 68, 43);</v>
      </c>
    </row>
    <row r="25">
      <c r="A25" s="1">
        <v>19.0</v>
      </c>
      <c r="B25" s="1" t="s">
        <v>318</v>
      </c>
      <c r="C25" s="1">
        <v>19.0</v>
      </c>
      <c r="D25" s="2">
        <f t="shared" si="1"/>
        <v>15</v>
      </c>
      <c r="E25" s="1">
        <f t="shared" si="2"/>
        <v>48</v>
      </c>
      <c r="G25" s="2" t="str">
        <f t="shared" si="3"/>
        <v>INSERT INTO tblPracticalExamResult VALUES (seqPracticalExamResult.nextval, 19, 15, 48);</v>
      </c>
    </row>
    <row r="26">
      <c r="A26" s="1">
        <v>20.0</v>
      </c>
      <c r="B26" s="1" t="s">
        <v>318</v>
      </c>
      <c r="C26" s="1">
        <v>20.0</v>
      </c>
      <c r="D26" s="2">
        <f t="shared" si="1"/>
        <v>34</v>
      </c>
      <c r="E26" s="1">
        <f t="shared" si="2"/>
        <v>46</v>
      </c>
      <c r="G26" s="2" t="str">
        <f t="shared" si="3"/>
        <v>INSERT INTO tblPracticalExamResult VALUES (seqPracticalExamResult.nextval, 20, 34, 46);</v>
      </c>
    </row>
    <row r="27">
      <c r="A27" s="1">
        <v>21.0</v>
      </c>
      <c r="B27" s="1" t="s">
        <v>318</v>
      </c>
      <c r="C27" s="1">
        <v>21.0</v>
      </c>
      <c r="D27" s="2">
        <f t="shared" si="1"/>
        <v>92</v>
      </c>
      <c r="E27" s="1">
        <f t="shared" si="2"/>
        <v>47</v>
      </c>
      <c r="G27" s="2" t="str">
        <f t="shared" si="3"/>
        <v>INSERT INTO tblPracticalExamResult VALUES (seqPracticalExamResult.nextval, 21, 92, 47);</v>
      </c>
    </row>
    <row r="28">
      <c r="A28" s="1">
        <v>22.0</v>
      </c>
      <c r="B28" s="1" t="s">
        <v>318</v>
      </c>
      <c r="C28" s="1">
        <v>22.0</v>
      </c>
      <c r="D28" s="2">
        <f t="shared" si="1"/>
        <v>33</v>
      </c>
      <c r="E28" s="1">
        <f t="shared" si="2"/>
        <v>51</v>
      </c>
      <c r="G28" s="2" t="str">
        <f t="shared" si="3"/>
        <v>INSERT INTO tblPracticalExamResult VALUES (seqPracticalExamResult.nextval, 22, 33, 51);</v>
      </c>
    </row>
    <row r="29">
      <c r="A29" s="1">
        <v>23.0</v>
      </c>
      <c r="B29" s="1" t="s">
        <v>318</v>
      </c>
      <c r="C29" s="1">
        <v>23.0</v>
      </c>
      <c r="D29" s="2">
        <f t="shared" si="1"/>
        <v>30</v>
      </c>
      <c r="E29" s="1">
        <f t="shared" si="2"/>
        <v>62</v>
      </c>
      <c r="G29" s="2" t="str">
        <f t="shared" si="3"/>
        <v>INSERT INTO tblPracticalExamResult VALUES (seqPracticalExamResult.nextval, 23, 30, 62);</v>
      </c>
    </row>
    <row r="30">
      <c r="A30" s="1">
        <v>24.0</v>
      </c>
      <c r="B30" s="1" t="s">
        <v>318</v>
      </c>
      <c r="C30" s="1">
        <v>24.0</v>
      </c>
      <c r="D30" s="2">
        <f t="shared" si="1"/>
        <v>41</v>
      </c>
      <c r="E30" s="1">
        <f t="shared" si="2"/>
        <v>50</v>
      </c>
      <c r="G30" s="2" t="str">
        <f t="shared" si="3"/>
        <v>INSERT INTO tblPracticalExamResult VALUES (seqPracticalExamResult.nextval, 24, 41, 50);</v>
      </c>
    </row>
    <row r="31">
      <c r="A31" s="1">
        <v>25.0</v>
      </c>
      <c r="B31" s="1" t="s">
        <v>318</v>
      </c>
      <c r="C31" s="1">
        <v>25.0</v>
      </c>
      <c r="D31" s="2">
        <f t="shared" si="1"/>
        <v>55</v>
      </c>
      <c r="E31" s="1">
        <f t="shared" si="2"/>
        <v>46</v>
      </c>
      <c r="G31" s="2" t="str">
        <f t="shared" si="3"/>
        <v>INSERT INTO tblPracticalExamResult VALUES (seqPracticalExamResult.nextval, 25, 55, 46);</v>
      </c>
    </row>
    <row r="32">
      <c r="A32" s="1">
        <v>26.0</v>
      </c>
      <c r="B32" s="1" t="s">
        <v>318</v>
      </c>
      <c r="C32" s="1">
        <v>26.0</v>
      </c>
      <c r="D32" s="2">
        <f t="shared" si="1"/>
        <v>11</v>
      </c>
      <c r="E32" s="1">
        <f t="shared" si="2"/>
        <v>60</v>
      </c>
      <c r="G32" s="2" t="str">
        <f t="shared" si="3"/>
        <v>INSERT INTO tblPracticalExamResult VALUES (seqPracticalExamResult.nextval, 26, 11, 60);</v>
      </c>
    </row>
    <row r="33">
      <c r="A33" s="1">
        <v>27.0</v>
      </c>
      <c r="B33" s="1" t="s">
        <v>318</v>
      </c>
      <c r="C33" s="1">
        <v>27.0</v>
      </c>
      <c r="D33" s="2">
        <f t="shared" si="1"/>
        <v>75</v>
      </c>
      <c r="E33" s="1">
        <f t="shared" si="2"/>
        <v>64</v>
      </c>
      <c r="G33" s="2" t="str">
        <f t="shared" si="3"/>
        <v>INSERT INTO tblPracticalExamResult VALUES (seqPracticalExamResult.nextval, 27, 75, 64);</v>
      </c>
    </row>
    <row r="34">
      <c r="A34" s="1">
        <v>28.0</v>
      </c>
      <c r="B34" s="1" t="s">
        <v>318</v>
      </c>
      <c r="C34" s="1">
        <v>28.0</v>
      </c>
      <c r="D34" s="2">
        <f t="shared" si="1"/>
        <v>29</v>
      </c>
      <c r="E34" s="1">
        <f t="shared" si="2"/>
        <v>66</v>
      </c>
      <c r="G34" s="2" t="str">
        <f t="shared" si="3"/>
        <v>INSERT INTO tblPracticalExamResult VALUES (seqPracticalExamResult.nextval, 28, 29, 66);</v>
      </c>
    </row>
    <row r="35">
      <c r="A35" s="1">
        <v>29.0</v>
      </c>
      <c r="B35" s="1" t="s">
        <v>318</v>
      </c>
      <c r="C35" s="1">
        <v>29.0</v>
      </c>
      <c r="D35" s="2">
        <f t="shared" si="1"/>
        <v>59</v>
      </c>
      <c r="E35" s="1">
        <f t="shared" si="2"/>
        <v>63</v>
      </c>
      <c r="G35" s="2" t="str">
        <f t="shared" si="3"/>
        <v>INSERT INTO tblPracticalExamResult VALUES (seqPracticalExamResult.nextval, 29, 59, 63);</v>
      </c>
    </row>
    <row r="36">
      <c r="A36" s="1">
        <v>30.0</v>
      </c>
      <c r="B36" s="1" t="s">
        <v>318</v>
      </c>
      <c r="C36" s="1">
        <v>30.0</v>
      </c>
      <c r="D36" s="2">
        <f t="shared" si="1"/>
        <v>12</v>
      </c>
      <c r="E36" s="1">
        <f t="shared" si="2"/>
        <v>64</v>
      </c>
      <c r="G36" s="2" t="str">
        <f t="shared" si="3"/>
        <v>INSERT INTO tblPracticalExamResult VALUES (seqPracticalExamResult.nextval, 30, 12, 64);</v>
      </c>
    </row>
    <row r="37">
      <c r="A37" s="1">
        <v>31.0</v>
      </c>
      <c r="B37" s="1" t="s">
        <v>318</v>
      </c>
      <c r="C37" s="1">
        <v>31.0</v>
      </c>
      <c r="D37" s="2">
        <f t="shared" si="1"/>
        <v>24</v>
      </c>
      <c r="E37" s="1">
        <f t="shared" si="2"/>
        <v>37</v>
      </c>
      <c r="G37" s="2" t="str">
        <f t="shared" si="3"/>
        <v>INSERT INTO tblPracticalExamResult VALUES (seqPracticalExamResult.nextval, 31, 24, 37);</v>
      </c>
    </row>
    <row r="38">
      <c r="A38" s="1">
        <v>32.0</v>
      </c>
      <c r="B38" s="1" t="s">
        <v>318</v>
      </c>
      <c r="C38" s="1">
        <v>32.0</v>
      </c>
      <c r="D38" s="2">
        <f t="shared" si="1"/>
        <v>88</v>
      </c>
      <c r="E38" s="1">
        <f t="shared" si="2"/>
        <v>42</v>
      </c>
      <c r="G38" s="2" t="str">
        <f t="shared" si="3"/>
        <v>INSERT INTO tblPracticalExamResult VALUES (seqPracticalExamResult.nextval, 32, 88, 42);</v>
      </c>
    </row>
    <row r="39">
      <c r="A39" s="1">
        <v>33.0</v>
      </c>
      <c r="B39" s="1" t="s">
        <v>318</v>
      </c>
      <c r="C39" s="1">
        <v>33.0</v>
      </c>
      <c r="D39" s="2">
        <f t="shared" si="1"/>
        <v>66</v>
      </c>
      <c r="E39" s="1">
        <f t="shared" si="2"/>
        <v>40</v>
      </c>
      <c r="G39" s="2" t="str">
        <f t="shared" si="3"/>
        <v>INSERT INTO tblPracticalExamResult VALUES (seqPracticalExamResult.nextval, 33, 66, 40);</v>
      </c>
    </row>
    <row r="40">
      <c r="A40" s="1">
        <v>34.0</v>
      </c>
      <c r="B40" s="1" t="s">
        <v>318</v>
      </c>
      <c r="C40" s="1">
        <v>34.0</v>
      </c>
      <c r="D40" s="2">
        <f t="shared" si="1"/>
        <v>83</v>
      </c>
      <c r="E40" s="1">
        <f t="shared" si="2"/>
        <v>41</v>
      </c>
      <c r="G40" s="2" t="str">
        <f t="shared" si="3"/>
        <v>INSERT INTO tblPracticalExamResult VALUES (seqPracticalExamResult.nextval, 34, 83, 41);</v>
      </c>
    </row>
    <row r="41">
      <c r="A41" s="1">
        <v>35.0</v>
      </c>
      <c r="B41" s="1" t="s">
        <v>318</v>
      </c>
      <c r="C41" s="1">
        <v>35.0</v>
      </c>
      <c r="D41" s="2">
        <f t="shared" si="1"/>
        <v>15</v>
      </c>
      <c r="E41" s="1">
        <f t="shared" si="2"/>
        <v>65</v>
      </c>
      <c r="G41" s="2" t="str">
        <f t="shared" si="3"/>
        <v>INSERT INTO tblPracticalExamResult VALUES (seqPracticalExamResult.nextval, 35, 15, 65);</v>
      </c>
    </row>
    <row r="42">
      <c r="A42" s="1">
        <v>36.0</v>
      </c>
      <c r="B42" s="1" t="s">
        <v>318</v>
      </c>
      <c r="C42" s="1">
        <v>36.0</v>
      </c>
      <c r="D42" s="2">
        <f t="shared" si="1"/>
        <v>11</v>
      </c>
      <c r="E42" s="1">
        <f t="shared" si="2"/>
        <v>55</v>
      </c>
      <c r="G42" s="2" t="str">
        <f t="shared" si="3"/>
        <v>INSERT INTO tblPracticalExamResult VALUES (seqPracticalExamResult.nextval, 36, 11, 55);</v>
      </c>
    </row>
    <row r="43">
      <c r="A43" s="1">
        <v>37.0</v>
      </c>
      <c r="B43" s="1" t="s">
        <v>318</v>
      </c>
      <c r="C43" s="1">
        <v>37.0</v>
      </c>
      <c r="D43" s="2">
        <f t="shared" si="1"/>
        <v>23</v>
      </c>
      <c r="E43" s="1">
        <f t="shared" si="2"/>
        <v>55</v>
      </c>
      <c r="G43" s="2" t="str">
        <f t="shared" si="3"/>
        <v>INSERT INTO tblPracticalExamResult VALUES (seqPracticalExamResult.nextval, 37, 23, 55);</v>
      </c>
    </row>
    <row r="44">
      <c r="A44" s="1">
        <v>38.0</v>
      </c>
      <c r="B44" s="1" t="s">
        <v>318</v>
      </c>
      <c r="C44" s="1">
        <v>38.0</v>
      </c>
      <c r="D44" s="2">
        <f t="shared" si="1"/>
        <v>87</v>
      </c>
      <c r="E44" s="1">
        <f t="shared" si="2"/>
        <v>40</v>
      </c>
      <c r="G44" s="2" t="str">
        <f t="shared" si="3"/>
        <v>INSERT INTO tblPracticalExamResult VALUES (seqPracticalExamResult.nextval, 38, 87, 40);</v>
      </c>
    </row>
    <row r="45">
      <c r="A45" s="1">
        <v>39.0</v>
      </c>
      <c r="B45" s="1" t="s">
        <v>318</v>
      </c>
      <c r="C45" s="1">
        <v>39.0</v>
      </c>
      <c r="D45" s="2">
        <f t="shared" si="1"/>
        <v>84</v>
      </c>
      <c r="E45" s="1">
        <f t="shared" si="2"/>
        <v>54</v>
      </c>
      <c r="G45" s="2" t="str">
        <f t="shared" si="3"/>
        <v>INSERT INTO tblPracticalExamResult VALUES (seqPracticalExamResult.nextval, 39, 84, 54);</v>
      </c>
    </row>
    <row r="46">
      <c r="A46" s="1">
        <v>40.0</v>
      </c>
      <c r="B46" s="1" t="s">
        <v>318</v>
      </c>
      <c r="C46" s="1">
        <v>40.0</v>
      </c>
      <c r="D46" s="2">
        <f t="shared" si="1"/>
        <v>65</v>
      </c>
      <c r="E46" s="1">
        <f t="shared" si="2"/>
        <v>42</v>
      </c>
      <c r="G46" s="2" t="str">
        <f t="shared" si="3"/>
        <v>INSERT INTO tblPracticalExamResult VALUES (seqPracticalExamResult.nextval, 40, 65, 42);</v>
      </c>
    </row>
    <row r="47">
      <c r="A47" s="1">
        <v>41.0</v>
      </c>
      <c r="B47" s="1" t="s">
        <v>318</v>
      </c>
      <c r="C47" s="1">
        <v>41.0</v>
      </c>
      <c r="D47" s="2">
        <f t="shared" si="1"/>
        <v>11</v>
      </c>
      <c r="E47" s="1">
        <f t="shared" si="2"/>
        <v>60</v>
      </c>
      <c r="G47" s="2" t="str">
        <f t="shared" si="3"/>
        <v>INSERT INTO tblPracticalExamResult VALUES (seqPracticalExamResult.nextval, 41, 11, 60);</v>
      </c>
    </row>
    <row r="48">
      <c r="A48" s="1">
        <v>42.0</v>
      </c>
      <c r="B48" s="1" t="s">
        <v>318</v>
      </c>
      <c r="C48" s="1">
        <v>42.0</v>
      </c>
      <c r="D48" s="2">
        <f t="shared" si="1"/>
        <v>49</v>
      </c>
      <c r="E48" s="1">
        <f t="shared" si="2"/>
        <v>56</v>
      </c>
      <c r="G48" s="2" t="str">
        <f t="shared" si="3"/>
        <v>INSERT INTO tblPracticalExamResult VALUES (seqPracticalExamResult.nextval, 42, 49, 56);</v>
      </c>
    </row>
    <row r="49">
      <c r="A49" s="1">
        <v>43.0</v>
      </c>
      <c r="B49" s="1" t="s">
        <v>318</v>
      </c>
      <c r="C49" s="1">
        <v>43.0</v>
      </c>
      <c r="D49" s="2">
        <f t="shared" si="1"/>
        <v>45</v>
      </c>
      <c r="E49" s="1">
        <f t="shared" si="2"/>
        <v>58</v>
      </c>
      <c r="G49" s="2" t="str">
        <f t="shared" si="3"/>
        <v>INSERT INTO tblPracticalExamResult VALUES (seqPracticalExamResult.nextval, 43, 45, 58);</v>
      </c>
    </row>
    <row r="50">
      <c r="A50" s="1">
        <v>44.0</v>
      </c>
      <c r="B50" s="1" t="s">
        <v>318</v>
      </c>
      <c r="C50" s="1">
        <v>44.0</v>
      </c>
      <c r="D50" s="2">
        <f t="shared" si="1"/>
        <v>30</v>
      </c>
      <c r="E50" s="1">
        <f t="shared" si="2"/>
        <v>54</v>
      </c>
      <c r="G50" s="2" t="str">
        <f t="shared" si="3"/>
        <v>INSERT INTO tblPracticalExamResult VALUES (seqPracticalExamResult.nextval, 44, 30, 54);</v>
      </c>
    </row>
    <row r="51">
      <c r="A51" s="1">
        <v>45.0</v>
      </c>
      <c r="B51" s="1" t="s">
        <v>318</v>
      </c>
      <c r="C51" s="1">
        <v>45.0</v>
      </c>
      <c r="D51" s="2">
        <f t="shared" si="1"/>
        <v>70</v>
      </c>
      <c r="E51" s="1">
        <f t="shared" si="2"/>
        <v>39</v>
      </c>
      <c r="G51" s="2" t="str">
        <f t="shared" si="3"/>
        <v>INSERT INTO tblPracticalExamResult VALUES (seqPracticalExamResult.nextval, 45, 70, 39);</v>
      </c>
    </row>
    <row r="52">
      <c r="A52" s="1">
        <v>46.0</v>
      </c>
      <c r="B52" s="1" t="s">
        <v>318</v>
      </c>
      <c r="C52" s="1">
        <v>46.0</v>
      </c>
      <c r="D52" s="2">
        <f t="shared" si="1"/>
        <v>47</v>
      </c>
      <c r="E52" s="1">
        <f t="shared" si="2"/>
        <v>55</v>
      </c>
      <c r="G52" s="2" t="str">
        <f t="shared" si="3"/>
        <v>INSERT INTO tblPracticalExamResult VALUES (seqPracticalExamResult.nextval, 46, 47, 55);</v>
      </c>
    </row>
    <row r="53">
      <c r="A53" s="1">
        <v>47.0</v>
      </c>
      <c r="B53" s="1" t="s">
        <v>318</v>
      </c>
      <c r="C53" s="1">
        <v>47.0</v>
      </c>
      <c r="D53" s="2">
        <f t="shared" si="1"/>
        <v>27</v>
      </c>
      <c r="E53" s="1">
        <f t="shared" si="2"/>
        <v>61</v>
      </c>
      <c r="G53" s="2" t="str">
        <f t="shared" si="3"/>
        <v>INSERT INTO tblPracticalExamResult VALUES (seqPracticalExamResult.nextval, 47, 27, 61);</v>
      </c>
    </row>
    <row r="54">
      <c r="A54" s="1">
        <v>48.0</v>
      </c>
      <c r="B54" s="1" t="s">
        <v>318</v>
      </c>
      <c r="C54" s="1">
        <v>48.0</v>
      </c>
      <c r="D54" s="2">
        <f t="shared" si="1"/>
        <v>99</v>
      </c>
      <c r="E54" s="1">
        <f t="shared" si="2"/>
        <v>45</v>
      </c>
      <c r="G54" s="2" t="str">
        <f t="shared" si="3"/>
        <v>INSERT INTO tblPracticalExamResult VALUES (seqPracticalExamResult.nextval, 48, 99, 45);</v>
      </c>
    </row>
    <row r="55">
      <c r="A55" s="1">
        <v>49.0</v>
      </c>
      <c r="B55" s="1" t="s">
        <v>318</v>
      </c>
      <c r="C55" s="1">
        <v>49.0</v>
      </c>
      <c r="D55" s="2">
        <f t="shared" si="1"/>
        <v>20</v>
      </c>
      <c r="E55" s="1">
        <f t="shared" si="2"/>
        <v>34</v>
      </c>
      <c r="G55" s="2" t="str">
        <f t="shared" si="3"/>
        <v>INSERT INTO tblPracticalExamResult VALUES (seqPracticalExamResult.nextval, 49, 20, 34);</v>
      </c>
    </row>
    <row r="56">
      <c r="A56" s="1">
        <v>50.0</v>
      </c>
      <c r="B56" s="1" t="s">
        <v>318</v>
      </c>
      <c r="C56" s="1">
        <v>50.0</v>
      </c>
      <c r="D56" s="2">
        <f t="shared" si="1"/>
        <v>57</v>
      </c>
      <c r="E56" s="1">
        <f t="shared" si="2"/>
        <v>52</v>
      </c>
      <c r="G56" s="2" t="str">
        <f t="shared" si="3"/>
        <v>INSERT INTO tblPracticalExamResult VALUES (seqPracticalExamResult.nextval, 50, 57, 52);</v>
      </c>
    </row>
    <row r="57">
      <c r="A57" s="1">
        <v>51.0</v>
      </c>
      <c r="B57" s="1" t="s">
        <v>318</v>
      </c>
      <c r="C57" s="1">
        <v>51.0</v>
      </c>
      <c r="D57" s="2">
        <f t="shared" si="1"/>
        <v>38</v>
      </c>
      <c r="E57" s="1">
        <f t="shared" si="2"/>
        <v>52</v>
      </c>
      <c r="G57" s="2" t="str">
        <f t="shared" si="3"/>
        <v>INSERT INTO tblPracticalExamResult VALUES (seqPracticalExamResult.nextval, 51, 38, 52);</v>
      </c>
    </row>
    <row r="58">
      <c r="A58" s="1">
        <v>52.0</v>
      </c>
      <c r="B58" s="1" t="s">
        <v>318</v>
      </c>
      <c r="C58" s="1">
        <v>52.0</v>
      </c>
      <c r="D58" s="2">
        <f t="shared" si="1"/>
        <v>29</v>
      </c>
      <c r="E58" s="1">
        <f t="shared" si="2"/>
        <v>66</v>
      </c>
      <c r="G58" s="2" t="str">
        <f t="shared" si="3"/>
        <v>INSERT INTO tblPracticalExamResult VALUES (seqPracticalExamResult.nextval, 52, 29, 66);</v>
      </c>
    </row>
    <row r="59">
      <c r="A59" s="1">
        <v>53.0</v>
      </c>
      <c r="B59" s="1" t="s">
        <v>318</v>
      </c>
      <c r="C59" s="1">
        <v>53.0</v>
      </c>
      <c r="D59" s="2">
        <f t="shared" si="1"/>
        <v>58</v>
      </c>
      <c r="E59" s="1">
        <f t="shared" si="2"/>
        <v>55</v>
      </c>
      <c r="G59" s="2" t="str">
        <f t="shared" si="3"/>
        <v>INSERT INTO tblPracticalExamResult VALUES (seqPracticalExamResult.nextval, 53, 58, 55);</v>
      </c>
    </row>
    <row r="60">
      <c r="A60" s="1">
        <v>54.0</v>
      </c>
      <c r="B60" s="1" t="s">
        <v>318</v>
      </c>
      <c r="C60" s="1">
        <v>54.0</v>
      </c>
      <c r="D60" s="2">
        <f t="shared" si="1"/>
        <v>68</v>
      </c>
      <c r="E60" s="1">
        <f t="shared" si="2"/>
        <v>39</v>
      </c>
      <c r="G60" s="2" t="str">
        <f t="shared" si="3"/>
        <v>INSERT INTO tblPracticalExamResult VALUES (seqPracticalExamResult.nextval, 54, 68, 39);</v>
      </c>
    </row>
    <row r="61">
      <c r="A61" s="1">
        <v>55.0</v>
      </c>
      <c r="B61" s="1" t="s">
        <v>318</v>
      </c>
      <c r="C61" s="1">
        <v>55.0</v>
      </c>
      <c r="D61" s="2">
        <f t="shared" si="1"/>
        <v>83</v>
      </c>
      <c r="E61" s="1">
        <f t="shared" si="2"/>
        <v>56</v>
      </c>
      <c r="G61" s="2" t="str">
        <f t="shared" si="3"/>
        <v>INSERT INTO tblPracticalExamResult VALUES (seqPracticalExamResult.nextval, 55, 83, 56);</v>
      </c>
    </row>
    <row r="62">
      <c r="A62" s="1">
        <v>56.0</v>
      </c>
      <c r="B62" s="1" t="s">
        <v>318</v>
      </c>
      <c r="C62" s="1">
        <v>56.0</v>
      </c>
      <c r="D62" s="2">
        <f t="shared" si="1"/>
        <v>79</v>
      </c>
      <c r="E62" s="1">
        <f t="shared" si="2"/>
        <v>37</v>
      </c>
      <c r="G62" s="2" t="str">
        <f t="shared" si="3"/>
        <v>INSERT INTO tblPracticalExamResult VALUES (seqPracticalExamResult.nextval, 56, 79, 37);</v>
      </c>
    </row>
    <row r="63">
      <c r="A63" s="1">
        <v>57.0</v>
      </c>
      <c r="B63" s="1" t="s">
        <v>318</v>
      </c>
      <c r="C63" s="1">
        <v>57.0</v>
      </c>
      <c r="D63" s="2">
        <f t="shared" si="1"/>
        <v>66</v>
      </c>
      <c r="E63" s="1">
        <f t="shared" si="2"/>
        <v>42</v>
      </c>
      <c r="G63" s="2" t="str">
        <f t="shared" si="3"/>
        <v>INSERT INTO tblPracticalExamResult VALUES (seqPracticalExamResult.nextval, 57, 66, 42);</v>
      </c>
    </row>
    <row r="64">
      <c r="A64" s="1">
        <v>58.0</v>
      </c>
      <c r="B64" s="1" t="s">
        <v>318</v>
      </c>
      <c r="C64" s="1">
        <v>58.0</v>
      </c>
      <c r="D64" s="2">
        <f t="shared" si="1"/>
        <v>69</v>
      </c>
      <c r="E64" s="1">
        <f t="shared" si="2"/>
        <v>66</v>
      </c>
      <c r="G64" s="2" t="str">
        <f t="shared" si="3"/>
        <v>INSERT INTO tblPracticalExamResult VALUES (seqPracticalExamResult.nextval, 58, 69, 66);</v>
      </c>
    </row>
    <row r="65">
      <c r="A65" s="1">
        <v>59.0</v>
      </c>
      <c r="B65" s="1" t="s">
        <v>318</v>
      </c>
      <c r="C65" s="1">
        <v>59.0</v>
      </c>
      <c r="D65" s="2">
        <f t="shared" si="1"/>
        <v>81</v>
      </c>
      <c r="E65" s="1">
        <f t="shared" si="2"/>
        <v>48</v>
      </c>
      <c r="G65" s="2" t="str">
        <f t="shared" si="3"/>
        <v>INSERT INTO tblPracticalExamResult VALUES (seqPracticalExamResult.nextval, 59, 81, 48);</v>
      </c>
    </row>
    <row r="66">
      <c r="A66" s="1">
        <v>60.0</v>
      </c>
      <c r="B66" s="1" t="s">
        <v>318</v>
      </c>
      <c r="C66" s="1">
        <v>60.0</v>
      </c>
      <c r="D66" s="2">
        <f t="shared" si="1"/>
        <v>16</v>
      </c>
      <c r="E66" s="1">
        <f t="shared" si="2"/>
        <v>39</v>
      </c>
      <c r="G66" s="2" t="str">
        <f t="shared" si="3"/>
        <v>INSERT INTO tblPracticalExamResult VALUES (seqPracticalExamResult.nextval, 60, 16, 39);</v>
      </c>
    </row>
    <row r="67">
      <c r="A67" s="1">
        <v>61.0</v>
      </c>
      <c r="B67" s="1" t="s">
        <v>318</v>
      </c>
      <c r="C67" s="1">
        <v>61.0</v>
      </c>
      <c r="D67" s="2">
        <f t="shared" si="1"/>
        <v>81</v>
      </c>
      <c r="E67" s="1">
        <f t="shared" si="2"/>
        <v>38</v>
      </c>
      <c r="G67" s="2" t="str">
        <f t="shared" si="3"/>
        <v>INSERT INTO tblPracticalExamResult VALUES (seqPracticalExamResult.nextval, 61, 81, 38);</v>
      </c>
    </row>
    <row r="68">
      <c r="A68" s="1">
        <v>62.0</v>
      </c>
      <c r="B68" s="1" t="s">
        <v>318</v>
      </c>
      <c r="C68" s="1">
        <v>62.0</v>
      </c>
      <c r="D68" s="2">
        <f t="shared" si="1"/>
        <v>95</v>
      </c>
      <c r="E68" s="1">
        <f t="shared" si="2"/>
        <v>46</v>
      </c>
      <c r="G68" s="2" t="str">
        <f t="shared" si="3"/>
        <v>INSERT INTO tblPracticalExamResult VALUES (seqPracticalExamResult.nextval, 62, 95, 46);</v>
      </c>
    </row>
    <row r="69">
      <c r="A69" s="1">
        <v>63.0</v>
      </c>
      <c r="B69" s="1" t="s">
        <v>318</v>
      </c>
      <c r="C69" s="1">
        <v>63.0</v>
      </c>
      <c r="D69" s="2">
        <f t="shared" si="1"/>
        <v>87</v>
      </c>
      <c r="E69" s="1">
        <f t="shared" si="2"/>
        <v>45</v>
      </c>
      <c r="G69" s="2" t="str">
        <f t="shared" si="3"/>
        <v>INSERT INTO tblPracticalExamResult VALUES (seqPracticalExamResult.nextval, 63, 87, 45);</v>
      </c>
    </row>
    <row r="70">
      <c r="A70" s="1">
        <v>64.0</v>
      </c>
      <c r="B70" s="1" t="s">
        <v>318</v>
      </c>
      <c r="C70" s="1">
        <v>64.0</v>
      </c>
      <c r="D70" s="2">
        <f t="shared" si="1"/>
        <v>44</v>
      </c>
      <c r="E70" s="1">
        <f t="shared" si="2"/>
        <v>49</v>
      </c>
      <c r="G70" s="2" t="str">
        <f t="shared" si="3"/>
        <v>INSERT INTO tblPracticalExamResult VALUES (seqPracticalExamResult.nextval, 64, 44, 49);</v>
      </c>
    </row>
    <row r="71">
      <c r="A71" s="1">
        <v>65.0</v>
      </c>
      <c r="B71" s="1" t="s">
        <v>318</v>
      </c>
      <c r="C71" s="1">
        <v>65.0</v>
      </c>
      <c r="D71" s="2">
        <f t="shared" si="1"/>
        <v>11</v>
      </c>
      <c r="E71" s="1">
        <f t="shared" si="2"/>
        <v>44</v>
      </c>
      <c r="G71" s="2" t="str">
        <f t="shared" si="3"/>
        <v>INSERT INTO tblPracticalExamResult VALUES (seqPracticalExamResult.nextval, 65, 11, 44);</v>
      </c>
    </row>
    <row r="72">
      <c r="A72" s="1">
        <v>66.0</v>
      </c>
      <c r="B72" s="1" t="s">
        <v>318</v>
      </c>
      <c r="C72" s="1">
        <v>66.0</v>
      </c>
      <c r="D72" s="2">
        <f t="shared" si="1"/>
        <v>40</v>
      </c>
      <c r="E72" s="1">
        <f t="shared" si="2"/>
        <v>51</v>
      </c>
      <c r="G72" s="2" t="str">
        <f t="shared" si="3"/>
        <v>INSERT INTO tblPracticalExamResult VALUES (seqPracticalExamResult.nextval, 66, 40, 51);</v>
      </c>
    </row>
    <row r="73">
      <c r="A73" s="1">
        <v>67.0</v>
      </c>
      <c r="B73" s="1" t="s">
        <v>318</v>
      </c>
      <c r="C73" s="1">
        <v>67.0</v>
      </c>
      <c r="D73" s="2">
        <f t="shared" si="1"/>
        <v>52</v>
      </c>
      <c r="E73" s="1">
        <f t="shared" si="2"/>
        <v>51</v>
      </c>
      <c r="G73" s="2" t="str">
        <f t="shared" si="3"/>
        <v>INSERT INTO tblPracticalExamResult VALUES (seqPracticalExamResult.nextval, 67, 52, 51);</v>
      </c>
    </row>
    <row r="74">
      <c r="A74" s="1">
        <v>68.0</v>
      </c>
      <c r="B74" s="1" t="s">
        <v>318</v>
      </c>
      <c r="C74" s="1">
        <v>68.0</v>
      </c>
      <c r="D74" s="2">
        <f t="shared" si="1"/>
        <v>22</v>
      </c>
      <c r="E74" s="1">
        <f t="shared" si="2"/>
        <v>50</v>
      </c>
      <c r="G74" s="2" t="str">
        <f t="shared" si="3"/>
        <v>INSERT INTO tblPracticalExamResult VALUES (seqPracticalExamResult.nextval, 68, 22, 50);</v>
      </c>
    </row>
    <row r="75">
      <c r="A75" s="1">
        <v>69.0</v>
      </c>
      <c r="B75" s="1" t="s">
        <v>318</v>
      </c>
      <c r="C75" s="1">
        <v>69.0</v>
      </c>
      <c r="D75" s="2">
        <f t="shared" si="1"/>
        <v>69</v>
      </c>
      <c r="E75" s="1">
        <f t="shared" si="2"/>
        <v>64</v>
      </c>
      <c r="G75" s="2" t="str">
        <f t="shared" si="3"/>
        <v>INSERT INTO tblPracticalExamResult VALUES (seqPracticalExamResult.nextval, 69, 69, 64);</v>
      </c>
    </row>
    <row r="76">
      <c r="A76" s="1">
        <v>70.0</v>
      </c>
      <c r="B76" s="1" t="s">
        <v>318</v>
      </c>
      <c r="C76" s="1">
        <v>70.0</v>
      </c>
      <c r="D76" s="2">
        <f t="shared" si="1"/>
        <v>47</v>
      </c>
      <c r="E76" s="1">
        <f t="shared" si="2"/>
        <v>52</v>
      </c>
      <c r="G76" s="2" t="str">
        <f t="shared" si="3"/>
        <v>INSERT INTO tblPracticalExamResult VALUES (seqPracticalExamResult.nextval, 70, 47, 52);</v>
      </c>
    </row>
    <row r="77">
      <c r="A77" s="1">
        <v>71.0</v>
      </c>
      <c r="B77" s="1" t="s">
        <v>318</v>
      </c>
      <c r="C77" s="1">
        <v>71.0</v>
      </c>
      <c r="D77" s="2">
        <f t="shared" si="1"/>
        <v>53</v>
      </c>
      <c r="E77" s="1">
        <f t="shared" si="2"/>
        <v>59</v>
      </c>
      <c r="G77" s="2" t="str">
        <f t="shared" si="3"/>
        <v>INSERT INTO tblPracticalExamResult VALUES (seqPracticalExamResult.nextval, 71, 53, 59);</v>
      </c>
    </row>
    <row r="78">
      <c r="A78" s="1">
        <v>72.0</v>
      </c>
      <c r="B78" s="1" t="s">
        <v>318</v>
      </c>
      <c r="C78" s="1">
        <v>72.0</v>
      </c>
      <c r="D78" s="2">
        <f t="shared" si="1"/>
        <v>65</v>
      </c>
      <c r="E78" s="1">
        <f t="shared" si="2"/>
        <v>60</v>
      </c>
      <c r="G78" s="2" t="str">
        <f t="shared" si="3"/>
        <v>INSERT INTO tblPracticalExamResult VALUES (seqPracticalExamResult.nextval, 72, 65, 60);</v>
      </c>
    </row>
    <row r="79">
      <c r="A79" s="1">
        <v>73.0</v>
      </c>
      <c r="B79" s="1" t="s">
        <v>318</v>
      </c>
      <c r="C79" s="1">
        <v>73.0</v>
      </c>
      <c r="D79" s="2">
        <f t="shared" si="1"/>
        <v>47</v>
      </c>
      <c r="E79" s="1">
        <f t="shared" si="2"/>
        <v>36</v>
      </c>
      <c r="G79" s="2" t="str">
        <f t="shared" si="3"/>
        <v>INSERT INTO tblPracticalExamResult VALUES (seqPracticalExamResult.nextval, 73, 47, 36);</v>
      </c>
    </row>
    <row r="80">
      <c r="A80" s="1">
        <v>74.0</v>
      </c>
      <c r="B80" s="1" t="s">
        <v>318</v>
      </c>
      <c r="C80" s="1">
        <v>74.0</v>
      </c>
      <c r="D80" s="2">
        <f t="shared" si="1"/>
        <v>83</v>
      </c>
      <c r="E80" s="1">
        <f t="shared" si="2"/>
        <v>65</v>
      </c>
      <c r="G80" s="2" t="str">
        <f t="shared" si="3"/>
        <v>INSERT INTO tblPracticalExamResult VALUES (seqPracticalExamResult.nextval, 74, 83, 65);</v>
      </c>
    </row>
    <row r="81">
      <c r="A81" s="1">
        <v>75.0</v>
      </c>
      <c r="B81" s="1" t="s">
        <v>318</v>
      </c>
      <c r="C81" s="1">
        <v>75.0</v>
      </c>
      <c r="D81" s="2">
        <f t="shared" si="1"/>
        <v>77</v>
      </c>
      <c r="E81" s="1">
        <f t="shared" si="2"/>
        <v>63</v>
      </c>
      <c r="G81" s="2" t="str">
        <f t="shared" si="3"/>
        <v>INSERT INTO tblPracticalExamResult VALUES (seqPracticalExamResult.nextval, 75, 77, 63);</v>
      </c>
    </row>
    <row r="82">
      <c r="A82" s="1">
        <v>76.0</v>
      </c>
      <c r="B82" s="1" t="s">
        <v>318</v>
      </c>
      <c r="C82" s="1">
        <v>76.0</v>
      </c>
      <c r="D82" s="2">
        <f t="shared" si="1"/>
        <v>71</v>
      </c>
      <c r="E82" s="1">
        <f t="shared" si="2"/>
        <v>40</v>
      </c>
      <c r="G82" s="2" t="str">
        <f t="shared" si="3"/>
        <v>INSERT INTO tblPracticalExamResult VALUES (seqPracticalExamResult.nextval, 76, 71, 40);</v>
      </c>
    </row>
    <row r="83">
      <c r="A83" s="1">
        <v>77.0</v>
      </c>
      <c r="B83" s="1" t="s">
        <v>318</v>
      </c>
      <c r="C83" s="1">
        <v>77.0</v>
      </c>
      <c r="D83" s="2">
        <f t="shared" si="1"/>
        <v>25</v>
      </c>
      <c r="E83" s="1">
        <f t="shared" si="2"/>
        <v>60</v>
      </c>
      <c r="G83" s="2" t="str">
        <f t="shared" si="3"/>
        <v>INSERT INTO tblPracticalExamResult VALUES (seqPracticalExamResult.nextval, 77, 25, 60);</v>
      </c>
    </row>
    <row r="84">
      <c r="A84" s="1">
        <v>78.0</v>
      </c>
      <c r="B84" s="1" t="s">
        <v>318</v>
      </c>
      <c r="C84" s="1">
        <v>78.0</v>
      </c>
      <c r="D84" s="2">
        <f t="shared" si="1"/>
        <v>49</v>
      </c>
      <c r="E84" s="1">
        <f t="shared" si="2"/>
        <v>37</v>
      </c>
      <c r="G84" s="2" t="str">
        <f t="shared" si="3"/>
        <v>INSERT INTO tblPracticalExamResult VALUES (seqPracticalExamResult.nextval, 78, 49, 37);</v>
      </c>
    </row>
    <row r="85">
      <c r="A85" s="1">
        <v>79.0</v>
      </c>
      <c r="B85" s="1" t="s">
        <v>318</v>
      </c>
      <c r="C85" s="1">
        <v>79.0</v>
      </c>
      <c r="D85" s="2">
        <f t="shared" si="1"/>
        <v>22</v>
      </c>
      <c r="E85" s="1">
        <f t="shared" si="2"/>
        <v>45</v>
      </c>
      <c r="G85" s="2" t="str">
        <f t="shared" si="3"/>
        <v>INSERT INTO tblPracticalExamResult VALUES (seqPracticalExamResult.nextval, 79, 22, 45);</v>
      </c>
    </row>
    <row r="86">
      <c r="A86" s="1">
        <v>80.0</v>
      </c>
      <c r="B86" s="1" t="s">
        <v>318</v>
      </c>
      <c r="C86" s="1">
        <v>80.0</v>
      </c>
      <c r="D86" s="2">
        <f t="shared" si="1"/>
        <v>100</v>
      </c>
      <c r="E86" s="1">
        <f t="shared" si="2"/>
        <v>60</v>
      </c>
      <c r="G86" s="2" t="str">
        <f t="shared" si="3"/>
        <v>INSERT INTO tblPracticalExamResult VALUES (seqPracticalExamResult.nextval, 80, 100, 60);</v>
      </c>
    </row>
    <row r="87">
      <c r="A87" s="1">
        <v>81.0</v>
      </c>
      <c r="B87" s="1" t="s">
        <v>318</v>
      </c>
      <c r="C87" s="1">
        <v>81.0</v>
      </c>
      <c r="D87" s="2">
        <f t="shared" si="1"/>
        <v>27</v>
      </c>
      <c r="E87" s="1">
        <f t="shared" si="2"/>
        <v>51</v>
      </c>
      <c r="G87" s="2" t="str">
        <f t="shared" si="3"/>
        <v>INSERT INTO tblPracticalExamResult VALUES (seqPracticalExamResult.nextval, 81, 27, 51);</v>
      </c>
    </row>
    <row r="88">
      <c r="A88" s="1">
        <v>82.0</v>
      </c>
      <c r="B88" s="1" t="s">
        <v>318</v>
      </c>
      <c r="C88" s="1">
        <v>82.0</v>
      </c>
      <c r="D88" s="2">
        <f t="shared" si="1"/>
        <v>71</v>
      </c>
      <c r="E88" s="1">
        <f t="shared" si="2"/>
        <v>52</v>
      </c>
      <c r="G88" s="2" t="str">
        <f t="shared" si="3"/>
        <v>INSERT INTO tblPracticalExamResult VALUES (seqPracticalExamResult.nextval, 82, 71, 52);</v>
      </c>
    </row>
    <row r="89">
      <c r="A89" s="1">
        <v>83.0</v>
      </c>
      <c r="B89" s="1" t="s">
        <v>318</v>
      </c>
      <c r="C89" s="1">
        <v>83.0</v>
      </c>
      <c r="D89" s="2">
        <f t="shared" si="1"/>
        <v>98</v>
      </c>
      <c r="E89" s="1">
        <f t="shared" si="2"/>
        <v>53</v>
      </c>
      <c r="G89" s="2" t="str">
        <f t="shared" si="3"/>
        <v>INSERT INTO tblPracticalExamResult VALUES (seqPracticalExamResult.nextval, 83, 98, 53);</v>
      </c>
    </row>
    <row r="90">
      <c r="A90" s="1">
        <v>84.0</v>
      </c>
      <c r="B90" s="1" t="s">
        <v>318</v>
      </c>
      <c r="C90" s="1">
        <v>84.0</v>
      </c>
      <c r="D90" s="2">
        <f t="shared" si="1"/>
        <v>79</v>
      </c>
      <c r="E90" s="1">
        <f t="shared" si="2"/>
        <v>63</v>
      </c>
      <c r="G90" s="2" t="str">
        <f t="shared" si="3"/>
        <v>INSERT INTO tblPracticalExamResult VALUES (seqPracticalExamResult.nextval, 84, 79, 63);</v>
      </c>
    </row>
    <row r="91">
      <c r="A91" s="1">
        <v>85.0</v>
      </c>
      <c r="B91" s="1" t="s">
        <v>318</v>
      </c>
      <c r="C91" s="1">
        <v>85.0</v>
      </c>
      <c r="D91" s="2">
        <f t="shared" si="1"/>
        <v>24</v>
      </c>
      <c r="E91" s="1">
        <f t="shared" si="2"/>
        <v>61</v>
      </c>
      <c r="G91" s="2" t="str">
        <f t="shared" si="3"/>
        <v>INSERT INTO tblPracticalExamResult VALUES (seqPracticalExamResult.nextval, 85, 24, 61);</v>
      </c>
    </row>
    <row r="92">
      <c r="A92" s="1">
        <v>86.0</v>
      </c>
      <c r="B92" s="1" t="s">
        <v>318</v>
      </c>
      <c r="C92" s="1">
        <v>86.0</v>
      </c>
      <c r="D92" s="2">
        <f t="shared" si="1"/>
        <v>51</v>
      </c>
      <c r="E92" s="1">
        <f t="shared" si="2"/>
        <v>37</v>
      </c>
      <c r="G92" s="2" t="str">
        <f t="shared" si="3"/>
        <v>INSERT INTO tblPracticalExamResult VALUES (seqPracticalExamResult.nextval, 86, 51, 37);</v>
      </c>
    </row>
    <row r="93">
      <c r="A93" s="1">
        <v>87.0</v>
      </c>
      <c r="B93" s="1" t="s">
        <v>318</v>
      </c>
      <c r="C93" s="1">
        <v>87.0</v>
      </c>
      <c r="D93" s="2">
        <f t="shared" si="1"/>
        <v>93</v>
      </c>
      <c r="E93" s="1">
        <f t="shared" si="2"/>
        <v>50</v>
      </c>
      <c r="G93" s="2" t="str">
        <f t="shared" si="3"/>
        <v>INSERT INTO tblPracticalExamResult VALUES (seqPracticalExamResult.nextval, 87, 93, 50);</v>
      </c>
    </row>
    <row r="94">
      <c r="A94" s="1">
        <v>88.0</v>
      </c>
      <c r="B94" s="1" t="s">
        <v>318</v>
      </c>
      <c r="C94" s="1">
        <v>88.0</v>
      </c>
      <c r="D94" s="2">
        <f t="shared" si="1"/>
        <v>36</v>
      </c>
      <c r="E94" s="1">
        <f t="shared" si="2"/>
        <v>64</v>
      </c>
      <c r="G94" s="2" t="str">
        <f t="shared" si="3"/>
        <v>INSERT INTO tblPracticalExamResult VALUES (seqPracticalExamResult.nextval, 88, 36, 64);</v>
      </c>
    </row>
    <row r="95">
      <c r="A95" s="1">
        <v>89.0</v>
      </c>
      <c r="B95" s="1" t="s">
        <v>318</v>
      </c>
      <c r="C95" s="1">
        <v>89.0</v>
      </c>
      <c r="D95" s="2">
        <f t="shared" si="1"/>
        <v>81</v>
      </c>
      <c r="E95" s="1">
        <f t="shared" si="2"/>
        <v>40</v>
      </c>
      <c r="G95" s="2" t="str">
        <f t="shared" si="3"/>
        <v>INSERT INTO tblPracticalExamResult VALUES (seqPracticalExamResult.nextval, 89, 81, 40);</v>
      </c>
    </row>
    <row r="96">
      <c r="A96" s="1">
        <v>90.0</v>
      </c>
      <c r="B96" s="1" t="s">
        <v>318</v>
      </c>
      <c r="C96" s="1">
        <v>90.0</v>
      </c>
      <c r="D96" s="2">
        <f t="shared" si="1"/>
        <v>78</v>
      </c>
      <c r="E96" s="1">
        <f t="shared" si="2"/>
        <v>37</v>
      </c>
      <c r="G96" s="2" t="str">
        <f t="shared" si="3"/>
        <v>INSERT INTO tblPracticalExamResult VALUES (seqPracticalExamResult.nextval, 90, 78, 37);</v>
      </c>
    </row>
    <row r="97">
      <c r="A97" s="1">
        <v>91.0</v>
      </c>
      <c r="B97" s="1" t="s">
        <v>318</v>
      </c>
      <c r="C97" s="1">
        <v>91.0</v>
      </c>
      <c r="D97" s="2">
        <f t="shared" si="1"/>
        <v>53</v>
      </c>
      <c r="E97" s="1">
        <f t="shared" si="2"/>
        <v>39</v>
      </c>
      <c r="G97" s="2" t="str">
        <f t="shared" si="3"/>
        <v>INSERT INTO tblPracticalExamResult VALUES (seqPracticalExamResult.nextval, 91, 53, 39);</v>
      </c>
    </row>
    <row r="98">
      <c r="A98" s="1">
        <v>92.0</v>
      </c>
      <c r="B98" s="1" t="s">
        <v>318</v>
      </c>
      <c r="C98" s="1">
        <v>92.0</v>
      </c>
      <c r="D98" s="2">
        <f t="shared" si="1"/>
        <v>24</v>
      </c>
      <c r="E98" s="1">
        <f t="shared" si="2"/>
        <v>63</v>
      </c>
      <c r="G98" s="2" t="str">
        <f t="shared" si="3"/>
        <v>INSERT INTO tblPracticalExamResult VALUES (seqPracticalExamResult.nextval, 92, 24, 63);</v>
      </c>
    </row>
    <row r="99">
      <c r="A99" s="1">
        <v>93.0</v>
      </c>
      <c r="B99" s="1" t="s">
        <v>318</v>
      </c>
      <c r="C99" s="1">
        <v>93.0</v>
      </c>
      <c r="D99" s="2">
        <f t="shared" si="1"/>
        <v>59</v>
      </c>
      <c r="E99" s="1">
        <f t="shared" si="2"/>
        <v>44</v>
      </c>
      <c r="G99" s="2" t="str">
        <f t="shared" si="3"/>
        <v>INSERT INTO tblPracticalExamResult VALUES (seqPracticalExamResult.nextval, 93, 59, 44);</v>
      </c>
    </row>
    <row r="100">
      <c r="A100" s="1">
        <v>94.0</v>
      </c>
      <c r="B100" s="1" t="s">
        <v>318</v>
      </c>
      <c r="C100" s="1">
        <v>94.0</v>
      </c>
      <c r="D100" s="2">
        <f t="shared" si="1"/>
        <v>32</v>
      </c>
      <c r="E100" s="1">
        <f t="shared" si="2"/>
        <v>44</v>
      </c>
      <c r="G100" s="2" t="str">
        <f t="shared" si="3"/>
        <v>INSERT INTO tblPracticalExamResult VALUES (seqPracticalExamResult.nextval, 94, 32, 44);</v>
      </c>
    </row>
    <row r="101">
      <c r="A101" s="1">
        <v>95.0</v>
      </c>
      <c r="B101" s="1" t="s">
        <v>318</v>
      </c>
      <c r="C101" s="1">
        <v>95.0</v>
      </c>
      <c r="D101" s="2">
        <f t="shared" si="1"/>
        <v>12</v>
      </c>
      <c r="E101" s="1">
        <f t="shared" si="2"/>
        <v>46</v>
      </c>
      <c r="G101" s="2" t="str">
        <f t="shared" si="3"/>
        <v>INSERT INTO tblPracticalExamResult VALUES (seqPracticalExamResult.nextval, 95, 12, 46);</v>
      </c>
    </row>
    <row r="102">
      <c r="A102" s="1">
        <v>96.0</v>
      </c>
      <c r="B102" s="1" t="s">
        <v>318</v>
      </c>
      <c r="C102" s="1">
        <v>96.0</v>
      </c>
      <c r="D102" s="2">
        <f t="shared" si="1"/>
        <v>88</v>
      </c>
      <c r="E102" s="1">
        <f t="shared" si="2"/>
        <v>47</v>
      </c>
      <c r="G102" s="2" t="str">
        <f t="shared" si="3"/>
        <v>INSERT INTO tblPracticalExamResult VALUES (seqPracticalExamResult.nextval, 96, 88, 47);</v>
      </c>
    </row>
    <row r="103">
      <c r="A103" s="1">
        <v>97.0</v>
      </c>
      <c r="B103" s="1" t="s">
        <v>318</v>
      </c>
      <c r="C103" s="1">
        <v>97.0</v>
      </c>
      <c r="D103" s="2">
        <f t="shared" si="1"/>
        <v>60</v>
      </c>
      <c r="E103" s="1">
        <f t="shared" si="2"/>
        <v>41</v>
      </c>
      <c r="G103" s="2" t="str">
        <f t="shared" si="3"/>
        <v>INSERT INTO tblPracticalExamResult VALUES (seqPracticalExamResult.nextval, 97, 60, 41);</v>
      </c>
    </row>
    <row r="104">
      <c r="A104" s="1">
        <v>98.0</v>
      </c>
      <c r="B104" s="1" t="s">
        <v>318</v>
      </c>
      <c r="C104" s="1">
        <v>98.0</v>
      </c>
      <c r="D104" s="2">
        <f t="shared" si="1"/>
        <v>72</v>
      </c>
      <c r="E104" s="1">
        <f t="shared" si="2"/>
        <v>54</v>
      </c>
      <c r="G104" s="2" t="str">
        <f t="shared" si="3"/>
        <v>INSERT INTO tblPracticalExamResult VALUES (seqPracticalExamResult.nextval, 98, 72, 54);</v>
      </c>
    </row>
    <row r="105">
      <c r="A105" s="1">
        <v>99.0</v>
      </c>
      <c r="B105" s="1" t="s">
        <v>318</v>
      </c>
      <c r="C105" s="1">
        <v>99.0</v>
      </c>
      <c r="D105" s="2">
        <f t="shared" si="1"/>
        <v>32</v>
      </c>
      <c r="E105" s="1">
        <f t="shared" si="2"/>
        <v>64</v>
      </c>
      <c r="G105" s="2" t="str">
        <f t="shared" si="3"/>
        <v>INSERT INTO tblPracticalExamResult VALUES (seqPracticalExamResult.nextval, 99, 32, 64);</v>
      </c>
    </row>
    <row r="106">
      <c r="A106" s="1">
        <v>100.0</v>
      </c>
      <c r="B106" s="1" t="s">
        <v>318</v>
      </c>
      <c r="C106" s="1">
        <v>100.0</v>
      </c>
      <c r="D106" s="2">
        <f t="shared" si="1"/>
        <v>35</v>
      </c>
      <c r="E106" s="1">
        <f t="shared" si="2"/>
        <v>53</v>
      </c>
      <c r="G106" s="2" t="str">
        <f t="shared" si="3"/>
        <v>INSERT INTO tblPracticalExamResult VALUES (seqPracticalExamResult.nextval, 100, 35, 53);</v>
      </c>
    </row>
    <row r="107">
      <c r="A107" s="1">
        <v>101.0</v>
      </c>
      <c r="B107" s="1" t="s">
        <v>318</v>
      </c>
      <c r="C107" s="1">
        <v>101.0</v>
      </c>
      <c r="D107" s="2">
        <f t="shared" si="1"/>
        <v>18</v>
      </c>
      <c r="E107" s="1">
        <f t="shared" si="2"/>
        <v>57</v>
      </c>
      <c r="G107" s="2" t="str">
        <f t="shared" si="3"/>
        <v>INSERT INTO tblPracticalExamResult VALUES (seqPracticalExamResult.nextval, 101, 18, 57);</v>
      </c>
    </row>
    <row r="108">
      <c r="A108" s="1">
        <v>102.0</v>
      </c>
      <c r="B108" s="1" t="s">
        <v>318</v>
      </c>
      <c r="C108" s="1">
        <v>102.0</v>
      </c>
      <c r="D108" s="2">
        <f t="shared" si="1"/>
        <v>63</v>
      </c>
      <c r="E108" s="1">
        <f t="shared" si="2"/>
        <v>54</v>
      </c>
      <c r="G108" s="2" t="str">
        <f t="shared" si="3"/>
        <v>INSERT INTO tblPracticalExamResult VALUES (seqPracticalExamResult.nextval, 102, 63, 54);</v>
      </c>
    </row>
    <row r="109">
      <c r="A109" s="1">
        <v>103.0</v>
      </c>
      <c r="B109" s="1" t="s">
        <v>318</v>
      </c>
      <c r="C109" s="1">
        <v>103.0</v>
      </c>
      <c r="D109" s="2">
        <f t="shared" si="1"/>
        <v>59</v>
      </c>
      <c r="E109" s="1">
        <f t="shared" si="2"/>
        <v>63</v>
      </c>
      <c r="G109" s="2" t="str">
        <f t="shared" si="3"/>
        <v>INSERT INTO tblPracticalExamResult VALUES (seqPracticalExamResult.nextval, 103, 59, 63);</v>
      </c>
    </row>
    <row r="110">
      <c r="A110" s="1">
        <v>104.0</v>
      </c>
      <c r="B110" s="1" t="s">
        <v>318</v>
      </c>
      <c r="C110" s="1">
        <v>104.0</v>
      </c>
      <c r="D110" s="2">
        <f t="shared" si="1"/>
        <v>58</v>
      </c>
      <c r="E110" s="1">
        <f t="shared" si="2"/>
        <v>35</v>
      </c>
      <c r="G110" s="2" t="str">
        <f t="shared" si="3"/>
        <v>INSERT INTO tblPracticalExamResult VALUES (seqPracticalExamResult.nextval, 104, 58, 35);</v>
      </c>
    </row>
    <row r="111">
      <c r="A111" s="1">
        <v>105.0</v>
      </c>
      <c r="B111" s="1" t="s">
        <v>318</v>
      </c>
      <c r="C111" s="1">
        <v>105.0</v>
      </c>
      <c r="D111" s="2">
        <f t="shared" si="1"/>
        <v>56</v>
      </c>
      <c r="E111" s="1">
        <f t="shared" si="2"/>
        <v>57</v>
      </c>
      <c r="G111" s="2" t="str">
        <f t="shared" si="3"/>
        <v>INSERT INTO tblPracticalExamResult VALUES (seqPracticalExamResult.nextval, 105, 56, 57);</v>
      </c>
    </row>
    <row r="112">
      <c r="A112" s="1">
        <v>106.0</v>
      </c>
      <c r="B112" s="1" t="s">
        <v>318</v>
      </c>
      <c r="C112" s="1">
        <v>106.0</v>
      </c>
      <c r="D112" s="2">
        <f t="shared" si="1"/>
        <v>41</v>
      </c>
      <c r="E112" s="1">
        <f t="shared" si="2"/>
        <v>38</v>
      </c>
      <c r="G112" s="2" t="str">
        <f t="shared" si="3"/>
        <v>INSERT INTO tblPracticalExamResult VALUES (seqPracticalExamResult.nextval, 106, 41, 38);</v>
      </c>
    </row>
    <row r="113">
      <c r="A113" s="1">
        <v>107.0</v>
      </c>
      <c r="B113" s="1" t="s">
        <v>318</v>
      </c>
      <c r="C113" s="1">
        <v>107.0</v>
      </c>
      <c r="D113" s="2">
        <f t="shared" si="1"/>
        <v>22</v>
      </c>
      <c r="E113" s="1">
        <f t="shared" si="2"/>
        <v>55</v>
      </c>
      <c r="G113" s="2" t="str">
        <f t="shared" si="3"/>
        <v>INSERT INTO tblPracticalExamResult VALUES (seqPracticalExamResult.nextval, 107, 22, 55);</v>
      </c>
    </row>
    <row r="114">
      <c r="A114" s="1">
        <v>108.0</v>
      </c>
      <c r="B114" s="1" t="s">
        <v>318</v>
      </c>
      <c r="C114" s="1">
        <v>108.0</v>
      </c>
      <c r="D114" s="2">
        <f t="shared" si="1"/>
        <v>85</v>
      </c>
      <c r="E114" s="1">
        <f t="shared" si="2"/>
        <v>40</v>
      </c>
      <c r="G114" s="2" t="str">
        <f t="shared" si="3"/>
        <v>INSERT INTO tblPracticalExamResult VALUES (seqPracticalExamResult.nextval, 108, 85, 40);</v>
      </c>
    </row>
    <row r="115">
      <c r="A115" s="1">
        <v>109.0</v>
      </c>
      <c r="B115" s="1" t="s">
        <v>318</v>
      </c>
      <c r="C115" s="1">
        <v>109.0</v>
      </c>
      <c r="D115" s="2">
        <f t="shared" si="1"/>
        <v>72</v>
      </c>
      <c r="E115" s="1">
        <f t="shared" si="2"/>
        <v>41</v>
      </c>
      <c r="G115" s="2" t="str">
        <f t="shared" si="3"/>
        <v>INSERT INTO tblPracticalExamResult VALUES (seqPracticalExamResult.nextval, 109, 72, 41);</v>
      </c>
    </row>
    <row r="116">
      <c r="A116" s="1">
        <v>110.0</v>
      </c>
      <c r="B116" s="1" t="s">
        <v>318</v>
      </c>
      <c r="C116" s="1">
        <v>110.0</v>
      </c>
      <c r="D116" s="2">
        <f t="shared" si="1"/>
        <v>91</v>
      </c>
      <c r="E116" s="1">
        <f t="shared" si="2"/>
        <v>42</v>
      </c>
      <c r="G116" s="2" t="str">
        <f t="shared" si="3"/>
        <v>INSERT INTO tblPracticalExamResult VALUES (seqPracticalExamResult.nextval, 110, 91, 42);</v>
      </c>
    </row>
    <row r="117">
      <c r="A117" s="1">
        <v>111.0</v>
      </c>
      <c r="B117" s="1" t="s">
        <v>318</v>
      </c>
      <c r="C117" s="1">
        <v>111.0</v>
      </c>
      <c r="D117" s="2">
        <f t="shared" si="1"/>
        <v>54</v>
      </c>
      <c r="E117" s="1">
        <f t="shared" si="2"/>
        <v>38</v>
      </c>
      <c r="G117" s="2" t="str">
        <f t="shared" si="3"/>
        <v>INSERT INTO tblPracticalExamResult VALUES (seqPracticalExamResult.nextval, 111, 54, 38);</v>
      </c>
    </row>
    <row r="118">
      <c r="A118" s="1">
        <v>112.0</v>
      </c>
      <c r="B118" s="1" t="s">
        <v>318</v>
      </c>
      <c r="C118" s="1">
        <v>112.0</v>
      </c>
      <c r="D118" s="2">
        <f t="shared" si="1"/>
        <v>14</v>
      </c>
      <c r="E118" s="1">
        <f t="shared" si="2"/>
        <v>42</v>
      </c>
      <c r="G118" s="2" t="str">
        <f t="shared" si="3"/>
        <v>INSERT INTO tblPracticalExamResult VALUES (seqPracticalExamResult.nextval, 112, 14, 42);</v>
      </c>
    </row>
    <row r="119">
      <c r="A119" s="1">
        <v>113.0</v>
      </c>
      <c r="B119" s="1" t="s">
        <v>318</v>
      </c>
      <c r="C119" s="1">
        <v>113.0</v>
      </c>
      <c r="D119" s="2">
        <f t="shared" si="1"/>
        <v>16</v>
      </c>
      <c r="E119" s="1">
        <f t="shared" si="2"/>
        <v>49</v>
      </c>
      <c r="G119" s="2" t="str">
        <f t="shared" si="3"/>
        <v>INSERT INTO tblPracticalExamResult VALUES (seqPracticalExamResult.nextval, 113, 16, 49);</v>
      </c>
    </row>
    <row r="120">
      <c r="A120" s="1">
        <v>114.0</v>
      </c>
      <c r="B120" s="1" t="s">
        <v>318</v>
      </c>
      <c r="C120" s="1">
        <v>114.0</v>
      </c>
      <c r="D120" s="2">
        <f t="shared" si="1"/>
        <v>22</v>
      </c>
      <c r="E120" s="1">
        <f t="shared" si="2"/>
        <v>44</v>
      </c>
      <c r="G120" s="2" t="str">
        <f t="shared" si="3"/>
        <v>INSERT INTO tblPracticalExamResult VALUES (seqPracticalExamResult.nextval, 114, 22, 44);</v>
      </c>
    </row>
    <row r="121">
      <c r="A121" s="1">
        <v>115.0</v>
      </c>
      <c r="B121" s="1" t="s">
        <v>318</v>
      </c>
      <c r="C121" s="1">
        <v>115.0</v>
      </c>
      <c r="D121" s="2">
        <f t="shared" si="1"/>
        <v>93</v>
      </c>
      <c r="E121" s="1">
        <f t="shared" si="2"/>
        <v>41</v>
      </c>
      <c r="G121" s="2" t="str">
        <f t="shared" si="3"/>
        <v>INSERT INTO tblPracticalExamResult VALUES (seqPracticalExamResult.nextval, 115, 93, 41);</v>
      </c>
    </row>
    <row r="122">
      <c r="A122" s="1">
        <v>116.0</v>
      </c>
      <c r="B122" s="1" t="s">
        <v>318</v>
      </c>
      <c r="C122" s="1">
        <v>116.0</v>
      </c>
      <c r="D122" s="2">
        <f t="shared" si="1"/>
        <v>87</v>
      </c>
      <c r="E122" s="1">
        <f t="shared" si="2"/>
        <v>49</v>
      </c>
      <c r="G122" s="2" t="str">
        <f t="shared" si="3"/>
        <v>INSERT INTO tblPracticalExamResult VALUES (seqPracticalExamResult.nextval, 116, 87, 49);</v>
      </c>
    </row>
    <row r="123">
      <c r="A123" s="1">
        <v>117.0</v>
      </c>
      <c r="B123" s="1" t="s">
        <v>318</v>
      </c>
      <c r="C123" s="1">
        <v>117.0</v>
      </c>
      <c r="D123" s="2">
        <f t="shared" si="1"/>
        <v>20</v>
      </c>
      <c r="E123" s="1">
        <f t="shared" si="2"/>
        <v>39</v>
      </c>
      <c r="G123" s="2" t="str">
        <f t="shared" si="3"/>
        <v>INSERT INTO tblPracticalExamResult VALUES (seqPracticalExamResult.nextval, 117, 20, 39);</v>
      </c>
    </row>
    <row r="124">
      <c r="A124" s="1">
        <v>118.0</v>
      </c>
      <c r="B124" s="1" t="s">
        <v>318</v>
      </c>
      <c r="C124" s="1">
        <v>118.0</v>
      </c>
      <c r="D124" s="2">
        <f t="shared" si="1"/>
        <v>25</v>
      </c>
      <c r="E124" s="1">
        <f t="shared" si="2"/>
        <v>43</v>
      </c>
      <c r="G124" s="2" t="str">
        <f t="shared" si="3"/>
        <v>INSERT INTO tblPracticalExamResult VALUES (seqPracticalExamResult.nextval, 118, 25, 43);</v>
      </c>
    </row>
    <row r="125">
      <c r="A125" s="1">
        <v>119.0</v>
      </c>
      <c r="B125" s="1" t="s">
        <v>318</v>
      </c>
      <c r="C125" s="1">
        <v>119.0</v>
      </c>
      <c r="D125" s="2">
        <f t="shared" si="1"/>
        <v>95</v>
      </c>
      <c r="E125" s="1">
        <f t="shared" si="2"/>
        <v>57</v>
      </c>
      <c r="G125" s="2" t="str">
        <f t="shared" si="3"/>
        <v>INSERT INTO tblPracticalExamResult VALUES (seqPracticalExamResult.nextval, 119, 95, 57);</v>
      </c>
    </row>
    <row r="126">
      <c r="A126" s="1">
        <v>120.0</v>
      </c>
      <c r="B126" s="1" t="s">
        <v>318</v>
      </c>
      <c r="C126" s="1">
        <v>120.0</v>
      </c>
      <c r="D126" s="2">
        <f t="shared" si="1"/>
        <v>32</v>
      </c>
      <c r="E126" s="1">
        <f t="shared" si="2"/>
        <v>53</v>
      </c>
      <c r="G126" s="2" t="str">
        <f t="shared" si="3"/>
        <v>INSERT INTO tblPracticalExamResult VALUES (seqPracticalExamResult.nextval, 120, 32, 53);</v>
      </c>
    </row>
    <row r="127">
      <c r="A127" s="1">
        <v>121.0</v>
      </c>
      <c r="B127" s="1" t="s">
        <v>318</v>
      </c>
      <c r="C127" s="1">
        <v>121.0</v>
      </c>
      <c r="D127" s="2">
        <f t="shared" si="1"/>
        <v>46</v>
      </c>
      <c r="E127" s="1">
        <f t="shared" si="2"/>
        <v>59</v>
      </c>
      <c r="G127" s="2" t="str">
        <f t="shared" si="3"/>
        <v>INSERT INTO tblPracticalExamResult VALUES (seqPracticalExamResult.nextval, 121, 46, 59);</v>
      </c>
    </row>
    <row r="128">
      <c r="A128" s="1">
        <v>122.0</v>
      </c>
      <c r="B128" s="1" t="s">
        <v>318</v>
      </c>
      <c r="C128" s="1">
        <v>122.0</v>
      </c>
      <c r="D128" s="2">
        <f t="shared" si="1"/>
        <v>33</v>
      </c>
      <c r="E128" s="1">
        <f t="shared" si="2"/>
        <v>47</v>
      </c>
      <c r="G128" s="2" t="str">
        <f t="shared" si="3"/>
        <v>INSERT INTO tblPracticalExamResult VALUES (seqPracticalExamResult.nextval, 122, 33, 47);</v>
      </c>
    </row>
    <row r="129">
      <c r="A129" s="1">
        <v>123.0</v>
      </c>
      <c r="B129" s="1" t="s">
        <v>318</v>
      </c>
      <c r="C129" s="1">
        <v>123.0</v>
      </c>
      <c r="D129" s="2">
        <f t="shared" si="1"/>
        <v>53</v>
      </c>
      <c r="E129" s="1">
        <f t="shared" si="2"/>
        <v>61</v>
      </c>
      <c r="G129" s="2" t="str">
        <f t="shared" si="3"/>
        <v>INSERT INTO tblPracticalExamResult VALUES (seqPracticalExamResult.nextval, 123, 53, 61);</v>
      </c>
    </row>
    <row r="130">
      <c r="A130" s="1">
        <v>124.0</v>
      </c>
      <c r="B130" s="1" t="s">
        <v>318</v>
      </c>
      <c r="C130" s="1">
        <v>124.0</v>
      </c>
      <c r="D130" s="2">
        <f t="shared" si="1"/>
        <v>40</v>
      </c>
      <c r="E130" s="1">
        <f t="shared" si="2"/>
        <v>58</v>
      </c>
      <c r="G130" s="2" t="str">
        <f t="shared" si="3"/>
        <v>INSERT INTO tblPracticalExamResult VALUES (seqPracticalExamResult.nextval, 124, 40, 58);</v>
      </c>
    </row>
    <row r="131">
      <c r="A131" s="1">
        <v>125.0</v>
      </c>
      <c r="B131" s="1" t="s">
        <v>318</v>
      </c>
      <c r="C131" s="1">
        <v>125.0</v>
      </c>
      <c r="D131" s="2">
        <f t="shared" si="1"/>
        <v>32</v>
      </c>
      <c r="E131" s="1">
        <f t="shared" si="2"/>
        <v>61</v>
      </c>
      <c r="G131" s="2" t="str">
        <f t="shared" si="3"/>
        <v>INSERT INTO tblPracticalExamResult VALUES (seqPracticalExamResult.nextval, 125, 32, 61);</v>
      </c>
    </row>
    <row r="132">
      <c r="A132" s="1">
        <v>126.0</v>
      </c>
      <c r="B132" s="1" t="s">
        <v>318</v>
      </c>
      <c r="C132" s="1">
        <v>126.0</v>
      </c>
      <c r="D132" s="2">
        <f t="shared" si="1"/>
        <v>68</v>
      </c>
      <c r="E132" s="1">
        <f t="shared" si="2"/>
        <v>35</v>
      </c>
      <c r="G132" s="2" t="str">
        <f t="shared" si="3"/>
        <v>INSERT INTO tblPracticalExamResult VALUES (seqPracticalExamResult.nextval, 126, 68, 35);</v>
      </c>
    </row>
    <row r="133">
      <c r="A133" s="1">
        <v>127.0</v>
      </c>
      <c r="B133" s="1" t="s">
        <v>318</v>
      </c>
      <c r="C133" s="1">
        <v>127.0</v>
      </c>
      <c r="D133" s="2">
        <f t="shared" si="1"/>
        <v>83</v>
      </c>
      <c r="E133" s="1">
        <f t="shared" si="2"/>
        <v>55</v>
      </c>
      <c r="G133" s="2" t="str">
        <f t="shared" si="3"/>
        <v>INSERT INTO tblPracticalExamResult VALUES (seqPracticalExamResult.nextval, 127, 83, 55);</v>
      </c>
    </row>
    <row r="134">
      <c r="A134" s="1">
        <v>128.0</v>
      </c>
      <c r="B134" s="1" t="s">
        <v>318</v>
      </c>
      <c r="C134" s="1">
        <v>128.0</v>
      </c>
      <c r="D134" s="2">
        <f t="shared" si="1"/>
        <v>56</v>
      </c>
      <c r="E134" s="1">
        <f t="shared" si="2"/>
        <v>34</v>
      </c>
      <c r="G134" s="2" t="str">
        <f t="shared" si="3"/>
        <v>INSERT INTO tblPracticalExamResult VALUES (seqPracticalExamResult.nextval, 128, 56, 34);</v>
      </c>
    </row>
    <row r="135">
      <c r="A135" s="1">
        <v>129.0</v>
      </c>
      <c r="B135" s="1" t="s">
        <v>318</v>
      </c>
      <c r="C135" s="1">
        <v>129.0</v>
      </c>
      <c r="D135" s="2">
        <f t="shared" si="1"/>
        <v>68</v>
      </c>
      <c r="E135" s="1">
        <f t="shared" si="2"/>
        <v>60</v>
      </c>
      <c r="G135" s="2" t="str">
        <f t="shared" si="3"/>
        <v>INSERT INTO tblPracticalExamResult VALUES (seqPracticalExamResult.nextval, 129, 68, 60);</v>
      </c>
    </row>
    <row r="136">
      <c r="A136" s="1">
        <v>130.0</v>
      </c>
      <c r="B136" s="1" t="s">
        <v>318</v>
      </c>
      <c r="C136" s="1">
        <v>130.0</v>
      </c>
      <c r="D136" s="2">
        <f t="shared" si="1"/>
        <v>50</v>
      </c>
      <c r="E136" s="1">
        <f t="shared" si="2"/>
        <v>41</v>
      </c>
      <c r="G136" s="2" t="str">
        <f t="shared" si="3"/>
        <v>INSERT INTO tblPracticalExamResult VALUES (seqPracticalExamResult.nextval, 130, 50, 41);</v>
      </c>
    </row>
    <row r="137">
      <c r="A137" s="1">
        <v>131.0</v>
      </c>
      <c r="B137" s="1" t="s">
        <v>318</v>
      </c>
      <c r="C137" s="1">
        <v>131.0</v>
      </c>
      <c r="D137" s="2">
        <f t="shared" si="1"/>
        <v>98</v>
      </c>
      <c r="E137" s="1">
        <f t="shared" si="2"/>
        <v>40</v>
      </c>
      <c r="G137" s="2" t="str">
        <f t="shared" si="3"/>
        <v>INSERT INTO tblPracticalExamResult VALUES (seqPracticalExamResult.nextval, 131, 98, 40);</v>
      </c>
    </row>
    <row r="138">
      <c r="A138" s="1">
        <v>132.0</v>
      </c>
      <c r="B138" s="1" t="s">
        <v>318</v>
      </c>
      <c r="C138" s="1">
        <v>132.0</v>
      </c>
      <c r="D138" s="2">
        <f t="shared" si="1"/>
        <v>77</v>
      </c>
      <c r="E138" s="1">
        <f t="shared" si="2"/>
        <v>35</v>
      </c>
      <c r="G138" s="2" t="str">
        <f t="shared" si="3"/>
        <v>INSERT INTO tblPracticalExamResult VALUES (seqPracticalExamResult.nextval, 132, 77, 35);</v>
      </c>
    </row>
    <row r="139">
      <c r="A139" s="1">
        <v>133.0</v>
      </c>
      <c r="B139" s="1" t="s">
        <v>318</v>
      </c>
      <c r="C139" s="1">
        <v>133.0</v>
      </c>
      <c r="D139" s="2">
        <f t="shared" si="1"/>
        <v>15</v>
      </c>
      <c r="E139" s="1">
        <f t="shared" si="2"/>
        <v>47</v>
      </c>
      <c r="G139" s="2" t="str">
        <f t="shared" si="3"/>
        <v>INSERT INTO tblPracticalExamResult VALUES (seqPracticalExamResult.nextval, 133, 15, 47);</v>
      </c>
    </row>
    <row r="140">
      <c r="A140" s="1">
        <v>134.0</v>
      </c>
      <c r="B140" s="1" t="s">
        <v>318</v>
      </c>
      <c r="C140" s="1">
        <v>134.0</v>
      </c>
      <c r="D140" s="2">
        <f t="shared" si="1"/>
        <v>26</v>
      </c>
      <c r="E140" s="1">
        <f t="shared" si="2"/>
        <v>37</v>
      </c>
      <c r="G140" s="2" t="str">
        <f t="shared" si="3"/>
        <v>INSERT INTO tblPracticalExamResult VALUES (seqPracticalExamResult.nextval, 134, 26, 37);</v>
      </c>
    </row>
    <row r="141">
      <c r="A141" s="1">
        <v>135.0</v>
      </c>
      <c r="B141" s="1" t="s">
        <v>318</v>
      </c>
      <c r="C141" s="1">
        <v>135.0</v>
      </c>
      <c r="D141" s="2">
        <f t="shared" si="1"/>
        <v>63</v>
      </c>
      <c r="E141" s="1">
        <f t="shared" si="2"/>
        <v>40</v>
      </c>
      <c r="G141" s="2" t="str">
        <f t="shared" si="3"/>
        <v>INSERT INTO tblPracticalExamResult VALUES (seqPracticalExamResult.nextval, 135, 63, 40);</v>
      </c>
    </row>
    <row r="142">
      <c r="A142" s="1">
        <v>136.0</v>
      </c>
      <c r="B142" s="1" t="s">
        <v>318</v>
      </c>
      <c r="C142" s="1">
        <v>136.0</v>
      </c>
      <c r="D142" s="2">
        <f t="shared" si="1"/>
        <v>43</v>
      </c>
      <c r="E142" s="1">
        <f t="shared" si="2"/>
        <v>55</v>
      </c>
      <c r="G142" s="2" t="str">
        <f t="shared" si="3"/>
        <v>INSERT INTO tblPracticalExamResult VALUES (seqPracticalExamResult.nextval, 136, 43, 55);</v>
      </c>
    </row>
    <row r="143">
      <c r="A143" s="1">
        <v>137.0</v>
      </c>
      <c r="B143" s="1" t="s">
        <v>318</v>
      </c>
      <c r="C143" s="1">
        <v>137.0</v>
      </c>
      <c r="D143" s="2">
        <f t="shared" si="1"/>
        <v>22</v>
      </c>
      <c r="E143" s="1">
        <f t="shared" si="2"/>
        <v>36</v>
      </c>
      <c r="G143" s="2" t="str">
        <f t="shared" si="3"/>
        <v>INSERT INTO tblPracticalExamResult VALUES (seqPracticalExamResult.nextval, 137, 22, 36);</v>
      </c>
    </row>
    <row r="144">
      <c r="A144" s="1">
        <v>138.0</v>
      </c>
      <c r="B144" s="1" t="s">
        <v>318</v>
      </c>
      <c r="C144" s="1">
        <v>138.0</v>
      </c>
      <c r="D144" s="2">
        <f t="shared" si="1"/>
        <v>16</v>
      </c>
      <c r="E144" s="1">
        <f t="shared" si="2"/>
        <v>55</v>
      </c>
      <c r="G144" s="2" t="str">
        <f t="shared" si="3"/>
        <v>INSERT INTO tblPracticalExamResult VALUES (seqPracticalExamResult.nextval, 138, 16, 55);</v>
      </c>
    </row>
    <row r="145">
      <c r="A145" s="1">
        <v>139.0</v>
      </c>
      <c r="B145" s="1" t="s">
        <v>318</v>
      </c>
      <c r="C145" s="1">
        <v>139.0</v>
      </c>
      <c r="D145" s="2">
        <f t="shared" si="1"/>
        <v>50</v>
      </c>
      <c r="E145" s="1">
        <f t="shared" si="2"/>
        <v>46</v>
      </c>
      <c r="G145" s="2" t="str">
        <f t="shared" si="3"/>
        <v>INSERT INTO tblPracticalExamResult VALUES (seqPracticalExamResult.nextval, 139, 50, 46);</v>
      </c>
    </row>
    <row r="146">
      <c r="A146" s="1">
        <v>140.0</v>
      </c>
      <c r="B146" s="1" t="s">
        <v>318</v>
      </c>
      <c r="C146" s="1">
        <v>140.0</v>
      </c>
      <c r="D146" s="2">
        <f t="shared" si="1"/>
        <v>22</v>
      </c>
      <c r="E146" s="1">
        <f t="shared" si="2"/>
        <v>60</v>
      </c>
      <c r="G146" s="2" t="str">
        <f t="shared" si="3"/>
        <v>INSERT INTO tblPracticalExamResult VALUES (seqPracticalExamResult.nextval, 140, 22, 60);</v>
      </c>
    </row>
    <row r="147">
      <c r="A147" s="1">
        <v>141.0</v>
      </c>
      <c r="B147" s="1" t="s">
        <v>318</v>
      </c>
      <c r="C147" s="1">
        <v>141.0</v>
      </c>
      <c r="D147" s="2">
        <f t="shared" si="1"/>
        <v>38</v>
      </c>
      <c r="E147" s="1">
        <f t="shared" si="2"/>
        <v>60</v>
      </c>
      <c r="G147" s="2" t="str">
        <f t="shared" si="3"/>
        <v>INSERT INTO tblPracticalExamResult VALUES (seqPracticalExamResult.nextval, 141, 38, 60);</v>
      </c>
    </row>
    <row r="148">
      <c r="A148" s="1">
        <v>142.0</v>
      </c>
      <c r="B148" s="1" t="s">
        <v>318</v>
      </c>
      <c r="C148" s="1">
        <v>142.0</v>
      </c>
      <c r="D148" s="2">
        <f t="shared" si="1"/>
        <v>52</v>
      </c>
      <c r="E148" s="1">
        <f t="shared" si="2"/>
        <v>45</v>
      </c>
      <c r="G148" s="2" t="str">
        <f t="shared" si="3"/>
        <v>INSERT INTO tblPracticalExamResult VALUES (seqPracticalExamResult.nextval, 142, 52, 45);</v>
      </c>
    </row>
    <row r="149">
      <c r="A149" s="1">
        <v>143.0</v>
      </c>
      <c r="B149" s="1" t="s">
        <v>318</v>
      </c>
      <c r="C149" s="1">
        <v>143.0</v>
      </c>
      <c r="D149" s="2">
        <f t="shared" si="1"/>
        <v>33</v>
      </c>
      <c r="E149" s="1">
        <f t="shared" si="2"/>
        <v>35</v>
      </c>
      <c r="G149" s="2" t="str">
        <f t="shared" si="3"/>
        <v>INSERT INTO tblPracticalExamResult VALUES (seqPracticalExamResult.nextval, 143, 33, 35);</v>
      </c>
    </row>
    <row r="150">
      <c r="A150" s="1">
        <v>144.0</v>
      </c>
      <c r="B150" s="1" t="s">
        <v>318</v>
      </c>
      <c r="C150" s="1">
        <v>144.0</v>
      </c>
      <c r="D150" s="2">
        <f t="shared" si="1"/>
        <v>12</v>
      </c>
      <c r="E150" s="1">
        <f t="shared" si="2"/>
        <v>51</v>
      </c>
      <c r="G150" s="2" t="str">
        <f t="shared" si="3"/>
        <v>INSERT INTO tblPracticalExamResult VALUES (seqPracticalExamResult.nextval, 144, 12, 51);</v>
      </c>
    </row>
    <row r="151">
      <c r="A151" s="1">
        <v>145.0</v>
      </c>
      <c r="B151" s="1" t="s">
        <v>318</v>
      </c>
      <c r="C151" s="1">
        <v>145.0</v>
      </c>
      <c r="D151" s="2">
        <f t="shared" si="1"/>
        <v>24</v>
      </c>
      <c r="E151" s="1">
        <f t="shared" si="2"/>
        <v>61</v>
      </c>
      <c r="G151" s="2" t="str">
        <f t="shared" si="3"/>
        <v>INSERT INTO tblPracticalExamResult VALUES (seqPracticalExamResult.nextval, 145, 24, 61);</v>
      </c>
    </row>
    <row r="152">
      <c r="A152" s="1">
        <v>146.0</v>
      </c>
      <c r="B152" s="1" t="s">
        <v>318</v>
      </c>
      <c r="C152" s="1">
        <v>146.0</v>
      </c>
      <c r="D152" s="2">
        <f t="shared" si="1"/>
        <v>88</v>
      </c>
      <c r="E152" s="1">
        <f t="shared" si="2"/>
        <v>40</v>
      </c>
      <c r="G152" s="2" t="str">
        <f t="shared" si="3"/>
        <v>INSERT INTO tblPracticalExamResult VALUES (seqPracticalExamResult.nextval, 146, 88, 40);</v>
      </c>
    </row>
    <row r="153">
      <c r="A153" s="1">
        <v>147.0</v>
      </c>
      <c r="B153" s="1" t="s">
        <v>318</v>
      </c>
      <c r="C153" s="1">
        <v>147.0</v>
      </c>
      <c r="D153" s="2">
        <f t="shared" si="1"/>
        <v>10</v>
      </c>
      <c r="E153" s="1">
        <f t="shared" si="2"/>
        <v>63</v>
      </c>
      <c r="G153" s="2" t="str">
        <f t="shared" si="3"/>
        <v>INSERT INTO tblPracticalExamResult VALUES (seqPracticalExamResult.nextval, 147, 10, 63);</v>
      </c>
    </row>
    <row r="154">
      <c r="A154" s="1">
        <v>148.0</v>
      </c>
      <c r="B154" s="1" t="s">
        <v>318</v>
      </c>
      <c r="C154" s="1">
        <v>148.0</v>
      </c>
      <c r="D154" s="2">
        <f t="shared" si="1"/>
        <v>44</v>
      </c>
      <c r="E154" s="1">
        <f t="shared" si="2"/>
        <v>35</v>
      </c>
      <c r="G154" s="2" t="str">
        <f t="shared" si="3"/>
        <v>INSERT INTO tblPracticalExamResult VALUES (seqPracticalExamResult.nextval, 148, 44, 35);</v>
      </c>
    </row>
    <row r="155">
      <c r="A155" s="1">
        <v>149.0</v>
      </c>
      <c r="B155" s="1" t="s">
        <v>318</v>
      </c>
      <c r="C155" s="1">
        <v>149.0</v>
      </c>
      <c r="D155" s="2">
        <f t="shared" si="1"/>
        <v>25</v>
      </c>
      <c r="E155" s="1">
        <f t="shared" si="2"/>
        <v>43</v>
      </c>
      <c r="G155" s="2" t="str">
        <f t="shared" si="3"/>
        <v>INSERT INTO tblPracticalExamResult VALUES (seqPracticalExamResult.nextval, 149, 25, 43);</v>
      </c>
    </row>
    <row r="156">
      <c r="A156" s="1">
        <v>150.0</v>
      </c>
      <c r="B156" s="1" t="s">
        <v>318</v>
      </c>
      <c r="C156" s="1">
        <v>150.0</v>
      </c>
      <c r="D156" s="2">
        <f t="shared" si="1"/>
        <v>52</v>
      </c>
      <c r="E156" s="1">
        <f t="shared" si="2"/>
        <v>40</v>
      </c>
      <c r="G156" s="2" t="str">
        <f t="shared" si="3"/>
        <v>INSERT INTO tblPracticalExamResult VALUES (seqPracticalExamResult.nextval, 150, 52, 40);</v>
      </c>
    </row>
    <row r="157">
      <c r="A157" s="1">
        <v>151.0</v>
      </c>
      <c r="B157" s="1" t="s">
        <v>318</v>
      </c>
      <c r="C157" s="1">
        <v>151.0</v>
      </c>
      <c r="D157" s="2">
        <f t="shared" si="1"/>
        <v>18</v>
      </c>
      <c r="E157" s="1">
        <f t="shared" si="2"/>
        <v>58</v>
      </c>
      <c r="G157" s="2" t="str">
        <f t="shared" si="3"/>
        <v>INSERT INTO tblPracticalExamResult VALUES (seqPracticalExamResult.nextval, 151, 18, 58);</v>
      </c>
    </row>
    <row r="158">
      <c r="A158" s="1">
        <v>152.0</v>
      </c>
      <c r="B158" s="1" t="s">
        <v>318</v>
      </c>
      <c r="C158" s="1">
        <v>152.0</v>
      </c>
      <c r="D158" s="2">
        <f t="shared" si="1"/>
        <v>12</v>
      </c>
      <c r="E158" s="1">
        <f t="shared" si="2"/>
        <v>47</v>
      </c>
      <c r="G158" s="2" t="str">
        <f t="shared" si="3"/>
        <v>INSERT INTO tblPracticalExamResult VALUES (seqPracticalExamResult.nextval, 152, 12, 47);</v>
      </c>
    </row>
    <row r="159">
      <c r="A159" s="1">
        <v>153.0</v>
      </c>
      <c r="B159" s="1" t="s">
        <v>318</v>
      </c>
      <c r="C159" s="1">
        <v>153.0</v>
      </c>
      <c r="D159" s="2">
        <f t="shared" si="1"/>
        <v>24</v>
      </c>
      <c r="E159" s="1">
        <f t="shared" si="2"/>
        <v>61</v>
      </c>
      <c r="G159" s="2" t="str">
        <f t="shared" si="3"/>
        <v>INSERT INTO tblPracticalExamResult VALUES (seqPracticalExamResult.nextval, 153, 24, 61);</v>
      </c>
    </row>
    <row r="160">
      <c r="A160" s="1">
        <v>154.0</v>
      </c>
      <c r="B160" s="1" t="s">
        <v>318</v>
      </c>
      <c r="C160" s="1">
        <v>154.0</v>
      </c>
      <c r="D160" s="2">
        <f t="shared" si="1"/>
        <v>69</v>
      </c>
      <c r="E160" s="1">
        <f t="shared" si="2"/>
        <v>46</v>
      </c>
      <c r="G160" s="2" t="str">
        <f t="shared" si="3"/>
        <v>INSERT INTO tblPracticalExamResult VALUES (seqPracticalExamResult.nextval, 154, 69, 46);</v>
      </c>
    </row>
    <row r="161">
      <c r="A161" s="1">
        <v>155.0</v>
      </c>
      <c r="B161" s="1" t="s">
        <v>318</v>
      </c>
      <c r="C161" s="1">
        <v>155.0</v>
      </c>
      <c r="D161" s="2">
        <f t="shared" si="1"/>
        <v>11</v>
      </c>
      <c r="E161" s="1">
        <f t="shared" si="2"/>
        <v>45</v>
      </c>
      <c r="G161" s="2" t="str">
        <f t="shared" si="3"/>
        <v>INSERT INTO tblPracticalExamResult VALUES (seqPracticalExamResult.nextval, 155, 11, 45);</v>
      </c>
    </row>
    <row r="162">
      <c r="A162" s="1">
        <v>156.0</v>
      </c>
      <c r="B162" s="1" t="s">
        <v>318</v>
      </c>
      <c r="C162" s="1">
        <v>156.0</v>
      </c>
      <c r="D162" s="2">
        <f t="shared" si="1"/>
        <v>44</v>
      </c>
      <c r="E162" s="1">
        <f t="shared" si="2"/>
        <v>36</v>
      </c>
      <c r="G162" s="2" t="str">
        <f t="shared" si="3"/>
        <v>INSERT INTO tblPracticalExamResult VALUES (seqPracticalExamResult.nextval, 156, 44, 36);</v>
      </c>
    </row>
    <row r="163">
      <c r="A163" s="1">
        <v>157.0</v>
      </c>
      <c r="B163" s="1" t="s">
        <v>318</v>
      </c>
      <c r="C163" s="1">
        <v>157.0</v>
      </c>
      <c r="D163" s="2">
        <f t="shared" si="1"/>
        <v>65</v>
      </c>
      <c r="E163" s="1">
        <f t="shared" si="2"/>
        <v>52</v>
      </c>
      <c r="G163" s="2" t="str">
        <f t="shared" si="3"/>
        <v>INSERT INTO tblPracticalExamResult VALUES (seqPracticalExamResult.nextval, 157, 65, 52);</v>
      </c>
    </row>
    <row r="164">
      <c r="A164" s="1">
        <v>158.0</v>
      </c>
      <c r="B164" s="1" t="s">
        <v>318</v>
      </c>
      <c r="C164" s="1">
        <v>158.0</v>
      </c>
      <c r="D164" s="2">
        <f t="shared" si="1"/>
        <v>26</v>
      </c>
      <c r="E164" s="1">
        <f t="shared" si="2"/>
        <v>65</v>
      </c>
      <c r="G164" s="2" t="str">
        <f t="shared" si="3"/>
        <v>INSERT INTO tblPracticalExamResult VALUES (seqPracticalExamResult.nextval, 158, 26, 65);</v>
      </c>
    </row>
    <row r="165">
      <c r="A165" s="1">
        <v>159.0</v>
      </c>
      <c r="B165" s="1" t="s">
        <v>318</v>
      </c>
      <c r="C165" s="1">
        <v>159.0</v>
      </c>
      <c r="D165" s="2">
        <f t="shared" si="1"/>
        <v>90</v>
      </c>
      <c r="E165" s="1">
        <f t="shared" si="2"/>
        <v>59</v>
      </c>
      <c r="G165" s="2" t="str">
        <f t="shared" si="3"/>
        <v>INSERT INTO tblPracticalExamResult VALUES (seqPracticalExamResult.nextval, 159, 90, 59);</v>
      </c>
    </row>
    <row r="166">
      <c r="A166" s="1">
        <v>160.0</v>
      </c>
      <c r="B166" s="1" t="s">
        <v>318</v>
      </c>
      <c r="C166" s="1">
        <v>160.0</v>
      </c>
      <c r="D166" s="2">
        <f t="shared" si="1"/>
        <v>60</v>
      </c>
      <c r="E166" s="1">
        <f t="shared" si="2"/>
        <v>64</v>
      </c>
      <c r="G166" s="2" t="str">
        <f t="shared" si="3"/>
        <v>INSERT INTO tblPracticalExamResult VALUES (seqPracticalExamResult.nextval, 160, 60, 64);</v>
      </c>
    </row>
    <row r="167">
      <c r="A167" s="1">
        <v>161.0</v>
      </c>
      <c r="B167" s="1" t="s">
        <v>318</v>
      </c>
      <c r="C167" s="1">
        <v>161.0</v>
      </c>
      <c r="D167" s="2">
        <f t="shared" si="1"/>
        <v>49</v>
      </c>
      <c r="E167" s="1">
        <f t="shared" si="2"/>
        <v>35</v>
      </c>
      <c r="G167" s="2" t="str">
        <f t="shared" si="3"/>
        <v>INSERT INTO tblPracticalExamResult VALUES (seqPracticalExamResult.nextval, 161, 49, 35);</v>
      </c>
    </row>
    <row r="168">
      <c r="A168" s="1">
        <v>162.0</v>
      </c>
      <c r="B168" s="1" t="s">
        <v>318</v>
      </c>
      <c r="C168" s="1">
        <v>162.0</v>
      </c>
      <c r="D168" s="2">
        <f t="shared" si="1"/>
        <v>78</v>
      </c>
      <c r="E168" s="1">
        <f t="shared" si="2"/>
        <v>37</v>
      </c>
      <c r="G168" s="2" t="str">
        <f t="shared" si="3"/>
        <v>INSERT INTO tblPracticalExamResult VALUES (seqPracticalExamResult.nextval, 162, 78, 37);</v>
      </c>
    </row>
    <row r="169">
      <c r="A169" s="1">
        <v>163.0</v>
      </c>
      <c r="B169" s="1" t="s">
        <v>318</v>
      </c>
      <c r="C169" s="1">
        <v>163.0</v>
      </c>
      <c r="D169" s="2">
        <f t="shared" si="1"/>
        <v>63</v>
      </c>
      <c r="E169" s="1">
        <f t="shared" si="2"/>
        <v>66</v>
      </c>
      <c r="G169" s="2" t="str">
        <f t="shared" si="3"/>
        <v>INSERT INTO tblPracticalExamResult VALUES (seqPracticalExamResult.nextval, 163, 63, 66);</v>
      </c>
    </row>
    <row r="170">
      <c r="A170" s="1">
        <v>164.0</v>
      </c>
      <c r="B170" s="1" t="s">
        <v>318</v>
      </c>
      <c r="C170" s="1">
        <v>164.0</v>
      </c>
      <c r="D170" s="2">
        <f t="shared" si="1"/>
        <v>23</v>
      </c>
      <c r="E170" s="1">
        <f t="shared" si="2"/>
        <v>36</v>
      </c>
      <c r="G170" s="2" t="str">
        <f t="shared" si="3"/>
        <v>INSERT INTO tblPracticalExamResult VALUES (seqPracticalExamResult.nextval, 164, 23, 36);</v>
      </c>
    </row>
    <row r="171">
      <c r="A171" s="1">
        <v>165.0</v>
      </c>
      <c r="B171" s="1" t="s">
        <v>318</v>
      </c>
      <c r="C171" s="1">
        <v>165.0</v>
      </c>
      <c r="D171" s="2">
        <f t="shared" si="1"/>
        <v>60</v>
      </c>
      <c r="E171" s="1">
        <f t="shared" si="2"/>
        <v>41</v>
      </c>
      <c r="G171" s="2" t="str">
        <f t="shared" si="3"/>
        <v>INSERT INTO tblPracticalExamResult VALUES (seqPracticalExamResult.nextval, 165, 60, 41);</v>
      </c>
    </row>
    <row r="172">
      <c r="A172" s="1">
        <v>166.0</v>
      </c>
      <c r="B172" s="1" t="s">
        <v>318</v>
      </c>
      <c r="C172" s="1">
        <v>166.0</v>
      </c>
      <c r="D172" s="2">
        <f t="shared" si="1"/>
        <v>99</v>
      </c>
      <c r="E172" s="1">
        <f t="shared" si="2"/>
        <v>55</v>
      </c>
      <c r="G172" s="2" t="str">
        <f t="shared" si="3"/>
        <v>INSERT INTO tblPracticalExamResult VALUES (seqPracticalExamResult.nextval, 166, 99, 55);</v>
      </c>
    </row>
    <row r="173">
      <c r="A173" s="1">
        <v>167.0</v>
      </c>
      <c r="B173" s="1" t="s">
        <v>318</v>
      </c>
      <c r="C173" s="1">
        <v>167.0</v>
      </c>
      <c r="D173" s="2">
        <f t="shared" si="1"/>
        <v>99</v>
      </c>
      <c r="E173" s="1">
        <f t="shared" si="2"/>
        <v>40</v>
      </c>
      <c r="G173" s="2" t="str">
        <f t="shared" si="3"/>
        <v>INSERT INTO tblPracticalExamResult VALUES (seqPracticalExamResult.nextval, 167, 99, 40);</v>
      </c>
    </row>
    <row r="174">
      <c r="A174" s="1">
        <v>168.0</v>
      </c>
      <c r="B174" s="1" t="s">
        <v>318</v>
      </c>
      <c r="C174" s="1">
        <v>168.0</v>
      </c>
      <c r="D174" s="2">
        <f t="shared" si="1"/>
        <v>84</v>
      </c>
      <c r="E174" s="1">
        <f t="shared" si="2"/>
        <v>39</v>
      </c>
      <c r="G174" s="2" t="str">
        <f t="shared" si="3"/>
        <v>INSERT INTO tblPracticalExamResult VALUES (seqPracticalExamResult.nextval, 168, 84, 39);</v>
      </c>
    </row>
    <row r="175">
      <c r="A175" s="1">
        <v>169.0</v>
      </c>
      <c r="B175" s="1" t="s">
        <v>318</v>
      </c>
      <c r="C175" s="1">
        <v>169.0</v>
      </c>
      <c r="D175" s="2">
        <f t="shared" si="1"/>
        <v>25</v>
      </c>
      <c r="E175" s="1">
        <f t="shared" si="2"/>
        <v>49</v>
      </c>
      <c r="G175" s="2" t="str">
        <f t="shared" si="3"/>
        <v>INSERT INTO tblPracticalExamResult VALUES (seqPracticalExamResult.nextval, 169, 25, 49);</v>
      </c>
    </row>
    <row r="176">
      <c r="A176" s="1">
        <v>170.0</v>
      </c>
      <c r="B176" s="1" t="s">
        <v>318</v>
      </c>
      <c r="C176" s="1">
        <v>170.0</v>
      </c>
      <c r="D176" s="2">
        <f t="shared" si="1"/>
        <v>46</v>
      </c>
      <c r="E176" s="1">
        <f t="shared" si="2"/>
        <v>54</v>
      </c>
      <c r="G176" s="2" t="str">
        <f t="shared" si="3"/>
        <v>INSERT INTO tblPracticalExamResult VALUES (seqPracticalExamResult.nextval, 170, 46, 54);</v>
      </c>
    </row>
    <row r="177">
      <c r="A177" s="1">
        <v>171.0</v>
      </c>
      <c r="B177" s="1" t="s">
        <v>318</v>
      </c>
      <c r="C177" s="1">
        <v>171.0</v>
      </c>
      <c r="D177" s="2">
        <f t="shared" si="1"/>
        <v>10</v>
      </c>
      <c r="E177" s="1">
        <f t="shared" si="2"/>
        <v>59</v>
      </c>
      <c r="G177" s="2" t="str">
        <f t="shared" si="3"/>
        <v>INSERT INTO tblPracticalExamResult VALUES (seqPracticalExamResult.nextval, 171, 10, 59);</v>
      </c>
    </row>
    <row r="178">
      <c r="A178" s="1">
        <v>172.0</v>
      </c>
      <c r="B178" s="1" t="s">
        <v>318</v>
      </c>
      <c r="C178" s="1">
        <v>172.0</v>
      </c>
      <c r="D178" s="2">
        <f t="shared" si="1"/>
        <v>37</v>
      </c>
      <c r="E178" s="1">
        <f t="shared" si="2"/>
        <v>52</v>
      </c>
      <c r="G178" s="2" t="str">
        <f t="shared" si="3"/>
        <v>INSERT INTO tblPracticalExamResult VALUES (seqPracticalExamResult.nextval, 172, 37, 52);</v>
      </c>
    </row>
    <row r="179">
      <c r="A179" s="1">
        <v>173.0</v>
      </c>
      <c r="B179" s="1" t="s">
        <v>318</v>
      </c>
      <c r="C179" s="1">
        <v>173.0</v>
      </c>
      <c r="D179" s="2">
        <f t="shared" si="1"/>
        <v>42</v>
      </c>
      <c r="E179" s="1">
        <f t="shared" si="2"/>
        <v>57</v>
      </c>
      <c r="G179" s="2" t="str">
        <f t="shared" si="3"/>
        <v>INSERT INTO tblPracticalExamResult VALUES (seqPracticalExamResult.nextval, 173, 42, 57);</v>
      </c>
    </row>
    <row r="180">
      <c r="A180" s="1">
        <v>174.0</v>
      </c>
      <c r="B180" s="1" t="s">
        <v>318</v>
      </c>
      <c r="C180" s="1">
        <v>174.0</v>
      </c>
      <c r="D180" s="2">
        <f t="shared" si="1"/>
        <v>62</v>
      </c>
      <c r="E180" s="1">
        <f t="shared" si="2"/>
        <v>46</v>
      </c>
      <c r="G180" s="2" t="str">
        <f t="shared" si="3"/>
        <v>INSERT INTO tblPracticalExamResult VALUES (seqPracticalExamResult.nextval, 174, 62, 46);</v>
      </c>
    </row>
    <row r="181">
      <c r="A181" s="1">
        <v>175.0</v>
      </c>
      <c r="B181" s="1" t="s">
        <v>318</v>
      </c>
      <c r="C181" s="1">
        <v>175.0</v>
      </c>
      <c r="D181" s="2">
        <f t="shared" si="1"/>
        <v>59</v>
      </c>
      <c r="E181" s="1">
        <f t="shared" si="2"/>
        <v>63</v>
      </c>
      <c r="G181" s="2" t="str">
        <f t="shared" si="3"/>
        <v>INSERT INTO tblPracticalExamResult VALUES (seqPracticalExamResult.nextval, 175, 59, 63);</v>
      </c>
    </row>
    <row r="182">
      <c r="A182" s="1">
        <v>176.0</v>
      </c>
      <c r="B182" s="1" t="s">
        <v>318</v>
      </c>
      <c r="C182" s="1">
        <v>176.0</v>
      </c>
      <c r="D182" s="2">
        <f t="shared" si="1"/>
        <v>46</v>
      </c>
      <c r="E182" s="1">
        <f t="shared" si="2"/>
        <v>60</v>
      </c>
      <c r="G182" s="2" t="str">
        <f t="shared" si="3"/>
        <v>INSERT INTO tblPracticalExamResult VALUES (seqPracticalExamResult.nextval, 176, 46, 60);</v>
      </c>
    </row>
    <row r="183">
      <c r="A183" s="1">
        <v>177.0</v>
      </c>
      <c r="B183" s="1" t="s">
        <v>318</v>
      </c>
      <c r="C183" s="1">
        <v>177.0</v>
      </c>
      <c r="D183" s="2">
        <f t="shared" si="1"/>
        <v>53</v>
      </c>
      <c r="E183" s="1">
        <f t="shared" si="2"/>
        <v>63</v>
      </c>
      <c r="G183" s="2" t="str">
        <f t="shared" si="3"/>
        <v>INSERT INTO tblPracticalExamResult VALUES (seqPracticalExamResult.nextval, 177, 53, 63);</v>
      </c>
    </row>
    <row r="184">
      <c r="A184" s="1">
        <v>178.0</v>
      </c>
      <c r="B184" s="1" t="s">
        <v>318</v>
      </c>
      <c r="C184" s="1">
        <v>178.0</v>
      </c>
      <c r="D184" s="2">
        <f t="shared" si="1"/>
        <v>41</v>
      </c>
      <c r="E184" s="1">
        <f t="shared" si="2"/>
        <v>58</v>
      </c>
      <c r="G184" s="2" t="str">
        <f t="shared" si="3"/>
        <v>INSERT INTO tblPracticalExamResult VALUES (seqPracticalExamResult.nextval, 178, 41, 58);</v>
      </c>
    </row>
    <row r="185">
      <c r="A185" s="1">
        <v>179.0</v>
      </c>
      <c r="B185" s="1" t="s">
        <v>318</v>
      </c>
      <c r="C185" s="1">
        <v>179.0</v>
      </c>
      <c r="D185" s="2">
        <f t="shared" si="1"/>
        <v>80</v>
      </c>
      <c r="E185" s="1">
        <f t="shared" si="2"/>
        <v>65</v>
      </c>
      <c r="G185" s="2" t="str">
        <f t="shared" si="3"/>
        <v>INSERT INTO tblPracticalExamResult VALUES (seqPracticalExamResult.nextval, 179, 80, 65);</v>
      </c>
    </row>
    <row r="186">
      <c r="A186" s="1">
        <v>180.0</v>
      </c>
      <c r="B186" s="1" t="s">
        <v>318</v>
      </c>
      <c r="C186" s="1">
        <v>180.0</v>
      </c>
      <c r="D186" s="2">
        <f t="shared" si="1"/>
        <v>83</v>
      </c>
      <c r="E186" s="1">
        <f t="shared" si="2"/>
        <v>45</v>
      </c>
      <c r="G186" s="2" t="str">
        <f t="shared" si="3"/>
        <v>INSERT INTO tblPracticalExamResult VALUES (seqPracticalExamResult.nextval, 180, 83, 45);</v>
      </c>
    </row>
    <row r="187">
      <c r="A187" s="1">
        <v>181.0</v>
      </c>
      <c r="B187" s="1" t="s">
        <v>318</v>
      </c>
      <c r="C187" s="1">
        <v>181.0</v>
      </c>
      <c r="D187" s="2">
        <f t="shared" si="1"/>
        <v>68</v>
      </c>
      <c r="E187" s="1">
        <f t="shared" si="2"/>
        <v>66</v>
      </c>
      <c r="G187" s="2" t="str">
        <f t="shared" si="3"/>
        <v>INSERT INTO tblPracticalExamResult VALUES (seqPracticalExamResult.nextval, 181, 68, 66);</v>
      </c>
    </row>
    <row r="188">
      <c r="A188" s="1">
        <v>182.0</v>
      </c>
      <c r="B188" s="1" t="s">
        <v>318</v>
      </c>
      <c r="C188" s="1">
        <v>182.0</v>
      </c>
      <c r="D188" s="2">
        <f t="shared" si="1"/>
        <v>56</v>
      </c>
      <c r="E188" s="1">
        <f t="shared" si="2"/>
        <v>43</v>
      </c>
      <c r="G188" s="2" t="str">
        <f t="shared" si="3"/>
        <v>INSERT INTO tblPracticalExamResult VALUES (seqPracticalExamResult.nextval, 182, 56, 43);</v>
      </c>
    </row>
    <row r="189">
      <c r="A189" s="1">
        <v>183.0</v>
      </c>
      <c r="B189" s="1" t="s">
        <v>318</v>
      </c>
      <c r="C189" s="1">
        <v>183.0</v>
      </c>
      <c r="D189" s="2">
        <f t="shared" si="1"/>
        <v>94</v>
      </c>
      <c r="E189" s="1">
        <f t="shared" si="2"/>
        <v>47</v>
      </c>
      <c r="G189" s="2" t="str">
        <f t="shared" si="3"/>
        <v>INSERT INTO tblPracticalExamResult VALUES (seqPracticalExamResult.nextval, 183, 94, 47);</v>
      </c>
    </row>
    <row r="190">
      <c r="A190" s="1">
        <v>184.0</v>
      </c>
      <c r="B190" s="1" t="s">
        <v>318</v>
      </c>
      <c r="C190" s="1">
        <v>184.0</v>
      </c>
      <c r="D190" s="2">
        <f t="shared" si="1"/>
        <v>15</v>
      </c>
      <c r="E190" s="1">
        <f t="shared" si="2"/>
        <v>66</v>
      </c>
      <c r="G190" s="2" t="str">
        <f t="shared" si="3"/>
        <v>INSERT INTO tblPracticalExamResult VALUES (seqPracticalExamResult.nextval, 184, 15, 66);</v>
      </c>
    </row>
    <row r="191">
      <c r="A191" s="1">
        <v>185.0</v>
      </c>
      <c r="B191" s="1" t="s">
        <v>318</v>
      </c>
      <c r="C191" s="1">
        <v>185.0</v>
      </c>
      <c r="D191" s="2">
        <f t="shared" si="1"/>
        <v>10</v>
      </c>
      <c r="E191" s="1">
        <f t="shared" si="2"/>
        <v>42</v>
      </c>
      <c r="G191" s="2" t="str">
        <f t="shared" si="3"/>
        <v>INSERT INTO tblPracticalExamResult VALUES (seqPracticalExamResult.nextval, 185, 10, 42);</v>
      </c>
    </row>
    <row r="192">
      <c r="A192" s="1">
        <v>186.0</v>
      </c>
      <c r="B192" s="1" t="s">
        <v>318</v>
      </c>
      <c r="C192" s="1">
        <v>186.0</v>
      </c>
      <c r="D192" s="2">
        <f t="shared" si="1"/>
        <v>12</v>
      </c>
      <c r="E192" s="1">
        <f t="shared" si="2"/>
        <v>47</v>
      </c>
      <c r="G192" s="2" t="str">
        <f t="shared" si="3"/>
        <v>INSERT INTO tblPracticalExamResult VALUES (seqPracticalExamResult.nextval, 186, 12, 47);</v>
      </c>
    </row>
    <row r="193">
      <c r="A193" s="1">
        <v>187.0</v>
      </c>
      <c r="B193" s="1" t="s">
        <v>318</v>
      </c>
      <c r="C193" s="1">
        <v>187.0</v>
      </c>
      <c r="D193" s="2">
        <f t="shared" si="1"/>
        <v>80</v>
      </c>
      <c r="E193" s="1">
        <f t="shared" si="2"/>
        <v>38</v>
      </c>
      <c r="G193" s="2" t="str">
        <f t="shared" si="3"/>
        <v>INSERT INTO tblPracticalExamResult VALUES (seqPracticalExamResult.nextval, 187, 80, 38);</v>
      </c>
    </row>
    <row r="194">
      <c r="A194" s="1">
        <v>188.0</v>
      </c>
      <c r="B194" s="1" t="s">
        <v>318</v>
      </c>
      <c r="C194" s="1">
        <v>188.0</v>
      </c>
      <c r="D194" s="2">
        <f t="shared" si="1"/>
        <v>30</v>
      </c>
      <c r="E194" s="1">
        <f t="shared" si="2"/>
        <v>53</v>
      </c>
      <c r="G194" s="2" t="str">
        <f t="shared" si="3"/>
        <v>INSERT INTO tblPracticalExamResult VALUES (seqPracticalExamResult.nextval, 188, 30, 53);</v>
      </c>
    </row>
    <row r="195">
      <c r="A195" s="1">
        <v>189.0</v>
      </c>
      <c r="B195" s="1" t="s">
        <v>318</v>
      </c>
      <c r="C195" s="1">
        <v>189.0</v>
      </c>
      <c r="D195" s="2">
        <f t="shared" si="1"/>
        <v>17</v>
      </c>
      <c r="E195" s="1">
        <f t="shared" si="2"/>
        <v>37</v>
      </c>
      <c r="G195" s="2" t="str">
        <f t="shared" si="3"/>
        <v>INSERT INTO tblPracticalExamResult VALUES (seqPracticalExamResult.nextval, 189, 17, 37);</v>
      </c>
    </row>
    <row r="196">
      <c r="A196" s="1">
        <v>190.0</v>
      </c>
      <c r="B196" s="1" t="s">
        <v>318</v>
      </c>
      <c r="C196" s="1">
        <v>190.0</v>
      </c>
      <c r="D196" s="2">
        <f t="shared" si="1"/>
        <v>25</v>
      </c>
      <c r="E196" s="1">
        <f t="shared" si="2"/>
        <v>60</v>
      </c>
      <c r="G196" s="2" t="str">
        <f t="shared" si="3"/>
        <v>INSERT INTO tblPracticalExamResult VALUES (seqPracticalExamResult.nextval, 190, 25, 60);</v>
      </c>
    </row>
    <row r="197">
      <c r="A197" s="1">
        <v>191.0</v>
      </c>
      <c r="B197" s="1" t="s">
        <v>318</v>
      </c>
      <c r="C197" s="1">
        <v>191.0</v>
      </c>
      <c r="D197" s="2">
        <f t="shared" si="1"/>
        <v>11</v>
      </c>
      <c r="E197" s="1">
        <f t="shared" si="2"/>
        <v>47</v>
      </c>
      <c r="G197" s="2" t="str">
        <f t="shared" si="3"/>
        <v>INSERT INTO tblPracticalExamResult VALUES (seqPracticalExamResult.nextval, 191, 11, 47);</v>
      </c>
    </row>
    <row r="198">
      <c r="A198" s="1">
        <v>192.0</v>
      </c>
      <c r="B198" s="1" t="s">
        <v>318</v>
      </c>
      <c r="C198" s="1">
        <v>192.0</v>
      </c>
      <c r="D198" s="2">
        <f t="shared" si="1"/>
        <v>16</v>
      </c>
      <c r="E198" s="1">
        <f t="shared" si="2"/>
        <v>55</v>
      </c>
      <c r="G198" s="2" t="str">
        <f t="shared" si="3"/>
        <v>INSERT INTO tblPracticalExamResult VALUES (seqPracticalExamResult.nextval, 192, 16, 55);</v>
      </c>
    </row>
    <row r="199">
      <c r="A199" s="1">
        <v>193.0</v>
      </c>
      <c r="B199" s="1" t="s">
        <v>318</v>
      </c>
      <c r="C199" s="1">
        <v>193.0</v>
      </c>
      <c r="D199" s="2">
        <f t="shared" si="1"/>
        <v>53</v>
      </c>
      <c r="E199" s="1">
        <f t="shared" si="2"/>
        <v>34</v>
      </c>
      <c r="G199" s="2" t="str">
        <f t="shared" si="3"/>
        <v>INSERT INTO tblPracticalExamResult VALUES (seqPracticalExamResult.nextval, 193, 53, 34);</v>
      </c>
    </row>
    <row r="200">
      <c r="A200" s="1">
        <v>194.0</v>
      </c>
      <c r="B200" s="1" t="s">
        <v>318</v>
      </c>
      <c r="C200" s="1">
        <v>194.0</v>
      </c>
      <c r="D200" s="2">
        <f t="shared" si="1"/>
        <v>79</v>
      </c>
      <c r="E200" s="1">
        <f t="shared" si="2"/>
        <v>40</v>
      </c>
      <c r="G200" s="2" t="str">
        <f t="shared" si="3"/>
        <v>INSERT INTO tblPracticalExamResult VALUES (seqPracticalExamResult.nextval, 194, 79, 40);</v>
      </c>
    </row>
    <row r="201">
      <c r="A201" s="1">
        <v>195.0</v>
      </c>
      <c r="B201" s="1" t="s">
        <v>318</v>
      </c>
      <c r="C201" s="1">
        <v>195.0</v>
      </c>
      <c r="D201" s="2">
        <f t="shared" si="1"/>
        <v>28</v>
      </c>
      <c r="E201" s="1">
        <f t="shared" si="2"/>
        <v>66</v>
      </c>
      <c r="G201" s="2" t="str">
        <f t="shared" si="3"/>
        <v>INSERT INTO tblPracticalExamResult VALUES (seqPracticalExamResult.nextval, 195, 28, 66);</v>
      </c>
    </row>
    <row r="202">
      <c r="A202" s="1">
        <v>196.0</v>
      </c>
      <c r="B202" s="1" t="s">
        <v>318</v>
      </c>
      <c r="C202" s="1">
        <v>196.0</v>
      </c>
      <c r="D202" s="2">
        <f t="shared" si="1"/>
        <v>64</v>
      </c>
      <c r="E202" s="1">
        <f t="shared" si="2"/>
        <v>60</v>
      </c>
      <c r="G202" s="2" t="str">
        <f t="shared" si="3"/>
        <v>INSERT INTO tblPracticalExamResult VALUES (seqPracticalExamResult.nextval, 196, 64, 60);</v>
      </c>
    </row>
    <row r="203">
      <c r="A203" s="1">
        <v>197.0</v>
      </c>
      <c r="B203" s="1" t="s">
        <v>318</v>
      </c>
      <c r="C203" s="1">
        <v>197.0</v>
      </c>
      <c r="D203" s="2">
        <f t="shared" si="1"/>
        <v>34</v>
      </c>
      <c r="E203" s="1">
        <f t="shared" si="2"/>
        <v>59</v>
      </c>
      <c r="G203" s="2" t="str">
        <f t="shared" si="3"/>
        <v>INSERT INTO tblPracticalExamResult VALUES (seqPracticalExamResult.nextval, 197, 34, 59);</v>
      </c>
    </row>
    <row r="204">
      <c r="A204" s="1">
        <v>198.0</v>
      </c>
      <c r="B204" s="1" t="s">
        <v>318</v>
      </c>
      <c r="C204" s="1">
        <v>198.0</v>
      </c>
      <c r="D204" s="2">
        <f t="shared" si="1"/>
        <v>82</v>
      </c>
      <c r="E204" s="1">
        <f t="shared" si="2"/>
        <v>38</v>
      </c>
      <c r="G204" s="2" t="str">
        <f t="shared" si="3"/>
        <v>INSERT INTO tblPracticalExamResult VALUES (seqPracticalExamResult.nextval, 198, 82, 38);</v>
      </c>
    </row>
    <row r="205">
      <c r="A205" s="1">
        <v>199.0</v>
      </c>
      <c r="B205" s="1" t="s">
        <v>318</v>
      </c>
      <c r="C205" s="1">
        <v>199.0</v>
      </c>
      <c r="D205" s="2">
        <f t="shared" si="1"/>
        <v>87</v>
      </c>
      <c r="E205" s="1">
        <f t="shared" si="2"/>
        <v>58</v>
      </c>
      <c r="G205" s="2" t="str">
        <f t="shared" si="3"/>
        <v>INSERT INTO tblPracticalExamResult VALUES (seqPracticalExamResult.nextval, 199, 87, 58);</v>
      </c>
    </row>
    <row r="206">
      <c r="A206" s="1">
        <v>200.0</v>
      </c>
      <c r="B206" s="1" t="s">
        <v>318</v>
      </c>
      <c r="C206" s="1">
        <v>200.0</v>
      </c>
      <c r="D206" s="2">
        <f t="shared" si="1"/>
        <v>64</v>
      </c>
      <c r="E206" s="1">
        <f t="shared" si="2"/>
        <v>41</v>
      </c>
      <c r="G206" s="2" t="str">
        <f t="shared" si="3"/>
        <v>INSERT INTO tblPracticalExamResult VALUES (seqPracticalExamResult.nextval, 200, 64, 41);</v>
      </c>
    </row>
    <row r="207">
      <c r="A207" s="1">
        <v>201.0</v>
      </c>
      <c r="B207" s="1" t="s">
        <v>318</v>
      </c>
      <c r="C207" s="1">
        <v>201.0</v>
      </c>
      <c r="D207" s="2">
        <f t="shared" si="1"/>
        <v>77</v>
      </c>
      <c r="E207" s="1">
        <f t="shared" si="2"/>
        <v>64</v>
      </c>
      <c r="G207" s="2" t="str">
        <f t="shared" si="3"/>
        <v>INSERT INTO tblPracticalExamResult VALUES (seqPracticalExamResult.nextval, 201, 77, 64);</v>
      </c>
    </row>
    <row r="208">
      <c r="A208" s="1">
        <v>202.0</v>
      </c>
      <c r="B208" s="1" t="s">
        <v>318</v>
      </c>
      <c r="C208" s="1">
        <v>202.0</v>
      </c>
      <c r="D208" s="2">
        <f t="shared" si="1"/>
        <v>47</v>
      </c>
      <c r="E208" s="1">
        <f t="shared" si="2"/>
        <v>63</v>
      </c>
      <c r="G208" s="2" t="str">
        <f t="shared" si="3"/>
        <v>INSERT INTO tblPracticalExamResult VALUES (seqPracticalExamResult.nextval, 202, 47, 63);</v>
      </c>
    </row>
    <row r="209">
      <c r="A209" s="1">
        <v>203.0</v>
      </c>
      <c r="B209" s="1" t="s">
        <v>318</v>
      </c>
      <c r="C209" s="1">
        <v>203.0</v>
      </c>
      <c r="D209" s="2">
        <f t="shared" si="1"/>
        <v>16</v>
      </c>
      <c r="E209" s="1">
        <f t="shared" si="2"/>
        <v>53</v>
      </c>
      <c r="G209" s="2" t="str">
        <f t="shared" si="3"/>
        <v>INSERT INTO tblPracticalExamResult VALUES (seqPracticalExamResult.nextval, 203, 16, 53);</v>
      </c>
    </row>
    <row r="210">
      <c r="A210" s="1">
        <v>204.0</v>
      </c>
      <c r="B210" s="1" t="s">
        <v>318</v>
      </c>
      <c r="C210" s="1">
        <v>204.0</v>
      </c>
      <c r="D210" s="2">
        <f t="shared" si="1"/>
        <v>19</v>
      </c>
      <c r="E210" s="1">
        <f t="shared" si="2"/>
        <v>59</v>
      </c>
      <c r="G210" s="2" t="str">
        <f t="shared" si="3"/>
        <v>INSERT INTO tblPracticalExamResult VALUES (seqPracticalExamResult.nextval, 204, 19, 59);</v>
      </c>
    </row>
    <row r="211">
      <c r="A211" s="1">
        <v>205.0</v>
      </c>
      <c r="B211" s="1" t="s">
        <v>318</v>
      </c>
      <c r="C211" s="1">
        <v>205.0</v>
      </c>
      <c r="D211" s="2">
        <f t="shared" si="1"/>
        <v>89</v>
      </c>
      <c r="E211" s="1">
        <f t="shared" si="2"/>
        <v>49</v>
      </c>
      <c r="G211" s="2" t="str">
        <f t="shared" si="3"/>
        <v>INSERT INTO tblPracticalExamResult VALUES (seqPracticalExamResult.nextval, 205, 89, 49);</v>
      </c>
    </row>
    <row r="212">
      <c r="A212" s="1">
        <v>206.0</v>
      </c>
      <c r="B212" s="1" t="s">
        <v>318</v>
      </c>
      <c r="C212" s="1">
        <v>206.0</v>
      </c>
      <c r="D212" s="2">
        <f t="shared" si="1"/>
        <v>34</v>
      </c>
      <c r="E212" s="1">
        <f t="shared" si="2"/>
        <v>45</v>
      </c>
      <c r="G212" s="2" t="str">
        <f t="shared" si="3"/>
        <v>INSERT INTO tblPracticalExamResult VALUES (seqPracticalExamResult.nextval, 206, 34, 45);</v>
      </c>
    </row>
    <row r="213">
      <c r="A213" s="1">
        <v>207.0</v>
      </c>
      <c r="B213" s="1" t="s">
        <v>318</v>
      </c>
      <c r="C213" s="1">
        <v>207.0</v>
      </c>
      <c r="D213" s="2">
        <f t="shared" si="1"/>
        <v>18</v>
      </c>
      <c r="E213" s="1">
        <f t="shared" si="2"/>
        <v>36</v>
      </c>
      <c r="G213" s="2" t="str">
        <f t="shared" si="3"/>
        <v>INSERT INTO tblPracticalExamResult VALUES (seqPracticalExamResult.nextval, 207, 18, 36);</v>
      </c>
    </row>
    <row r="214">
      <c r="A214" s="1">
        <v>208.0</v>
      </c>
      <c r="B214" s="1" t="s">
        <v>318</v>
      </c>
      <c r="C214" s="1">
        <v>208.0</v>
      </c>
      <c r="D214" s="2">
        <f t="shared" si="1"/>
        <v>100</v>
      </c>
      <c r="E214" s="1">
        <f t="shared" si="2"/>
        <v>59</v>
      </c>
      <c r="G214" s="2" t="str">
        <f t="shared" si="3"/>
        <v>INSERT INTO tblPracticalExamResult VALUES (seqPracticalExamResult.nextval, 208, 100, 59);</v>
      </c>
    </row>
    <row r="215">
      <c r="A215" s="1">
        <v>209.0</v>
      </c>
      <c r="B215" s="1" t="s">
        <v>318</v>
      </c>
      <c r="C215" s="1">
        <v>209.0</v>
      </c>
      <c r="D215" s="2">
        <f t="shared" si="1"/>
        <v>48</v>
      </c>
      <c r="E215" s="1">
        <f t="shared" si="2"/>
        <v>39</v>
      </c>
      <c r="G215" s="2" t="str">
        <f t="shared" si="3"/>
        <v>INSERT INTO tblPracticalExamResult VALUES (seqPracticalExamResult.nextval, 209, 48, 39);</v>
      </c>
    </row>
    <row r="216">
      <c r="A216" s="1">
        <v>210.0</v>
      </c>
      <c r="B216" s="1" t="s">
        <v>318</v>
      </c>
      <c r="C216" s="1">
        <v>210.0</v>
      </c>
      <c r="D216" s="2">
        <f t="shared" si="1"/>
        <v>24</v>
      </c>
      <c r="E216" s="1">
        <f t="shared" si="2"/>
        <v>61</v>
      </c>
      <c r="G216" s="2" t="str">
        <f t="shared" si="3"/>
        <v>INSERT INTO tblPracticalExamResult VALUES (seqPracticalExamResult.nextval, 210, 24, 61);</v>
      </c>
    </row>
    <row r="217">
      <c r="A217" s="1">
        <v>211.0</v>
      </c>
      <c r="B217" s="1" t="s">
        <v>318</v>
      </c>
      <c r="C217" s="1">
        <v>211.0</v>
      </c>
      <c r="D217" s="2">
        <f t="shared" si="1"/>
        <v>64</v>
      </c>
      <c r="E217" s="1">
        <f t="shared" si="2"/>
        <v>49</v>
      </c>
      <c r="G217" s="2" t="str">
        <f t="shared" si="3"/>
        <v>INSERT INTO tblPracticalExamResult VALUES (seqPracticalExamResult.nextval, 211, 64, 49);</v>
      </c>
    </row>
    <row r="218">
      <c r="A218" s="1">
        <v>212.0</v>
      </c>
      <c r="B218" s="1" t="s">
        <v>318</v>
      </c>
      <c r="C218" s="1">
        <v>212.0</v>
      </c>
      <c r="D218" s="2">
        <f t="shared" si="1"/>
        <v>34</v>
      </c>
      <c r="E218" s="1">
        <f t="shared" si="2"/>
        <v>51</v>
      </c>
      <c r="G218" s="2" t="str">
        <f t="shared" si="3"/>
        <v>INSERT INTO tblPracticalExamResult VALUES (seqPracticalExamResult.nextval, 212, 34, 51);</v>
      </c>
    </row>
    <row r="219">
      <c r="A219" s="1">
        <v>213.0</v>
      </c>
      <c r="B219" s="1" t="s">
        <v>318</v>
      </c>
      <c r="C219" s="1">
        <v>213.0</v>
      </c>
      <c r="D219" s="2">
        <f t="shared" si="1"/>
        <v>46</v>
      </c>
      <c r="E219" s="1">
        <f t="shared" si="2"/>
        <v>34</v>
      </c>
      <c r="G219" s="2" t="str">
        <f t="shared" si="3"/>
        <v>INSERT INTO tblPracticalExamResult VALUES (seqPracticalExamResult.nextval, 213, 46, 34);</v>
      </c>
    </row>
    <row r="220">
      <c r="A220" s="1">
        <v>214.0</v>
      </c>
      <c r="B220" s="1" t="s">
        <v>318</v>
      </c>
      <c r="C220" s="1">
        <v>214.0</v>
      </c>
      <c r="D220" s="2">
        <f t="shared" si="1"/>
        <v>84</v>
      </c>
      <c r="E220" s="1">
        <f t="shared" si="2"/>
        <v>58</v>
      </c>
      <c r="G220" s="2" t="str">
        <f t="shared" si="3"/>
        <v>INSERT INTO tblPracticalExamResult VALUES (seqPracticalExamResult.nextval, 214, 84, 58);</v>
      </c>
    </row>
    <row r="221">
      <c r="A221" s="1">
        <v>215.0</v>
      </c>
      <c r="B221" s="1" t="s">
        <v>318</v>
      </c>
      <c r="C221" s="1">
        <v>215.0</v>
      </c>
      <c r="D221" s="2">
        <f t="shared" si="1"/>
        <v>28</v>
      </c>
      <c r="E221" s="1">
        <f t="shared" si="2"/>
        <v>57</v>
      </c>
      <c r="G221" s="2" t="str">
        <f t="shared" si="3"/>
        <v>INSERT INTO tblPracticalExamResult VALUES (seqPracticalExamResult.nextval, 215, 28, 57);</v>
      </c>
    </row>
    <row r="222">
      <c r="A222" s="1">
        <v>216.0</v>
      </c>
      <c r="B222" s="1" t="s">
        <v>318</v>
      </c>
      <c r="C222" s="1">
        <v>216.0</v>
      </c>
      <c r="D222" s="2">
        <f t="shared" si="1"/>
        <v>88</v>
      </c>
      <c r="E222" s="1">
        <f t="shared" si="2"/>
        <v>34</v>
      </c>
      <c r="G222" s="2" t="str">
        <f t="shared" si="3"/>
        <v>INSERT INTO tblPracticalExamResult VALUES (seqPracticalExamResult.nextval, 216, 88, 34);</v>
      </c>
    </row>
    <row r="223">
      <c r="A223" s="1">
        <v>217.0</v>
      </c>
      <c r="B223" s="1" t="s">
        <v>318</v>
      </c>
      <c r="C223" s="1">
        <v>217.0</v>
      </c>
      <c r="D223" s="2">
        <f t="shared" si="1"/>
        <v>49</v>
      </c>
      <c r="E223" s="1">
        <f t="shared" si="2"/>
        <v>52</v>
      </c>
      <c r="G223" s="2" t="str">
        <f t="shared" si="3"/>
        <v>INSERT INTO tblPracticalExamResult VALUES (seqPracticalExamResult.nextval, 217, 49, 52);</v>
      </c>
    </row>
    <row r="224">
      <c r="A224" s="1">
        <v>218.0</v>
      </c>
      <c r="B224" s="1" t="s">
        <v>318</v>
      </c>
      <c r="C224" s="1">
        <v>218.0</v>
      </c>
      <c r="D224" s="2">
        <f t="shared" si="1"/>
        <v>73</v>
      </c>
      <c r="E224" s="1">
        <f t="shared" si="2"/>
        <v>53</v>
      </c>
      <c r="G224" s="2" t="str">
        <f t="shared" si="3"/>
        <v>INSERT INTO tblPracticalExamResult VALUES (seqPracticalExamResult.nextval, 218, 73, 53);</v>
      </c>
    </row>
    <row r="225">
      <c r="A225" s="1">
        <v>219.0</v>
      </c>
      <c r="B225" s="1" t="s">
        <v>318</v>
      </c>
      <c r="C225" s="1">
        <v>219.0</v>
      </c>
      <c r="D225" s="2">
        <f t="shared" si="1"/>
        <v>66</v>
      </c>
      <c r="E225" s="1">
        <f t="shared" si="2"/>
        <v>46</v>
      </c>
      <c r="G225" s="2" t="str">
        <f t="shared" si="3"/>
        <v>INSERT INTO tblPracticalExamResult VALUES (seqPracticalExamResult.nextval, 219, 66, 46);</v>
      </c>
    </row>
    <row r="226">
      <c r="A226" s="1">
        <v>220.0</v>
      </c>
      <c r="B226" s="1" t="s">
        <v>318</v>
      </c>
      <c r="C226" s="1">
        <v>220.0</v>
      </c>
      <c r="D226" s="2">
        <f t="shared" si="1"/>
        <v>20</v>
      </c>
      <c r="E226" s="1">
        <f t="shared" si="2"/>
        <v>45</v>
      </c>
      <c r="G226" s="2" t="str">
        <f t="shared" si="3"/>
        <v>INSERT INTO tblPracticalExamResult VALUES (seqPracticalExamResult.nextval, 220, 20, 45);</v>
      </c>
    </row>
    <row r="227">
      <c r="A227" s="1">
        <v>221.0</v>
      </c>
      <c r="B227" s="1" t="s">
        <v>318</v>
      </c>
      <c r="C227" s="1">
        <v>221.0</v>
      </c>
      <c r="D227" s="2">
        <f t="shared" si="1"/>
        <v>20</v>
      </c>
      <c r="E227" s="1">
        <f t="shared" si="2"/>
        <v>45</v>
      </c>
      <c r="G227" s="2" t="str">
        <f t="shared" si="3"/>
        <v>INSERT INTO tblPracticalExamResult VALUES (seqPracticalExamResult.nextval, 221, 20, 45);</v>
      </c>
    </row>
    <row r="228">
      <c r="A228" s="1">
        <v>222.0</v>
      </c>
      <c r="B228" s="1" t="s">
        <v>318</v>
      </c>
      <c r="C228" s="1">
        <v>222.0</v>
      </c>
      <c r="D228" s="2">
        <f t="shared" si="1"/>
        <v>98</v>
      </c>
      <c r="E228" s="1">
        <f t="shared" si="2"/>
        <v>40</v>
      </c>
      <c r="G228" s="2" t="str">
        <f t="shared" si="3"/>
        <v>INSERT INTO tblPracticalExamResult VALUES (seqPracticalExamResult.nextval, 222, 98, 40);</v>
      </c>
    </row>
    <row r="229">
      <c r="A229" s="1">
        <v>223.0</v>
      </c>
      <c r="B229" s="1" t="s">
        <v>318</v>
      </c>
      <c r="C229" s="1">
        <v>223.0</v>
      </c>
      <c r="D229" s="2">
        <f t="shared" si="1"/>
        <v>28</v>
      </c>
      <c r="E229" s="1">
        <f t="shared" si="2"/>
        <v>63</v>
      </c>
      <c r="G229" s="2" t="str">
        <f t="shared" si="3"/>
        <v>INSERT INTO tblPracticalExamResult VALUES (seqPracticalExamResult.nextval, 223, 28, 63);</v>
      </c>
    </row>
    <row r="230">
      <c r="A230" s="1">
        <v>224.0</v>
      </c>
      <c r="B230" s="1" t="s">
        <v>318</v>
      </c>
      <c r="C230" s="1">
        <v>224.0</v>
      </c>
      <c r="D230" s="2">
        <f t="shared" si="1"/>
        <v>23</v>
      </c>
      <c r="E230" s="1">
        <f t="shared" si="2"/>
        <v>51</v>
      </c>
      <c r="G230" s="2" t="str">
        <f t="shared" si="3"/>
        <v>INSERT INTO tblPracticalExamResult VALUES (seqPracticalExamResult.nextval, 224, 23, 51);</v>
      </c>
    </row>
    <row r="231">
      <c r="A231" s="1">
        <v>225.0</v>
      </c>
      <c r="B231" s="1" t="s">
        <v>318</v>
      </c>
      <c r="C231" s="1">
        <v>225.0</v>
      </c>
      <c r="D231" s="2">
        <f t="shared" si="1"/>
        <v>36</v>
      </c>
      <c r="E231" s="1">
        <f t="shared" si="2"/>
        <v>55</v>
      </c>
      <c r="G231" s="2" t="str">
        <f t="shared" si="3"/>
        <v>INSERT INTO tblPracticalExamResult VALUES (seqPracticalExamResult.nextval, 225, 36, 55);</v>
      </c>
    </row>
    <row r="232">
      <c r="A232" s="1">
        <v>226.0</v>
      </c>
      <c r="B232" s="1" t="s">
        <v>318</v>
      </c>
      <c r="C232" s="1">
        <v>226.0</v>
      </c>
      <c r="D232" s="2">
        <f t="shared" si="1"/>
        <v>48</v>
      </c>
      <c r="E232" s="1">
        <f t="shared" si="2"/>
        <v>53</v>
      </c>
      <c r="G232" s="2" t="str">
        <f t="shared" si="3"/>
        <v>INSERT INTO tblPracticalExamResult VALUES (seqPracticalExamResult.nextval, 226, 48, 53);</v>
      </c>
    </row>
    <row r="233">
      <c r="A233" s="1">
        <v>227.0</v>
      </c>
      <c r="B233" s="1" t="s">
        <v>318</v>
      </c>
      <c r="C233" s="1">
        <v>227.0</v>
      </c>
      <c r="D233" s="2">
        <f t="shared" si="1"/>
        <v>44</v>
      </c>
      <c r="E233" s="1">
        <f t="shared" si="2"/>
        <v>49</v>
      </c>
      <c r="G233" s="2" t="str">
        <f t="shared" si="3"/>
        <v>INSERT INTO tblPracticalExamResult VALUES (seqPracticalExamResult.nextval, 227, 44, 49);</v>
      </c>
    </row>
    <row r="234">
      <c r="A234" s="1">
        <v>228.0</v>
      </c>
      <c r="B234" s="1" t="s">
        <v>318</v>
      </c>
      <c r="C234" s="1">
        <v>228.0</v>
      </c>
      <c r="D234" s="2">
        <f t="shared" si="1"/>
        <v>32</v>
      </c>
      <c r="E234" s="1">
        <f t="shared" si="2"/>
        <v>58</v>
      </c>
      <c r="G234" s="2" t="str">
        <f t="shared" si="3"/>
        <v>INSERT INTO tblPracticalExamResult VALUES (seqPracticalExamResult.nextval, 228, 32, 58);</v>
      </c>
    </row>
    <row r="235">
      <c r="A235" s="1">
        <v>229.0</v>
      </c>
      <c r="B235" s="1" t="s">
        <v>318</v>
      </c>
      <c r="C235" s="1">
        <v>229.0</v>
      </c>
      <c r="D235" s="2">
        <f t="shared" si="1"/>
        <v>48</v>
      </c>
      <c r="E235" s="1">
        <f t="shared" si="2"/>
        <v>35</v>
      </c>
      <c r="G235" s="2" t="str">
        <f t="shared" si="3"/>
        <v>INSERT INTO tblPracticalExamResult VALUES (seqPracticalExamResult.nextval, 229, 48, 35);</v>
      </c>
    </row>
    <row r="236">
      <c r="A236" s="1">
        <v>230.0</v>
      </c>
      <c r="B236" s="1" t="s">
        <v>318</v>
      </c>
      <c r="C236" s="1">
        <v>230.0</v>
      </c>
      <c r="D236" s="2">
        <f t="shared" si="1"/>
        <v>59</v>
      </c>
      <c r="E236" s="1">
        <f t="shared" si="2"/>
        <v>60</v>
      </c>
      <c r="G236" s="2" t="str">
        <f t="shared" si="3"/>
        <v>INSERT INTO tblPracticalExamResult VALUES (seqPracticalExamResult.nextval, 230, 59, 60);</v>
      </c>
    </row>
    <row r="237">
      <c r="A237" s="1">
        <v>231.0</v>
      </c>
      <c r="B237" s="1" t="s">
        <v>318</v>
      </c>
      <c r="C237" s="1">
        <v>231.0</v>
      </c>
      <c r="D237" s="2">
        <f t="shared" si="1"/>
        <v>75</v>
      </c>
      <c r="E237" s="1">
        <f t="shared" si="2"/>
        <v>63</v>
      </c>
      <c r="G237" s="2" t="str">
        <f t="shared" si="3"/>
        <v>INSERT INTO tblPracticalExamResult VALUES (seqPracticalExamResult.nextval, 231, 75, 63);</v>
      </c>
    </row>
    <row r="238">
      <c r="A238" s="1">
        <v>232.0</v>
      </c>
      <c r="B238" s="1" t="s">
        <v>318</v>
      </c>
      <c r="C238" s="1">
        <v>232.0</v>
      </c>
      <c r="D238" s="2">
        <f t="shared" si="1"/>
        <v>43</v>
      </c>
      <c r="E238" s="1">
        <f t="shared" si="2"/>
        <v>40</v>
      </c>
      <c r="G238" s="2" t="str">
        <f t="shared" si="3"/>
        <v>INSERT INTO tblPracticalExamResult VALUES (seqPracticalExamResult.nextval, 232, 43, 40);</v>
      </c>
    </row>
    <row r="239">
      <c r="A239" s="1">
        <v>233.0</v>
      </c>
      <c r="B239" s="1" t="s">
        <v>318</v>
      </c>
      <c r="C239" s="1">
        <v>233.0</v>
      </c>
      <c r="D239" s="2">
        <f t="shared" si="1"/>
        <v>95</v>
      </c>
      <c r="E239" s="1">
        <f t="shared" si="2"/>
        <v>39</v>
      </c>
      <c r="G239" s="2" t="str">
        <f t="shared" si="3"/>
        <v>INSERT INTO tblPracticalExamResult VALUES (seqPracticalExamResult.nextval, 233, 95, 39);</v>
      </c>
    </row>
    <row r="240">
      <c r="A240" s="1">
        <v>234.0</v>
      </c>
      <c r="B240" s="1" t="s">
        <v>318</v>
      </c>
      <c r="C240" s="1">
        <v>234.0</v>
      </c>
      <c r="D240" s="2">
        <f t="shared" si="1"/>
        <v>50</v>
      </c>
      <c r="E240" s="1">
        <f t="shared" si="2"/>
        <v>41</v>
      </c>
      <c r="G240" s="2" t="str">
        <f t="shared" si="3"/>
        <v>INSERT INTO tblPracticalExamResult VALUES (seqPracticalExamResult.nextval, 234, 50, 41);</v>
      </c>
    </row>
    <row r="241">
      <c r="A241" s="1">
        <v>235.0</v>
      </c>
      <c r="B241" s="1" t="s">
        <v>318</v>
      </c>
      <c r="C241" s="1">
        <v>235.0</v>
      </c>
      <c r="D241" s="2">
        <f t="shared" si="1"/>
        <v>80</v>
      </c>
      <c r="E241" s="1">
        <f t="shared" si="2"/>
        <v>66</v>
      </c>
      <c r="G241" s="2" t="str">
        <f t="shared" si="3"/>
        <v>INSERT INTO tblPracticalExamResult VALUES (seqPracticalExamResult.nextval, 235, 80, 66);</v>
      </c>
    </row>
    <row r="242">
      <c r="A242" s="1">
        <v>236.0</v>
      </c>
      <c r="B242" s="1" t="s">
        <v>318</v>
      </c>
      <c r="C242" s="1">
        <v>236.0</v>
      </c>
      <c r="D242" s="2">
        <f t="shared" si="1"/>
        <v>10</v>
      </c>
      <c r="E242" s="1">
        <f t="shared" si="2"/>
        <v>44</v>
      </c>
      <c r="G242" s="2" t="str">
        <f t="shared" si="3"/>
        <v>INSERT INTO tblPracticalExamResult VALUES (seqPracticalExamResult.nextval, 236, 10, 44);</v>
      </c>
    </row>
    <row r="243">
      <c r="A243" s="1">
        <v>237.0</v>
      </c>
      <c r="B243" s="1" t="s">
        <v>318</v>
      </c>
      <c r="C243" s="1">
        <v>237.0</v>
      </c>
      <c r="D243" s="2">
        <f t="shared" si="1"/>
        <v>31</v>
      </c>
      <c r="E243" s="1">
        <f t="shared" si="2"/>
        <v>44</v>
      </c>
      <c r="G243" s="2" t="str">
        <f t="shared" si="3"/>
        <v>INSERT INTO tblPracticalExamResult VALUES (seqPracticalExamResult.nextval, 237, 31, 44);</v>
      </c>
    </row>
    <row r="244">
      <c r="A244" s="1">
        <v>238.0</v>
      </c>
      <c r="B244" s="1" t="s">
        <v>318</v>
      </c>
      <c r="C244" s="1">
        <v>238.0</v>
      </c>
      <c r="D244" s="2">
        <f t="shared" si="1"/>
        <v>18</v>
      </c>
      <c r="E244" s="1">
        <f t="shared" si="2"/>
        <v>49</v>
      </c>
      <c r="G244" s="2" t="str">
        <f t="shared" si="3"/>
        <v>INSERT INTO tblPracticalExamResult VALUES (seqPracticalExamResult.nextval, 238, 18, 49);</v>
      </c>
    </row>
    <row r="245">
      <c r="A245" s="1">
        <v>239.0</v>
      </c>
      <c r="B245" s="1" t="s">
        <v>318</v>
      </c>
      <c r="C245" s="1">
        <v>239.0</v>
      </c>
      <c r="D245" s="2">
        <f t="shared" si="1"/>
        <v>86</v>
      </c>
      <c r="E245" s="1">
        <f t="shared" si="2"/>
        <v>46</v>
      </c>
      <c r="G245" s="2" t="str">
        <f t="shared" si="3"/>
        <v>INSERT INTO tblPracticalExamResult VALUES (seqPracticalExamResult.nextval, 239, 86, 46);</v>
      </c>
    </row>
    <row r="246">
      <c r="A246" s="1">
        <v>240.0</v>
      </c>
      <c r="B246" s="1" t="s">
        <v>318</v>
      </c>
      <c r="C246" s="1">
        <v>240.0</v>
      </c>
      <c r="D246" s="2">
        <f t="shared" si="1"/>
        <v>26</v>
      </c>
      <c r="E246" s="1">
        <f t="shared" si="2"/>
        <v>51</v>
      </c>
      <c r="G246" s="2" t="str">
        <f t="shared" si="3"/>
        <v>INSERT INTO tblPracticalExamResult VALUES (seqPracticalExamResult.nextval, 240, 26, 51);</v>
      </c>
    </row>
    <row r="247">
      <c r="A247" s="1">
        <v>241.0</v>
      </c>
      <c r="B247" s="1" t="s">
        <v>318</v>
      </c>
      <c r="C247" s="1">
        <v>241.0</v>
      </c>
      <c r="D247" s="2">
        <f t="shared" si="1"/>
        <v>22</v>
      </c>
      <c r="E247" s="1">
        <f t="shared" si="2"/>
        <v>36</v>
      </c>
      <c r="G247" s="2" t="str">
        <f t="shared" si="3"/>
        <v>INSERT INTO tblPracticalExamResult VALUES (seqPracticalExamResult.nextval, 241, 22, 36);</v>
      </c>
    </row>
    <row r="248">
      <c r="A248" s="1">
        <v>242.0</v>
      </c>
      <c r="B248" s="1" t="s">
        <v>318</v>
      </c>
      <c r="C248" s="1">
        <v>242.0</v>
      </c>
      <c r="D248" s="2">
        <f t="shared" si="1"/>
        <v>31</v>
      </c>
      <c r="E248" s="1">
        <f t="shared" si="2"/>
        <v>62</v>
      </c>
      <c r="G248" s="2" t="str">
        <f t="shared" si="3"/>
        <v>INSERT INTO tblPracticalExamResult VALUES (seqPracticalExamResult.nextval, 242, 31, 62);</v>
      </c>
    </row>
    <row r="249">
      <c r="A249" s="1">
        <v>243.0</v>
      </c>
      <c r="B249" s="1" t="s">
        <v>318</v>
      </c>
      <c r="C249" s="1">
        <v>243.0</v>
      </c>
      <c r="D249" s="2">
        <f t="shared" si="1"/>
        <v>41</v>
      </c>
      <c r="E249" s="1">
        <f t="shared" si="2"/>
        <v>54</v>
      </c>
      <c r="G249" s="2" t="str">
        <f t="shared" si="3"/>
        <v>INSERT INTO tblPracticalExamResult VALUES (seqPracticalExamResult.nextval, 243, 41, 54);</v>
      </c>
    </row>
    <row r="250">
      <c r="A250" s="1">
        <v>244.0</v>
      </c>
      <c r="B250" s="1" t="s">
        <v>318</v>
      </c>
      <c r="C250" s="1">
        <v>244.0</v>
      </c>
      <c r="D250" s="2">
        <f t="shared" si="1"/>
        <v>14</v>
      </c>
      <c r="E250" s="1">
        <f t="shared" si="2"/>
        <v>57</v>
      </c>
      <c r="G250" s="2" t="str">
        <f t="shared" si="3"/>
        <v>INSERT INTO tblPracticalExamResult VALUES (seqPracticalExamResult.nextval, 244, 14, 57);</v>
      </c>
    </row>
    <row r="251">
      <c r="A251" s="1">
        <v>245.0</v>
      </c>
      <c r="B251" s="1" t="s">
        <v>318</v>
      </c>
      <c r="C251" s="1">
        <v>245.0</v>
      </c>
      <c r="D251" s="2">
        <f t="shared" si="1"/>
        <v>25</v>
      </c>
      <c r="E251" s="1">
        <f t="shared" si="2"/>
        <v>57</v>
      </c>
      <c r="G251" s="2" t="str">
        <f t="shared" si="3"/>
        <v>INSERT INTO tblPracticalExamResult VALUES (seqPracticalExamResult.nextval, 245, 25, 57);</v>
      </c>
    </row>
    <row r="252">
      <c r="A252" s="1">
        <v>246.0</v>
      </c>
      <c r="B252" s="1" t="s">
        <v>318</v>
      </c>
      <c r="C252" s="1">
        <v>246.0</v>
      </c>
      <c r="D252" s="2">
        <f t="shared" si="1"/>
        <v>76</v>
      </c>
      <c r="E252" s="1">
        <f t="shared" si="2"/>
        <v>50</v>
      </c>
      <c r="G252" s="2" t="str">
        <f t="shared" si="3"/>
        <v>INSERT INTO tblPracticalExamResult VALUES (seqPracticalExamResult.nextval, 246, 76, 50);</v>
      </c>
    </row>
    <row r="253">
      <c r="A253" s="1">
        <v>247.0</v>
      </c>
      <c r="B253" s="1" t="s">
        <v>318</v>
      </c>
      <c r="C253" s="1">
        <v>247.0</v>
      </c>
      <c r="D253" s="2">
        <f t="shared" si="1"/>
        <v>54</v>
      </c>
      <c r="E253" s="1">
        <f t="shared" si="2"/>
        <v>35</v>
      </c>
      <c r="G253" s="2" t="str">
        <f t="shared" si="3"/>
        <v>INSERT INTO tblPracticalExamResult VALUES (seqPracticalExamResult.nextval, 247, 54, 35);</v>
      </c>
    </row>
    <row r="254">
      <c r="A254" s="1">
        <v>248.0</v>
      </c>
      <c r="B254" s="1" t="s">
        <v>318</v>
      </c>
      <c r="C254" s="1">
        <v>248.0</v>
      </c>
      <c r="D254" s="2">
        <f t="shared" si="1"/>
        <v>70</v>
      </c>
      <c r="E254" s="1">
        <f t="shared" si="2"/>
        <v>59</v>
      </c>
      <c r="G254" s="2" t="str">
        <f t="shared" si="3"/>
        <v>INSERT INTO tblPracticalExamResult VALUES (seqPracticalExamResult.nextval, 248, 70, 59);</v>
      </c>
    </row>
    <row r="255">
      <c r="A255" s="1">
        <v>249.0</v>
      </c>
      <c r="B255" s="1" t="s">
        <v>318</v>
      </c>
      <c r="C255" s="1">
        <v>249.0</v>
      </c>
      <c r="D255" s="2">
        <f t="shared" si="1"/>
        <v>40</v>
      </c>
      <c r="E255" s="1">
        <f t="shared" si="2"/>
        <v>37</v>
      </c>
      <c r="G255" s="2" t="str">
        <f t="shared" si="3"/>
        <v>INSERT INTO tblPracticalExamResult VALUES (seqPracticalExamResult.nextval, 249, 40, 37);</v>
      </c>
    </row>
    <row r="256">
      <c r="A256" s="1">
        <v>250.0</v>
      </c>
      <c r="B256" s="1" t="s">
        <v>318</v>
      </c>
      <c r="C256" s="1">
        <v>250.0</v>
      </c>
      <c r="D256" s="2">
        <f t="shared" si="1"/>
        <v>78</v>
      </c>
      <c r="E256" s="1">
        <f t="shared" si="2"/>
        <v>46</v>
      </c>
      <c r="G256" s="2" t="str">
        <f t="shared" si="3"/>
        <v>INSERT INTO tblPracticalExamResult VALUES (seqPracticalExamResult.nextval, 250, 78, 46);</v>
      </c>
    </row>
    <row r="257">
      <c r="A257" s="1">
        <v>251.0</v>
      </c>
      <c r="B257" s="1" t="s">
        <v>318</v>
      </c>
      <c r="C257" s="1">
        <v>251.0</v>
      </c>
      <c r="D257" s="2">
        <f t="shared" si="1"/>
        <v>92</v>
      </c>
      <c r="E257" s="1">
        <f t="shared" si="2"/>
        <v>60</v>
      </c>
      <c r="G257" s="2" t="str">
        <f t="shared" si="3"/>
        <v>INSERT INTO tblPracticalExamResult VALUES (seqPracticalExamResult.nextval, 251, 92, 60);</v>
      </c>
    </row>
    <row r="258">
      <c r="A258" s="1">
        <v>252.0</v>
      </c>
      <c r="B258" s="1" t="s">
        <v>318</v>
      </c>
      <c r="C258" s="1">
        <v>252.0</v>
      </c>
      <c r="D258" s="2">
        <f t="shared" si="1"/>
        <v>70</v>
      </c>
      <c r="E258" s="1">
        <f t="shared" si="2"/>
        <v>40</v>
      </c>
      <c r="G258" s="2" t="str">
        <f t="shared" si="3"/>
        <v>INSERT INTO tblPracticalExamResult VALUES (seqPracticalExamResult.nextval, 252, 70, 40);</v>
      </c>
    </row>
    <row r="259">
      <c r="A259" s="1">
        <v>253.0</v>
      </c>
      <c r="B259" s="1" t="s">
        <v>318</v>
      </c>
      <c r="C259" s="1">
        <v>253.0</v>
      </c>
      <c r="D259" s="2">
        <f t="shared" si="1"/>
        <v>98</v>
      </c>
      <c r="E259" s="1">
        <f t="shared" si="2"/>
        <v>37</v>
      </c>
      <c r="G259" s="2" t="str">
        <f t="shared" si="3"/>
        <v>INSERT INTO tblPracticalExamResult VALUES (seqPracticalExamResult.nextval, 253, 98, 37);</v>
      </c>
    </row>
    <row r="260">
      <c r="A260" s="1">
        <v>254.0</v>
      </c>
      <c r="B260" s="1" t="s">
        <v>318</v>
      </c>
      <c r="C260" s="1">
        <v>254.0</v>
      </c>
      <c r="D260" s="2">
        <f t="shared" si="1"/>
        <v>52</v>
      </c>
      <c r="E260" s="1">
        <f t="shared" si="2"/>
        <v>58</v>
      </c>
      <c r="G260" s="2" t="str">
        <f t="shared" si="3"/>
        <v>INSERT INTO tblPracticalExamResult VALUES (seqPracticalExamResult.nextval, 254, 52, 58);</v>
      </c>
    </row>
    <row r="261">
      <c r="A261" s="1">
        <v>255.0</v>
      </c>
      <c r="B261" s="1" t="s">
        <v>318</v>
      </c>
      <c r="C261" s="1">
        <v>255.0</v>
      </c>
      <c r="D261" s="2">
        <f t="shared" si="1"/>
        <v>84</v>
      </c>
      <c r="E261" s="1">
        <f t="shared" si="2"/>
        <v>48</v>
      </c>
      <c r="G261" s="2" t="str">
        <f t="shared" si="3"/>
        <v>INSERT INTO tblPracticalExamResult VALUES (seqPracticalExamResult.nextval, 255, 84, 48);</v>
      </c>
    </row>
    <row r="262">
      <c r="A262" s="1">
        <v>256.0</v>
      </c>
      <c r="B262" s="1" t="s">
        <v>318</v>
      </c>
      <c r="C262" s="1">
        <v>256.0</v>
      </c>
      <c r="D262" s="2">
        <f t="shared" si="1"/>
        <v>95</v>
      </c>
      <c r="E262" s="1">
        <f t="shared" si="2"/>
        <v>61</v>
      </c>
      <c r="G262" s="2" t="str">
        <f t="shared" si="3"/>
        <v>INSERT INTO tblPracticalExamResult VALUES (seqPracticalExamResult.nextval, 256, 95, 61);</v>
      </c>
    </row>
    <row r="263">
      <c r="A263" s="1">
        <v>257.0</v>
      </c>
      <c r="B263" s="1" t="s">
        <v>318</v>
      </c>
      <c r="C263" s="1">
        <v>257.0</v>
      </c>
      <c r="D263" s="2">
        <f t="shared" si="1"/>
        <v>98</v>
      </c>
      <c r="E263" s="1">
        <f t="shared" si="2"/>
        <v>43</v>
      </c>
      <c r="G263" s="2" t="str">
        <f t="shared" si="3"/>
        <v>INSERT INTO tblPracticalExamResult VALUES (seqPracticalExamResult.nextval, 257, 98, 43);</v>
      </c>
    </row>
    <row r="264">
      <c r="A264" s="1">
        <v>258.0</v>
      </c>
      <c r="B264" s="1" t="s">
        <v>318</v>
      </c>
      <c r="C264" s="1">
        <v>258.0</v>
      </c>
      <c r="D264" s="2">
        <f t="shared" si="1"/>
        <v>77</v>
      </c>
      <c r="E264" s="1">
        <f t="shared" si="2"/>
        <v>43</v>
      </c>
      <c r="G264" s="2" t="str">
        <f t="shared" si="3"/>
        <v>INSERT INTO tblPracticalExamResult VALUES (seqPracticalExamResult.nextval, 258, 77, 43);</v>
      </c>
    </row>
    <row r="265">
      <c r="A265" s="1">
        <v>259.0</v>
      </c>
      <c r="B265" s="1" t="s">
        <v>318</v>
      </c>
      <c r="C265" s="1">
        <v>259.0</v>
      </c>
      <c r="D265" s="2">
        <f t="shared" si="1"/>
        <v>94</v>
      </c>
      <c r="E265" s="1">
        <f t="shared" si="2"/>
        <v>36</v>
      </c>
      <c r="G265" s="2" t="str">
        <f t="shared" si="3"/>
        <v>INSERT INTO tblPracticalExamResult VALUES (seqPracticalExamResult.nextval, 259, 94, 36);</v>
      </c>
    </row>
    <row r="266">
      <c r="A266" s="1">
        <v>260.0</v>
      </c>
      <c r="B266" s="1" t="s">
        <v>318</v>
      </c>
      <c r="C266" s="1">
        <v>260.0</v>
      </c>
      <c r="D266" s="2">
        <f t="shared" si="1"/>
        <v>15</v>
      </c>
      <c r="E266" s="1">
        <f t="shared" si="2"/>
        <v>62</v>
      </c>
      <c r="G266" s="2" t="str">
        <f t="shared" si="3"/>
        <v>INSERT INTO tblPracticalExamResult VALUES (seqPracticalExamResult.nextval, 260, 15, 62);</v>
      </c>
    </row>
    <row r="267">
      <c r="A267" s="1">
        <v>261.0</v>
      </c>
      <c r="B267" s="1" t="s">
        <v>318</v>
      </c>
      <c r="C267" s="1">
        <v>261.0</v>
      </c>
      <c r="D267" s="2">
        <f t="shared" si="1"/>
        <v>34</v>
      </c>
      <c r="E267" s="1">
        <f t="shared" si="2"/>
        <v>64</v>
      </c>
      <c r="G267" s="2" t="str">
        <f t="shared" si="3"/>
        <v>INSERT INTO tblPracticalExamResult VALUES (seqPracticalExamResult.nextval, 261, 34, 64);</v>
      </c>
    </row>
    <row r="268">
      <c r="A268" s="1">
        <v>262.0</v>
      </c>
      <c r="B268" s="1" t="s">
        <v>318</v>
      </c>
      <c r="C268" s="1">
        <v>262.0</v>
      </c>
      <c r="D268" s="2">
        <f t="shared" si="1"/>
        <v>92</v>
      </c>
      <c r="E268" s="1">
        <f t="shared" si="2"/>
        <v>57</v>
      </c>
      <c r="G268" s="2" t="str">
        <f t="shared" si="3"/>
        <v>INSERT INTO tblPracticalExamResult VALUES (seqPracticalExamResult.nextval, 262, 92, 57);</v>
      </c>
    </row>
    <row r="269">
      <c r="A269" s="1">
        <v>263.0</v>
      </c>
      <c r="B269" s="1" t="s">
        <v>318</v>
      </c>
      <c r="C269" s="1">
        <v>263.0</v>
      </c>
      <c r="D269" s="2">
        <f t="shared" si="1"/>
        <v>39</v>
      </c>
      <c r="E269" s="1">
        <f t="shared" si="2"/>
        <v>56</v>
      </c>
      <c r="G269" s="2" t="str">
        <f t="shared" si="3"/>
        <v>INSERT INTO tblPracticalExamResult VALUES (seqPracticalExamResult.nextval, 263, 39, 56);</v>
      </c>
    </row>
    <row r="270">
      <c r="A270" s="1">
        <v>264.0</v>
      </c>
      <c r="B270" s="1" t="s">
        <v>318</v>
      </c>
      <c r="C270" s="1">
        <v>264.0</v>
      </c>
      <c r="D270" s="2">
        <f t="shared" si="1"/>
        <v>11</v>
      </c>
      <c r="E270" s="1">
        <f t="shared" si="2"/>
        <v>46</v>
      </c>
      <c r="G270" s="2" t="str">
        <f t="shared" si="3"/>
        <v>INSERT INTO tblPracticalExamResult VALUES (seqPracticalExamResult.nextval, 264, 11, 46);</v>
      </c>
    </row>
    <row r="271">
      <c r="A271" s="1">
        <v>265.0</v>
      </c>
      <c r="B271" s="1" t="s">
        <v>318</v>
      </c>
      <c r="C271" s="1">
        <v>265.0</v>
      </c>
      <c r="D271" s="2">
        <f t="shared" si="1"/>
        <v>31</v>
      </c>
      <c r="E271" s="1">
        <f t="shared" si="2"/>
        <v>62</v>
      </c>
      <c r="G271" s="2" t="str">
        <f t="shared" si="3"/>
        <v>INSERT INTO tblPracticalExamResult VALUES (seqPracticalExamResult.nextval, 265, 31, 62);</v>
      </c>
    </row>
    <row r="272">
      <c r="A272" s="1">
        <v>266.0</v>
      </c>
      <c r="B272" s="1" t="s">
        <v>318</v>
      </c>
      <c r="C272" s="1">
        <v>266.0</v>
      </c>
      <c r="D272" s="2">
        <f t="shared" si="1"/>
        <v>61</v>
      </c>
      <c r="E272" s="1">
        <f t="shared" si="2"/>
        <v>49</v>
      </c>
      <c r="G272" s="2" t="str">
        <f t="shared" si="3"/>
        <v>INSERT INTO tblPracticalExamResult VALUES (seqPracticalExamResult.nextval, 266, 61, 49);</v>
      </c>
    </row>
    <row r="273">
      <c r="A273" s="1">
        <v>267.0</v>
      </c>
      <c r="B273" s="1" t="s">
        <v>318</v>
      </c>
      <c r="C273" s="1">
        <v>267.0</v>
      </c>
      <c r="D273" s="2">
        <f t="shared" si="1"/>
        <v>37</v>
      </c>
      <c r="E273" s="1">
        <f t="shared" si="2"/>
        <v>51</v>
      </c>
      <c r="G273" s="2" t="str">
        <f t="shared" si="3"/>
        <v>INSERT INTO tblPracticalExamResult VALUES (seqPracticalExamResult.nextval, 267, 37, 51);</v>
      </c>
    </row>
    <row r="274">
      <c r="A274" s="1">
        <v>268.0</v>
      </c>
      <c r="B274" s="1" t="s">
        <v>318</v>
      </c>
      <c r="C274" s="1">
        <v>268.0</v>
      </c>
      <c r="D274" s="2">
        <f t="shared" si="1"/>
        <v>40</v>
      </c>
      <c r="E274" s="1">
        <f t="shared" si="2"/>
        <v>59</v>
      </c>
      <c r="G274" s="2" t="str">
        <f t="shared" si="3"/>
        <v>INSERT INTO tblPracticalExamResult VALUES (seqPracticalExamResult.nextval, 268, 40, 59);</v>
      </c>
    </row>
    <row r="275">
      <c r="A275" s="1">
        <v>269.0</v>
      </c>
      <c r="B275" s="1" t="s">
        <v>318</v>
      </c>
      <c r="C275" s="1">
        <v>269.0</v>
      </c>
      <c r="D275" s="2">
        <f t="shared" si="1"/>
        <v>34</v>
      </c>
      <c r="E275" s="1">
        <f t="shared" si="2"/>
        <v>54</v>
      </c>
      <c r="G275" s="2" t="str">
        <f t="shared" si="3"/>
        <v>INSERT INTO tblPracticalExamResult VALUES (seqPracticalExamResult.nextval, 269, 34, 54);</v>
      </c>
    </row>
    <row r="276">
      <c r="A276" s="1">
        <v>270.0</v>
      </c>
      <c r="B276" s="1" t="s">
        <v>318</v>
      </c>
      <c r="C276" s="1">
        <v>270.0</v>
      </c>
      <c r="D276" s="2">
        <f t="shared" si="1"/>
        <v>82</v>
      </c>
      <c r="E276" s="1">
        <f t="shared" si="2"/>
        <v>44</v>
      </c>
      <c r="G276" s="2" t="str">
        <f t="shared" si="3"/>
        <v>INSERT INTO tblPracticalExamResult VALUES (seqPracticalExamResult.nextval, 270, 82, 44);</v>
      </c>
    </row>
    <row r="277">
      <c r="A277" s="1">
        <v>271.0</v>
      </c>
      <c r="B277" s="1" t="s">
        <v>318</v>
      </c>
      <c r="C277" s="1">
        <v>271.0</v>
      </c>
      <c r="D277" s="2">
        <f t="shared" si="1"/>
        <v>61</v>
      </c>
      <c r="E277" s="1">
        <f t="shared" si="2"/>
        <v>55</v>
      </c>
      <c r="G277" s="2" t="str">
        <f t="shared" si="3"/>
        <v>INSERT INTO tblPracticalExamResult VALUES (seqPracticalExamResult.nextval, 271, 61, 55);</v>
      </c>
    </row>
    <row r="278">
      <c r="A278" s="1">
        <v>272.0</v>
      </c>
      <c r="B278" s="1" t="s">
        <v>318</v>
      </c>
      <c r="C278" s="1">
        <v>272.0</v>
      </c>
      <c r="D278" s="2">
        <f t="shared" si="1"/>
        <v>76</v>
      </c>
      <c r="E278" s="1">
        <f t="shared" si="2"/>
        <v>66</v>
      </c>
      <c r="G278" s="2" t="str">
        <f t="shared" si="3"/>
        <v>INSERT INTO tblPracticalExamResult VALUES (seqPracticalExamResult.nextval, 272, 76, 66);</v>
      </c>
    </row>
    <row r="279">
      <c r="A279" s="1">
        <v>273.0</v>
      </c>
      <c r="B279" s="1" t="s">
        <v>318</v>
      </c>
      <c r="C279" s="1">
        <v>273.0</v>
      </c>
      <c r="D279" s="2">
        <f t="shared" si="1"/>
        <v>88</v>
      </c>
      <c r="E279" s="1">
        <f t="shared" si="2"/>
        <v>40</v>
      </c>
      <c r="G279" s="2" t="str">
        <f t="shared" si="3"/>
        <v>INSERT INTO tblPracticalExamResult VALUES (seqPracticalExamResult.nextval, 273, 88, 40);</v>
      </c>
    </row>
    <row r="280">
      <c r="A280" s="1">
        <v>274.0</v>
      </c>
      <c r="B280" s="1" t="s">
        <v>318</v>
      </c>
      <c r="C280" s="1">
        <v>274.0</v>
      </c>
      <c r="D280" s="2">
        <f t="shared" si="1"/>
        <v>64</v>
      </c>
      <c r="E280" s="1">
        <f t="shared" si="2"/>
        <v>60</v>
      </c>
      <c r="G280" s="2" t="str">
        <f t="shared" si="3"/>
        <v>INSERT INTO tblPracticalExamResult VALUES (seqPracticalExamResult.nextval, 274, 64, 60);</v>
      </c>
    </row>
    <row r="281">
      <c r="A281" s="1">
        <v>275.0</v>
      </c>
      <c r="B281" s="1" t="s">
        <v>318</v>
      </c>
      <c r="C281" s="1">
        <v>275.0</v>
      </c>
      <c r="D281" s="2">
        <f t="shared" si="1"/>
        <v>76</v>
      </c>
      <c r="E281" s="1">
        <f t="shared" si="2"/>
        <v>50</v>
      </c>
      <c r="G281" s="2" t="str">
        <f t="shared" si="3"/>
        <v>INSERT INTO tblPracticalExamResult VALUES (seqPracticalExamResult.nextval, 275, 76, 50);</v>
      </c>
    </row>
    <row r="282">
      <c r="A282" s="1">
        <v>276.0</v>
      </c>
      <c r="B282" s="1" t="s">
        <v>318</v>
      </c>
      <c r="C282" s="1">
        <v>276.0</v>
      </c>
      <c r="D282" s="2">
        <f t="shared" si="1"/>
        <v>21</v>
      </c>
      <c r="E282" s="1">
        <f t="shared" si="2"/>
        <v>34</v>
      </c>
      <c r="G282" s="2" t="str">
        <f t="shared" si="3"/>
        <v>INSERT INTO tblPracticalExamResult VALUES (seqPracticalExamResult.nextval, 276, 21, 34);</v>
      </c>
    </row>
    <row r="283">
      <c r="A283" s="1">
        <v>277.0</v>
      </c>
      <c r="B283" s="1" t="s">
        <v>318</v>
      </c>
      <c r="C283" s="1">
        <v>277.0</v>
      </c>
      <c r="D283" s="2">
        <f t="shared" si="1"/>
        <v>24</v>
      </c>
      <c r="E283" s="1">
        <f t="shared" si="2"/>
        <v>39</v>
      </c>
      <c r="G283" s="2" t="str">
        <f t="shared" si="3"/>
        <v>INSERT INTO tblPracticalExamResult VALUES (seqPracticalExamResult.nextval, 277, 24, 39);</v>
      </c>
    </row>
    <row r="284">
      <c r="A284" s="1">
        <v>278.0</v>
      </c>
      <c r="B284" s="1" t="s">
        <v>318</v>
      </c>
      <c r="C284" s="1">
        <v>278.0</v>
      </c>
      <c r="D284" s="2">
        <f t="shared" si="1"/>
        <v>13</v>
      </c>
      <c r="E284" s="1">
        <f t="shared" si="2"/>
        <v>40</v>
      </c>
      <c r="G284" s="2" t="str">
        <f t="shared" si="3"/>
        <v>INSERT INTO tblPracticalExamResult VALUES (seqPracticalExamResult.nextval, 278, 13, 40);</v>
      </c>
    </row>
    <row r="285">
      <c r="A285" s="1">
        <v>279.0</v>
      </c>
      <c r="B285" s="1" t="s">
        <v>318</v>
      </c>
      <c r="C285" s="1">
        <v>279.0</v>
      </c>
      <c r="D285" s="2">
        <f t="shared" si="1"/>
        <v>100</v>
      </c>
      <c r="E285" s="1">
        <f t="shared" si="2"/>
        <v>42</v>
      </c>
      <c r="G285" s="2" t="str">
        <f t="shared" si="3"/>
        <v>INSERT INTO tblPracticalExamResult VALUES (seqPracticalExamResult.nextval, 279, 100, 42);</v>
      </c>
    </row>
    <row r="286">
      <c r="A286" s="1">
        <v>280.0</v>
      </c>
      <c r="B286" s="1" t="s">
        <v>318</v>
      </c>
      <c r="C286" s="1">
        <v>280.0</v>
      </c>
      <c r="D286" s="2">
        <f t="shared" si="1"/>
        <v>21</v>
      </c>
      <c r="E286" s="1">
        <f t="shared" si="2"/>
        <v>54</v>
      </c>
      <c r="G286" s="2" t="str">
        <f t="shared" si="3"/>
        <v>INSERT INTO tblPracticalExamResult VALUES (seqPracticalExamResult.nextval, 280, 21, 54);</v>
      </c>
    </row>
    <row r="287">
      <c r="A287" s="1">
        <v>281.0</v>
      </c>
      <c r="B287" s="1" t="s">
        <v>318</v>
      </c>
      <c r="C287" s="1">
        <v>281.0</v>
      </c>
      <c r="D287" s="2">
        <f t="shared" si="1"/>
        <v>22</v>
      </c>
      <c r="E287" s="1">
        <f t="shared" si="2"/>
        <v>43</v>
      </c>
      <c r="G287" s="2" t="str">
        <f t="shared" si="3"/>
        <v>INSERT INTO tblPracticalExamResult VALUES (seqPracticalExamResult.nextval, 281, 22, 43);</v>
      </c>
    </row>
    <row r="288">
      <c r="A288" s="1">
        <v>282.0</v>
      </c>
      <c r="B288" s="1" t="s">
        <v>318</v>
      </c>
      <c r="C288" s="1">
        <v>282.0</v>
      </c>
      <c r="D288" s="2">
        <f t="shared" si="1"/>
        <v>16</v>
      </c>
      <c r="E288" s="1">
        <f t="shared" si="2"/>
        <v>48</v>
      </c>
      <c r="G288" s="2" t="str">
        <f t="shared" si="3"/>
        <v>INSERT INTO tblPracticalExamResult VALUES (seqPracticalExamResult.nextval, 282, 16, 48);</v>
      </c>
    </row>
    <row r="289">
      <c r="A289" s="1">
        <v>283.0</v>
      </c>
      <c r="B289" s="1" t="s">
        <v>318</v>
      </c>
      <c r="C289" s="1">
        <v>283.0</v>
      </c>
      <c r="D289" s="2">
        <f t="shared" si="1"/>
        <v>63</v>
      </c>
      <c r="E289" s="1">
        <f t="shared" si="2"/>
        <v>58</v>
      </c>
      <c r="G289" s="2" t="str">
        <f t="shared" si="3"/>
        <v>INSERT INTO tblPracticalExamResult VALUES (seqPracticalExamResult.nextval, 283, 63, 58);</v>
      </c>
    </row>
    <row r="290">
      <c r="A290" s="1">
        <v>284.0</v>
      </c>
      <c r="B290" s="1" t="s">
        <v>318</v>
      </c>
      <c r="C290" s="1">
        <v>284.0</v>
      </c>
      <c r="D290" s="2">
        <f t="shared" si="1"/>
        <v>91</v>
      </c>
      <c r="E290" s="1">
        <f t="shared" si="2"/>
        <v>48</v>
      </c>
      <c r="G290" s="2" t="str">
        <f t="shared" si="3"/>
        <v>INSERT INTO tblPracticalExamResult VALUES (seqPracticalExamResult.nextval, 284, 91, 48);</v>
      </c>
    </row>
    <row r="291">
      <c r="A291" s="1">
        <v>285.0</v>
      </c>
      <c r="B291" s="1" t="s">
        <v>318</v>
      </c>
      <c r="C291" s="1">
        <v>285.0</v>
      </c>
      <c r="D291" s="2">
        <f t="shared" si="1"/>
        <v>60</v>
      </c>
      <c r="E291" s="1">
        <f t="shared" si="2"/>
        <v>60</v>
      </c>
      <c r="G291" s="2" t="str">
        <f t="shared" si="3"/>
        <v>INSERT INTO tblPracticalExamResult VALUES (seqPracticalExamResult.nextval, 285, 60, 60);</v>
      </c>
    </row>
    <row r="292">
      <c r="A292" s="1">
        <v>286.0</v>
      </c>
      <c r="B292" s="1" t="s">
        <v>318</v>
      </c>
      <c r="C292" s="1">
        <v>286.0</v>
      </c>
      <c r="D292" s="2">
        <f t="shared" si="1"/>
        <v>44</v>
      </c>
      <c r="E292" s="1">
        <f t="shared" si="2"/>
        <v>34</v>
      </c>
      <c r="G292" s="2" t="str">
        <f t="shared" si="3"/>
        <v>INSERT INTO tblPracticalExamResult VALUES (seqPracticalExamResult.nextval, 286, 44, 34);</v>
      </c>
    </row>
    <row r="293">
      <c r="A293" s="1">
        <v>287.0</v>
      </c>
      <c r="B293" s="1" t="s">
        <v>318</v>
      </c>
      <c r="C293" s="1">
        <v>287.0</v>
      </c>
      <c r="D293" s="2">
        <f t="shared" si="1"/>
        <v>66</v>
      </c>
      <c r="E293" s="1">
        <f t="shared" si="2"/>
        <v>53</v>
      </c>
      <c r="G293" s="2" t="str">
        <f t="shared" si="3"/>
        <v>INSERT INTO tblPracticalExamResult VALUES (seqPracticalExamResult.nextval, 287, 66, 53);</v>
      </c>
    </row>
    <row r="294">
      <c r="A294" s="1">
        <v>288.0</v>
      </c>
      <c r="B294" s="1" t="s">
        <v>318</v>
      </c>
      <c r="C294" s="1">
        <v>288.0</v>
      </c>
      <c r="D294" s="2">
        <f t="shared" si="1"/>
        <v>66</v>
      </c>
      <c r="E294" s="1">
        <f t="shared" si="2"/>
        <v>35</v>
      </c>
      <c r="G294" s="2" t="str">
        <f t="shared" si="3"/>
        <v>INSERT INTO tblPracticalExamResult VALUES (seqPracticalExamResult.nextval, 288, 66, 35);</v>
      </c>
    </row>
    <row r="295">
      <c r="A295" s="1">
        <v>289.0</v>
      </c>
      <c r="B295" s="1" t="s">
        <v>318</v>
      </c>
      <c r="C295" s="1">
        <v>289.0</v>
      </c>
      <c r="D295" s="2">
        <f t="shared" si="1"/>
        <v>74</v>
      </c>
      <c r="E295" s="1">
        <f t="shared" si="2"/>
        <v>35</v>
      </c>
      <c r="G295" s="2" t="str">
        <f t="shared" si="3"/>
        <v>INSERT INTO tblPracticalExamResult VALUES (seqPracticalExamResult.nextval, 289, 74, 35);</v>
      </c>
    </row>
    <row r="296">
      <c r="A296" s="1">
        <v>290.0</v>
      </c>
      <c r="B296" s="1" t="s">
        <v>318</v>
      </c>
      <c r="C296" s="1">
        <v>290.0</v>
      </c>
      <c r="D296" s="2">
        <f t="shared" si="1"/>
        <v>29</v>
      </c>
      <c r="E296" s="1">
        <f t="shared" si="2"/>
        <v>49</v>
      </c>
      <c r="G296" s="2" t="str">
        <f t="shared" si="3"/>
        <v>INSERT INTO tblPracticalExamResult VALUES (seqPracticalExamResult.nextval, 290, 29, 49);</v>
      </c>
    </row>
    <row r="297">
      <c r="A297" s="1">
        <v>291.0</v>
      </c>
      <c r="B297" s="1" t="s">
        <v>318</v>
      </c>
      <c r="C297" s="1">
        <v>291.0</v>
      </c>
      <c r="D297" s="2">
        <f t="shared" si="1"/>
        <v>63</v>
      </c>
      <c r="E297" s="1">
        <f t="shared" si="2"/>
        <v>41</v>
      </c>
      <c r="G297" s="2" t="str">
        <f t="shared" si="3"/>
        <v>INSERT INTO tblPracticalExamResult VALUES (seqPracticalExamResult.nextval, 291, 63, 41);</v>
      </c>
    </row>
    <row r="298">
      <c r="A298" s="1">
        <v>292.0</v>
      </c>
      <c r="B298" s="1" t="s">
        <v>318</v>
      </c>
      <c r="C298" s="1">
        <v>292.0</v>
      </c>
      <c r="D298" s="2">
        <f t="shared" si="1"/>
        <v>11</v>
      </c>
      <c r="E298" s="1">
        <f t="shared" si="2"/>
        <v>46</v>
      </c>
      <c r="G298" s="2" t="str">
        <f t="shared" si="3"/>
        <v>INSERT INTO tblPracticalExamResult VALUES (seqPracticalExamResult.nextval, 292, 11, 46);</v>
      </c>
    </row>
    <row r="299">
      <c r="A299" s="1">
        <v>293.0</v>
      </c>
      <c r="B299" s="1" t="s">
        <v>318</v>
      </c>
      <c r="C299" s="1">
        <v>293.0</v>
      </c>
      <c r="D299" s="2">
        <f t="shared" si="1"/>
        <v>23</v>
      </c>
      <c r="E299" s="1">
        <f t="shared" si="2"/>
        <v>39</v>
      </c>
      <c r="G299" s="2" t="str">
        <f t="shared" si="3"/>
        <v>INSERT INTO tblPracticalExamResult VALUES (seqPracticalExamResult.nextval, 293, 23, 39);</v>
      </c>
    </row>
    <row r="300">
      <c r="A300" s="1">
        <v>294.0</v>
      </c>
      <c r="B300" s="1" t="s">
        <v>318</v>
      </c>
      <c r="C300" s="1">
        <v>294.0</v>
      </c>
      <c r="D300" s="2">
        <f t="shared" si="1"/>
        <v>75</v>
      </c>
      <c r="E300" s="1">
        <f t="shared" si="2"/>
        <v>45</v>
      </c>
      <c r="G300" s="2" t="str">
        <f t="shared" si="3"/>
        <v>INSERT INTO tblPracticalExamResult VALUES (seqPracticalExamResult.nextval, 294, 75, 45);</v>
      </c>
    </row>
    <row r="301">
      <c r="A301" s="1">
        <v>295.0</v>
      </c>
      <c r="B301" s="1" t="s">
        <v>318</v>
      </c>
      <c r="C301" s="1">
        <v>295.0</v>
      </c>
      <c r="D301" s="2">
        <f t="shared" si="1"/>
        <v>26</v>
      </c>
      <c r="E301" s="1">
        <f t="shared" si="2"/>
        <v>49</v>
      </c>
      <c r="G301" s="2" t="str">
        <f t="shared" si="3"/>
        <v>INSERT INTO tblPracticalExamResult VALUES (seqPracticalExamResult.nextval, 295, 26, 49);</v>
      </c>
    </row>
    <row r="302">
      <c r="A302" s="1">
        <v>296.0</v>
      </c>
      <c r="B302" s="1" t="s">
        <v>318</v>
      </c>
      <c r="C302" s="1">
        <v>296.0</v>
      </c>
      <c r="D302" s="2">
        <f t="shared" si="1"/>
        <v>22</v>
      </c>
      <c r="E302" s="1">
        <f t="shared" si="2"/>
        <v>59</v>
      </c>
      <c r="G302" s="2" t="str">
        <f t="shared" si="3"/>
        <v>INSERT INTO tblPracticalExamResult VALUES (seqPracticalExamResult.nextval, 296, 22, 59);</v>
      </c>
    </row>
    <row r="303">
      <c r="A303" s="1">
        <v>297.0</v>
      </c>
      <c r="B303" s="1" t="s">
        <v>318</v>
      </c>
      <c r="C303" s="1">
        <v>297.0</v>
      </c>
      <c r="D303" s="2">
        <f t="shared" si="1"/>
        <v>34</v>
      </c>
      <c r="E303" s="1">
        <f t="shared" si="2"/>
        <v>49</v>
      </c>
      <c r="G303" s="2" t="str">
        <f t="shared" si="3"/>
        <v>INSERT INTO tblPracticalExamResult VALUES (seqPracticalExamResult.nextval, 297, 34, 49);</v>
      </c>
    </row>
    <row r="304">
      <c r="A304" s="1">
        <v>298.0</v>
      </c>
      <c r="B304" s="1" t="s">
        <v>318</v>
      </c>
      <c r="C304" s="1">
        <v>298.0</v>
      </c>
      <c r="D304" s="2">
        <f t="shared" si="1"/>
        <v>62</v>
      </c>
      <c r="E304" s="1">
        <f t="shared" si="2"/>
        <v>45</v>
      </c>
      <c r="G304" s="2" t="str">
        <f t="shared" si="3"/>
        <v>INSERT INTO tblPracticalExamResult VALUES (seqPracticalExamResult.nextval, 298, 62, 45);</v>
      </c>
    </row>
    <row r="305">
      <c r="A305" s="1">
        <v>299.0</v>
      </c>
      <c r="B305" s="1" t="s">
        <v>318</v>
      </c>
      <c r="C305" s="1">
        <v>299.0</v>
      </c>
      <c r="D305" s="2">
        <f t="shared" si="1"/>
        <v>97</v>
      </c>
      <c r="E305" s="1">
        <f t="shared" si="2"/>
        <v>35</v>
      </c>
      <c r="G305" s="2" t="str">
        <f t="shared" si="3"/>
        <v>INSERT INTO tblPracticalExamResult VALUES (seqPracticalExamResult.nextval, 299, 97, 35);</v>
      </c>
    </row>
    <row r="306">
      <c r="A306" s="1">
        <v>300.0</v>
      </c>
      <c r="B306" s="1" t="s">
        <v>318</v>
      </c>
      <c r="C306" s="1">
        <v>300.0</v>
      </c>
      <c r="D306" s="2">
        <f t="shared" si="1"/>
        <v>68</v>
      </c>
      <c r="E306" s="1">
        <f t="shared" si="2"/>
        <v>63</v>
      </c>
      <c r="G306" s="2" t="str">
        <f t="shared" si="3"/>
        <v>INSERT INTO tblPracticalExamResult VALUES (seqPracticalExamResult.nextval, 300, 68, 63);</v>
      </c>
    </row>
    <row r="307">
      <c r="A307" s="1">
        <v>301.0</v>
      </c>
      <c r="B307" s="1" t="s">
        <v>318</v>
      </c>
      <c r="C307" s="1">
        <v>301.0</v>
      </c>
      <c r="D307" s="2">
        <f t="shared" si="1"/>
        <v>25</v>
      </c>
      <c r="E307" s="1">
        <f t="shared" si="2"/>
        <v>65</v>
      </c>
      <c r="G307" s="2" t="str">
        <f t="shared" si="3"/>
        <v>INSERT INTO tblPracticalExamResult VALUES (seqPracticalExamResult.nextval, 301, 25, 65);</v>
      </c>
    </row>
    <row r="308">
      <c r="A308" s="1">
        <v>302.0</v>
      </c>
      <c r="B308" s="1" t="s">
        <v>318</v>
      </c>
      <c r="C308" s="1">
        <v>302.0</v>
      </c>
      <c r="D308" s="2">
        <f t="shared" si="1"/>
        <v>55</v>
      </c>
      <c r="E308" s="1">
        <f t="shared" si="2"/>
        <v>61</v>
      </c>
      <c r="G308" s="2" t="str">
        <f t="shared" si="3"/>
        <v>INSERT INTO tblPracticalExamResult VALUES (seqPracticalExamResult.nextval, 302, 55, 61);</v>
      </c>
    </row>
    <row r="309">
      <c r="A309" s="1">
        <v>303.0</v>
      </c>
      <c r="B309" s="1" t="s">
        <v>318</v>
      </c>
      <c r="C309" s="1">
        <v>303.0</v>
      </c>
      <c r="D309" s="2">
        <f t="shared" si="1"/>
        <v>10</v>
      </c>
      <c r="E309" s="1">
        <f t="shared" si="2"/>
        <v>63</v>
      </c>
      <c r="G309" s="2" t="str">
        <f t="shared" si="3"/>
        <v>INSERT INTO tblPracticalExamResult VALUES (seqPracticalExamResult.nextval, 303, 10, 63);</v>
      </c>
    </row>
    <row r="310">
      <c r="A310" s="1">
        <v>304.0</v>
      </c>
      <c r="B310" s="1" t="s">
        <v>318</v>
      </c>
      <c r="C310" s="1">
        <v>304.0</v>
      </c>
      <c r="D310" s="2">
        <f t="shared" si="1"/>
        <v>47</v>
      </c>
      <c r="E310" s="1">
        <f t="shared" si="2"/>
        <v>35</v>
      </c>
      <c r="G310" s="2" t="str">
        <f t="shared" si="3"/>
        <v>INSERT INTO tblPracticalExamResult VALUES (seqPracticalExamResult.nextval, 304, 47, 35);</v>
      </c>
    </row>
    <row r="311">
      <c r="A311" s="1">
        <v>305.0</v>
      </c>
      <c r="B311" s="1" t="s">
        <v>318</v>
      </c>
      <c r="C311" s="1">
        <v>305.0</v>
      </c>
      <c r="D311" s="2">
        <f t="shared" si="1"/>
        <v>84</v>
      </c>
      <c r="E311" s="1">
        <f t="shared" si="2"/>
        <v>39</v>
      </c>
      <c r="G311" s="2" t="str">
        <f t="shared" si="3"/>
        <v>INSERT INTO tblPracticalExamResult VALUES (seqPracticalExamResult.nextval, 305, 84, 39);</v>
      </c>
    </row>
    <row r="312">
      <c r="A312" s="1">
        <v>306.0</v>
      </c>
      <c r="B312" s="1" t="s">
        <v>318</v>
      </c>
      <c r="C312" s="1">
        <v>306.0</v>
      </c>
      <c r="D312" s="2">
        <f t="shared" si="1"/>
        <v>62</v>
      </c>
      <c r="E312" s="1">
        <f t="shared" si="2"/>
        <v>66</v>
      </c>
      <c r="G312" s="2" t="str">
        <f t="shared" si="3"/>
        <v>INSERT INTO tblPracticalExamResult VALUES (seqPracticalExamResult.nextval, 306, 62, 66);</v>
      </c>
    </row>
    <row r="313">
      <c r="A313" s="1">
        <v>307.0</v>
      </c>
      <c r="B313" s="1" t="s">
        <v>318</v>
      </c>
      <c r="C313" s="1">
        <v>307.0</v>
      </c>
      <c r="D313" s="2">
        <f t="shared" si="1"/>
        <v>80</v>
      </c>
      <c r="E313" s="1">
        <f t="shared" si="2"/>
        <v>38</v>
      </c>
      <c r="G313" s="2" t="str">
        <f t="shared" si="3"/>
        <v>INSERT INTO tblPracticalExamResult VALUES (seqPracticalExamResult.nextval, 307, 80, 38);</v>
      </c>
    </row>
    <row r="314">
      <c r="A314" s="1">
        <v>308.0</v>
      </c>
      <c r="B314" s="1" t="s">
        <v>318</v>
      </c>
      <c r="C314" s="1">
        <v>308.0</v>
      </c>
      <c r="D314" s="2">
        <f t="shared" si="1"/>
        <v>10</v>
      </c>
      <c r="E314" s="1">
        <f t="shared" si="2"/>
        <v>60</v>
      </c>
      <c r="G314" s="2" t="str">
        <f t="shared" si="3"/>
        <v>INSERT INTO tblPracticalExamResult VALUES (seqPracticalExamResult.nextval, 308, 10, 60);</v>
      </c>
    </row>
    <row r="315">
      <c r="A315" s="1">
        <v>309.0</v>
      </c>
      <c r="B315" s="1" t="s">
        <v>318</v>
      </c>
      <c r="C315" s="1">
        <v>309.0</v>
      </c>
      <c r="D315" s="2">
        <f t="shared" si="1"/>
        <v>97</v>
      </c>
      <c r="E315" s="1">
        <f t="shared" si="2"/>
        <v>53</v>
      </c>
      <c r="G315" s="2" t="str">
        <f t="shared" si="3"/>
        <v>INSERT INTO tblPracticalExamResult VALUES (seqPracticalExamResult.nextval, 309, 97, 53);</v>
      </c>
    </row>
    <row r="316">
      <c r="A316" s="1">
        <v>310.0</v>
      </c>
      <c r="B316" s="1" t="s">
        <v>318</v>
      </c>
      <c r="C316" s="1">
        <v>310.0</v>
      </c>
      <c r="D316" s="2">
        <f t="shared" si="1"/>
        <v>16</v>
      </c>
      <c r="E316" s="1">
        <f t="shared" si="2"/>
        <v>57</v>
      </c>
      <c r="G316" s="2" t="str">
        <f t="shared" si="3"/>
        <v>INSERT INTO tblPracticalExamResult VALUES (seqPracticalExamResult.nextval, 310, 16, 57);</v>
      </c>
    </row>
    <row r="317">
      <c r="A317" s="1">
        <v>311.0</v>
      </c>
      <c r="B317" s="1" t="s">
        <v>318</v>
      </c>
      <c r="C317" s="1">
        <v>311.0</v>
      </c>
      <c r="D317" s="2">
        <f t="shared" si="1"/>
        <v>92</v>
      </c>
      <c r="E317" s="1">
        <f t="shared" si="2"/>
        <v>38</v>
      </c>
      <c r="G317" s="2" t="str">
        <f t="shared" si="3"/>
        <v>INSERT INTO tblPracticalExamResult VALUES (seqPracticalExamResult.nextval, 311, 92, 38);</v>
      </c>
    </row>
    <row r="318">
      <c r="A318" s="1">
        <v>312.0</v>
      </c>
      <c r="B318" s="1" t="s">
        <v>318</v>
      </c>
      <c r="C318" s="1">
        <v>312.0</v>
      </c>
      <c r="D318" s="2">
        <f t="shared" si="1"/>
        <v>79</v>
      </c>
      <c r="E318" s="1">
        <f t="shared" si="2"/>
        <v>52</v>
      </c>
      <c r="G318" s="2" t="str">
        <f t="shared" si="3"/>
        <v>INSERT INTO tblPracticalExamResult VALUES (seqPracticalExamResult.nextval, 312, 79, 52);</v>
      </c>
    </row>
    <row r="319">
      <c r="A319" s="1">
        <v>313.0</v>
      </c>
      <c r="B319" s="1" t="s">
        <v>318</v>
      </c>
      <c r="C319" s="1">
        <v>313.0</v>
      </c>
      <c r="D319" s="2">
        <f t="shared" si="1"/>
        <v>52</v>
      </c>
      <c r="E319" s="1">
        <f t="shared" si="2"/>
        <v>41</v>
      </c>
      <c r="G319" s="2" t="str">
        <f t="shared" si="3"/>
        <v>INSERT INTO tblPracticalExamResult VALUES (seqPracticalExamResult.nextval, 313, 52, 41);</v>
      </c>
    </row>
    <row r="320">
      <c r="A320" s="1">
        <v>314.0</v>
      </c>
      <c r="B320" s="1" t="s">
        <v>318</v>
      </c>
      <c r="C320" s="1">
        <v>314.0</v>
      </c>
      <c r="D320" s="2">
        <f t="shared" si="1"/>
        <v>98</v>
      </c>
      <c r="E320" s="1">
        <f t="shared" si="2"/>
        <v>59</v>
      </c>
      <c r="G320" s="2" t="str">
        <f t="shared" si="3"/>
        <v>INSERT INTO tblPracticalExamResult VALUES (seqPracticalExamResult.nextval, 314, 98, 59);</v>
      </c>
    </row>
    <row r="321">
      <c r="A321" s="1">
        <v>315.0</v>
      </c>
      <c r="B321" s="1" t="s">
        <v>318</v>
      </c>
      <c r="C321" s="1">
        <v>315.0</v>
      </c>
      <c r="D321" s="2">
        <f t="shared" si="1"/>
        <v>45</v>
      </c>
      <c r="E321" s="1">
        <f t="shared" si="2"/>
        <v>55</v>
      </c>
      <c r="G321" s="2" t="str">
        <f t="shared" si="3"/>
        <v>INSERT INTO tblPracticalExamResult VALUES (seqPracticalExamResult.nextval, 315, 45, 55);</v>
      </c>
    </row>
    <row r="322">
      <c r="A322" s="1">
        <v>316.0</v>
      </c>
      <c r="B322" s="1" t="s">
        <v>318</v>
      </c>
      <c r="C322" s="1">
        <v>316.0</v>
      </c>
      <c r="D322" s="2">
        <f t="shared" si="1"/>
        <v>40</v>
      </c>
      <c r="E322" s="1">
        <f t="shared" si="2"/>
        <v>57</v>
      </c>
      <c r="G322" s="2" t="str">
        <f t="shared" si="3"/>
        <v>INSERT INTO tblPracticalExamResult VALUES (seqPracticalExamResult.nextval, 316, 40, 57);</v>
      </c>
    </row>
    <row r="323">
      <c r="A323" s="1">
        <v>317.0</v>
      </c>
      <c r="B323" s="1" t="s">
        <v>318</v>
      </c>
      <c r="C323" s="1">
        <v>317.0</v>
      </c>
      <c r="D323" s="2">
        <f t="shared" si="1"/>
        <v>27</v>
      </c>
      <c r="E323" s="1">
        <f t="shared" si="2"/>
        <v>61</v>
      </c>
      <c r="G323" s="2" t="str">
        <f t="shared" si="3"/>
        <v>INSERT INTO tblPracticalExamResult VALUES (seqPracticalExamResult.nextval, 317, 27, 61);</v>
      </c>
    </row>
    <row r="324">
      <c r="A324" s="1">
        <v>318.0</v>
      </c>
      <c r="B324" s="1" t="s">
        <v>318</v>
      </c>
      <c r="C324" s="1">
        <v>318.0</v>
      </c>
      <c r="D324" s="2">
        <f t="shared" si="1"/>
        <v>67</v>
      </c>
      <c r="E324" s="1">
        <f t="shared" si="2"/>
        <v>51</v>
      </c>
      <c r="G324" s="2" t="str">
        <f t="shared" si="3"/>
        <v>INSERT INTO tblPracticalExamResult VALUES (seqPracticalExamResult.nextval, 318, 67, 51);</v>
      </c>
    </row>
    <row r="325">
      <c r="A325" s="1">
        <v>319.0</v>
      </c>
      <c r="B325" s="1" t="s">
        <v>318</v>
      </c>
      <c r="C325" s="1">
        <v>319.0</v>
      </c>
      <c r="D325" s="2">
        <f t="shared" si="1"/>
        <v>43</v>
      </c>
      <c r="E325" s="1">
        <f t="shared" si="2"/>
        <v>62</v>
      </c>
      <c r="G325" s="2" t="str">
        <f t="shared" si="3"/>
        <v>INSERT INTO tblPracticalExamResult VALUES (seqPracticalExamResult.nextval, 319, 43, 62);</v>
      </c>
    </row>
    <row r="326">
      <c r="A326" s="1">
        <v>320.0</v>
      </c>
      <c r="B326" s="1" t="s">
        <v>318</v>
      </c>
      <c r="C326" s="1">
        <v>320.0</v>
      </c>
      <c r="D326" s="2">
        <f t="shared" si="1"/>
        <v>61</v>
      </c>
      <c r="E326" s="1">
        <f t="shared" si="2"/>
        <v>40</v>
      </c>
      <c r="G326" s="2" t="str">
        <f t="shared" si="3"/>
        <v>INSERT INTO tblPracticalExamResult VALUES (seqPracticalExamResult.nextval, 320, 61, 40);</v>
      </c>
    </row>
    <row r="327">
      <c r="A327" s="1">
        <v>321.0</v>
      </c>
      <c r="B327" s="1" t="s">
        <v>318</v>
      </c>
      <c r="C327" s="1">
        <v>321.0</v>
      </c>
      <c r="D327" s="2">
        <f t="shared" si="1"/>
        <v>40</v>
      </c>
      <c r="E327" s="1">
        <f t="shared" si="2"/>
        <v>56</v>
      </c>
      <c r="G327" s="2" t="str">
        <f t="shared" si="3"/>
        <v>INSERT INTO tblPracticalExamResult VALUES (seqPracticalExamResult.nextval, 321, 40, 56);</v>
      </c>
    </row>
    <row r="328">
      <c r="A328" s="1">
        <v>322.0</v>
      </c>
      <c r="B328" s="1" t="s">
        <v>318</v>
      </c>
      <c r="C328" s="1">
        <v>322.0</v>
      </c>
      <c r="D328" s="2">
        <f t="shared" si="1"/>
        <v>79</v>
      </c>
      <c r="E328" s="1">
        <f t="shared" si="2"/>
        <v>65</v>
      </c>
      <c r="G328" s="2" t="str">
        <f t="shared" si="3"/>
        <v>INSERT INTO tblPracticalExamResult VALUES (seqPracticalExamResult.nextval, 322, 79, 65);</v>
      </c>
    </row>
    <row r="329">
      <c r="A329" s="1">
        <v>323.0</v>
      </c>
      <c r="B329" s="1" t="s">
        <v>318</v>
      </c>
      <c r="C329" s="1">
        <v>323.0</v>
      </c>
      <c r="D329" s="2">
        <f t="shared" si="1"/>
        <v>90</v>
      </c>
      <c r="E329" s="1">
        <f t="shared" si="2"/>
        <v>55</v>
      </c>
      <c r="G329" s="2" t="str">
        <f t="shared" si="3"/>
        <v>INSERT INTO tblPracticalExamResult VALUES (seqPracticalExamResult.nextval, 323, 90, 55);</v>
      </c>
    </row>
    <row r="330">
      <c r="A330" s="1">
        <v>324.0</v>
      </c>
      <c r="B330" s="1" t="s">
        <v>318</v>
      </c>
      <c r="C330" s="1">
        <v>324.0</v>
      </c>
      <c r="D330" s="2">
        <f t="shared" si="1"/>
        <v>43</v>
      </c>
      <c r="E330" s="1">
        <f t="shared" si="2"/>
        <v>51</v>
      </c>
      <c r="G330" s="2" t="str">
        <f t="shared" si="3"/>
        <v>INSERT INTO tblPracticalExamResult VALUES (seqPracticalExamResult.nextval, 324, 43, 51);</v>
      </c>
    </row>
    <row r="331">
      <c r="A331" s="1">
        <v>325.0</v>
      </c>
      <c r="B331" s="1" t="s">
        <v>318</v>
      </c>
      <c r="C331" s="1">
        <v>325.0</v>
      </c>
      <c r="D331" s="2">
        <f t="shared" si="1"/>
        <v>22</v>
      </c>
      <c r="E331" s="1">
        <f t="shared" si="2"/>
        <v>65</v>
      </c>
      <c r="G331" s="2" t="str">
        <f t="shared" si="3"/>
        <v>INSERT INTO tblPracticalExamResult VALUES (seqPracticalExamResult.nextval, 325, 22, 65);</v>
      </c>
    </row>
    <row r="332">
      <c r="A332" s="1">
        <v>326.0</v>
      </c>
      <c r="B332" s="1" t="s">
        <v>318</v>
      </c>
      <c r="C332" s="1">
        <v>326.0</v>
      </c>
      <c r="D332" s="2">
        <f t="shared" si="1"/>
        <v>51</v>
      </c>
      <c r="E332" s="1">
        <f t="shared" si="2"/>
        <v>54</v>
      </c>
      <c r="G332" s="2" t="str">
        <f t="shared" si="3"/>
        <v>INSERT INTO tblPracticalExamResult VALUES (seqPracticalExamResult.nextval, 326, 51, 54);</v>
      </c>
    </row>
    <row r="333">
      <c r="A333" s="1">
        <v>327.0</v>
      </c>
      <c r="B333" s="1" t="s">
        <v>318</v>
      </c>
      <c r="C333" s="1">
        <v>327.0</v>
      </c>
      <c r="D333" s="2">
        <f t="shared" si="1"/>
        <v>63</v>
      </c>
      <c r="E333" s="1">
        <f t="shared" si="2"/>
        <v>38</v>
      </c>
      <c r="G333" s="2" t="str">
        <f t="shared" si="3"/>
        <v>INSERT INTO tblPracticalExamResult VALUES (seqPracticalExamResult.nextval, 327, 63, 38);</v>
      </c>
    </row>
    <row r="334">
      <c r="A334" s="1">
        <v>328.0</v>
      </c>
      <c r="B334" s="1" t="s">
        <v>318</v>
      </c>
      <c r="C334" s="1">
        <v>328.0</v>
      </c>
      <c r="D334" s="2">
        <f t="shared" si="1"/>
        <v>81</v>
      </c>
      <c r="E334" s="1">
        <f t="shared" si="2"/>
        <v>52</v>
      </c>
      <c r="G334" s="2" t="str">
        <f t="shared" si="3"/>
        <v>INSERT INTO tblPracticalExamResult VALUES (seqPracticalExamResult.nextval, 328, 81, 52);</v>
      </c>
    </row>
    <row r="335">
      <c r="A335" s="1">
        <v>329.0</v>
      </c>
      <c r="B335" s="1" t="s">
        <v>318</v>
      </c>
      <c r="C335" s="1">
        <v>329.0</v>
      </c>
      <c r="D335" s="2">
        <f t="shared" si="1"/>
        <v>74</v>
      </c>
      <c r="E335" s="1">
        <f t="shared" si="2"/>
        <v>36</v>
      </c>
      <c r="G335" s="2" t="str">
        <f t="shared" si="3"/>
        <v>INSERT INTO tblPracticalExamResult VALUES (seqPracticalExamResult.nextval, 329, 74, 36);</v>
      </c>
    </row>
    <row r="336">
      <c r="A336" s="1">
        <v>330.0</v>
      </c>
      <c r="B336" s="1" t="s">
        <v>318</v>
      </c>
      <c r="C336" s="1">
        <v>330.0</v>
      </c>
      <c r="D336" s="2">
        <f t="shared" si="1"/>
        <v>61</v>
      </c>
      <c r="E336" s="1">
        <f t="shared" si="2"/>
        <v>40</v>
      </c>
      <c r="G336" s="2" t="str">
        <f t="shared" si="3"/>
        <v>INSERT INTO tblPracticalExamResult VALUES (seqPracticalExamResult.nextval, 330, 61, 40);</v>
      </c>
    </row>
    <row r="337">
      <c r="A337" s="1">
        <v>331.0</v>
      </c>
      <c r="B337" s="1" t="s">
        <v>318</v>
      </c>
      <c r="C337" s="1">
        <v>331.0</v>
      </c>
      <c r="D337" s="2">
        <f t="shared" si="1"/>
        <v>59</v>
      </c>
      <c r="E337" s="1">
        <f t="shared" si="2"/>
        <v>63</v>
      </c>
      <c r="G337" s="2" t="str">
        <f t="shared" si="3"/>
        <v>INSERT INTO tblPracticalExamResult VALUES (seqPracticalExamResult.nextval, 331, 59, 63);</v>
      </c>
    </row>
    <row r="338">
      <c r="A338" s="1">
        <v>332.0</v>
      </c>
      <c r="B338" s="1" t="s">
        <v>318</v>
      </c>
      <c r="C338" s="1">
        <v>332.0</v>
      </c>
      <c r="D338" s="2">
        <f t="shared" si="1"/>
        <v>79</v>
      </c>
      <c r="E338" s="1">
        <f t="shared" si="2"/>
        <v>42</v>
      </c>
      <c r="G338" s="2" t="str">
        <f t="shared" si="3"/>
        <v>INSERT INTO tblPracticalExamResult VALUES (seqPracticalExamResult.nextval, 332, 79, 42);</v>
      </c>
    </row>
    <row r="339">
      <c r="A339" s="1">
        <v>333.0</v>
      </c>
      <c r="B339" s="1" t="s">
        <v>318</v>
      </c>
      <c r="C339" s="1">
        <v>333.0</v>
      </c>
      <c r="D339" s="2">
        <f t="shared" si="1"/>
        <v>13</v>
      </c>
      <c r="E339" s="1">
        <f t="shared" si="2"/>
        <v>38</v>
      </c>
      <c r="G339" s="2" t="str">
        <f t="shared" si="3"/>
        <v>INSERT INTO tblPracticalExamResult VALUES (seqPracticalExamResult.nextval, 333, 13, 38);</v>
      </c>
    </row>
    <row r="340">
      <c r="A340" s="1">
        <v>334.0</v>
      </c>
      <c r="B340" s="1" t="s">
        <v>318</v>
      </c>
      <c r="C340" s="1">
        <v>334.0</v>
      </c>
      <c r="D340" s="2">
        <f t="shared" si="1"/>
        <v>74</v>
      </c>
      <c r="E340" s="1">
        <f t="shared" si="2"/>
        <v>36</v>
      </c>
      <c r="G340" s="2" t="str">
        <f t="shared" si="3"/>
        <v>INSERT INTO tblPracticalExamResult VALUES (seqPracticalExamResult.nextval, 334, 74, 36);</v>
      </c>
    </row>
    <row r="341">
      <c r="A341" s="1">
        <v>335.0</v>
      </c>
      <c r="B341" s="1" t="s">
        <v>318</v>
      </c>
      <c r="C341" s="1">
        <v>335.0</v>
      </c>
      <c r="D341" s="2">
        <f t="shared" si="1"/>
        <v>88</v>
      </c>
      <c r="E341" s="1">
        <f t="shared" si="2"/>
        <v>43</v>
      </c>
      <c r="G341" s="2" t="str">
        <f t="shared" si="3"/>
        <v>INSERT INTO tblPracticalExamResult VALUES (seqPracticalExamResult.nextval, 335, 88, 43);</v>
      </c>
    </row>
    <row r="342">
      <c r="A342" s="1">
        <v>336.0</v>
      </c>
      <c r="B342" s="1" t="s">
        <v>318</v>
      </c>
      <c r="C342" s="1">
        <v>336.0</v>
      </c>
      <c r="D342" s="2">
        <f t="shared" si="1"/>
        <v>82</v>
      </c>
      <c r="E342" s="1">
        <f t="shared" si="2"/>
        <v>48</v>
      </c>
      <c r="G342" s="2" t="str">
        <f t="shared" si="3"/>
        <v>INSERT INTO tblPracticalExamResult VALUES (seqPracticalExamResult.nextval, 336, 82, 48);</v>
      </c>
    </row>
    <row r="343">
      <c r="A343" s="1">
        <v>337.0</v>
      </c>
      <c r="B343" s="1" t="s">
        <v>318</v>
      </c>
      <c r="C343" s="1">
        <v>337.0</v>
      </c>
      <c r="D343" s="2">
        <f t="shared" si="1"/>
        <v>50</v>
      </c>
      <c r="E343" s="1">
        <f t="shared" si="2"/>
        <v>45</v>
      </c>
      <c r="G343" s="2" t="str">
        <f t="shared" si="3"/>
        <v>INSERT INTO tblPracticalExamResult VALUES (seqPracticalExamResult.nextval, 337, 50, 45);</v>
      </c>
    </row>
    <row r="344">
      <c r="A344" s="1">
        <v>338.0</v>
      </c>
      <c r="B344" s="1" t="s">
        <v>318</v>
      </c>
      <c r="C344" s="1">
        <v>338.0</v>
      </c>
      <c r="D344" s="2">
        <f t="shared" si="1"/>
        <v>95</v>
      </c>
      <c r="E344" s="1">
        <f t="shared" si="2"/>
        <v>43</v>
      </c>
      <c r="G344" s="2" t="str">
        <f t="shared" si="3"/>
        <v>INSERT INTO tblPracticalExamResult VALUES (seqPracticalExamResult.nextval, 338, 95, 43);</v>
      </c>
    </row>
    <row r="345">
      <c r="A345" s="1">
        <v>339.0</v>
      </c>
      <c r="B345" s="1" t="s">
        <v>318</v>
      </c>
      <c r="C345" s="1">
        <v>339.0</v>
      </c>
      <c r="D345" s="2">
        <f t="shared" si="1"/>
        <v>33</v>
      </c>
      <c r="E345" s="1">
        <f t="shared" si="2"/>
        <v>50</v>
      </c>
      <c r="G345" s="2" t="str">
        <f t="shared" si="3"/>
        <v>INSERT INTO tblPracticalExamResult VALUES (seqPracticalExamResult.nextval, 339, 33, 50);</v>
      </c>
    </row>
    <row r="346">
      <c r="A346" s="1">
        <v>340.0</v>
      </c>
      <c r="B346" s="1" t="s">
        <v>318</v>
      </c>
      <c r="C346" s="1">
        <v>340.0</v>
      </c>
      <c r="D346" s="2">
        <f t="shared" si="1"/>
        <v>45</v>
      </c>
      <c r="E346" s="1">
        <f t="shared" si="2"/>
        <v>49</v>
      </c>
      <c r="G346" s="2" t="str">
        <f t="shared" si="3"/>
        <v>INSERT INTO tblPracticalExamResult VALUES (seqPracticalExamResult.nextval, 340, 45, 49);</v>
      </c>
    </row>
    <row r="347">
      <c r="A347" s="1">
        <v>341.0</v>
      </c>
      <c r="B347" s="1" t="s">
        <v>318</v>
      </c>
      <c r="C347" s="1">
        <v>341.0</v>
      </c>
      <c r="D347" s="2">
        <f t="shared" si="1"/>
        <v>20</v>
      </c>
      <c r="E347" s="1">
        <f t="shared" si="2"/>
        <v>49</v>
      </c>
      <c r="G347" s="2" t="str">
        <f t="shared" si="3"/>
        <v>INSERT INTO tblPracticalExamResult VALUES (seqPracticalExamResult.nextval, 341, 20, 49);</v>
      </c>
    </row>
    <row r="348">
      <c r="A348" s="1">
        <v>342.0</v>
      </c>
      <c r="B348" s="1" t="s">
        <v>318</v>
      </c>
      <c r="C348" s="1">
        <v>342.0</v>
      </c>
      <c r="D348" s="2">
        <f t="shared" si="1"/>
        <v>58</v>
      </c>
      <c r="E348" s="1">
        <f t="shared" si="2"/>
        <v>63</v>
      </c>
      <c r="G348" s="2" t="str">
        <f t="shared" si="3"/>
        <v>INSERT INTO tblPracticalExamResult VALUES (seqPracticalExamResult.nextval, 342, 58, 63);</v>
      </c>
    </row>
    <row r="349">
      <c r="A349" s="1">
        <v>343.0</v>
      </c>
      <c r="B349" s="1" t="s">
        <v>318</v>
      </c>
      <c r="C349" s="1">
        <v>343.0</v>
      </c>
      <c r="D349" s="2">
        <f t="shared" si="1"/>
        <v>43</v>
      </c>
      <c r="E349" s="1">
        <f t="shared" si="2"/>
        <v>51</v>
      </c>
      <c r="G349" s="2" t="str">
        <f t="shared" si="3"/>
        <v>INSERT INTO tblPracticalExamResult VALUES (seqPracticalExamResult.nextval, 343, 43, 51);</v>
      </c>
    </row>
    <row r="350">
      <c r="A350" s="1">
        <v>344.0</v>
      </c>
      <c r="B350" s="1" t="s">
        <v>318</v>
      </c>
      <c r="C350" s="1">
        <v>344.0</v>
      </c>
      <c r="D350" s="2">
        <f t="shared" si="1"/>
        <v>49</v>
      </c>
      <c r="E350" s="1">
        <f t="shared" si="2"/>
        <v>57</v>
      </c>
      <c r="G350" s="2" t="str">
        <f t="shared" si="3"/>
        <v>INSERT INTO tblPracticalExamResult VALUES (seqPracticalExamResult.nextval, 344, 49, 57);</v>
      </c>
    </row>
    <row r="351">
      <c r="A351" s="1">
        <v>345.0</v>
      </c>
      <c r="B351" s="1" t="s">
        <v>318</v>
      </c>
      <c r="C351" s="1">
        <v>345.0</v>
      </c>
      <c r="D351" s="2">
        <f t="shared" si="1"/>
        <v>61</v>
      </c>
      <c r="E351" s="1">
        <f t="shared" si="2"/>
        <v>53</v>
      </c>
      <c r="G351" s="2" t="str">
        <f t="shared" si="3"/>
        <v>INSERT INTO tblPracticalExamResult VALUES (seqPracticalExamResult.nextval, 345, 61, 53);</v>
      </c>
    </row>
    <row r="352">
      <c r="A352" s="1">
        <v>346.0</v>
      </c>
      <c r="B352" s="1" t="s">
        <v>318</v>
      </c>
      <c r="C352" s="1">
        <v>346.0</v>
      </c>
      <c r="D352" s="2">
        <f t="shared" si="1"/>
        <v>45</v>
      </c>
      <c r="E352" s="1">
        <f t="shared" si="2"/>
        <v>64</v>
      </c>
      <c r="G352" s="2" t="str">
        <f t="shared" si="3"/>
        <v>INSERT INTO tblPracticalExamResult VALUES (seqPracticalExamResult.nextval, 346, 45, 64);</v>
      </c>
    </row>
    <row r="353">
      <c r="A353" s="1">
        <v>347.0</v>
      </c>
      <c r="B353" s="1" t="s">
        <v>318</v>
      </c>
      <c r="C353" s="1">
        <v>347.0</v>
      </c>
      <c r="D353" s="2">
        <f t="shared" si="1"/>
        <v>81</v>
      </c>
      <c r="E353" s="1">
        <f t="shared" si="2"/>
        <v>63</v>
      </c>
      <c r="G353" s="2" t="str">
        <f t="shared" si="3"/>
        <v>INSERT INTO tblPracticalExamResult VALUES (seqPracticalExamResult.nextval, 347, 81, 63);</v>
      </c>
    </row>
    <row r="354">
      <c r="A354" s="1">
        <v>348.0</v>
      </c>
      <c r="B354" s="1" t="s">
        <v>318</v>
      </c>
      <c r="C354" s="1">
        <v>348.0</v>
      </c>
      <c r="D354" s="2">
        <f t="shared" si="1"/>
        <v>70</v>
      </c>
      <c r="E354" s="1">
        <f t="shared" si="2"/>
        <v>61</v>
      </c>
      <c r="G354" s="2" t="str">
        <f t="shared" si="3"/>
        <v>INSERT INTO tblPracticalExamResult VALUES (seqPracticalExamResult.nextval, 348, 70, 61);</v>
      </c>
    </row>
    <row r="355">
      <c r="A355" s="1">
        <v>349.0</v>
      </c>
      <c r="B355" s="1" t="s">
        <v>318</v>
      </c>
      <c r="C355" s="1">
        <v>349.0</v>
      </c>
      <c r="D355" s="2">
        <f t="shared" si="1"/>
        <v>63</v>
      </c>
      <c r="E355" s="1">
        <f t="shared" si="2"/>
        <v>41</v>
      </c>
      <c r="G355" s="2" t="str">
        <f t="shared" si="3"/>
        <v>INSERT INTO tblPracticalExamResult VALUES (seqPracticalExamResult.nextval, 349, 63, 41);</v>
      </c>
    </row>
    <row r="356">
      <c r="A356" s="1">
        <v>350.0</v>
      </c>
      <c r="B356" s="1" t="s">
        <v>318</v>
      </c>
      <c r="C356" s="1">
        <v>350.0</v>
      </c>
      <c r="D356" s="2">
        <f t="shared" si="1"/>
        <v>32</v>
      </c>
      <c r="E356" s="1">
        <f t="shared" si="2"/>
        <v>59</v>
      </c>
      <c r="G356" s="2" t="str">
        <f t="shared" si="3"/>
        <v>INSERT INTO tblPracticalExamResult VALUES (seqPracticalExamResult.nextval, 350, 32, 59);</v>
      </c>
    </row>
    <row r="357">
      <c r="A357" s="1">
        <v>351.0</v>
      </c>
      <c r="B357" s="1" t="s">
        <v>318</v>
      </c>
      <c r="C357" s="1">
        <v>351.0</v>
      </c>
      <c r="D357" s="2">
        <f t="shared" si="1"/>
        <v>36</v>
      </c>
      <c r="E357" s="1">
        <f t="shared" si="2"/>
        <v>37</v>
      </c>
      <c r="G357" s="2" t="str">
        <f t="shared" si="3"/>
        <v>INSERT INTO tblPracticalExamResult VALUES (seqPracticalExamResult.nextval, 351, 36, 37);</v>
      </c>
    </row>
    <row r="358">
      <c r="A358" s="1">
        <v>352.0</v>
      </c>
      <c r="B358" s="1" t="s">
        <v>318</v>
      </c>
      <c r="C358" s="1">
        <v>352.0</v>
      </c>
      <c r="D358" s="2">
        <f t="shared" si="1"/>
        <v>15</v>
      </c>
      <c r="E358" s="1">
        <f t="shared" si="2"/>
        <v>44</v>
      </c>
      <c r="G358" s="2" t="str">
        <f t="shared" si="3"/>
        <v>INSERT INTO tblPracticalExamResult VALUES (seqPracticalExamResult.nextval, 352, 15, 44);</v>
      </c>
    </row>
    <row r="359">
      <c r="A359" s="1">
        <v>353.0</v>
      </c>
      <c r="B359" s="1" t="s">
        <v>318</v>
      </c>
      <c r="C359" s="1">
        <v>353.0</v>
      </c>
      <c r="D359" s="2">
        <f t="shared" si="1"/>
        <v>93</v>
      </c>
      <c r="E359" s="1">
        <f t="shared" si="2"/>
        <v>51</v>
      </c>
      <c r="G359" s="2" t="str">
        <f t="shared" si="3"/>
        <v>INSERT INTO tblPracticalExamResult VALUES (seqPracticalExamResult.nextval, 353, 93, 51);</v>
      </c>
    </row>
    <row r="360">
      <c r="A360" s="1">
        <v>354.0</v>
      </c>
      <c r="B360" s="1" t="s">
        <v>318</v>
      </c>
      <c r="C360" s="1">
        <v>354.0</v>
      </c>
      <c r="D360" s="2">
        <f t="shared" si="1"/>
        <v>93</v>
      </c>
      <c r="E360" s="1">
        <f t="shared" si="2"/>
        <v>42</v>
      </c>
      <c r="G360" s="2" t="str">
        <f t="shared" si="3"/>
        <v>INSERT INTO tblPracticalExamResult VALUES (seqPracticalExamResult.nextval, 354, 93, 42);</v>
      </c>
    </row>
    <row r="361">
      <c r="A361" s="1">
        <v>355.0</v>
      </c>
      <c r="B361" s="1" t="s">
        <v>318</v>
      </c>
      <c r="C361" s="1">
        <v>355.0</v>
      </c>
      <c r="D361" s="2">
        <f t="shared" si="1"/>
        <v>48</v>
      </c>
      <c r="E361" s="1">
        <f t="shared" si="2"/>
        <v>41</v>
      </c>
      <c r="G361" s="2" t="str">
        <f t="shared" si="3"/>
        <v>INSERT INTO tblPracticalExamResult VALUES (seqPracticalExamResult.nextval, 355, 48, 41);</v>
      </c>
    </row>
    <row r="362">
      <c r="A362" s="1">
        <v>356.0</v>
      </c>
      <c r="B362" s="1" t="s">
        <v>318</v>
      </c>
      <c r="C362" s="1">
        <v>356.0</v>
      </c>
      <c r="D362" s="2">
        <f t="shared" si="1"/>
        <v>75</v>
      </c>
      <c r="E362" s="1">
        <f t="shared" si="2"/>
        <v>45</v>
      </c>
      <c r="G362" s="2" t="str">
        <f t="shared" si="3"/>
        <v>INSERT INTO tblPracticalExamResult VALUES (seqPracticalExamResult.nextval, 356, 75, 45);</v>
      </c>
    </row>
    <row r="363">
      <c r="A363" s="1">
        <v>357.0</v>
      </c>
      <c r="B363" s="1" t="s">
        <v>318</v>
      </c>
      <c r="C363" s="1">
        <v>357.0</v>
      </c>
      <c r="D363" s="2">
        <f t="shared" si="1"/>
        <v>54</v>
      </c>
      <c r="E363" s="1">
        <f t="shared" si="2"/>
        <v>60</v>
      </c>
      <c r="G363" s="2" t="str">
        <f t="shared" si="3"/>
        <v>INSERT INTO tblPracticalExamResult VALUES (seqPracticalExamResult.nextval, 357, 54, 60);</v>
      </c>
    </row>
    <row r="364">
      <c r="A364" s="1">
        <v>358.0</v>
      </c>
      <c r="B364" s="1" t="s">
        <v>318</v>
      </c>
      <c r="C364" s="1">
        <v>358.0</v>
      </c>
      <c r="D364" s="2">
        <f t="shared" si="1"/>
        <v>91</v>
      </c>
      <c r="E364" s="1">
        <f t="shared" si="2"/>
        <v>54</v>
      </c>
      <c r="G364" s="2" t="str">
        <f t="shared" si="3"/>
        <v>INSERT INTO tblPracticalExamResult VALUES (seqPracticalExamResult.nextval, 358, 91, 54);</v>
      </c>
    </row>
    <row r="365">
      <c r="A365" s="1">
        <v>359.0</v>
      </c>
      <c r="B365" s="1" t="s">
        <v>318</v>
      </c>
      <c r="C365" s="1">
        <v>359.0</v>
      </c>
      <c r="D365" s="2">
        <f t="shared" si="1"/>
        <v>47</v>
      </c>
      <c r="E365" s="1">
        <f t="shared" si="2"/>
        <v>35</v>
      </c>
      <c r="G365" s="2" t="str">
        <f t="shared" si="3"/>
        <v>INSERT INTO tblPracticalExamResult VALUES (seqPracticalExamResult.nextval, 359, 47, 35);</v>
      </c>
    </row>
    <row r="366">
      <c r="A366" s="1">
        <v>360.0</v>
      </c>
      <c r="B366" s="1" t="s">
        <v>318</v>
      </c>
      <c r="C366" s="1">
        <v>360.0</v>
      </c>
      <c r="D366" s="2">
        <f t="shared" si="1"/>
        <v>83</v>
      </c>
      <c r="E366" s="1">
        <f t="shared" si="2"/>
        <v>48</v>
      </c>
      <c r="G366" s="2" t="str">
        <f t="shared" si="3"/>
        <v>INSERT INTO tblPracticalExamResult VALUES (seqPracticalExamResult.nextval, 360, 83, 48);</v>
      </c>
    </row>
    <row r="367">
      <c r="A367" s="1">
        <v>361.0</v>
      </c>
      <c r="B367" s="1" t="s">
        <v>318</v>
      </c>
      <c r="C367" s="1">
        <v>361.0</v>
      </c>
      <c r="D367" s="2">
        <f t="shared" si="1"/>
        <v>31</v>
      </c>
      <c r="E367" s="1">
        <f t="shared" si="2"/>
        <v>62</v>
      </c>
      <c r="G367" s="2" t="str">
        <f t="shared" si="3"/>
        <v>INSERT INTO tblPracticalExamResult VALUES (seqPracticalExamResult.nextval, 361, 31, 62);</v>
      </c>
    </row>
    <row r="368">
      <c r="A368" s="1">
        <v>362.0</v>
      </c>
      <c r="B368" s="1" t="s">
        <v>318</v>
      </c>
      <c r="C368" s="1">
        <v>362.0</v>
      </c>
      <c r="D368" s="2">
        <f t="shared" si="1"/>
        <v>74</v>
      </c>
      <c r="E368" s="1">
        <f t="shared" si="2"/>
        <v>42</v>
      </c>
      <c r="G368" s="2" t="str">
        <f t="shared" si="3"/>
        <v>INSERT INTO tblPracticalExamResult VALUES (seqPracticalExamResult.nextval, 362, 74, 42);</v>
      </c>
    </row>
    <row r="369">
      <c r="A369" s="1">
        <v>363.0</v>
      </c>
      <c r="B369" s="1" t="s">
        <v>318</v>
      </c>
      <c r="C369" s="1">
        <v>363.0</v>
      </c>
      <c r="D369" s="2">
        <f t="shared" si="1"/>
        <v>83</v>
      </c>
      <c r="E369" s="1">
        <f t="shared" si="2"/>
        <v>34</v>
      </c>
      <c r="G369" s="2" t="str">
        <f t="shared" si="3"/>
        <v>INSERT INTO tblPracticalExamResult VALUES (seqPracticalExamResult.nextval, 363, 83, 34);</v>
      </c>
    </row>
    <row r="370">
      <c r="A370" s="1">
        <v>364.0</v>
      </c>
      <c r="B370" s="1" t="s">
        <v>318</v>
      </c>
      <c r="C370" s="1">
        <v>364.0</v>
      </c>
      <c r="D370" s="2">
        <f t="shared" si="1"/>
        <v>46</v>
      </c>
      <c r="E370" s="1">
        <f t="shared" si="2"/>
        <v>38</v>
      </c>
      <c r="G370" s="2" t="str">
        <f t="shared" si="3"/>
        <v>INSERT INTO tblPracticalExamResult VALUES (seqPracticalExamResult.nextval, 364, 46, 38);</v>
      </c>
    </row>
    <row r="371">
      <c r="A371" s="1">
        <v>365.0</v>
      </c>
      <c r="B371" s="1" t="s">
        <v>318</v>
      </c>
      <c r="C371" s="1">
        <v>365.0</v>
      </c>
      <c r="D371" s="2">
        <f t="shared" si="1"/>
        <v>19</v>
      </c>
      <c r="E371" s="1">
        <f t="shared" si="2"/>
        <v>62</v>
      </c>
      <c r="G371" s="2" t="str">
        <f t="shared" si="3"/>
        <v>INSERT INTO tblPracticalExamResult VALUES (seqPracticalExamResult.nextval, 365, 19, 62);</v>
      </c>
    </row>
    <row r="372">
      <c r="A372" s="1">
        <v>366.0</v>
      </c>
      <c r="B372" s="1" t="s">
        <v>318</v>
      </c>
      <c r="C372" s="1">
        <v>366.0</v>
      </c>
      <c r="D372" s="2">
        <f t="shared" si="1"/>
        <v>52</v>
      </c>
      <c r="E372" s="1">
        <f t="shared" si="2"/>
        <v>52</v>
      </c>
      <c r="G372" s="2" t="str">
        <f t="shared" si="3"/>
        <v>INSERT INTO tblPracticalExamResult VALUES (seqPracticalExamResult.nextval, 366, 52, 52);</v>
      </c>
    </row>
    <row r="373">
      <c r="A373" s="1">
        <v>367.0</v>
      </c>
      <c r="B373" s="1" t="s">
        <v>318</v>
      </c>
      <c r="C373" s="1">
        <v>367.0</v>
      </c>
      <c r="D373" s="2">
        <f t="shared" si="1"/>
        <v>90</v>
      </c>
      <c r="E373" s="1">
        <f t="shared" si="2"/>
        <v>43</v>
      </c>
      <c r="G373" s="2" t="str">
        <f t="shared" si="3"/>
        <v>INSERT INTO tblPracticalExamResult VALUES (seqPracticalExamResult.nextval, 367, 90, 43);</v>
      </c>
    </row>
    <row r="374">
      <c r="A374" s="1">
        <v>368.0</v>
      </c>
      <c r="B374" s="1" t="s">
        <v>318</v>
      </c>
      <c r="C374" s="1">
        <v>368.0</v>
      </c>
      <c r="D374" s="2">
        <f t="shared" si="1"/>
        <v>99</v>
      </c>
      <c r="E374" s="1">
        <f t="shared" si="2"/>
        <v>45</v>
      </c>
      <c r="G374" s="2" t="str">
        <f t="shared" si="3"/>
        <v>INSERT INTO tblPracticalExamResult VALUES (seqPracticalExamResult.nextval, 368, 99, 45);</v>
      </c>
    </row>
    <row r="375">
      <c r="A375" s="1">
        <v>369.0</v>
      </c>
      <c r="B375" s="1" t="s">
        <v>318</v>
      </c>
      <c r="C375" s="1">
        <v>369.0</v>
      </c>
      <c r="D375" s="2">
        <f t="shared" si="1"/>
        <v>77</v>
      </c>
      <c r="E375" s="1">
        <f t="shared" si="2"/>
        <v>46</v>
      </c>
      <c r="G375" s="2" t="str">
        <f t="shared" si="3"/>
        <v>INSERT INTO tblPracticalExamResult VALUES (seqPracticalExamResult.nextval, 369, 77, 46);</v>
      </c>
    </row>
    <row r="376">
      <c r="A376" s="1">
        <v>370.0</v>
      </c>
      <c r="B376" s="1" t="s">
        <v>318</v>
      </c>
      <c r="C376" s="1">
        <v>370.0</v>
      </c>
      <c r="D376" s="2">
        <f t="shared" si="1"/>
        <v>58</v>
      </c>
      <c r="E376" s="1">
        <f t="shared" si="2"/>
        <v>39</v>
      </c>
      <c r="G376" s="2" t="str">
        <f t="shared" si="3"/>
        <v>INSERT INTO tblPracticalExamResult VALUES (seqPracticalExamResult.nextval, 370, 58, 39);</v>
      </c>
    </row>
    <row r="377">
      <c r="A377" s="1">
        <v>371.0</v>
      </c>
      <c r="B377" s="1" t="s">
        <v>318</v>
      </c>
      <c r="C377" s="1">
        <v>371.0</v>
      </c>
      <c r="D377" s="2">
        <f t="shared" si="1"/>
        <v>68</v>
      </c>
      <c r="E377" s="1">
        <f t="shared" si="2"/>
        <v>48</v>
      </c>
      <c r="G377" s="2" t="str">
        <f t="shared" si="3"/>
        <v>INSERT INTO tblPracticalExamResult VALUES (seqPracticalExamResult.nextval, 371, 68, 48);</v>
      </c>
    </row>
    <row r="378">
      <c r="A378" s="1">
        <v>372.0</v>
      </c>
      <c r="B378" s="1" t="s">
        <v>318</v>
      </c>
      <c r="C378" s="1">
        <v>372.0</v>
      </c>
      <c r="D378" s="2">
        <f t="shared" si="1"/>
        <v>29</v>
      </c>
      <c r="E378" s="1">
        <f t="shared" si="2"/>
        <v>61</v>
      </c>
      <c r="G378" s="2" t="str">
        <f t="shared" si="3"/>
        <v>INSERT INTO tblPracticalExamResult VALUES (seqPracticalExamResult.nextval, 372, 29, 61);</v>
      </c>
    </row>
    <row r="379">
      <c r="A379" s="1">
        <v>373.0</v>
      </c>
      <c r="B379" s="1" t="s">
        <v>318</v>
      </c>
      <c r="C379" s="1">
        <v>373.0</v>
      </c>
      <c r="D379" s="2">
        <f t="shared" si="1"/>
        <v>31</v>
      </c>
      <c r="E379" s="1">
        <f t="shared" si="2"/>
        <v>50</v>
      </c>
      <c r="G379" s="2" t="str">
        <f t="shared" si="3"/>
        <v>INSERT INTO tblPracticalExamResult VALUES (seqPracticalExamResult.nextval, 373, 31, 50);</v>
      </c>
    </row>
    <row r="380">
      <c r="A380" s="1">
        <v>374.0</v>
      </c>
      <c r="B380" s="1" t="s">
        <v>318</v>
      </c>
      <c r="C380" s="1">
        <v>374.0</v>
      </c>
      <c r="D380" s="2">
        <f t="shared" si="1"/>
        <v>13</v>
      </c>
      <c r="E380" s="1">
        <f t="shared" si="2"/>
        <v>55</v>
      </c>
      <c r="G380" s="2" t="str">
        <f t="shared" si="3"/>
        <v>INSERT INTO tblPracticalExamResult VALUES (seqPracticalExamResult.nextval, 374, 13, 55);</v>
      </c>
    </row>
    <row r="381">
      <c r="A381" s="1">
        <v>375.0</v>
      </c>
      <c r="B381" s="1" t="s">
        <v>318</v>
      </c>
      <c r="C381" s="1">
        <v>375.0</v>
      </c>
      <c r="D381" s="2">
        <f t="shared" si="1"/>
        <v>58</v>
      </c>
      <c r="E381" s="1">
        <f t="shared" si="2"/>
        <v>54</v>
      </c>
      <c r="G381" s="2" t="str">
        <f t="shared" si="3"/>
        <v>INSERT INTO tblPracticalExamResult VALUES (seqPracticalExamResult.nextval, 375, 58, 54);</v>
      </c>
    </row>
    <row r="382">
      <c r="A382" s="1">
        <v>376.0</v>
      </c>
      <c r="B382" s="1" t="s">
        <v>318</v>
      </c>
      <c r="C382" s="1">
        <v>376.0</v>
      </c>
      <c r="D382" s="2">
        <f t="shared" si="1"/>
        <v>65</v>
      </c>
      <c r="E382" s="1">
        <f t="shared" si="2"/>
        <v>60</v>
      </c>
      <c r="G382" s="2" t="str">
        <f t="shared" si="3"/>
        <v>INSERT INTO tblPracticalExamResult VALUES (seqPracticalExamResult.nextval, 376, 65, 60);</v>
      </c>
    </row>
    <row r="383">
      <c r="A383" s="1">
        <v>377.0</v>
      </c>
      <c r="B383" s="1" t="s">
        <v>318</v>
      </c>
      <c r="C383" s="1">
        <v>377.0</v>
      </c>
      <c r="D383" s="2">
        <f t="shared" si="1"/>
        <v>52</v>
      </c>
      <c r="E383" s="1">
        <f t="shared" si="2"/>
        <v>34</v>
      </c>
      <c r="G383" s="2" t="str">
        <f t="shared" si="3"/>
        <v>INSERT INTO tblPracticalExamResult VALUES (seqPracticalExamResult.nextval, 377, 52, 34);</v>
      </c>
    </row>
    <row r="384">
      <c r="A384" s="1">
        <v>378.0</v>
      </c>
      <c r="B384" s="1" t="s">
        <v>318</v>
      </c>
      <c r="C384" s="1">
        <v>378.0</v>
      </c>
      <c r="D384" s="2">
        <f t="shared" si="1"/>
        <v>49</v>
      </c>
      <c r="E384" s="1">
        <f t="shared" si="2"/>
        <v>56</v>
      </c>
      <c r="G384" s="2" t="str">
        <f t="shared" si="3"/>
        <v>INSERT INTO tblPracticalExamResult VALUES (seqPracticalExamResult.nextval, 378, 49, 56);</v>
      </c>
    </row>
    <row r="385">
      <c r="A385" s="1">
        <v>379.0</v>
      </c>
      <c r="B385" s="1" t="s">
        <v>318</v>
      </c>
      <c r="C385" s="1">
        <v>379.0</v>
      </c>
      <c r="D385" s="2">
        <f t="shared" si="1"/>
        <v>36</v>
      </c>
      <c r="E385" s="1">
        <f t="shared" si="2"/>
        <v>37</v>
      </c>
      <c r="G385" s="2" t="str">
        <f t="shared" si="3"/>
        <v>INSERT INTO tblPracticalExamResult VALUES (seqPracticalExamResult.nextval, 379, 36, 37);</v>
      </c>
    </row>
    <row r="386">
      <c r="A386" s="1">
        <v>380.0</v>
      </c>
      <c r="B386" s="1" t="s">
        <v>318</v>
      </c>
      <c r="C386" s="1">
        <v>380.0</v>
      </c>
      <c r="D386" s="2">
        <f t="shared" si="1"/>
        <v>73</v>
      </c>
      <c r="E386" s="1">
        <f t="shared" si="2"/>
        <v>55</v>
      </c>
      <c r="G386" s="2" t="str">
        <f t="shared" si="3"/>
        <v>INSERT INTO tblPracticalExamResult VALUES (seqPracticalExamResult.nextval, 380, 73, 55);</v>
      </c>
    </row>
    <row r="387">
      <c r="A387" s="1">
        <v>381.0</v>
      </c>
      <c r="B387" s="1" t="s">
        <v>318</v>
      </c>
      <c r="C387" s="1">
        <v>381.0</v>
      </c>
      <c r="D387" s="2">
        <f t="shared" si="1"/>
        <v>80</v>
      </c>
      <c r="E387" s="1">
        <f t="shared" si="2"/>
        <v>38</v>
      </c>
      <c r="G387" s="2" t="str">
        <f t="shared" si="3"/>
        <v>INSERT INTO tblPracticalExamResult VALUES (seqPracticalExamResult.nextval, 381, 80, 38);</v>
      </c>
    </row>
    <row r="388">
      <c r="A388" s="1">
        <v>382.0</v>
      </c>
      <c r="B388" s="1" t="s">
        <v>318</v>
      </c>
      <c r="C388" s="1">
        <v>382.0</v>
      </c>
      <c r="D388" s="2">
        <f t="shared" si="1"/>
        <v>67</v>
      </c>
      <c r="E388" s="1">
        <f t="shared" si="2"/>
        <v>39</v>
      </c>
      <c r="G388" s="2" t="str">
        <f t="shared" si="3"/>
        <v>INSERT INTO tblPracticalExamResult VALUES (seqPracticalExamResult.nextval, 382, 67, 39);</v>
      </c>
    </row>
    <row r="389">
      <c r="A389" s="1">
        <v>383.0</v>
      </c>
      <c r="B389" s="1" t="s">
        <v>318</v>
      </c>
      <c r="C389" s="1">
        <v>383.0</v>
      </c>
      <c r="D389" s="2">
        <f t="shared" si="1"/>
        <v>89</v>
      </c>
      <c r="E389" s="1">
        <f t="shared" si="2"/>
        <v>41</v>
      </c>
      <c r="G389" s="2" t="str">
        <f t="shared" si="3"/>
        <v>INSERT INTO tblPracticalExamResult VALUES (seqPracticalExamResult.nextval, 383, 89, 41);</v>
      </c>
    </row>
    <row r="390">
      <c r="A390" s="1">
        <v>384.0</v>
      </c>
      <c r="B390" s="1" t="s">
        <v>318</v>
      </c>
      <c r="C390" s="1">
        <v>384.0</v>
      </c>
      <c r="D390" s="2">
        <f t="shared" si="1"/>
        <v>52</v>
      </c>
      <c r="E390" s="1">
        <f t="shared" si="2"/>
        <v>41</v>
      </c>
      <c r="G390" s="2" t="str">
        <f t="shared" si="3"/>
        <v>INSERT INTO tblPracticalExamResult VALUES (seqPracticalExamResult.nextval, 384, 52, 41);</v>
      </c>
    </row>
    <row r="391">
      <c r="A391" s="1">
        <v>385.0</v>
      </c>
      <c r="B391" s="1" t="s">
        <v>318</v>
      </c>
      <c r="C391" s="1">
        <v>385.0</v>
      </c>
      <c r="D391" s="2">
        <f t="shared" si="1"/>
        <v>10</v>
      </c>
      <c r="E391" s="1">
        <f t="shared" si="2"/>
        <v>40</v>
      </c>
      <c r="G391" s="2" t="str">
        <f t="shared" si="3"/>
        <v>INSERT INTO tblPracticalExamResult VALUES (seqPracticalExamResult.nextval, 385, 10, 40);</v>
      </c>
    </row>
    <row r="392">
      <c r="A392" s="1">
        <v>386.0</v>
      </c>
      <c r="B392" s="1" t="s">
        <v>318</v>
      </c>
      <c r="C392" s="1">
        <v>386.0</v>
      </c>
      <c r="D392" s="2">
        <f t="shared" si="1"/>
        <v>12</v>
      </c>
      <c r="E392" s="1">
        <f t="shared" si="2"/>
        <v>46</v>
      </c>
      <c r="G392" s="2" t="str">
        <f t="shared" si="3"/>
        <v>INSERT INTO tblPracticalExamResult VALUES (seqPracticalExamResult.nextval, 386, 12, 46);</v>
      </c>
    </row>
    <row r="393">
      <c r="A393" s="1">
        <v>387.0</v>
      </c>
      <c r="B393" s="1" t="s">
        <v>318</v>
      </c>
      <c r="C393" s="1">
        <v>387.0</v>
      </c>
      <c r="D393" s="2">
        <f t="shared" si="1"/>
        <v>18</v>
      </c>
      <c r="E393" s="1">
        <f t="shared" si="2"/>
        <v>49</v>
      </c>
      <c r="G393" s="2" t="str">
        <f t="shared" si="3"/>
        <v>INSERT INTO tblPracticalExamResult VALUES (seqPracticalExamResult.nextval, 387, 18, 49);</v>
      </c>
    </row>
    <row r="394">
      <c r="A394" s="1">
        <v>388.0</v>
      </c>
      <c r="B394" s="1" t="s">
        <v>318</v>
      </c>
      <c r="C394" s="1">
        <v>388.0</v>
      </c>
      <c r="D394" s="2">
        <f t="shared" si="1"/>
        <v>88</v>
      </c>
      <c r="E394" s="1">
        <f t="shared" si="2"/>
        <v>50</v>
      </c>
      <c r="G394" s="2" t="str">
        <f t="shared" si="3"/>
        <v>INSERT INTO tblPracticalExamResult VALUES (seqPracticalExamResult.nextval, 388, 88, 50);</v>
      </c>
    </row>
    <row r="395">
      <c r="A395" s="1">
        <v>389.0</v>
      </c>
      <c r="B395" s="1" t="s">
        <v>318</v>
      </c>
      <c r="C395" s="1">
        <v>389.0</v>
      </c>
      <c r="D395" s="2">
        <f t="shared" si="1"/>
        <v>48</v>
      </c>
      <c r="E395" s="1">
        <f t="shared" si="2"/>
        <v>54</v>
      </c>
      <c r="G395" s="2" t="str">
        <f t="shared" si="3"/>
        <v>INSERT INTO tblPracticalExamResult VALUES (seqPracticalExamResult.nextval, 389, 48, 54);</v>
      </c>
    </row>
    <row r="396">
      <c r="A396" s="1">
        <v>390.0</v>
      </c>
      <c r="B396" s="1" t="s">
        <v>318</v>
      </c>
      <c r="C396" s="1">
        <v>390.0</v>
      </c>
      <c r="D396" s="2">
        <f t="shared" si="1"/>
        <v>33</v>
      </c>
      <c r="E396" s="1">
        <f t="shared" si="2"/>
        <v>46</v>
      </c>
      <c r="G396" s="2" t="str">
        <f t="shared" si="3"/>
        <v>INSERT INTO tblPracticalExamResult VALUES (seqPracticalExamResult.nextval, 390, 33, 46);</v>
      </c>
    </row>
    <row r="397">
      <c r="A397" s="1">
        <v>391.0</v>
      </c>
      <c r="B397" s="1" t="s">
        <v>318</v>
      </c>
      <c r="C397" s="1">
        <v>391.0</v>
      </c>
      <c r="D397" s="2">
        <f t="shared" si="1"/>
        <v>39</v>
      </c>
      <c r="E397" s="1">
        <f t="shared" si="2"/>
        <v>49</v>
      </c>
      <c r="G397" s="2" t="str">
        <f t="shared" si="3"/>
        <v>INSERT INTO tblPracticalExamResult VALUES (seqPracticalExamResult.nextval, 391, 39, 49);</v>
      </c>
    </row>
    <row r="398">
      <c r="A398" s="1">
        <v>392.0</v>
      </c>
      <c r="B398" s="1" t="s">
        <v>318</v>
      </c>
      <c r="C398" s="1">
        <v>392.0</v>
      </c>
      <c r="D398" s="2">
        <f t="shared" si="1"/>
        <v>17</v>
      </c>
      <c r="E398" s="1">
        <f t="shared" si="2"/>
        <v>56</v>
      </c>
      <c r="G398" s="2" t="str">
        <f t="shared" si="3"/>
        <v>INSERT INTO tblPracticalExamResult VALUES (seqPracticalExamResult.nextval, 392, 17, 56);</v>
      </c>
    </row>
    <row r="399">
      <c r="A399" s="1">
        <v>393.0</v>
      </c>
      <c r="B399" s="1" t="s">
        <v>318</v>
      </c>
      <c r="C399" s="1">
        <v>393.0</v>
      </c>
      <c r="D399" s="2">
        <f t="shared" si="1"/>
        <v>21</v>
      </c>
      <c r="E399" s="1">
        <f t="shared" si="2"/>
        <v>49</v>
      </c>
      <c r="G399" s="2" t="str">
        <f t="shared" si="3"/>
        <v>INSERT INTO tblPracticalExamResult VALUES (seqPracticalExamResult.nextval, 393, 21, 49);</v>
      </c>
    </row>
    <row r="400">
      <c r="A400" s="1">
        <v>394.0</v>
      </c>
      <c r="B400" s="1" t="s">
        <v>318</v>
      </c>
      <c r="C400" s="1">
        <v>394.0</v>
      </c>
      <c r="D400" s="2">
        <f t="shared" si="1"/>
        <v>44</v>
      </c>
      <c r="E400" s="1">
        <f t="shared" si="2"/>
        <v>58</v>
      </c>
      <c r="G400" s="2" t="str">
        <f t="shared" si="3"/>
        <v>INSERT INTO tblPracticalExamResult VALUES (seqPracticalExamResult.nextval, 394, 44, 58);</v>
      </c>
    </row>
    <row r="401">
      <c r="A401" s="1">
        <v>395.0</v>
      </c>
      <c r="B401" s="1" t="s">
        <v>318</v>
      </c>
      <c r="C401" s="1">
        <v>395.0</v>
      </c>
      <c r="D401" s="2">
        <f t="shared" si="1"/>
        <v>29</v>
      </c>
      <c r="E401" s="1">
        <f t="shared" si="2"/>
        <v>46</v>
      </c>
      <c r="G401" s="2" t="str">
        <f t="shared" si="3"/>
        <v>INSERT INTO tblPracticalExamResult VALUES (seqPracticalExamResult.nextval, 395, 29, 46);</v>
      </c>
    </row>
    <row r="402">
      <c r="A402" s="1">
        <v>396.0</v>
      </c>
      <c r="B402" s="1" t="s">
        <v>318</v>
      </c>
      <c r="C402" s="1">
        <v>396.0</v>
      </c>
      <c r="D402" s="2">
        <f t="shared" si="1"/>
        <v>50</v>
      </c>
      <c r="E402" s="1">
        <f t="shared" si="2"/>
        <v>60</v>
      </c>
      <c r="G402" s="2" t="str">
        <f t="shared" si="3"/>
        <v>INSERT INTO tblPracticalExamResult VALUES (seqPracticalExamResult.nextval, 396, 50, 60);</v>
      </c>
    </row>
    <row r="403">
      <c r="A403" s="1">
        <v>397.0</v>
      </c>
      <c r="B403" s="1" t="s">
        <v>318</v>
      </c>
      <c r="C403" s="1">
        <v>397.0</v>
      </c>
      <c r="D403" s="2">
        <f t="shared" si="1"/>
        <v>37</v>
      </c>
      <c r="E403" s="1">
        <f t="shared" si="2"/>
        <v>51</v>
      </c>
      <c r="G403" s="2" t="str">
        <f t="shared" si="3"/>
        <v>INSERT INTO tblPracticalExamResult VALUES (seqPracticalExamResult.nextval, 397, 37, 51);</v>
      </c>
    </row>
    <row r="404">
      <c r="A404" s="1">
        <v>398.0</v>
      </c>
      <c r="B404" s="1" t="s">
        <v>318</v>
      </c>
      <c r="C404" s="1">
        <v>398.0</v>
      </c>
      <c r="D404" s="2">
        <f t="shared" si="1"/>
        <v>22</v>
      </c>
      <c r="E404" s="1">
        <f t="shared" si="2"/>
        <v>59</v>
      </c>
      <c r="G404" s="2" t="str">
        <f t="shared" si="3"/>
        <v>INSERT INTO tblPracticalExamResult VALUES (seqPracticalExamResult.nextval, 398, 22, 59);</v>
      </c>
    </row>
    <row r="405">
      <c r="A405" s="1">
        <v>399.0</v>
      </c>
      <c r="B405" s="1" t="s">
        <v>318</v>
      </c>
      <c r="C405" s="1">
        <v>399.0</v>
      </c>
      <c r="D405" s="2">
        <f t="shared" si="1"/>
        <v>66</v>
      </c>
      <c r="E405" s="1">
        <f t="shared" si="2"/>
        <v>66</v>
      </c>
      <c r="G405" s="2" t="str">
        <f t="shared" si="3"/>
        <v>INSERT INTO tblPracticalExamResult VALUES (seqPracticalExamResult.nextval, 399, 66, 66);</v>
      </c>
    </row>
    <row r="406">
      <c r="A406" s="1">
        <v>400.0</v>
      </c>
      <c r="B406" s="1" t="s">
        <v>318</v>
      </c>
      <c r="C406" s="1">
        <v>400.0</v>
      </c>
      <c r="D406" s="2">
        <f t="shared" si="1"/>
        <v>78</v>
      </c>
      <c r="E406" s="1">
        <f t="shared" si="2"/>
        <v>52</v>
      </c>
      <c r="G406" s="2" t="str">
        <f t="shared" si="3"/>
        <v>INSERT INTO tblPracticalExamResult VALUES (seqPracticalExamResult.nextval, 400, 78, 52);</v>
      </c>
    </row>
    <row r="407">
      <c r="A407" s="1">
        <v>401.0</v>
      </c>
      <c r="B407" s="1" t="s">
        <v>318</v>
      </c>
      <c r="C407" s="1">
        <v>401.0</v>
      </c>
      <c r="D407" s="2">
        <f t="shared" si="1"/>
        <v>49</v>
      </c>
      <c r="E407" s="1">
        <f t="shared" si="2"/>
        <v>36</v>
      </c>
      <c r="G407" s="2" t="str">
        <f t="shared" si="3"/>
        <v>INSERT INTO tblPracticalExamResult VALUES (seqPracticalExamResult.nextval, 401, 49, 36);</v>
      </c>
    </row>
    <row r="408">
      <c r="A408" s="1">
        <v>402.0</v>
      </c>
      <c r="B408" s="1" t="s">
        <v>318</v>
      </c>
      <c r="C408" s="1">
        <v>402.0</v>
      </c>
      <c r="D408" s="2">
        <f t="shared" si="1"/>
        <v>75</v>
      </c>
      <c r="E408" s="1">
        <f t="shared" si="2"/>
        <v>58</v>
      </c>
      <c r="G408" s="2" t="str">
        <f t="shared" si="3"/>
        <v>INSERT INTO tblPracticalExamResult VALUES (seqPracticalExamResult.nextval, 402, 75, 58);</v>
      </c>
    </row>
    <row r="409">
      <c r="A409" s="1">
        <v>403.0</v>
      </c>
      <c r="B409" s="1" t="s">
        <v>318</v>
      </c>
      <c r="C409" s="1">
        <v>403.0</v>
      </c>
      <c r="D409" s="2">
        <f t="shared" si="1"/>
        <v>45</v>
      </c>
      <c r="E409" s="1">
        <f t="shared" si="2"/>
        <v>39</v>
      </c>
      <c r="G409" s="2" t="str">
        <f t="shared" si="3"/>
        <v>INSERT INTO tblPracticalExamResult VALUES (seqPracticalExamResult.nextval, 403, 45, 39);</v>
      </c>
    </row>
    <row r="410">
      <c r="A410" s="1">
        <v>404.0</v>
      </c>
      <c r="B410" s="1" t="s">
        <v>318</v>
      </c>
      <c r="C410" s="1">
        <v>404.0</v>
      </c>
      <c r="D410" s="2">
        <f t="shared" si="1"/>
        <v>91</v>
      </c>
      <c r="E410" s="1">
        <f t="shared" si="2"/>
        <v>36</v>
      </c>
      <c r="G410" s="2" t="str">
        <f t="shared" si="3"/>
        <v>INSERT INTO tblPracticalExamResult VALUES (seqPracticalExamResult.nextval, 404, 91, 36);</v>
      </c>
    </row>
    <row r="411">
      <c r="A411" s="1">
        <v>405.0</v>
      </c>
      <c r="B411" s="1" t="s">
        <v>318</v>
      </c>
      <c r="C411" s="1">
        <v>405.0</v>
      </c>
      <c r="D411" s="2">
        <f t="shared" si="1"/>
        <v>69</v>
      </c>
      <c r="E411" s="1">
        <f t="shared" si="2"/>
        <v>34</v>
      </c>
      <c r="G411" s="2" t="str">
        <f t="shared" si="3"/>
        <v>INSERT INTO tblPracticalExamResult VALUES (seqPracticalExamResult.nextval, 405, 69, 34);</v>
      </c>
    </row>
    <row r="412">
      <c r="A412" s="1">
        <v>406.0</v>
      </c>
      <c r="B412" s="1" t="s">
        <v>318</v>
      </c>
      <c r="C412" s="1">
        <v>406.0</v>
      </c>
      <c r="D412" s="2">
        <f t="shared" si="1"/>
        <v>73</v>
      </c>
      <c r="E412" s="1">
        <f t="shared" si="2"/>
        <v>45</v>
      </c>
      <c r="G412" s="2" t="str">
        <f t="shared" si="3"/>
        <v>INSERT INTO tblPracticalExamResult VALUES (seqPracticalExamResult.nextval, 406, 73, 45);</v>
      </c>
    </row>
    <row r="413">
      <c r="A413" s="1">
        <v>407.0</v>
      </c>
      <c r="B413" s="1" t="s">
        <v>318</v>
      </c>
      <c r="C413" s="1">
        <v>407.0</v>
      </c>
      <c r="D413" s="2">
        <f t="shared" si="1"/>
        <v>46</v>
      </c>
      <c r="E413" s="1">
        <f t="shared" si="2"/>
        <v>36</v>
      </c>
      <c r="G413" s="2" t="str">
        <f t="shared" si="3"/>
        <v>INSERT INTO tblPracticalExamResult VALUES (seqPracticalExamResult.nextval, 407, 46, 36);</v>
      </c>
    </row>
    <row r="414">
      <c r="A414" s="1">
        <v>408.0</v>
      </c>
      <c r="B414" s="1" t="s">
        <v>318</v>
      </c>
      <c r="C414" s="1">
        <v>408.0</v>
      </c>
      <c r="D414" s="2">
        <f t="shared" si="1"/>
        <v>61</v>
      </c>
      <c r="E414" s="1">
        <f t="shared" si="2"/>
        <v>40</v>
      </c>
      <c r="G414" s="2" t="str">
        <f t="shared" si="3"/>
        <v>INSERT INTO tblPracticalExamResult VALUES (seqPracticalExamResult.nextval, 408, 61, 40);</v>
      </c>
    </row>
    <row r="415">
      <c r="A415" s="1">
        <v>409.0</v>
      </c>
      <c r="B415" s="1" t="s">
        <v>318</v>
      </c>
      <c r="C415" s="1">
        <v>409.0</v>
      </c>
      <c r="D415" s="2">
        <f t="shared" si="1"/>
        <v>40</v>
      </c>
      <c r="E415" s="1">
        <f t="shared" si="2"/>
        <v>53</v>
      </c>
      <c r="G415" s="2" t="str">
        <f t="shared" si="3"/>
        <v>INSERT INTO tblPracticalExamResult VALUES (seqPracticalExamResult.nextval, 409, 40, 53);</v>
      </c>
    </row>
    <row r="416">
      <c r="A416" s="1">
        <v>410.0</v>
      </c>
      <c r="B416" s="1" t="s">
        <v>318</v>
      </c>
      <c r="C416" s="1">
        <v>410.0</v>
      </c>
      <c r="D416" s="2">
        <f t="shared" si="1"/>
        <v>18</v>
      </c>
      <c r="E416" s="1">
        <f t="shared" si="2"/>
        <v>62</v>
      </c>
      <c r="G416" s="2" t="str">
        <f t="shared" si="3"/>
        <v>INSERT INTO tblPracticalExamResult VALUES (seqPracticalExamResult.nextval, 410, 18, 62);</v>
      </c>
    </row>
    <row r="417">
      <c r="A417" s="1">
        <v>411.0</v>
      </c>
      <c r="B417" s="1" t="s">
        <v>318</v>
      </c>
      <c r="C417" s="1">
        <v>411.0</v>
      </c>
      <c r="D417" s="2">
        <f t="shared" si="1"/>
        <v>12</v>
      </c>
      <c r="E417" s="1">
        <f t="shared" si="2"/>
        <v>52</v>
      </c>
      <c r="G417" s="2" t="str">
        <f t="shared" si="3"/>
        <v>INSERT INTO tblPracticalExamResult VALUES (seqPracticalExamResult.nextval, 411, 12, 52);</v>
      </c>
    </row>
    <row r="418">
      <c r="A418" s="1">
        <v>412.0</v>
      </c>
      <c r="B418" s="1" t="s">
        <v>318</v>
      </c>
      <c r="C418" s="1">
        <v>412.0</v>
      </c>
      <c r="D418" s="2">
        <f t="shared" si="1"/>
        <v>48</v>
      </c>
      <c r="E418" s="1">
        <f t="shared" si="2"/>
        <v>44</v>
      </c>
      <c r="G418" s="2" t="str">
        <f t="shared" si="3"/>
        <v>INSERT INTO tblPracticalExamResult VALUES (seqPracticalExamResult.nextval, 412, 48, 44);</v>
      </c>
    </row>
    <row r="419">
      <c r="A419" s="1">
        <v>413.0</v>
      </c>
      <c r="B419" s="1" t="s">
        <v>318</v>
      </c>
      <c r="C419" s="1">
        <v>413.0</v>
      </c>
      <c r="D419" s="2">
        <f t="shared" si="1"/>
        <v>20</v>
      </c>
      <c r="E419" s="1">
        <f t="shared" si="2"/>
        <v>55</v>
      </c>
      <c r="G419" s="2" t="str">
        <f t="shared" si="3"/>
        <v>INSERT INTO tblPracticalExamResult VALUES (seqPracticalExamResult.nextval, 413, 20, 55);</v>
      </c>
    </row>
    <row r="420">
      <c r="A420" s="1">
        <v>414.0</v>
      </c>
      <c r="B420" s="1" t="s">
        <v>318</v>
      </c>
      <c r="C420" s="1">
        <v>414.0</v>
      </c>
      <c r="D420" s="2">
        <f t="shared" si="1"/>
        <v>30</v>
      </c>
      <c r="E420" s="1">
        <f t="shared" si="2"/>
        <v>62</v>
      </c>
      <c r="G420" s="2" t="str">
        <f t="shared" si="3"/>
        <v>INSERT INTO tblPracticalExamResult VALUES (seqPracticalExamResult.nextval, 414, 30, 62);</v>
      </c>
    </row>
    <row r="421">
      <c r="A421" s="1">
        <v>415.0</v>
      </c>
      <c r="B421" s="1" t="s">
        <v>318</v>
      </c>
      <c r="C421" s="1">
        <v>415.0</v>
      </c>
      <c r="D421" s="2">
        <f t="shared" si="1"/>
        <v>57</v>
      </c>
      <c r="E421" s="1">
        <f t="shared" si="2"/>
        <v>42</v>
      </c>
      <c r="G421" s="2" t="str">
        <f t="shared" si="3"/>
        <v>INSERT INTO tblPracticalExamResult VALUES (seqPracticalExamResult.nextval, 415, 57, 42);</v>
      </c>
    </row>
    <row r="422">
      <c r="A422" s="1">
        <v>416.0</v>
      </c>
      <c r="B422" s="1" t="s">
        <v>318</v>
      </c>
      <c r="C422" s="1">
        <v>416.0</v>
      </c>
      <c r="D422" s="2">
        <f t="shared" si="1"/>
        <v>26</v>
      </c>
      <c r="E422" s="1">
        <f t="shared" si="2"/>
        <v>65</v>
      </c>
      <c r="G422" s="2" t="str">
        <f t="shared" si="3"/>
        <v>INSERT INTO tblPracticalExamResult VALUES (seqPracticalExamResult.nextval, 416, 26, 65);</v>
      </c>
    </row>
    <row r="423">
      <c r="A423" s="1">
        <v>417.0</v>
      </c>
      <c r="B423" s="1" t="s">
        <v>318</v>
      </c>
      <c r="C423" s="1">
        <v>417.0</v>
      </c>
      <c r="D423" s="2">
        <f t="shared" si="1"/>
        <v>98</v>
      </c>
      <c r="E423" s="1">
        <f t="shared" si="2"/>
        <v>50</v>
      </c>
      <c r="G423" s="2" t="str">
        <f t="shared" si="3"/>
        <v>INSERT INTO tblPracticalExamResult VALUES (seqPracticalExamResult.nextval, 417, 98, 50);</v>
      </c>
    </row>
    <row r="424">
      <c r="A424" s="1">
        <v>418.0</v>
      </c>
      <c r="B424" s="1" t="s">
        <v>318</v>
      </c>
      <c r="C424" s="1">
        <v>418.0</v>
      </c>
      <c r="D424" s="2">
        <f t="shared" si="1"/>
        <v>11</v>
      </c>
      <c r="E424" s="1">
        <f t="shared" si="2"/>
        <v>61</v>
      </c>
      <c r="G424" s="2" t="str">
        <f t="shared" si="3"/>
        <v>INSERT INTO tblPracticalExamResult VALUES (seqPracticalExamResult.nextval, 418, 11, 61);</v>
      </c>
    </row>
    <row r="425">
      <c r="A425" s="1">
        <v>419.0</v>
      </c>
      <c r="B425" s="1" t="s">
        <v>318</v>
      </c>
      <c r="C425" s="1">
        <v>419.0</v>
      </c>
      <c r="D425" s="2">
        <f t="shared" si="1"/>
        <v>55</v>
      </c>
      <c r="E425" s="1">
        <f t="shared" si="2"/>
        <v>39</v>
      </c>
      <c r="G425" s="2" t="str">
        <f t="shared" si="3"/>
        <v>INSERT INTO tblPracticalExamResult VALUES (seqPracticalExamResult.nextval, 419, 55, 39);</v>
      </c>
    </row>
    <row r="426">
      <c r="A426" s="1">
        <v>420.0</v>
      </c>
      <c r="B426" s="1" t="s">
        <v>318</v>
      </c>
      <c r="C426" s="1">
        <v>420.0</v>
      </c>
      <c r="D426" s="2">
        <f t="shared" si="1"/>
        <v>93</v>
      </c>
      <c r="E426" s="1">
        <f t="shared" si="2"/>
        <v>62</v>
      </c>
      <c r="G426" s="2" t="str">
        <f t="shared" si="3"/>
        <v>INSERT INTO tblPracticalExamResult VALUES (seqPracticalExamResult.nextval, 420, 93, 62);</v>
      </c>
    </row>
    <row r="427">
      <c r="A427" s="1">
        <v>421.0</v>
      </c>
      <c r="B427" s="1" t="s">
        <v>318</v>
      </c>
      <c r="C427" s="1">
        <v>421.0</v>
      </c>
      <c r="D427" s="2">
        <f t="shared" si="1"/>
        <v>42</v>
      </c>
      <c r="E427" s="1">
        <f t="shared" si="2"/>
        <v>66</v>
      </c>
      <c r="G427" s="2" t="str">
        <f t="shared" si="3"/>
        <v>INSERT INTO tblPracticalExamResult VALUES (seqPracticalExamResult.nextval, 421, 42, 66);</v>
      </c>
    </row>
    <row r="428">
      <c r="A428" s="1">
        <v>422.0</v>
      </c>
      <c r="B428" s="1" t="s">
        <v>318</v>
      </c>
      <c r="C428" s="1">
        <v>422.0</v>
      </c>
      <c r="D428" s="2">
        <f t="shared" si="1"/>
        <v>23</v>
      </c>
      <c r="E428" s="1">
        <f t="shared" si="2"/>
        <v>65</v>
      </c>
      <c r="G428" s="2" t="str">
        <f t="shared" si="3"/>
        <v>INSERT INTO tblPracticalExamResult VALUES (seqPracticalExamResult.nextval, 422, 23, 65);</v>
      </c>
    </row>
    <row r="429">
      <c r="A429" s="1">
        <v>423.0</v>
      </c>
      <c r="B429" s="1" t="s">
        <v>318</v>
      </c>
      <c r="C429" s="1">
        <v>423.0</v>
      </c>
      <c r="D429" s="2">
        <f t="shared" si="1"/>
        <v>48</v>
      </c>
      <c r="E429" s="1">
        <f t="shared" si="2"/>
        <v>65</v>
      </c>
      <c r="G429" s="2" t="str">
        <f t="shared" si="3"/>
        <v>INSERT INTO tblPracticalExamResult VALUES (seqPracticalExamResult.nextval, 423, 48, 65);</v>
      </c>
    </row>
    <row r="430">
      <c r="A430" s="1">
        <v>424.0</v>
      </c>
      <c r="B430" s="1" t="s">
        <v>318</v>
      </c>
      <c r="C430" s="1">
        <v>424.0</v>
      </c>
      <c r="D430" s="2">
        <f t="shared" si="1"/>
        <v>84</v>
      </c>
      <c r="E430" s="1">
        <f t="shared" si="2"/>
        <v>48</v>
      </c>
      <c r="G430" s="2" t="str">
        <f t="shared" si="3"/>
        <v>INSERT INTO tblPracticalExamResult VALUES (seqPracticalExamResult.nextval, 424, 84, 48);</v>
      </c>
    </row>
    <row r="431">
      <c r="A431" s="1">
        <v>425.0</v>
      </c>
      <c r="B431" s="1" t="s">
        <v>318</v>
      </c>
      <c r="C431" s="1">
        <v>425.0</v>
      </c>
      <c r="D431" s="2">
        <f t="shared" si="1"/>
        <v>78</v>
      </c>
      <c r="E431" s="1">
        <f t="shared" si="2"/>
        <v>37</v>
      </c>
      <c r="G431" s="2" t="str">
        <f t="shared" si="3"/>
        <v>INSERT INTO tblPracticalExamResult VALUES (seqPracticalExamResult.nextval, 425, 78, 37);</v>
      </c>
    </row>
    <row r="432">
      <c r="A432" s="1">
        <v>426.0</v>
      </c>
      <c r="B432" s="1" t="s">
        <v>318</v>
      </c>
      <c r="C432" s="1">
        <v>426.0</v>
      </c>
      <c r="D432" s="2">
        <f t="shared" si="1"/>
        <v>92</v>
      </c>
      <c r="E432" s="1">
        <f t="shared" si="2"/>
        <v>59</v>
      </c>
      <c r="G432" s="2" t="str">
        <f t="shared" si="3"/>
        <v>INSERT INTO tblPracticalExamResult VALUES (seqPracticalExamResult.nextval, 426, 92, 59);</v>
      </c>
    </row>
    <row r="433">
      <c r="A433" s="1">
        <v>427.0</v>
      </c>
      <c r="B433" s="1" t="s">
        <v>318</v>
      </c>
      <c r="C433" s="1">
        <v>427.0</v>
      </c>
      <c r="D433" s="2">
        <f t="shared" si="1"/>
        <v>38</v>
      </c>
      <c r="E433" s="1">
        <f t="shared" si="2"/>
        <v>48</v>
      </c>
      <c r="G433" s="2" t="str">
        <f t="shared" si="3"/>
        <v>INSERT INTO tblPracticalExamResult VALUES (seqPracticalExamResult.nextval, 427, 38, 48);</v>
      </c>
    </row>
    <row r="434">
      <c r="A434" s="1">
        <v>428.0</v>
      </c>
      <c r="B434" s="1" t="s">
        <v>318</v>
      </c>
      <c r="C434" s="1">
        <v>428.0</v>
      </c>
      <c r="D434" s="2">
        <f t="shared" si="1"/>
        <v>17</v>
      </c>
      <c r="E434" s="1">
        <f t="shared" si="2"/>
        <v>43</v>
      </c>
      <c r="G434" s="2" t="str">
        <f t="shared" si="3"/>
        <v>INSERT INTO tblPracticalExamResult VALUES (seqPracticalExamResult.nextval, 428, 17, 43);</v>
      </c>
    </row>
    <row r="435">
      <c r="A435" s="1">
        <v>429.0</v>
      </c>
      <c r="B435" s="1" t="s">
        <v>318</v>
      </c>
      <c r="C435" s="1">
        <v>429.0</v>
      </c>
      <c r="D435" s="2">
        <f t="shared" si="1"/>
        <v>37</v>
      </c>
      <c r="E435" s="1">
        <f t="shared" si="2"/>
        <v>66</v>
      </c>
      <c r="G435" s="2" t="str">
        <f t="shared" si="3"/>
        <v>INSERT INTO tblPracticalExamResult VALUES (seqPracticalExamResult.nextval, 429, 37, 66);</v>
      </c>
    </row>
    <row r="436">
      <c r="A436" s="1">
        <v>430.0</v>
      </c>
      <c r="B436" s="1" t="s">
        <v>318</v>
      </c>
      <c r="C436" s="1">
        <v>430.0</v>
      </c>
      <c r="D436" s="2">
        <f t="shared" si="1"/>
        <v>58</v>
      </c>
      <c r="E436" s="1">
        <f t="shared" si="2"/>
        <v>50</v>
      </c>
      <c r="G436" s="2" t="str">
        <f t="shared" si="3"/>
        <v>INSERT INTO tblPracticalExamResult VALUES (seqPracticalExamResult.nextval, 430, 58, 50);</v>
      </c>
    </row>
    <row r="437">
      <c r="A437" s="1">
        <v>431.0</v>
      </c>
      <c r="B437" s="1" t="s">
        <v>318</v>
      </c>
      <c r="C437" s="1">
        <v>431.0</v>
      </c>
      <c r="D437" s="2">
        <f t="shared" si="1"/>
        <v>21</v>
      </c>
      <c r="E437" s="1">
        <f t="shared" si="2"/>
        <v>61</v>
      </c>
      <c r="G437" s="2" t="str">
        <f t="shared" si="3"/>
        <v>INSERT INTO tblPracticalExamResult VALUES (seqPracticalExamResult.nextval, 431, 21, 61);</v>
      </c>
    </row>
    <row r="438">
      <c r="A438" s="1">
        <v>432.0</v>
      </c>
      <c r="B438" s="1" t="s">
        <v>318</v>
      </c>
      <c r="C438" s="1">
        <v>432.0</v>
      </c>
      <c r="D438" s="2">
        <f t="shared" si="1"/>
        <v>59</v>
      </c>
      <c r="E438" s="1">
        <f t="shared" si="2"/>
        <v>58</v>
      </c>
      <c r="G438" s="2" t="str">
        <f t="shared" si="3"/>
        <v>INSERT INTO tblPracticalExamResult VALUES (seqPracticalExamResult.nextval, 432, 59, 58);</v>
      </c>
    </row>
    <row r="439">
      <c r="A439" s="1">
        <v>433.0</v>
      </c>
      <c r="B439" s="1" t="s">
        <v>318</v>
      </c>
      <c r="C439" s="1">
        <v>433.0</v>
      </c>
      <c r="D439" s="2">
        <f t="shared" si="1"/>
        <v>53</v>
      </c>
      <c r="E439" s="1">
        <f t="shared" si="2"/>
        <v>62</v>
      </c>
      <c r="G439" s="2" t="str">
        <f t="shared" si="3"/>
        <v>INSERT INTO tblPracticalExamResult VALUES (seqPracticalExamResult.nextval, 433, 53, 62);</v>
      </c>
    </row>
    <row r="440">
      <c r="A440" s="1">
        <v>434.0</v>
      </c>
      <c r="B440" s="1" t="s">
        <v>318</v>
      </c>
      <c r="C440" s="1">
        <v>434.0</v>
      </c>
      <c r="D440" s="2">
        <f t="shared" si="1"/>
        <v>45</v>
      </c>
      <c r="E440" s="1">
        <f t="shared" si="2"/>
        <v>34</v>
      </c>
      <c r="G440" s="2" t="str">
        <f t="shared" si="3"/>
        <v>INSERT INTO tblPracticalExamResult VALUES (seqPracticalExamResult.nextval, 434, 45, 34);</v>
      </c>
    </row>
    <row r="441">
      <c r="A441" s="1">
        <v>435.0</v>
      </c>
      <c r="B441" s="1" t="s">
        <v>318</v>
      </c>
      <c r="C441" s="1">
        <v>435.0</v>
      </c>
      <c r="D441" s="2">
        <f t="shared" si="1"/>
        <v>74</v>
      </c>
      <c r="E441" s="1">
        <f t="shared" si="2"/>
        <v>36</v>
      </c>
      <c r="G441" s="2" t="str">
        <f t="shared" si="3"/>
        <v>INSERT INTO tblPracticalExamResult VALUES (seqPracticalExamResult.nextval, 435, 74, 36);</v>
      </c>
    </row>
    <row r="442">
      <c r="A442" s="1">
        <v>436.0</v>
      </c>
      <c r="B442" s="1" t="s">
        <v>318</v>
      </c>
      <c r="C442" s="1">
        <v>436.0</v>
      </c>
      <c r="D442" s="2">
        <f t="shared" si="1"/>
        <v>53</v>
      </c>
      <c r="E442" s="1">
        <f t="shared" si="2"/>
        <v>65</v>
      </c>
      <c r="G442" s="2" t="str">
        <f t="shared" si="3"/>
        <v>INSERT INTO tblPracticalExamResult VALUES (seqPracticalExamResult.nextval, 436, 53, 65);</v>
      </c>
    </row>
    <row r="443">
      <c r="A443" s="1">
        <v>437.0</v>
      </c>
      <c r="B443" s="1" t="s">
        <v>318</v>
      </c>
      <c r="C443" s="1">
        <v>437.0</v>
      </c>
      <c r="D443" s="2">
        <f t="shared" si="1"/>
        <v>21</v>
      </c>
      <c r="E443" s="1">
        <f t="shared" si="2"/>
        <v>34</v>
      </c>
      <c r="G443" s="2" t="str">
        <f t="shared" si="3"/>
        <v>INSERT INTO tblPracticalExamResult VALUES (seqPracticalExamResult.nextval, 437, 21, 34);</v>
      </c>
    </row>
    <row r="444">
      <c r="A444" s="1">
        <v>438.0</v>
      </c>
      <c r="B444" s="1" t="s">
        <v>318</v>
      </c>
      <c r="C444" s="1">
        <v>438.0</v>
      </c>
      <c r="D444" s="2">
        <f t="shared" si="1"/>
        <v>55</v>
      </c>
      <c r="E444" s="1">
        <f t="shared" si="2"/>
        <v>38</v>
      </c>
      <c r="G444" s="2" t="str">
        <f t="shared" si="3"/>
        <v>INSERT INTO tblPracticalExamResult VALUES (seqPracticalExamResult.nextval, 438, 55, 38);</v>
      </c>
    </row>
    <row r="445">
      <c r="A445" s="1">
        <v>439.0</v>
      </c>
      <c r="B445" s="1" t="s">
        <v>318</v>
      </c>
      <c r="C445" s="1">
        <v>439.0</v>
      </c>
      <c r="D445" s="2">
        <f t="shared" si="1"/>
        <v>94</v>
      </c>
      <c r="E445" s="1">
        <f t="shared" si="2"/>
        <v>52</v>
      </c>
      <c r="G445" s="2" t="str">
        <f t="shared" si="3"/>
        <v>INSERT INTO tblPracticalExamResult VALUES (seqPracticalExamResult.nextval, 439, 94, 52);</v>
      </c>
    </row>
    <row r="446">
      <c r="A446" s="1">
        <v>440.0</v>
      </c>
      <c r="B446" s="1" t="s">
        <v>318</v>
      </c>
      <c r="C446" s="1">
        <v>440.0</v>
      </c>
      <c r="D446" s="2">
        <f t="shared" si="1"/>
        <v>97</v>
      </c>
      <c r="E446" s="1">
        <f t="shared" si="2"/>
        <v>42</v>
      </c>
      <c r="G446" s="2" t="str">
        <f t="shared" si="3"/>
        <v>INSERT INTO tblPracticalExamResult VALUES (seqPracticalExamResult.nextval, 440, 97, 42);</v>
      </c>
    </row>
    <row r="447">
      <c r="A447" s="1">
        <v>441.0</v>
      </c>
      <c r="B447" s="1" t="s">
        <v>318</v>
      </c>
      <c r="C447" s="1">
        <v>441.0</v>
      </c>
      <c r="D447" s="2">
        <f t="shared" si="1"/>
        <v>91</v>
      </c>
      <c r="E447" s="1">
        <f t="shared" si="2"/>
        <v>37</v>
      </c>
      <c r="G447" s="2" t="str">
        <f t="shared" si="3"/>
        <v>INSERT INTO tblPracticalExamResult VALUES (seqPracticalExamResult.nextval, 441, 91, 37);</v>
      </c>
    </row>
    <row r="448">
      <c r="A448" s="1">
        <v>442.0</v>
      </c>
      <c r="B448" s="1" t="s">
        <v>318</v>
      </c>
      <c r="C448" s="1">
        <v>442.0</v>
      </c>
      <c r="D448" s="2">
        <f t="shared" si="1"/>
        <v>19</v>
      </c>
      <c r="E448" s="1">
        <f t="shared" si="2"/>
        <v>45</v>
      </c>
      <c r="G448" s="2" t="str">
        <f t="shared" si="3"/>
        <v>INSERT INTO tblPracticalExamResult VALUES (seqPracticalExamResult.nextval, 442, 19, 45);</v>
      </c>
    </row>
    <row r="449">
      <c r="A449" s="1">
        <v>443.0</v>
      </c>
      <c r="B449" s="1" t="s">
        <v>318</v>
      </c>
      <c r="C449" s="1">
        <v>443.0</v>
      </c>
      <c r="D449" s="2">
        <f t="shared" si="1"/>
        <v>39</v>
      </c>
      <c r="E449" s="1">
        <f t="shared" si="2"/>
        <v>51</v>
      </c>
      <c r="G449" s="2" t="str">
        <f t="shared" si="3"/>
        <v>INSERT INTO tblPracticalExamResult VALUES (seqPracticalExamResult.nextval, 443, 39, 51);</v>
      </c>
    </row>
    <row r="450">
      <c r="A450" s="1">
        <v>444.0</v>
      </c>
      <c r="B450" s="1" t="s">
        <v>318</v>
      </c>
      <c r="C450" s="1">
        <v>444.0</v>
      </c>
      <c r="D450" s="2">
        <f t="shared" si="1"/>
        <v>94</v>
      </c>
      <c r="E450" s="1">
        <f t="shared" si="2"/>
        <v>58</v>
      </c>
      <c r="G450" s="2" t="str">
        <f t="shared" si="3"/>
        <v>INSERT INTO tblPracticalExamResult VALUES (seqPracticalExamResult.nextval, 444, 94, 58);</v>
      </c>
    </row>
    <row r="451">
      <c r="A451" s="1">
        <v>445.0</v>
      </c>
      <c r="B451" s="1" t="s">
        <v>318</v>
      </c>
      <c r="C451" s="1">
        <v>445.0</v>
      </c>
      <c r="D451" s="2">
        <f t="shared" si="1"/>
        <v>89</v>
      </c>
      <c r="E451" s="1">
        <f t="shared" si="2"/>
        <v>51</v>
      </c>
      <c r="G451" s="2" t="str">
        <f t="shared" si="3"/>
        <v>INSERT INTO tblPracticalExamResult VALUES (seqPracticalExamResult.nextval, 445, 89, 51);</v>
      </c>
    </row>
    <row r="452">
      <c r="A452" s="1">
        <v>446.0</v>
      </c>
      <c r="B452" s="1" t="s">
        <v>318</v>
      </c>
      <c r="C452" s="1">
        <v>446.0</v>
      </c>
      <c r="D452" s="2">
        <f t="shared" si="1"/>
        <v>37</v>
      </c>
      <c r="E452" s="1">
        <f t="shared" si="2"/>
        <v>56</v>
      </c>
      <c r="G452" s="2" t="str">
        <f t="shared" si="3"/>
        <v>INSERT INTO tblPracticalExamResult VALUES (seqPracticalExamResult.nextval, 446, 37, 56);</v>
      </c>
    </row>
    <row r="453">
      <c r="A453" s="1">
        <v>447.0</v>
      </c>
      <c r="B453" s="1" t="s">
        <v>318</v>
      </c>
      <c r="C453" s="1">
        <v>447.0</v>
      </c>
      <c r="D453" s="2">
        <f t="shared" si="1"/>
        <v>55</v>
      </c>
      <c r="E453" s="1">
        <f t="shared" si="2"/>
        <v>45</v>
      </c>
      <c r="G453" s="2" t="str">
        <f t="shared" si="3"/>
        <v>INSERT INTO tblPracticalExamResult VALUES (seqPracticalExamResult.nextval, 447, 55, 45);</v>
      </c>
    </row>
    <row r="454">
      <c r="A454" s="1">
        <v>448.0</v>
      </c>
      <c r="B454" s="1" t="s">
        <v>318</v>
      </c>
      <c r="C454" s="1">
        <v>448.0</v>
      </c>
      <c r="D454" s="2">
        <f t="shared" si="1"/>
        <v>56</v>
      </c>
      <c r="E454" s="1">
        <f t="shared" si="2"/>
        <v>62</v>
      </c>
      <c r="G454" s="2" t="str">
        <f t="shared" si="3"/>
        <v>INSERT INTO tblPracticalExamResult VALUES (seqPracticalExamResult.nextval, 448, 56, 62);</v>
      </c>
    </row>
    <row r="455">
      <c r="A455" s="1">
        <v>449.0</v>
      </c>
      <c r="B455" s="1" t="s">
        <v>318</v>
      </c>
      <c r="C455" s="1">
        <v>449.0</v>
      </c>
      <c r="D455" s="2">
        <f t="shared" si="1"/>
        <v>43</v>
      </c>
      <c r="E455" s="1">
        <f t="shared" si="2"/>
        <v>59</v>
      </c>
      <c r="G455" s="2" t="str">
        <f t="shared" si="3"/>
        <v>INSERT INTO tblPracticalExamResult VALUES (seqPracticalExamResult.nextval, 449, 43, 59);</v>
      </c>
    </row>
    <row r="456">
      <c r="A456" s="1">
        <v>450.0</v>
      </c>
      <c r="B456" s="1" t="s">
        <v>318</v>
      </c>
      <c r="C456" s="1">
        <v>450.0</v>
      </c>
      <c r="D456" s="2">
        <f t="shared" si="1"/>
        <v>51</v>
      </c>
      <c r="E456" s="1">
        <f t="shared" si="2"/>
        <v>61</v>
      </c>
      <c r="G456" s="2" t="str">
        <f t="shared" si="3"/>
        <v>INSERT INTO tblPracticalExamResult VALUES (seqPracticalExamResult.nextval, 450, 51, 61);</v>
      </c>
    </row>
    <row r="457">
      <c r="A457" s="1">
        <v>451.0</v>
      </c>
      <c r="B457" s="1" t="s">
        <v>318</v>
      </c>
      <c r="C457" s="1">
        <v>451.0</v>
      </c>
      <c r="D457" s="2">
        <f t="shared" si="1"/>
        <v>39</v>
      </c>
      <c r="E457" s="1">
        <f t="shared" si="2"/>
        <v>65</v>
      </c>
      <c r="G457" s="2" t="str">
        <f t="shared" si="3"/>
        <v>INSERT INTO tblPracticalExamResult VALUES (seqPracticalExamResult.nextval, 451, 39, 65);</v>
      </c>
    </row>
    <row r="458">
      <c r="A458" s="1">
        <v>452.0</v>
      </c>
      <c r="B458" s="1" t="s">
        <v>318</v>
      </c>
      <c r="C458" s="1">
        <v>452.0</v>
      </c>
      <c r="D458" s="2">
        <f t="shared" si="1"/>
        <v>76</v>
      </c>
      <c r="E458" s="1">
        <f t="shared" si="2"/>
        <v>63</v>
      </c>
      <c r="G458" s="2" t="str">
        <f t="shared" si="3"/>
        <v>INSERT INTO tblPracticalExamResult VALUES (seqPracticalExamResult.nextval, 452, 76, 63);</v>
      </c>
    </row>
    <row r="459">
      <c r="A459" s="1">
        <v>453.0</v>
      </c>
      <c r="B459" s="1" t="s">
        <v>318</v>
      </c>
      <c r="C459" s="1">
        <v>453.0</v>
      </c>
      <c r="D459" s="2">
        <f t="shared" si="1"/>
        <v>78</v>
      </c>
      <c r="E459" s="1">
        <f t="shared" si="2"/>
        <v>47</v>
      </c>
      <c r="G459" s="2" t="str">
        <f t="shared" si="3"/>
        <v>INSERT INTO tblPracticalExamResult VALUES (seqPracticalExamResult.nextval, 453, 78, 47);</v>
      </c>
    </row>
    <row r="460">
      <c r="A460" s="1">
        <v>454.0</v>
      </c>
      <c r="B460" s="1" t="s">
        <v>318</v>
      </c>
      <c r="C460" s="1">
        <v>454.0</v>
      </c>
      <c r="D460" s="2">
        <f t="shared" si="1"/>
        <v>73</v>
      </c>
      <c r="E460" s="1">
        <f t="shared" si="2"/>
        <v>63</v>
      </c>
      <c r="G460" s="2" t="str">
        <f t="shared" si="3"/>
        <v>INSERT INTO tblPracticalExamResult VALUES (seqPracticalExamResult.nextval, 454, 73, 63);</v>
      </c>
    </row>
    <row r="461">
      <c r="A461" s="1">
        <v>455.0</v>
      </c>
      <c r="B461" s="1" t="s">
        <v>318</v>
      </c>
      <c r="C461" s="1">
        <v>455.0</v>
      </c>
      <c r="D461" s="2">
        <f t="shared" si="1"/>
        <v>51</v>
      </c>
      <c r="E461" s="1">
        <f t="shared" si="2"/>
        <v>41</v>
      </c>
      <c r="G461" s="2" t="str">
        <f t="shared" si="3"/>
        <v>INSERT INTO tblPracticalExamResult VALUES (seqPracticalExamResult.nextval, 455, 51, 41);</v>
      </c>
    </row>
    <row r="462">
      <c r="A462" s="1">
        <v>456.0</v>
      </c>
      <c r="B462" s="1" t="s">
        <v>318</v>
      </c>
      <c r="C462" s="1">
        <v>456.0</v>
      </c>
      <c r="D462" s="2">
        <f t="shared" si="1"/>
        <v>23</v>
      </c>
      <c r="E462" s="1">
        <f t="shared" si="2"/>
        <v>45</v>
      </c>
      <c r="G462" s="2" t="str">
        <f t="shared" si="3"/>
        <v>INSERT INTO tblPracticalExamResult VALUES (seqPracticalExamResult.nextval, 456, 23, 45);</v>
      </c>
    </row>
    <row r="463">
      <c r="A463" s="1">
        <v>457.0</v>
      </c>
      <c r="B463" s="1" t="s">
        <v>318</v>
      </c>
      <c r="C463" s="1">
        <v>457.0</v>
      </c>
      <c r="D463" s="2">
        <f t="shared" si="1"/>
        <v>99</v>
      </c>
      <c r="E463" s="1">
        <f t="shared" si="2"/>
        <v>36</v>
      </c>
      <c r="G463" s="2" t="str">
        <f t="shared" si="3"/>
        <v>INSERT INTO tblPracticalExamResult VALUES (seqPracticalExamResult.nextval, 457, 99, 36);</v>
      </c>
    </row>
    <row r="464">
      <c r="A464" s="1">
        <v>458.0</v>
      </c>
      <c r="B464" s="1" t="s">
        <v>318</v>
      </c>
      <c r="C464" s="1">
        <v>458.0</v>
      </c>
      <c r="D464" s="2">
        <f t="shared" si="1"/>
        <v>79</v>
      </c>
      <c r="E464" s="1">
        <f t="shared" si="2"/>
        <v>45</v>
      </c>
      <c r="G464" s="2" t="str">
        <f t="shared" si="3"/>
        <v>INSERT INTO tblPracticalExamResult VALUES (seqPracticalExamResult.nextval, 458, 79, 45);</v>
      </c>
    </row>
    <row r="465">
      <c r="A465" s="1">
        <v>459.0</v>
      </c>
      <c r="B465" s="1" t="s">
        <v>318</v>
      </c>
      <c r="C465" s="1">
        <v>459.0</v>
      </c>
      <c r="D465" s="2">
        <f t="shared" si="1"/>
        <v>18</v>
      </c>
      <c r="E465" s="1">
        <f t="shared" si="2"/>
        <v>50</v>
      </c>
      <c r="G465" s="2" t="str">
        <f t="shared" si="3"/>
        <v>INSERT INTO tblPracticalExamResult VALUES (seqPracticalExamResult.nextval, 459, 18, 50);</v>
      </c>
    </row>
    <row r="466">
      <c r="A466" s="1">
        <v>460.0</v>
      </c>
      <c r="B466" s="1" t="s">
        <v>318</v>
      </c>
      <c r="C466" s="1">
        <v>460.0</v>
      </c>
      <c r="D466" s="2">
        <f t="shared" si="1"/>
        <v>87</v>
      </c>
      <c r="E466" s="1">
        <f t="shared" si="2"/>
        <v>39</v>
      </c>
      <c r="G466" s="2" t="str">
        <f t="shared" si="3"/>
        <v>INSERT INTO tblPracticalExamResult VALUES (seqPracticalExamResult.nextval, 460, 87, 39);</v>
      </c>
    </row>
    <row r="467">
      <c r="A467" s="1">
        <v>461.0</v>
      </c>
      <c r="B467" s="1" t="s">
        <v>318</v>
      </c>
      <c r="C467" s="1">
        <v>461.0</v>
      </c>
      <c r="D467" s="2">
        <f t="shared" si="1"/>
        <v>37</v>
      </c>
      <c r="E467" s="1">
        <f t="shared" si="2"/>
        <v>52</v>
      </c>
      <c r="G467" s="2" t="str">
        <f t="shared" si="3"/>
        <v>INSERT INTO tblPracticalExamResult VALUES (seqPracticalExamResult.nextval, 461, 37, 52);</v>
      </c>
    </row>
    <row r="468">
      <c r="A468" s="1">
        <v>462.0</v>
      </c>
      <c r="B468" s="1" t="s">
        <v>318</v>
      </c>
      <c r="C468" s="1">
        <v>462.0</v>
      </c>
      <c r="D468" s="2">
        <f t="shared" si="1"/>
        <v>24</v>
      </c>
      <c r="E468" s="1">
        <f t="shared" si="2"/>
        <v>35</v>
      </c>
      <c r="G468" s="2" t="str">
        <f t="shared" si="3"/>
        <v>INSERT INTO tblPracticalExamResult VALUES (seqPracticalExamResult.nextval, 462, 24, 35);</v>
      </c>
    </row>
    <row r="469">
      <c r="A469" s="1">
        <v>463.0</v>
      </c>
      <c r="B469" s="1" t="s">
        <v>318</v>
      </c>
      <c r="C469" s="1">
        <v>463.0</v>
      </c>
      <c r="D469" s="2">
        <f t="shared" si="1"/>
        <v>21</v>
      </c>
      <c r="E469" s="1">
        <f t="shared" si="2"/>
        <v>58</v>
      </c>
      <c r="G469" s="2" t="str">
        <f t="shared" si="3"/>
        <v>INSERT INTO tblPracticalExamResult VALUES (seqPracticalExamResult.nextval, 463, 21, 58);</v>
      </c>
    </row>
    <row r="470">
      <c r="A470" s="1">
        <v>464.0</v>
      </c>
      <c r="B470" s="1" t="s">
        <v>318</v>
      </c>
      <c r="C470" s="1">
        <v>464.0</v>
      </c>
      <c r="D470" s="2">
        <f t="shared" si="1"/>
        <v>100</v>
      </c>
      <c r="E470" s="1">
        <f t="shared" si="2"/>
        <v>45</v>
      </c>
      <c r="G470" s="2" t="str">
        <f t="shared" si="3"/>
        <v>INSERT INTO tblPracticalExamResult VALUES (seqPracticalExamResult.nextval, 464, 100, 45);</v>
      </c>
    </row>
    <row r="471">
      <c r="A471" s="1">
        <v>465.0</v>
      </c>
      <c r="B471" s="1" t="s">
        <v>318</v>
      </c>
      <c r="C471" s="1">
        <v>465.0</v>
      </c>
      <c r="D471" s="2">
        <f t="shared" si="1"/>
        <v>97</v>
      </c>
      <c r="E471" s="1">
        <f t="shared" si="2"/>
        <v>53</v>
      </c>
      <c r="G471" s="2" t="str">
        <f t="shared" si="3"/>
        <v>INSERT INTO tblPracticalExamResult VALUES (seqPracticalExamResult.nextval, 465, 97, 53);</v>
      </c>
    </row>
    <row r="472">
      <c r="A472" s="1">
        <v>466.0</v>
      </c>
      <c r="B472" s="1" t="s">
        <v>318</v>
      </c>
      <c r="C472" s="1">
        <v>466.0</v>
      </c>
      <c r="D472" s="2">
        <f t="shared" si="1"/>
        <v>49</v>
      </c>
      <c r="E472" s="1">
        <f t="shared" si="2"/>
        <v>36</v>
      </c>
      <c r="G472" s="2" t="str">
        <f t="shared" si="3"/>
        <v>INSERT INTO tblPracticalExamResult VALUES (seqPracticalExamResult.nextval, 466, 49, 36);</v>
      </c>
    </row>
    <row r="473">
      <c r="A473" s="1">
        <v>467.0</v>
      </c>
      <c r="B473" s="1" t="s">
        <v>318</v>
      </c>
      <c r="C473" s="1">
        <v>467.0</v>
      </c>
      <c r="D473" s="2">
        <f t="shared" si="1"/>
        <v>75</v>
      </c>
      <c r="E473" s="1">
        <f t="shared" si="2"/>
        <v>37</v>
      </c>
      <c r="G473" s="2" t="str">
        <f t="shared" si="3"/>
        <v>INSERT INTO tblPracticalExamResult VALUES (seqPracticalExamResult.nextval, 467, 75, 37);</v>
      </c>
    </row>
    <row r="474">
      <c r="A474" s="1">
        <v>468.0</v>
      </c>
      <c r="B474" s="1" t="s">
        <v>318</v>
      </c>
      <c r="C474" s="1">
        <v>468.0</v>
      </c>
      <c r="D474" s="2">
        <f t="shared" si="1"/>
        <v>21</v>
      </c>
      <c r="E474" s="1">
        <f t="shared" si="2"/>
        <v>63</v>
      </c>
      <c r="G474" s="2" t="str">
        <f t="shared" si="3"/>
        <v>INSERT INTO tblPracticalExamResult VALUES (seqPracticalExamResult.nextval, 468, 21, 63);</v>
      </c>
    </row>
    <row r="475">
      <c r="A475" s="1">
        <v>469.0</v>
      </c>
      <c r="B475" s="1" t="s">
        <v>318</v>
      </c>
      <c r="C475" s="1">
        <v>469.0</v>
      </c>
      <c r="D475" s="2">
        <f t="shared" si="1"/>
        <v>59</v>
      </c>
      <c r="E475" s="1">
        <f t="shared" si="2"/>
        <v>52</v>
      </c>
      <c r="G475" s="2" t="str">
        <f t="shared" si="3"/>
        <v>INSERT INTO tblPracticalExamResult VALUES (seqPracticalExamResult.nextval, 469, 59, 52);</v>
      </c>
    </row>
    <row r="476">
      <c r="A476" s="1">
        <v>470.0</v>
      </c>
      <c r="B476" s="1" t="s">
        <v>318</v>
      </c>
      <c r="C476" s="1">
        <v>470.0</v>
      </c>
      <c r="D476" s="2">
        <f t="shared" si="1"/>
        <v>29</v>
      </c>
      <c r="E476" s="1">
        <f t="shared" si="2"/>
        <v>59</v>
      </c>
      <c r="G476" s="2" t="str">
        <f t="shared" si="3"/>
        <v>INSERT INTO tblPracticalExamResult VALUES (seqPracticalExamResult.nextval, 470, 29, 59);</v>
      </c>
    </row>
    <row r="477">
      <c r="A477" s="1">
        <v>471.0</v>
      </c>
      <c r="B477" s="1" t="s">
        <v>318</v>
      </c>
      <c r="C477" s="1">
        <v>471.0</v>
      </c>
      <c r="D477" s="2">
        <f t="shared" si="1"/>
        <v>49</v>
      </c>
      <c r="E477" s="1">
        <f t="shared" si="2"/>
        <v>37</v>
      </c>
      <c r="G477" s="2" t="str">
        <f t="shared" si="3"/>
        <v>INSERT INTO tblPracticalExamResult VALUES (seqPracticalExamResult.nextval, 471, 49, 37);</v>
      </c>
    </row>
    <row r="478">
      <c r="A478" s="1">
        <v>472.0</v>
      </c>
      <c r="B478" s="1" t="s">
        <v>318</v>
      </c>
      <c r="C478" s="1">
        <v>472.0</v>
      </c>
      <c r="D478" s="2">
        <f t="shared" si="1"/>
        <v>80</v>
      </c>
      <c r="E478" s="1">
        <f t="shared" si="2"/>
        <v>56</v>
      </c>
      <c r="G478" s="2" t="str">
        <f t="shared" si="3"/>
        <v>INSERT INTO tblPracticalExamResult VALUES (seqPracticalExamResult.nextval, 472, 80, 56);</v>
      </c>
    </row>
    <row r="479">
      <c r="A479" s="1">
        <v>473.0</v>
      </c>
      <c r="B479" s="1" t="s">
        <v>318</v>
      </c>
      <c r="C479" s="1">
        <v>473.0</v>
      </c>
      <c r="D479" s="2">
        <f t="shared" si="1"/>
        <v>57</v>
      </c>
      <c r="E479" s="1">
        <f t="shared" si="2"/>
        <v>40</v>
      </c>
      <c r="G479" s="2" t="str">
        <f t="shared" si="3"/>
        <v>INSERT INTO tblPracticalExamResult VALUES (seqPracticalExamResult.nextval, 473, 57, 40);</v>
      </c>
    </row>
    <row r="480">
      <c r="A480" s="1">
        <v>474.0</v>
      </c>
      <c r="B480" s="1" t="s">
        <v>318</v>
      </c>
      <c r="C480" s="1">
        <v>474.0</v>
      </c>
      <c r="D480" s="2">
        <f t="shared" si="1"/>
        <v>100</v>
      </c>
      <c r="E480" s="1">
        <f t="shared" si="2"/>
        <v>63</v>
      </c>
      <c r="G480" s="2" t="str">
        <f t="shared" si="3"/>
        <v>INSERT INTO tblPracticalExamResult VALUES (seqPracticalExamResult.nextval, 474, 100, 63);</v>
      </c>
    </row>
    <row r="481">
      <c r="A481" s="1">
        <v>475.0</v>
      </c>
      <c r="B481" s="1" t="s">
        <v>318</v>
      </c>
      <c r="C481" s="1">
        <v>475.0</v>
      </c>
      <c r="D481" s="2">
        <f t="shared" si="1"/>
        <v>45</v>
      </c>
      <c r="E481" s="1">
        <f t="shared" si="2"/>
        <v>62</v>
      </c>
      <c r="G481" s="2" t="str">
        <f t="shared" si="3"/>
        <v>INSERT INTO tblPracticalExamResult VALUES (seqPracticalExamResult.nextval, 475, 45, 62);</v>
      </c>
    </row>
    <row r="482">
      <c r="A482" s="1">
        <v>476.0</v>
      </c>
      <c r="B482" s="1" t="s">
        <v>318</v>
      </c>
      <c r="C482" s="1">
        <v>476.0</v>
      </c>
      <c r="D482" s="2">
        <f t="shared" si="1"/>
        <v>11</v>
      </c>
      <c r="E482" s="1">
        <f t="shared" si="2"/>
        <v>52</v>
      </c>
      <c r="G482" s="2" t="str">
        <f t="shared" si="3"/>
        <v>INSERT INTO tblPracticalExamResult VALUES (seqPracticalExamResult.nextval, 476, 11, 52);</v>
      </c>
    </row>
    <row r="483">
      <c r="A483" s="1">
        <v>477.0</v>
      </c>
      <c r="B483" s="1" t="s">
        <v>318</v>
      </c>
      <c r="C483" s="1">
        <v>477.0</v>
      </c>
      <c r="D483" s="2">
        <f t="shared" si="1"/>
        <v>14</v>
      </c>
      <c r="E483" s="1">
        <f t="shared" si="2"/>
        <v>56</v>
      </c>
      <c r="G483" s="2" t="str">
        <f t="shared" si="3"/>
        <v>INSERT INTO tblPracticalExamResult VALUES (seqPracticalExamResult.nextval, 477, 14, 56);</v>
      </c>
    </row>
    <row r="484">
      <c r="A484" s="1">
        <v>478.0</v>
      </c>
      <c r="B484" s="1" t="s">
        <v>318</v>
      </c>
      <c r="C484" s="1">
        <v>478.0</v>
      </c>
      <c r="D484" s="2">
        <f t="shared" si="1"/>
        <v>87</v>
      </c>
      <c r="E484" s="1">
        <f t="shared" si="2"/>
        <v>46</v>
      </c>
      <c r="G484" s="2" t="str">
        <f t="shared" si="3"/>
        <v>INSERT INTO tblPracticalExamResult VALUES (seqPracticalExamResult.nextval, 478, 87, 46);</v>
      </c>
    </row>
    <row r="485">
      <c r="A485" s="1">
        <v>479.0</v>
      </c>
      <c r="B485" s="1" t="s">
        <v>318</v>
      </c>
      <c r="C485" s="1">
        <v>479.0</v>
      </c>
      <c r="D485" s="2">
        <f t="shared" si="1"/>
        <v>32</v>
      </c>
      <c r="E485" s="1">
        <f t="shared" si="2"/>
        <v>48</v>
      </c>
      <c r="G485" s="2" t="str">
        <f t="shared" si="3"/>
        <v>INSERT INTO tblPracticalExamResult VALUES (seqPracticalExamResult.nextval, 479, 32, 48);</v>
      </c>
    </row>
    <row r="486">
      <c r="A486" s="1">
        <v>480.0</v>
      </c>
      <c r="B486" s="1" t="s">
        <v>318</v>
      </c>
      <c r="C486" s="1">
        <v>480.0</v>
      </c>
      <c r="D486" s="2">
        <f t="shared" si="1"/>
        <v>14</v>
      </c>
      <c r="E486" s="1">
        <f t="shared" si="2"/>
        <v>64</v>
      </c>
      <c r="G486" s="2" t="str">
        <f t="shared" si="3"/>
        <v>INSERT INTO tblPracticalExamResult VALUES (seqPracticalExamResult.nextval, 480, 14, 64);</v>
      </c>
    </row>
    <row r="487">
      <c r="A487" s="1">
        <v>481.0</v>
      </c>
      <c r="B487" s="1" t="s">
        <v>318</v>
      </c>
      <c r="C487" s="1">
        <v>481.0</v>
      </c>
      <c r="D487" s="2">
        <f t="shared" si="1"/>
        <v>94</v>
      </c>
      <c r="E487" s="1">
        <f t="shared" si="2"/>
        <v>57</v>
      </c>
      <c r="G487" s="2" t="str">
        <f t="shared" si="3"/>
        <v>INSERT INTO tblPracticalExamResult VALUES (seqPracticalExamResult.nextval, 481, 94, 57);</v>
      </c>
    </row>
    <row r="488">
      <c r="A488" s="1">
        <v>482.0</v>
      </c>
      <c r="B488" s="1" t="s">
        <v>318</v>
      </c>
      <c r="C488" s="1">
        <v>482.0</v>
      </c>
      <c r="D488" s="2">
        <f t="shared" si="1"/>
        <v>41</v>
      </c>
      <c r="E488" s="1">
        <f t="shared" si="2"/>
        <v>36</v>
      </c>
      <c r="G488" s="2" t="str">
        <f t="shared" si="3"/>
        <v>INSERT INTO tblPracticalExamResult VALUES (seqPracticalExamResult.nextval, 482, 41, 36);</v>
      </c>
    </row>
    <row r="489">
      <c r="A489" s="1">
        <v>483.0</v>
      </c>
      <c r="B489" s="1" t="s">
        <v>318</v>
      </c>
      <c r="C489" s="1">
        <v>483.0</v>
      </c>
      <c r="D489" s="2">
        <f t="shared" si="1"/>
        <v>10</v>
      </c>
      <c r="E489" s="1">
        <f t="shared" si="2"/>
        <v>55</v>
      </c>
      <c r="G489" s="2" t="str">
        <f t="shared" si="3"/>
        <v>INSERT INTO tblPracticalExamResult VALUES (seqPracticalExamResult.nextval, 483, 10, 55);</v>
      </c>
    </row>
    <row r="490">
      <c r="A490" s="1">
        <v>484.0</v>
      </c>
      <c r="B490" s="1" t="s">
        <v>318</v>
      </c>
      <c r="C490" s="1">
        <v>484.0</v>
      </c>
      <c r="D490" s="2">
        <f t="shared" si="1"/>
        <v>33</v>
      </c>
      <c r="E490" s="1">
        <f t="shared" si="2"/>
        <v>48</v>
      </c>
      <c r="G490" s="2" t="str">
        <f t="shared" si="3"/>
        <v>INSERT INTO tblPracticalExamResult VALUES (seqPracticalExamResult.nextval, 484, 33, 48);</v>
      </c>
    </row>
    <row r="491">
      <c r="A491" s="1">
        <v>485.0</v>
      </c>
      <c r="B491" s="1" t="s">
        <v>318</v>
      </c>
      <c r="C491" s="1">
        <v>485.0</v>
      </c>
      <c r="D491" s="2">
        <f t="shared" si="1"/>
        <v>27</v>
      </c>
      <c r="E491" s="1">
        <f t="shared" si="2"/>
        <v>50</v>
      </c>
      <c r="G491" s="2" t="str">
        <f t="shared" si="3"/>
        <v>INSERT INTO tblPracticalExamResult VALUES (seqPracticalExamResult.nextval, 485, 27, 50);</v>
      </c>
    </row>
    <row r="492">
      <c r="A492" s="1">
        <v>486.0</v>
      </c>
      <c r="B492" s="1" t="s">
        <v>318</v>
      </c>
      <c r="C492" s="1">
        <v>486.0</v>
      </c>
      <c r="D492" s="2">
        <f t="shared" si="1"/>
        <v>39</v>
      </c>
      <c r="E492" s="1">
        <f t="shared" si="2"/>
        <v>66</v>
      </c>
      <c r="G492" s="2" t="str">
        <f t="shared" si="3"/>
        <v>INSERT INTO tblPracticalExamResult VALUES (seqPracticalExamResult.nextval, 486, 39, 66);</v>
      </c>
    </row>
    <row r="493">
      <c r="A493" s="1">
        <v>487.0</v>
      </c>
      <c r="B493" s="1" t="s">
        <v>318</v>
      </c>
      <c r="C493" s="1">
        <v>487.0</v>
      </c>
      <c r="D493" s="2">
        <f t="shared" si="1"/>
        <v>78</v>
      </c>
      <c r="E493" s="1">
        <f t="shared" si="2"/>
        <v>56</v>
      </c>
      <c r="G493" s="2" t="str">
        <f t="shared" si="3"/>
        <v>INSERT INTO tblPracticalExamResult VALUES (seqPracticalExamResult.nextval, 487, 78, 56);</v>
      </c>
    </row>
    <row r="494">
      <c r="A494" s="1">
        <v>488.0</v>
      </c>
      <c r="B494" s="1" t="s">
        <v>318</v>
      </c>
      <c r="C494" s="1">
        <v>488.0</v>
      </c>
      <c r="D494" s="2">
        <f t="shared" si="1"/>
        <v>26</v>
      </c>
      <c r="E494" s="1">
        <f t="shared" si="2"/>
        <v>56</v>
      </c>
      <c r="G494" s="2" t="str">
        <f t="shared" si="3"/>
        <v>INSERT INTO tblPracticalExamResult VALUES (seqPracticalExamResult.nextval, 488, 26, 56);</v>
      </c>
    </row>
    <row r="495">
      <c r="A495" s="1">
        <v>489.0</v>
      </c>
      <c r="B495" s="1" t="s">
        <v>318</v>
      </c>
      <c r="C495" s="1">
        <v>489.0</v>
      </c>
      <c r="D495" s="2">
        <f t="shared" si="1"/>
        <v>86</v>
      </c>
      <c r="E495" s="1">
        <f t="shared" si="2"/>
        <v>63</v>
      </c>
      <c r="G495" s="2" t="str">
        <f t="shared" si="3"/>
        <v>INSERT INTO tblPracticalExamResult VALUES (seqPracticalExamResult.nextval, 489, 86, 63);</v>
      </c>
    </row>
    <row r="496">
      <c r="A496" s="1">
        <v>490.0</v>
      </c>
      <c r="B496" s="1" t="s">
        <v>318</v>
      </c>
      <c r="C496" s="1">
        <v>490.0</v>
      </c>
      <c r="D496" s="2">
        <f t="shared" si="1"/>
        <v>44</v>
      </c>
      <c r="E496" s="1">
        <f t="shared" si="2"/>
        <v>50</v>
      </c>
      <c r="G496" s="2" t="str">
        <f t="shared" si="3"/>
        <v>INSERT INTO tblPracticalExamResult VALUES (seqPracticalExamResult.nextval, 490, 44, 50);</v>
      </c>
    </row>
    <row r="497">
      <c r="A497" s="1">
        <v>491.0</v>
      </c>
      <c r="B497" s="1" t="s">
        <v>318</v>
      </c>
      <c r="C497" s="1">
        <v>491.0</v>
      </c>
      <c r="D497" s="2">
        <f t="shared" si="1"/>
        <v>69</v>
      </c>
      <c r="E497" s="1">
        <f t="shared" si="2"/>
        <v>43</v>
      </c>
      <c r="G497" s="2" t="str">
        <f t="shared" si="3"/>
        <v>INSERT INTO tblPracticalExamResult VALUES (seqPracticalExamResult.nextval, 491, 69, 43);</v>
      </c>
    </row>
  </sheetData>
  <mergeCells count="1">
    <mergeCell ref="B4:H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</cols>
  <sheetData>
    <row r="3">
      <c r="B3" s="38" t="s">
        <v>166</v>
      </c>
      <c r="G3" s="38"/>
    </row>
    <row r="5">
      <c r="B5" s="36" t="s">
        <v>319</v>
      </c>
      <c r="C5" s="36" t="s">
        <v>272</v>
      </c>
      <c r="D5" s="36" t="s">
        <v>320</v>
      </c>
      <c r="E5" s="36" t="s">
        <v>321</v>
      </c>
      <c r="F5" s="36" t="s">
        <v>322</v>
      </c>
    </row>
    <row r="6">
      <c r="A6" s="1">
        <v>1.0</v>
      </c>
      <c r="B6" s="1" t="s">
        <v>323</v>
      </c>
      <c r="C6" s="1">
        <v>1.0</v>
      </c>
      <c r="H6" s="2" t="str">
        <f t="shared" ref="H6:H496" si="1">"INSERT INTO tblStudentTotalScore VALUES (" &amp; B6 &amp; ", " &amp; C6 &amp; ", null, null, null);"</f>
        <v>INSERT INTO tblStudentTotalScore VALUES (seqStudentTotalScore.nextval, 1, null, null, null);</v>
      </c>
    </row>
    <row r="7">
      <c r="A7" s="1">
        <v>2.0</v>
      </c>
      <c r="B7" s="1" t="s">
        <v>323</v>
      </c>
      <c r="C7" s="1">
        <v>2.0</v>
      </c>
      <c r="H7" s="2" t="str">
        <f t="shared" si="1"/>
        <v>INSERT INTO tblStudentTotalScore VALUES (seqStudentTotalScore.nextval, 2, null, null, null);</v>
      </c>
    </row>
    <row r="8">
      <c r="A8" s="1">
        <v>3.0</v>
      </c>
      <c r="B8" s="1" t="s">
        <v>323</v>
      </c>
      <c r="C8" s="1">
        <v>3.0</v>
      </c>
      <c r="H8" s="2" t="str">
        <f t="shared" si="1"/>
        <v>INSERT INTO tblStudentTotalScore VALUES (seqStudentTotalScore.nextval, 3, null, null, null);</v>
      </c>
    </row>
    <row r="9">
      <c r="A9" s="1">
        <v>4.0</v>
      </c>
      <c r="B9" s="1" t="s">
        <v>323</v>
      </c>
      <c r="C9" s="1">
        <v>4.0</v>
      </c>
      <c r="H9" s="2" t="str">
        <f t="shared" si="1"/>
        <v>INSERT INTO tblStudentTotalScore VALUES (seqStudentTotalScore.nextval, 4, null, null, null);</v>
      </c>
    </row>
    <row r="10">
      <c r="A10" s="1">
        <v>5.0</v>
      </c>
      <c r="B10" s="1" t="s">
        <v>323</v>
      </c>
      <c r="C10" s="1">
        <v>5.0</v>
      </c>
      <c r="H10" s="2" t="str">
        <f t="shared" si="1"/>
        <v>INSERT INTO tblStudentTotalScore VALUES (seqStudentTotalScore.nextval, 5, null, null, null);</v>
      </c>
    </row>
    <row r="11">
      <c r="A11" s="1">
        <v>6.0</v>
      </c>
      <c r="B11" s="1" t="s">
        <v>323</v>
      </c>
      <c r="C11" s="1">
        <v>6.0</v>
      </c>
      <c r="H11" s="2" t="str">
        <f t="shared" si="1"/>
        <v>INSERT INTO tblStudentTotalScore VALUES (seqStudentTotalScore.nextval, 6, null, null, null);</v>
      </c>
    </row>
    <row r="12">
      <c r="A12" s="1">
        <v>7.0</v>
      </c>
      <c r="B12" s="1" t="s">
        <v>323</v>
      </c>
      <c r="C12" s="1">
        <v>7.0</v>
      </c>
      <c r="H12" s="2" t="str">
        <f t="shared" si="1"/>
        <v>INSERT INTO tblStudentTotalScore VALUES (seqStudentTotalScore.nextval, 7, null, null, null);</v>
      </c>
    </row>
    <row r="13">
      <c r="A13" s="1">
        <v>8.0</v>
      </c>
      <c r="B13" s="1" t="s">
        <v>323</v>
      </c>
      <c r="C13" s="1">
        <v>8.0</v>
      </c>
      <c r="H13" s="2" t="str">
        <f t="shared" si="1"/>
        <v>INSERT INTO tblStudentTotalScore VALUES (seqStudentTotalScore.nextval, 8, null, null, null);</v>
      </c>
    </row>
    <row r="14">
      <c r="A14" s="1">
        <v>9.0</v>
      </c>
      <c r="B14" s="1" t="s">
        <v>323</v>
      </c>
      <c r="C14" s="1">
        <v>9.0</v>
      </c>
      <c r="H14" s="2" t="str">
        <f t="shared" si="1"/>
        <v>INSERT INTO tblStudentTotalScore VALUES (seqStudentTotalScore.nextval, 9, null, null, null);</v>
      </c>
    </row>
    <row r="15">
      <c r="A15" s="1">
        <v>10.0</v>
      </c>
      <c r="B15" s="1" t="s">
        <v>323</v>
      </c>
      <c r="C15" s="1">
        <v>10.0</v>
      </c>
      <c r="H15" s="2" t="str">
        <f t="shared" si="1"/>
        <v>INSERT INTO tblStudentTotalScore VALUES (seqStudentTotalScore.nextval, 10, null, null, null);</v>
      </c>
    </row>
    <row r="16">
      <c r="A16" s="1">
        <v>11.0</v>
      </c>
      <c r="B16" s="1" t="s">
        <v>323</v>
      </c>
      <c r="C16" s="1">
        <v>11.0</v>
      </c>
      <c r="H16" s="2" t="str">
        <f t="shared" si="1"/>
        <v>INSERT INTO tblStudentTotalScore VALUES (seqStudentTotalScore.nextval, 11, null, null, null);</v>
      </c>
    </row>
    <row r="17">
      <c r="A17" s="1">
        <v>12.0</v>
      </c>
      <c r="B17" s="1" t="s">
        <v>323</v>
      </c>
      <c r="C17" s="1">
        <v>12.0</v>
      </c>
      <c r="H17" s="2" t="str">
        <f t="shared" si="1"/>
        <v>INSERT INTO tblStudentTotalScore VALUES (seqStudentTotalScore.nextval, 12, null, null, null);</v>
      </c>
    </row>
    <row r="18">
      <c r="A18" s="1">
        <v>13.0</v>
      </c>
      <c r="B18" s="1" t="s">
        <v>323</v>
      </c>
      <c r="C18" s="1">
        <v>13.0</v>
      </c>
      <c r="H18" s="2" t="str">
        <f t="shared" si="1"/>
        <v>INSERT INTO tblStudentTotalScore VALUES (seqStudentTotalScore.nextval, 13, null, null, null);</v>
      </c>
    </row>
    <row r="19">
      <c r="A19" s="1">
        <v>14.0</v>
      </c>
      <c r="B19" s="1" t="s">
        <v>323</v>
      </c>
      <c r="C19" s="1">
        <v>14.0</v>
      </c>
      <c r="H19" s="2" t="str">
        <f t="shared" si="1"/>
        <v>INSERT INTO tblStudentTotalScore VALUES (seqStudentTotalScore.nextval, 14, null, null, null);</v>
      </c>
    </row>
    <row r="20">
      <c r="A20" s="1">
        <v>15.0</v>
      </c>
      <c r="B20" s="1" t="s">
        <v>323</v>
      </c>
      <c r="C20" s="1">
        <v>15.0</v>
      </c>
      <c r="H20" s="2" t="str">
        <f t="shared" si="1"/>
        <v>INSERT INTO tblStudentTotalScore VALUES (seqStudentTotalScore.nextval, 15, null, null, null);</v>
      </c>
    </row>
    <row r="21">
      <c r="A21" s="1">
        <v>16.0</v>
      </c>
      <c r="B21" s="1" t="s">
        <v>323</v>
      </c>
      <c r="C21" s="1">
        <v>16.0</v>
      </c>
      <c r="H21" s="2" t="str">
        <f t="shared" si="1"/>
        <v>INSERT INTO tblStudentTotalScore VALUES (seqStudentTotalScore.nextval, 16, null, null, null);</v>
      </c>
    </row>
    <row r="22">
      <c r="A22" s="1">
        <v>17.0</v>
      </c>
      <c r="B22" s="1" t="s">
        <v>323</v>
      </c>
      <c r="C22" s="1">
        <v>17.0</v>
      </c>
      <c r="H22" s="2" t="str">
        <f t="shared" si="1"/>
        <v>INSERT INTO tblStudentTotalScore VALUES (seqStudentTotalScore.nextval, 17, null, null, null);</v>
      </c>
    </row>
    <row r="23">
      <c r="A23" s="1">
        <v>18.0</v>
      </c>
      <c r="B23" s="1" t="s">
        <v>323</v>
      </c>
      <c r="C23" s="1">
        <v>18.0</v>
      </c>
      <c r="H23" s="2" t="str">
        <f t="shared" si="1"/>
        <v>INSERT INTO tblStudentTotalScore VALUES (seqStudentTotalScore.nextval, 18, null, null, null);</v>
      </c>
    </row>
    <row r="24">
      <c r="A24" s="1">
        <v>19.0</v>
      </c>
      <c r="B24" s="1" t="s">
        <v>323</v>
      </c>
      <c r="C24" s="1">
        <v>19.0</v>
      </c>
      <c r="H24" s="2" t="str">
        <f t="shared" si="1"/>
        <v>INSERT INTO tblStudentTotalScore VALUES (seqStudentTotalScore.nextval, 19, null, null, null);</v>
      </c>
    </row>
    <row r="25">
      <c r="A25" s="1">
        <v>20.0</v>
      </c>
      <c r="B25" s="1" t="s">
        <v>323</v>
      </c>
      <c r="C25" s="1">
        <v>20.0</v>
      </c>
      <c r="H25" s="2" t="str">
        <f t="shared" si="1"/>
        <v>INSERT INTO tblStudentTotalScore VALUES (seqStudentTotalScore.nextval, 20, null, null, null);</v>
      </c>
    </row>
    <row r="26">
      <c r="A26" s="1">
        <v>21.0</v>
      </c>
      <c r="B26" s="1" t="s">
        <v>323</v>
      </c>
      <c r="C26" s="1">
        <v>21.0</v>
      </c>
      <c r="H26" s="2" t="str">
        <f t="shared" si="1"/>
        <v>INSERT INTO tblStudentTotalScore VALUES (seqStudentTotalScore.nextval, 21, null, null, null);</v>
      </c>
    </row>
    <row r="27">
      <c r="A27" s="1">
        <v>22.0</v>
      </c>
      <c r="B27" s="1" t="s">
        <v>323</v>
      </c>
      <c r="C27" s="1">
        <v>22.0</v>
      </c>
      <c r="H27" s="2" t="str">
        <f t="shared" si="1"/>
        <v>INSERT INTO tblStudentTotalScore VALUES (seqStudentTotalScore.nextval, 22, null, null, null);</v>
      </c>
    </row>
    <row r="28">
      <c r="A28" s="1">
        <v>23.0</v>
      </c>
      <c r="B28" s="1" t="s">
        <v>323</v>
      </c>
      <c r="C28" s="1">
        <v>23.0</v>
      </c>
      <c r="H28" s="2" t="str">
        <f t="shared" si="1"/>
        <v>INSERT INTO tblStudentTotalScore VALUES (seqStudentTotalScore.nextval, 23, null, null, null);</v>
      </c>
    </row>
    <row r="29">
      <c r="A29" s="1">
        <v>24.0</v>
      </c>
      <c r="B29" s="1" t="s">
        <v>323</v>
      </c>
      <c r="C29" s="1">
        <v>24.0</v>
      </c>
      <c r="H29" s="2" t="str">
        <f t="shared" si="1"/>
        <v>INSERT INTO tblStudentTotalScore VALUES (seqStudentTotalScore.nextval, 24, null, null, null);</v>
      </c>
    </row>
    <row r="30">
      <c r="A30" s="1">
        <v>25.0</v>
      </c>
      <c r="B30" s="1" t="s">
        <v>323</v>
      </c>
      <c r="C30" s="1">
        <v>25.0</v>
      </c>
      <c r="H30" s="2" t="str">
        <f t="shared" si="1"/>
        <v>INSERT INTO tblStudentTotalScore VALUES (seqStudentTotalScore.nextval, 25, null, null, null);</v>
      </c>
    </row>
    <row r="31">
      <c r="A31" s="1">
        <v>26.0</v>
      </c>
      <c r="B31" s="1" t="s">
        <v>323</v>
      </c>
      <c r="C31" s="1">
        <v>26.0</v>
      </c>
      <c r="H31" s="2" t="str">
        <f t="shared" si="1"/>
        <v>INSERT INTO tblStudentTotalScore VALUES (seqStudentTotalScore.nextval, 26, null, null, null);</v>
      </c>
    </row>
    <row r="32">
      <c r="A32" s="1">
        <v>27.0</v>
      </c>
      <c r="B32" s="1" t="s">
        <v>323</v>
      </c>
      <c r="C32" s="1">
        <v>27.0</v>
      </c>
      <c r="H32" s="2" t="str">
        <f t="shared" si="1"/>
        <v>INSERT INTO tblStudentTotalScore VALUES (seqStudentTotalScore.nextval, 27, null, null, null);</v>
      </c>
    </row>
    <row r="33">
      <c r="A33" s="1">
        <v>28.0</v>
      </c>
      <c r="B33" s="1" t="s">
        <v>323</v>
      </c>
      <c r="C33" s="1">
        <v>28.0</v>
      </c>
      <c r="H33" s="2" t="str">
        <f t="shared" si="1"/>
        <v>INSERT INTO tblStudentTotalScore VALUES (seqStudentTotalScore.nextval, 28, null, null, null);</v>
      </c>
    </row>
    <row r="34">
      <c r="A34" s="1">
        <v>29.0</v>
      </c>
      <c r="B34" s="1" t="s">
        <v>323</v>
      </c>
      <c r="C34" s="1">
        <v>29.0</v>
      </c>
      <c r="H34" s="2" t="str">
        <f t="shared" si="1"/>
        <v>INSERT INTO tblStudentTotalScore VALUES (seqStudentTotalScore.nextval, 29, null, null, null);</v>
      </c>
    </row>
    <row r="35">
      <c r="A35" s="1">
        <v>30.0</v>
      </c>
      <c r="B35" s="1" t="s">
        <v>323</v>
      </c>
      <c r="C35" s="1">
        <v>30.0</v>
      </c>
      <c r="H35" s="2" t="str">
        <f t="shared" si="1"/>
        <v>INSERT INTO tblStudentTotalScore VALUES (seqStudentTotalScore.nextval, 30, null, null, null);</v>
      </c>
    </row>
    <row r="36">
      <c r="A36" s="1">
        <v>31.0</v>
      </c>
      <c r="B36" s="1" t="s">
        <v>323</v>
      </c>
      <c r="C36" s="1">
        <v>31.0</v>
      </c>
      <c r="H36" s="2" t="str">
        <f t="shared" si="1"/>
        <v>INSERT INTO tblStudentTotalScore VALUES (seqStudentTotalScore.nextval, 31, null, null, null);</v>
      </c>
    </row>
    <row r="37">
      <c r="A37" s="1">
        <v>32.0</v>
      </c>
      <c r="B37" s="1" t="s">
        <v>323</v>
      </c>
      <c r="C37" s="1">
        <v>32.0</v>
      </c>
      <c r="H37" s="2" t="str">
        <f t="shared" si="1"/>
        <v>INSERT INTO tblStudentTotalScore VALUES (seqStudentTotalScore.nextval, 32, null, null, null);</v>
      </c>
    </row>
    <row r="38">
      <c r="A38" s="1">
        <v>33.0</v>
      </c>
      <c r="B38" s="1" t="s">
        <v>323</v>
      </c>
      <c r="C38" s="1">
        <v>33.0</v>
      </c>
      <c r="H38" s="2" t="str">
        <f t="shared" si="1"/>
        <v>INSERT INTO tblStudentTotalScore VALUES (seqStudentTotalScore.nextval, 33, null, null, null);</v>
      </c>
    </row>
    <row r="39">
      <c r="A39" s="1">
        <v>34.0</v>
      </c>
      <c r="B39" s="1" t="s">
        <v>323</v>
      </c>
      <c r="C39" s="1">
        <v>34.0</v>
      </c>
      <c r="H39" s="2" t="str">
        <f t="shared" si="1"/>
        <v>INSERT INTO tblStudentTotalScore VALUES (seqStudentTotalScore.nextval, 34, null, null, null);</v>
      </c>
    </row>
    <row r="40">
      <c r="A40" s="1">
        <v>35.0</v>
      </c>
      <c r="B40" s="1" t="s">
        <v>323</v>
      </c>
      <c r="C40" s="1">
        <v>35.0</v>
      </c>
      <c r="H40" s="2" t="str">
        <f t="shared" si="1"/>
        <v>INSERT INTO tblStudentTotalScore VALUES (seqStudentTotalScore.nextval, 35, null, null, null);</v>
      </c>
    </row>
    <row r="41">
      <c r="A41" s="1">
        <v>36.0</v>
      </c>
      <c r="B41" s="1" t="s">
        <v>323</v>
      </c>
      <c r="C41" s="1">
        <v>36.0</v>
      </c>
      <c r="H41" s="2" t="str">
        <f t="shared" si="1"/>
        <v>INSERT INTO tblStudentTotalScore VALUES (seqStudentTotalScore.nextval, 36, null, null, null);</v>
      </c>
    </row>
    <row r="42">
      <c r="A42" s="1">
        <v>37.0</v>
      </c>
      <c r="B42" s="1" t="s">
        <v>323</v>
      </c>
      <c r="C42" s="1">
        <v>37.0</v>
      </c>
      <c r="H42" s="2" t="str">
        <f t="shared" si="1"/>
        <v>INSERT INTO tblStudentTotalScore VALUES (seqStudentTotalScore.nextval, 37, null, null, null);</v>
      </c>
    </row>
    <row r="43">
      <c r="A43" s="1">
        <v>38.0</v>
      </c>
      <c r="B43" s="1" t="s">
        <v>323</v>
      </c>
      <c r="C43" s="1">
        <v>38.0</v>
      </c>
      <c r="H43" s="2" t="str">
        <f t="shared" si="1"/>
        <v>INSERT INTO tblStudentTotalScore VALUES (seqStudentTotalScore.nextval, 38, null, null, null);</v>
      </c>
    </row>
    <row r="44">
      <c r="A44" s="1">
        <v>39.0</v>
      </c>
      <c r="B44" s="1" t="s">
        <v>323</v>
      </c>
      <c r="C44" s="1">
        <v>39.0</v>
      </c>
      <c r="H44" s="2" t="str">
        <f t="shared" si="1"/>
        <v>INSERT INTO tblStudentTotalScore VALUES (seqStudentTotalScore.nextval, 39, null, null, null);</v>
      </c>
    </row>
    <row r="45">
      <c r="A45" s="1">
        <v>40.0</v>
      </c>
      <c r="B45" s="1" t="s">
        <v>323</v>
      </c>
      <c r="C45" s="1">
        <v>40.0</v>
      </c>
      <c r="H45" s="2" t="str">
        <f t="shared" si="1"/>
        <v>INSERT INTO tblStudentTotalScore VALUES (seqStudentTotalScore.nextval, 40, null, null, null);</v>
      </c>
    </row>
    <row r="46">
      <c r="A46" s="1">
        <v>41.0</v>
      </c>
      <c r="B46" s="1" t="s">
        <v>323</v>
      </c>
      <c r="C46" s="1">
        <v>41.0</v>
      </c>
      <c r="H46" s="2" t="str">
        <f t="shared" si="1"/>
        <v>INSERT INTO tblStudentTotalScore VALUES (seqStudentTotalScore.nextval, 41, null, null, null);</v>
      </c>
    </row>
    <row r="47">
      <c r="A47" s="1">
        <v>42.0</v>
      </c>
      <c r="B47" s="1" t="s">
        <v>323</v>
      </c>
      <c r="C47" s="1">
        <v>42.0</v>
      </c>
      <c r="H47" s="2" t="str">
        <f t="shared" si="1"/>
        <v>INSERT INTO tblStudentTotalScore VALUES (seqStudentTotalScore.nextval, 42, null, null, null);</v>
      </c>
    </row>
    <row r="48">
      <c r="A48" s="1">
        <v>43.0</v>
      </c>
      <c r="B48" s="1" t="s">
        <v>323</v>
      </c>
      <c r="C48" s="1">
        <v>43.0</v>
      </c>
      <c r="H48" s="2" t="str">
        <f t="shared" si="1"/>
        <v>INSERT INTO tblStudentTotalScore VALUES (seqStudentTotalScore.nextval, 43, null, null, null);</v>
      </c>
    </row>
    <row r="49">
      <c r="A49" s="1">
        <v>44.0</v>
      </c>
      <c r="B49" s="1" t="s">
        <v>323</v>
      </c>
      <c r="C49" s="1">
        <v>44.0</v>
      </c>
      <c r="H49" s="2" t="str">
        <f t="shared" si="1"/>
        <v>INSERT INTO tblStudentTotalScore VALUES (seqStudentTotalScore.nextval, 44, null, null, null);</v>
      </c>
    </row>
    <row r="50">
      <c r="A50" s="1">
        <v>45.0</v>
      </c>
      <c r="B50" s="1" t="s">
        <v>323</v>
      </c>
      <c r="C50" s="1">
        <v>45.0</v>
      </c>
      <c r="H50" s="2" t="str">
        <f t="shared" si="1"/>
        <v>INSERT INTO tblStudentTotalScore VALUES (seqStudentTotalScore.nextval, 45, null, null, null);</v>
      </c>
    </row>
    <row r="51">
      <c r="A51" s="1">
        <v>46.0</v>
      </c>
      <c r="B51" s="1" t="s">
        <v>323</v>
      </c>
      <c r="C51" s="1">
        <v>46.0</v>
      </c>
      <c r="H51" s="2" t="str">
        <f t="shared" si="1"/>
        <v>INSERT INTO tblStudentTotalScore VALUES (seqStudentTotalScore.nextval, 46, null, null, null);</v>
      </c>
    </row>
    <row r="52">
      <c r="A52" s="1">
        <v>47.0</v>
      </c>
      <c r="B52" s="1" t="s">
        <v>323</v>
      </c>
      <c r="C52" s="1">
        <v>47.0</v>
      </c>
      <c r="H52" s="2" t="str">
        <f t="shared" si="1"/>
        <v>INSERT INTO tblStudentTotalScore VALUES (seqStudentTotalScore.nextval, 47, null, null, null);</v>
      </c>
    </row>
    <row r="53">
      <c r="A53" s="1">
        <v>48.0</v>
      </c>
      <c r="B53" s="1" t="s">
        <v>323</v>
      </c>
      <c r="C53" s="1">
        <v>48.0</v>
      </c>
      <c r="H53" s="2" t="str">
        <f t="shared" si="1"/>
        <v>INSERT INTO tblStudentTotalScore VALUES (seqStudentTotalScore.nextval, 48, null, null, null);</v>
      </c>
    </row>
    <row r="54">
      <c r="A54" s="1">
        <v>49.0</v>
      </c>
      <c r="B54" s="1" t="s">
        <v>323</v>
      </c>
      <c r="C54" s="1">
        <v>49.0</v>
      </c>
      <c r="H54" s="2" t="str">
        <f t="shared" si="1"/>
        <v>INSERT INTO tblStudentTotalScore VALUES (seqStudentTotalScore.nextval, 49, null, null, null);</v>
      </c>
    </row>
    <row r="55">
      <c r="A55" s="1">
        <v>50.0</v>
      </c>
      <c r="B55" s="1" t="s">
        <v>323</v>
      </c>
      <c r="C55" s="1">
        <v>50.0</v>
      </c>
      <c r="H55" s="2" t="str">
        <f t="shared" si="1"/>
        <v>INSERT INTO tblStudentTotalScore VALUES (seqStudentTotalScore.nextval, 50, null, null, null);</v>
      </c>
    </row>
    <row r="56">
      <c r="A56" s="1">
        <v>51.0</v>
      </c>
      <c r="B56" s="1" t="s">
        <v>323</v>
      </c>
      <c r="C56" s="1">
        <v>51.0</v>
      </c>
      <c r="H56" s="2" t="str">
        <f t="shared" si="1"/>
        <v>INSERT INTO tblStudentTotalScore VALUES (seqStudentTotalScore.nextval, 51, null, null, null);</v>
      </c>
    </row>
    <row r="57">
      <c r="A57" s="1">
        <v>52.0</v>
      </c>
      <c r="B57" s="1" t="s">
        <v>323</v>
      </c>
      <c r="C57" s="1">
        <v>52.0</v>
      </c>
      <c r="H57" s="2" t="str">
        <f t="shared" si="1"/>
        <v>INSERT INTO tblStudentTotalScore VALUES (seqStudentTotalScore.nextval, 52, null, null, null);</v>
      </c>
    </row>
    <row r="58">
      <c r="A58" s="1">
        <v>53.0</v>
      </c>
      <c r="B58" s="1" t="s">
        <v>323</v>
      </c>
      <c r="C58" s="1">
        <v>53.0</v>
      </c>
      <c r="H58" s="2" t="str">
        <f t="shared" si="1"/>
        <v>INSERT INTO tblStudentTotalScore VALUES (seqStudentTotalScore.nextval, 53, null, null, null);</v>
      </c>
    </row>
    <row r="59">
      <c r="A59" s="1">
        <v>54.0</v>
      </c>
      <c r="B59" s="1" t="s">
        <v>323</v>
      </c>
      <c r="C59" s="1">
        <v>54.0</v>
      </c>
      <c r="H59" s="2" t="str">
        <f t="shared" si="1"/>
        <v>INSERT INTO tblStudentTotalScore VALUES (seqStudentTotalScore.nextval, 54, null, null, null);</v>
      </c>
    </row>
    <row r="60">
      <c r="A60" s="1">
        <v>55.0</v>
      </c>
      <c r="B60" s="1" t="s">
        <v>323</v>
      </c>
      <c r="C60" s="1">
        <v>55.0</v>
      </c>
      <c r="H60" s="2" t="str">
        <f t="shared" si="1"/>
        <v>INSERT INTO tblStudentTotalScore VALUES (seqStudentTotalScore.nextval, 55, null, null, null);</v>
      </c>
    </row>
    <row r="61">
      <c r="A61" s="1">
        <v>56.0</v>
      </c>
      <c r="B61" s="1" t="s">
        <v>323</v>
      </c>
      <c r="C61" s="1">
        <v>56.0</v>
      </c>
      <c r="H61" s="2" t="str">
        <f t="shared" si="1"/>
        <v>INSERT INTO tblStudentTotalScore VALUES (seqStudentTotalScore.nextval, 56, null, null, null);</v>
      </c>
    </row>
    <row r="62">
      <c r="A62" s="1">
        <v>57.0</v>
      </c>
      <c r="B62" s="1" t="s">
        <v>323</v>
      </c>
      <c r="C62" s="1">
        <v>57.0</v>
      </c>
      <c r="H62" s="2" t="str">
        <f t="shared" si="1"/>
        <v>INSERT INTO tblStudentTotalScore VALUES (seqStudentTotalScore.nextval, 57, null, null, null);</v>
      </c>
    </row>
    <row r="63">
      <c r="A63" s="1">
        <v>58.0</v>
      </c>
      <c r="B63" s="1" t="s">
        <v>323</v>
      </c>
      <c r="C63" s="1">
        <v>58.0</v>
      </c>
      <c r="H63" s="2" t="str">
        <f t="shared" si="1"/>
        <v>INSERT INTO tblStudentTotalScore VALUES (seqStudentTotalScore.nextval, 58, null, null, null);</v>
      </c>
    </row>
    <row r="64">
      <c r="A64" s="1">
        <v>59.0</v>
      </c>
      <c r="B64" s="1" t="s">
        <v>323</v>
      </c>
      <c r="C64" s="1">
        <v>59.0</v>
      </c>
      <c r="H64" s="2" t="str">
        <f t="shared" si="1"/>
        <v>INSERT INTO tblStudentTotalScore VALUES (seqStudentTotalScore.nextval, 59, null, null, null);</v>
      </c>
    </row>
    <row r="65">
      <c r="A65" s="1">
        <v>60.0</v>
      </c>
      <c r="B65" s="1" t="s">
        <v>323</v>
      </c>
      <c r="C65" s="1">
        <v>60.0</v>
      </c>
      <c r="H65" s="2" t="str">
        <f t="shared" si="1"/>
        <v>INSERT INTO tblStudentTotalScore VALUES (seqStudentTotalScore.nextval, 60, null, null, null);</v>
      </c>
    </row>
    <row r="66">
      <c r="A66" s="1">
        <v>61.0</v>
      </c>
      <c r="B66" s="1" t="s">
        <v>323</v>
      </c>
      <c r="C66" s="1">
        <v>61.0</v>
      </c>
      <c r="H66" s="2" t="str">
        <f t="shared" si="1"/>
        <v>INSERT INTO tblStudentTotalScore VALUES (seqStudentTotalScore.nextval, 61, null, null, null);</v>
      </c>
    </row>
    <row r="67">
      <c r="A67" s="1">
        <v>62.0</v>
      </c>
      <c r="B67" s="1" t="s">
        <v>323</v>
      </c>
      <c r="C67" s="1">
        <v>62.0</v>
      </c>
      <c r="H67" s="2" t="str">
        <f t="shared" si="1"/>
        <v>INSERT INTO tblStudentTotalScore VALUES (seqStudentTotalScore.nextval, 62, null, null, null);</v>
      </c>
    </row>
    <row r="68">
      <c r="A68" s="1">
        <v>63.0</v>
      </c>
      <c r="B68" s="1" t="s">
        <v>323</v>
      </c>
      <c r="C68" s="1">
        <v>63.0</v>
      </c>
      <c r="H68" s="2" t="str">
        <f t="shared" si="1"/>
        <v>INSERT INTO tblStudentTotalScore VALUES (seqStudentTotalScore.nextval, 63, null, null, null);</v>
      </c>
    </row>
    <row r="69">
      <c r="A69" s="1">
        <v>64.0</v>
      </c>
      <c r="B69" s="1" t="s">
        <v>323</v>
      </c>
      <c r="C69" s="1">
        <v>64.0</v>
      </c>
      <c r="H69" s="2" t="str">
        <f t="shared" si="1"/>
        <v>INSERT INTO tblStudentTotalScore VALUES (seqStudentTotalScore.nextval, 64, null, null, null);</v>
      </c>
    </row>
    <row r="70">
      <c r="A70" s="1">
        <v>65.0</v>
      </c>
      <c r="B70" s="1" t="s">
        <v>323</v>
      </c>
      <c r="C70" s="1">
        <v>65.0</v>
      </c>
      <c r="H70" s="2" t="str">
        <f t="shared" si="1"/>
        <v>INSERT INTO tblStudentTotalScore VALUES (seqStudentTotalScore.nextval, 65, null, null, null);</v>
      </c>
    </row>
    <row r="71">
      <c r="A71" s="1">
        <v>66.0</v>
      </c>
      <c r="B71" s="1" t="s">
        <v>323</v>
      </c>
      <c r="C71" s="1">
        <v>66.0</v>
      </c>
      <c r="H71" s="2" t="str">
        <f t="shared" si="1"/>
        <v>INSERT INTO tblStudentTotalScore VALUES (seqStudentTotalScore.nextval, 66, null, null, null);</v>
      </c>
    </row>
    <row r="72">
      <c r="A72" s="1">
        <v>67.0</v>
      </c>
      <c r="B72" s="1" t="s">
        <v>323</v>
      </c>
      <c r="C72" s="1">
        <v>67.0</v>
      </c>
      <c r="H72" s="2" t="str">
        <f t="shared" si="1"/>
        <v>INSERT INTO tblStudentTotalScore VALUES (seqStudentTotalScore.nextval, 67, null, null, null);</v>
      </c>
    </row>
    <row r="73">
      <c r="A73" s="1">
        <v>68.0</v>
      </c>
      <c r="B73" s="1" t="s">
        <v>323</v>
      </c>
      <c r="C73" s="1">
        <v>68.0</v>
      </c>
      <c r="H73" s="2" t="str">
        <f t="shared" si="1"/>
        <v>INSERT INTO tblStudentTotalScore VALUES (seqStudentTotalScore.nextval, 68, null, null, null);</v>
      </c>
    </row>
    <row r="74">
      <c r="A74" s="1">
        <v>69.0</v>
      </c>
      <c r="B74" s="1" t="s">
        <v>323</v>
      </c>
      <c r="C74" s="1">
        <v>69.0</v>
      </c>
      <c r="H74" s="2" t="str">
        <f t="shared" si="1"/>
        <v>INSERT INTO tblStudentTotalScore VALUES (seqStudentTotalScore.nextval, 69, null, null, null);</v>
      </c>
    </row>
    <row r="75">
      <c r="A75" s="1">
        <v>70.0</v>
      </c>
      <c r="B75" s="1" t="s">
        <v>323</v>
      </c>
      <c r="C75" s="1">
        <v>70.0</v>
      </c>
      <c r="H75" s="2" t="str">
        <f t="shared" si="1"/>
        <v>INSERT INTO tblStudentTotalScore VALUES (seqStudentTotalScore.nextval, 70, null, null, null);</v>
      </c>
    </row>
    <row r="76">
      <c r="A76" s="1">
        <v>71.0</v>
      </c>
      <c r="B76" s="1" t="s">
        <v>323</v>
      </c>
      <c r="C76" s="1">
        <v>71.0</v>
      </c>
      <c r="H76" s="2" t="str">
        <f t="shared" si="1"/>
        <v>INSERT INTO tblStudentTotalScore VALUES (seqStudentTotalScore.nextval, 71, null, null, null);</v>
      </c>
    </row>
    <row r="77">
      <c r="A77" s="1">
        <v>72.0</v>
      </c>
      <c r="B77" s="1" t="s">
        <v>323</v>
      </c>
      <c r="C77" s="1">
        <v>72.0</v>
      </c>
      <c r="H77" s="2" t="str">
        <f t="shared" si="1"/>
        <v>INSERT INTO tblStudentTotalScore VALUES (seqStudentTotalScore.nextval, 72, null, null, null);</v>
      </c>
    </row>
    <row r="78">
      <c r="A78" s="1">
        <v>73.0</v>
      </c>
      <c r="B78" s="1" t="s">
        <v>323</v>
      </c>
      <c r="C78" s="1">
        <v>73.0</v>
      </c>
      <c r="H78" s="2" t="str">
        <f t="shared" si="1"/>
        <v>INSERT INTO tblStudentTotalScore VALUES (seqStudentTotalScore.nextval, 73, null, null, null);</v>
      </c>
    </row>
    <row r="79">
      <c r="A79" s="1">
        <v>74.0</v>
      </c>
      <c r="B79" s="1" t="s">
        <v>323</v>
      </c>
      <c r="C79" s="1">
        <v>74.0</v>
      </c>
      <c r="H79" s="2" t="str">
        <f t="shared" si="1"/>
        <v>INSERT INTO tblStudentTotalScore VALUES (seqStudentTotalScore.nextval, 74, null, null, null);</v>
      </c>
    </row>
    <row r="80">
      <c r="A80" s="1">
        <v>75.0</v>
      </c>
      <c r="B80" s="1" t="s">
        <v>323</v>
      </c>
      <c r="C80" s="1">
        <v>75.0</v>
      </c>
      <c r="H80" s="2" t="str">
        <f t="shared" si="1"/>
        <v>INSERT INTO tblStudentTotalScore VALUES (seqStudentTotalScore.nextval, 75, null, null, null);</v>
      </c>
    </row>
    <row r="81">
      <c r="A81" s="1">
        <v>76.0</v>
      </c>
      <c r="B81" s="1" t="s">
        <v>323</v>
      </c>
      <c r="C81" s="1">
        <v>76.0</v>
      </c>
      <c r="H81" s="2" t="str">
        <f t="shared" si="1"/>
        <v>INSERT INTO tblStudentTotalScore VALUES (seqStudentTotalScore.nextval, 76, null, null, null);</v>
      </c>
    </row>
    <row r="82">
      <c r="A82" s="1">
        <v>77.0</v>
      </c>
      <c r="B82" s="1" t="s">
        <v>323</v>
      </c>
      <c r="C82" s="1">
        <v>77.0</v>
      </c>
      <c r="H82" s="2" t="str">
        <f t="shared" si="1"/>
        <v>INSERT INTO tblStudentTotalScore VALUES (seqStudentTotalScore.nextval, 77, null, null, null);</v>
      </c>
    </row>
    <row r="83">
      <c r="A83" s="1">
        <v>78.0</v>
      </c>
      <c r="B83" s="1" t="s">
        <v>323</v>
      </c>
      <c r="C83" s="1">
        <v>78.0</v>
      </c>
      <c r="H83" s="2" t="str">
        <f t="shared" si="1"/>
        <v>INSERT INTO tblStudentTotalScore VALUES (seqStudentTotalScore.nextval, 78, null, null, null);</v>
      </c>
    </row>
    <row r="84">
      <c r="A84" s="1">
        <v>79.0</v>
      </c>
      <c r="B84" s="1" t="s">
        <v>323</v>
      </c>
      <c r="C84" s="1">
        <v>79.0</v>
      </c>
      <c r="H84" s="2" t="str">
        <f t="shared" si="1"/>
        <v>INSERT INTO tblStudentTotalScore VALUES (seqStudentTotalScore.nextval, 79, null, null, null);</v>
      </c>
    </row>
    <row r="85">
      <c r="A85" s="1">
        <v>80.0</v>
      </c>
      <c r="B85" s="1" t="s">
        <v>323</v>
      </c>
      <c r="C85" s="1">
        <v>80.0</v>
      </c>
      <c r="H85" s="2" t="str">
        <f t="shared" si="1"/>
        <v>INSERT INTO tblStudentTotalScore VALUES (seqStudentTotalScore.nextval, 80, null, null, null);</v>
      </c>
    </row>
    <row r="86">
      <c r="A86" s="1">
        <v>81.0</v>
      </c>
      <c r="B86" s="1" t="s">
        <v>323</v>
      </c>
      <c r="C86" s="1">
        <v>81.0</v>
      </c>
      <c r="H86" s="2" t="str">
        <f t="shared" si="1"/>
        <v>INSERT INTO tblStudentTotalScore VALUES (seqStudentTotalScore.nextval, 81, null, null, null);</v>
      </c>
    </row>
    <row r="87">
      <c r="A87" s="1">
        <v>82.0</v>
      </c>
      <c r="B87" s="1" t="s">
        <v>323</v>
      </c>
      <c r="C87" s="1">
        <v>82.0</v>
      </c>
      <c r="H87" s="2" t="str">
        <f t="shared" si="1"/>
        <v>INSERT INTO tblStudentTotalScore VALUES (seqStudentTotalScore.nextval, 82, null, null, null);</v>
      </c>
    </row>
    <row r="88">
      <c r="A88" s="1">
        <v>83.0</v>
      </c>
      <c r="B88" s="1" t="s">
        <v>323</v>
      </c>
      <c r="C88" s="1">
        <v>83.0</v>
      </c>
      <c r="H88" s="2" t="str">
        <f t="shared" si="1"/>
        <v>INSERT INTO tblStudentTotalScore VALUES (seqStudentTotalScore.nextval, 83, null, null, null);</v>
      </c>
    </row>
    <row r="89">
      <c r="A89" s="1">
        <v>84.0</v>
      </c>
      <c r="B89" s="1" t="s">
        <v>323</v>
      </c>
      <c r="C89" s="1">
        <v>84.0</v>
      </c>
      <c r="H89" s="2" t="str">
        <f t="shared" si="1"/>
        <v>INSERT INTO tblStudentTotalScore VALUES (seqStudentTotalScore.nextval, 84, null, null, null);</v>
      </c>
    </row>
    <row r="90">
      <c r="A90" s="1">
        <v>85.0</v>
      </c>
      <c r="B90" s="1" t="s">
        <v>323</v>
      </c>
      <c r="C90" s="1">
        <v>85.0</v>
      </c>
      <c r="H90" s="2" t="str">
        <f t="shared" si="1"/>
        <v>INSERT INTO tblStudentTotalScore VALUES (seqStudentTotalScore.nextval, 85, null, null, null);</v>
      </c>
    </row>
    <row r="91">
      <c r="A91" s="1">
        <v>86.0</v>
      </c>
      <c r="B91" s="1" t="s">
        <v>323</v>
      </c>
      <c r="C91" s="1">
        <v>86.0</v>
      </c>
      <c r="H91" s="2" t="str">
        <f t="shared" si="1"/>
        <v>INSERT INTO tblStudentTotalScore VALUES (seqStudentTotalScore.nextval, 86, null, null, null);</v>
      </c>
    </row>
    <row r="92">
      <c r="A92" s="1">
        <v>87.0</v>
      </c>
      <c r="B92" s="1" t="s">
        <v>323</v>
      </c>
      <c r="C92" s="1">
        <v>87.0</v>
      </c>
      <c r="H92" s="2" t="str">
        <f t="shared" si="1"/>
        <v>INSERT INTO tblStudentTotalScore VALUES (seqStudentTotalScore.nextval, 87, null, null, null);</v>
      </c>
    </row>
    <row r="93">
      <c r="A93" s="1">
        <v>88.0</v>
      </c>
      <c r="B93" s="1" t="s">
        <v>323</v>
      </c>
      <c r="C93" s="1">
        <v>88.0</v>
      </c>
      <c r="H93" s="2" t="str">
        <f t="shared" si="1"/>
        <v>INSERT INTO tblStudentTotalScore VALUES (seqStudentTotalScore.nextval, 88, null, null, null);</v>
      </c>
    </row>
    <row r="94">
      <c r="A94" s="1">
        <v>89.0</v>
      </c>
      <c r="B94" s="1" t="s">
        <v>323</v>
      </c>
      <c r="C94" s="1">
        <v>89.0</v>
      </c>
      <c r="H94" s="2" t="str">
        <f t="shared" si="1"/>
        <v>INSERT INTO tblStudentTotalScore VALUES (seqStudentTotalScore.nextval, 89, null, null, null);</v>
      </c>
    </row>
    <row r="95">
      <c r="A95" s="1">
        <v>90.0</v>
      </c>
      <c r="B95" s="1" t="s">
        <v>323</v>
      </c>
      <c r="C95" s="1">
        <v>90.0</v>
      </c>
      <c r="H95" s="2" t="str">
        <f t="shared" si="1"/>
        <v>INSERT INTO tblStudentTotalScore VALUES (seqStudentTotalScore.nextval, 90, null, null, null);</v>
      </c>
    </row>
    <row r="96">
      <c r="A96" s="1">
        <v>91.0</v>
      </c>
      <c r="B96" s="1" t="s">
        <v>323</v>
      </c>
      <c r="C96" s="1">
        <v>91.0</v>
      </c>
      <c r="H96" s="2" t="str">
        <f t="shared" si="1"/>
        <v>INSERT INTO tblStudentTotalScore VALUES (seqStudentTotalScore.nextval, 91, null, null, null);</v>
      </c>
    </row>
    <row r="97">
      <c r="A97" s="1">
        <v>92.0</v>
      </c>
      <c r="B97" s="1" t="s">
        <v>323</v>
      </c>
      <c r="C97" s="1">
        <v>92.0</v>
      </c>
      <c r="H97" s="2" t="str">
        <f t="shared" si="1"/>
        <v>INSERT INTO tblStudentTotalScore VALUES (seqStudentTotalScore.nextval, 92, null, null, null);</v>
      </c>
    </row>
    <row r="98">
      <c r="A98" s="1">
        <v>93.0</v>
      </c>
      <c r="B98" s="1" t="s">
        <v>323</v>
      </c>
      <c r="C98" s="1">
        <v>93.0</v>
      </c>
      <c r="H98" s="2" t="str">
        <f t="shared" si="1"/>
        <v>INSERT INTO tblStudentTotalScore VALUES (seqStudentTotalScore.nextval, 93, null, null, null);</v>
      </c>
    </row>
    <row r="99">
      <c r="A99" s="1">
        <v>94.0</v>
      </c>
      <c r="B99" s="1" t="s">
        <v>323</v>
      </c>
      <c r="C99" s="1">
        <v>94.0</v>
      </c>
      <c r="H99" s="2" t="str">
        <f t="shared" si="1"/>
        <v>INSERT INTO tblStudentTotalScore VALUES (seqStudentTotalScore.nextval, 94, null, null, null);</v>
      </c>
    </row>
    <row r="100">
      <c r="A100" s="1">
        <v>95.0</v>
      </c>
      <c r="B100" s="1" t="s">
        <v>323</v>
      </c>
      <c r="C100" s="1">
        <v>95.0</v>
      </c>
      <c r="H100" s="2" t="str">
        <f t="shared" si="1"/>
        <v>INSERT INTO tblStudentTotalScore VALUES (seqStudentTotalScore.nextval, 95, null, null, null);</v>
      </c>
    </row>
    <row r="101">
      <c r="A101" s="1">
        <v>96.0</v>
      </c>
      <c r="B101" s="1" t="s">
        <v>323</v>
      </c>
      <c r="C101" s="1">
        <v>96.0</v>
      </c>
      <c r="H101" s="2" t="str">
        <f t="shared" si="1"/>
        <v>INSERT INTO tblStudentTotalScore VALUES (seqStudentTotalScore.nextval, 96, null, null, null);</v>
      </c>
    </row>
    <row r="102">
      <c r="A102" s="1">
        <v>97.0</v>
      </c>
      <c r="B102" s="1" t="s">
        <v>323</v>
      </c>
      <c r="C102" s="1">
        <v>97.0</v>
      </c>
      <c r="H102" s="2" t="str">
        <f t="shared" si="1"/>
        <v>INSERT INTO tblStudentTotalScore VALUES (seqStudentTotalScore.nextval, 97, null, null, null);</v>
      </c>
    </row>
    <row r="103">
      <c r="A103" s="1">
        <v>98.0</v>
      </c>
      <c r="B103" s="1" t="s">
        <v>323</v>
      </c>
      <c r="C103" s="1">
        <v>98.0</v>
      </c>
      <c r="H103" s="2" t="str">
        <f t="shared" si="1"/>
        <v>INSERT INTO tblStudentTotalScore VALUES (seqStudentTotalScore.nextval, 98, null, null, null);</v>
      </c>
    </row>
    <row r="104">
      <c r="A104" s="1">
        <v>99.0</v>
      </c>
      <c r="B104" s="1" t="s">
        <v>323</v>
      </c>
      <c r="C104" s="1">
        <v>99.0</v>
      </c>
      <c r="H104" s="2" t="str">
        <f t="shared" si="1"/>
        <v>INSERT INTO tblStudentTotalScore VALUES (seqStudentTotalScore.nextval, 99, null, null, null);</v>
      </c>
    </row>
    <row r="105">
      <c r="A105" s="1">
        <v>100.0</v>
      </c>
      <c r="B105" s="1" t="s">
        <v>323</v>
      </c>
      <c r="C105" s="1">
        <v>100.0</v>
      </c>
      <c r="H105" s="2" t="str">
        <f t="shared" si="1"/>
        <v>INSERT INTO tblStudentTotalScore VALUES (seqStudentTotalScore.nextval, 100, null, null, null);</v>
      </c>
    </row>
    <row r="106">
      <c r="A106" s="1">
        <v>101.0</v>
      </c>
      <c r="B106" s="1" t="s">
        <v>323</v>
      </c>
      <c r="C106" s="1">
        <v>101.0</v>
      </c>
      <c r="H106" s="2" t="str">
        <f t="shared" si="1"/>
        <v>INSERT INTO tblStudentTotalScore VALUES (seqStudentTotalScore.nextval, 101, null, null, null);</v>
      </c>
    </row>
    <row r="107">
      <c r="A107" s="1">
        <v>102.0</v>
      </c>
      <c r="B107" s="1" t="s">
        <v>323</v>
      </c>
      <c r="C107" s="1">
        <v>102.0</v>
      </c>
      <c r="H107" s="2" t="str">
        <f t="shared" si="1"/>
        <v>INSERT INTO tblStudentTotalScore VALUES (seqStudentTotalScore.nextval, 102, null, null, null);</v>
      </c>
    </row>
    <row r="108">
      <c r="A108" s="1">
        <v>103.0</v>
      </c>
      <c r="B108" s="1" t="s">
        <v>323</v>
      </c>
      <c r="C108" s="1">
        <v>103.0</v>
      </c>
      <c r="H108" s="2" t="str">
        <f t="shared" si="1"/>
        <v>INSERT INTO tblStudentTotalScore VALUES (seqStudentTotalScore.nextval, 103, null, null, null);</v>
      </c>
    </row>
    <row r="109">
      <c r="A109" s="1">
        <v>104.0</v>
      </c>
      <c r="B109" s="1" t="s">
        <v>323</v>
      </c>
      <c r="C109" s="1">
        <v>104.0</v>
      </c>
      <c r="H109" s="2" t="str">
        <f t="shared" si="1"/>
        <v>INSERT INTO tblStudentTotalScore VALUES (seqStudentTotalScore.nextval, 104, null, null, null);</v>
      </c>
    </row>
    <row r="110">
      <c r="A110" s="1">
        <v>105.0</v>
      </c>
      <c r="B110" s="1" t="s">
        <v>323</v>
      </c>
      <c r="C110" s="1">
        <v>105.0</v>
      </c>
      <c r="H110" s="2" t="str">
        <f t="shared" si="1"/>
        <v>INSERT INTO tblStudentTotalScore VALUES (seqStudentTotalScore.nextval, 105, null, null, null);</v>
      </c>
    </row>
    <row r="111">
      <c r="A111" s="1">
        <v>106.0</v>
      </c>
      <c r="B111" s="1" t="s">
        <v>323</v>
      </c>
      <c r="C111" s="1">
        <v>106.0</v>
      </c>
      <c r="H111" s="2" t="str">
        <f t="shared" si="1"/>
        <v>INSERT INTO tblStudentTotalScore VALUES (seqStudentTotalScore.nextval, 106, null, null, null);</v>
      </c>
    </row>
    <row r="112">
      <c r="A112" s="1">
        <v>107.0</v>
      </c>
      <c r="B112" s="1" t="s">
        <v>323</v>
      </c>
      <c r="C112" s="1">
        <v>107.0</v>
      </c>
      <c r="H112" s="2" t="str">
        <f t="shared" si="1"/>
        <v>INSERT INTO tblStudentTotalScore VALUES (seqStudentTotalScore.nextval, 107, null, null, null);</v>
      </c>
    </row>
    <row r="113">
      <c r="A113" s="1">
        <v>108.0</v>
      </c>
      <c r="B113" s="1" t="s">
        <v>323</v>
      </c>
      <c r="C113" s="1">
        <v>108.0</v>
      </c>
      <c r="H113" s="2" t="str">
        <f t="shared" si="1"/>
        <v>INSERT INTO tblStudentTotalScore VALUES (seqStudentTotalScore.nextval, 108, null, null, null);</v>
      </c>
    </row>
    <row r="114">
      <c r="A114" s="1">
        <v>109.0</v>
      </c>
      <c r="B114" s="1" t="s">
        <v>323</v>
      </c>
      <c r="C114" s="1">
        <v>109.0</v>
      </c>
      <c r="H114" s="2" t="str">
        <f t="shared" si="1"/>
        <v>INSERT INTO tblStudentTotalScore VALUES (seqStudentTotalScore.nextval, 109, null, null, null);</v>
      </c>
    </row>
    <row r="115">
      <c r="A115" s="1">
        <v>110.0</v>
      </c>
      <c r="B115" s="1" t="s">
        <v>323</v>
      </c>
      <c r="C115" s="1">
        <v>110.0</v>
      </c>
      <c r="H115" s="2" t="str">
        <f t="shared" si="1"/>
        <v>INSERT INTO tblStudentTotalScore VALUES (seqStudentTotalScore.nextval, 110, null, null, null);</v>
      </c>
    </row>
    <row r="116">
      <c r="A116" s="1">
        <v>111.0</v>
      </c>
      <c r="B116" s="1" t="s">
        <v>323</v>
      </c>
      <c r="C116" s="1">
        <v>111.0</v>
      </c>
      <c r="H116" s="2" t="str">
        <f t="shared" si="1"/>
        <v>INSERT INTO tblStudentTotalScore VALUES (seqStudentTotalScore.nextval, 111, null, null, null);</v>
      </c>
    </row>
    <row r="117">
      <c r="A117" s="1">
        <v>112.0</v>
      </c>
      <c r="B117" s="1" t="s">
        <v>323</v>
      </c>
      <c r="C117" s="1">
        <v>112.0</v>
      </c>
      <c r="H117" s="2" t="str">
        <f t="shared" si="1"/>
        <v>INSERT INTO tblStudentTotalScore VALUES (seqStudentTotalScore.nextval, 112, null, null, null);</v>
      </c>
    </row>
    <row r="118">
      <c r="A118" s="1">
        <v>113.0</v>
      </c>
      <c r="B118" s="1" t="s">
        <v>323</v>
      </c>
      <c r="C118" s="1">
        <v>113.0</v>
      </c>
      <c r="H118" s="2" t="str">
        <f t="shared" si="1"/>
        <v>INSERT INTO tblStudentTotalScore VALUES (seqStudentTotalScore.nextval, 113, null, null, null);</v>
      </c>
    </row>
    <row r="119">
      <c r="A119" s="1">
        <v>114.0</v>
      </c>
      <c r="B119" s="1" t="s">
        <v>323</v>
      </c>
      <c r="C119" s="1">
        <v>114.0</v>
      </c>
      <c r="H119" s="2" t="str">
        <f t="shared" si="1"/>
        <v>INSERT INTO tblStudentTotalScore VALUES (seqStudentTotalScore.nextval, 114, null, null, null);</v>
      </c>
    </row>
    <row r="120">
      <c r="A120" s="1">
        <v>115.0</v>
      </c>
      <c r="B120" s="1" t="s">
        <v>323</v>
      </c>
      <c r="C120" s="1">
        <v>115.0</v>
      </c>
      <c r="H120" s="2" t="str">
        <f t="shared" si="1"/>
        <v>INSERT INTO tblStudentTotalScore VALUES (seqStudentTotalScore.nextval, 115, null, null, null);</v>
      </c>
    </row>
    <row r="121">
      <c r="A121" s="1">
        <v>116.0</v>
      </c>
      <c r="B121" s="1" t="s">
        <v>323</v>
      </c>
      <c r="C121" s="1">
        <v>116.0</v>
      </c>
      <c r="H121" s="2" t="str">
        <f t="shared" si="1"/>
        <v>INSERT INTO tblStudentTotalScore VALUES (seqStudentTotalScore.nextval, 116, null, null, null);</v>
      </c>
    </row>
    <row r="122">
      <c r="A122" s="1">
        <v>117.0</v>
      </c>
      <c r="B122" s="1" t="s">
        <v>323</v>
      </c>
      <c r="C122" s="1">
        <v>117.0</v>
      </c>
      <c r="H122" s="2" t="str">
        <f t="shared" si="1"/>
        <v>INSERT INTO tblStudentTotalScore VALUES (seqStudentTotalScore.nextval, 117, null, null, null);</v>
      </c>
    </row>
    <row r="123">
      <c r="A123" s="1">
        <v>118.0</v>
      </c>
      <c r="B123" s="1" t="s">
        <v>323</v>
      </c>
      <c r="C123" s="1">
        <v>118.0</v>
      </c>
      <c r="H123" s="2" t="str">
        <f t="shared" si="1"/>
        <v>INSERT INTO tblStudentTotalScore VALUES (seqStudentTotalScore.nextval, 118, null, null, null);</v>
      </c>
    </row>
    <row r="124">
      <c r="A124" s="1">
        <v>119.0</v>
      </c>
      <c r="B124" s="1" t="s">
        <v>323</v>
      </c>
      <c r="C124" s="1">
        <v>119.0</v>
      </c>
      <c r="H124" s="2" t="str">
        <f t="shared" si="1"/>
        <v>INSERT INTO tblStudentTotalScore VALUES (seqStudentTotalScore.nextval, 119, null, null, null);</v>
      </c>
    </row>
    <row r="125">
      <c r="A125" s="1">
        <v>120.0</v>
      </c>
      <c r="B125" s="1" t="s">
        <v>323</v>
      </c>
      <c r="C125" s="1">
        <v>120.0</v>
      </c>
      <c r="H125" s="2" t="str">
        <f t="shared" si="1"/>
        <v>INSERT INTO tblStudentTotalScore VALUES (seqStudentTotalScore.nextval, 120, null, null, null);</v>
      </c>
    </row>
    <row r="126">
      <c r="A126" s="1">
        <v>121.0</v>
      </c>
      <c r="B126" s="1" t="s">
        <v>323</v>
      </c>
      <c r="C126" s="1">
        <v>121.0</v>
      </c>
      <c r="H126" s="2" t="str">
        <f t="shared" si="1"/>
        <v>INSERT INTO tblStudentTotalScore VALUES (seqStudentTotalScore.nextval, 121, null, null, null);</v>
      </c>
    </row>
    <row r="127">
      <c r="A127" s="1">
        <v>122.0</v>
      </c>
      <c r="B127" s="1" t="s">
        <v>323</v>
      </c>
      <c r="C127" s="1">
        <v>122.0</v>
      </c>
      <c r="H127" s="2" t="str">
        <f t="shared" si="1"/>
        <v>INSERT INTO tblStudentTotalScore VALUES (seqStudentTotalScore.nextval, 122, null, null, null);</v>
      </c>
    </row>
    <row r="128">
      <c r="A128" s="1">
        <v>123.0</v>
      </c>
      <c r="B128" s="1" t="s">
        <v>323</v>
      </c>
      <c r="C128" s="1">
        <v>123.0</v>
      </c>
      <c r="H128" s="2" t="str">
        <f t="shared" si="1"/>
        <v>INSERT INTO tblStudentTotalScore VALUES (seqStudentTotalScore.nextval, 123, null, null, null);</v>
      </c>
    </row>
    <row r="129">
      <c r="A129" s="1">
        <v>124.0</v>
      </c>
      <c r="B129" s="1" t="s">
        <v>323</v>
      </c>
      <c r="C129" s="1">
        <v>124.0</v>
      </c>
      <c r="H129" s="2" t="str">
        <f t="shared" si="1"/>
        <v>INSERT INTO tblStudentTotalScore VALUES (seqStudentTotalScore.nextval, 124, null, null, null);</v>
      </c>
    </row>
    <row r="130">
      <c r="A130" s="1">
        <v>125.0</v>
      </c>
      <c r="B130" s="1" t="s">
        <v>323</v>
      </c>
      <c r="C130" s="1">
        <v>125.0</v>
      </c>
      <c r="H130" s="2" t="str">
        <f t="shared" si="1"/>
        <v>INSERT INTO tblStudentTotalScore VALUES (seqStudentTotalScore.nextval, 125, null, null, null);</v>
      </c>
    </row>
    <row r="131">
      <c r="A131" s="1">
        <v>126.0</v>
      </c>
      <c r="B131" s="1" t="s">
        <v>323</v>
      </c>
      <c r="C131" s="1">
        <v>126.0</v>
      </c>
      <c r="H131" s="2" t="str">
        <f t="shared" si="1"/>
        <v>INSERT INTO tblStudentTotalScore VALUES (seqStudentTotalScore.nextval, 126, null, null, null);</v>
      </c>
    </row>
    <row r="132">
      <c r="A132" s="1">
        <v>127.0</v>
      </c>
      <c r="B132" s="1" t="s">
        <v>323</v>
      </c>
      <c r="C132" s="1">
        <v>127.0</v>
      </c>
      <c r="H132" s="2" t="str">
        <f t="shared" si="1"/>
        <v>INSERT INTO tblStudentTotalScore VALUES (seqStudentTotalScore.nextval, 127, null, null, null);</v>
      </c>
    </row>
    <row r="133">
      <c r="A133" s="1">
        <v>128.0</v>
      </c>
      <c r="B133" s="1" t="s">
        <v>323</v>
      </c>
      <c r="C133" s="1">
        <v>128.0</v>
      </c>
      <c r="H133" s="2" t="str">
        <f t="shared" si="1"/>
        <v>INSERT INTO tblStudentTotalScore VALUES (seqStudentTotalScore.nextval, 128, null, null, null);</v>
      </c>
    </row>
    <row r="134">
      <c r="A134" s="1">
        <v>129.0</v>
      </c>
      <c r="B134" s="1" t="s">
        <v>323</v>
      </c>
      <c r="C134" s="1">
        <v>129.0</v>
      </c>
      <c r="H134" s="2" t="str">
        <f t="shared" si="1"/>
        <v>INSERT INTO tblStudentTotalScore VALUES (seqStudentTotalScore.nextval, 129, null, null, null);</v>
      </c>
    </row>
    <row r="135">
      <c r="A135" s="1">
        <v>130.0</v>
      </c>
      <c r="B135" s="1" t="s">
        <v>323</v>
      </c>
      <c r="C135" s="1">
        <v>130.0</v>
      </c>
      <c r="H135" s="2" t="str">
        <f t="shared" si="1"/>
        <v>INSERT INTO tblStudentTotalScore VALUES (seqStudentTotalScore.nextval, 130, null, null, null);</v>
      </c>
    </row>
    <row r="136">
      <c r="A136" s="1">
        <v>131.0</v>
      </c>
      <c r="B136" s="1" t="s">
        <v>323</v>
      </c>
      <c r="C136" s="1">
        <v>131.0</v>
      </c>
      <c r="H136" s="2" t="str">
        <f t="shared" si="1"/>
        <v>INSERT INTO tblStudentTotalScore VALUES (seqStudentTotalScore.nextval, 131, null, null, null);</v>
      </c>
    </row>
    <row r="137">
      <c r="A137" s="1">
        <v>132.0</v>
      </c>
      <c r="B137" s="1" t="s">
        <v>323</v>
      </c>
      <c r="C137" s="1">
        <v>132.0</v>
      </c>
      <c r="H137" s="2" t="str">
        <f t="shared" si="1"/>
        <v>INSERT INTO tblStudentTotalScore VALUES (seqStudentTotalScore.nextval, 132, null, null, null);</v>
      </c>
    </row>
    <row r="138">
      <c r="A138" s="1">
        <v>133.0</v>
      </c>
      <c r="B138" s="1" t="s">
        <v>323</v>
      </c>
      <c r="C138" s="1">
        <v>133.0</v>
      </c>
      <c r="H138" s="2" t="str">
        <f t="shared" si="1"/>
        <v>INSERT INTO tblStudentTotalScore VALUES (seqStudentTotalScore.nextval, 133, null, null, null);</v>
      </c>
    </row>
    <row r="139">
      <c r="A139" s="1">
        <v>134.0</v>
      </c>
      <c r="B139" s="1" t="s">
        <v>323</v>
      </c>
      <c r="C139" s="1">
        <v>134.0</v>
      </c>
      <c r="H139" s="2" t="str">
        <f t="shared" si="1"/>
        <v>INSERT INTO tblStudentTotalScore VALUES (seqStudentTotalScore.nextval, 134, null, null, null);</v>
      </c>
    </row>
    <row r="140">
      <c r="A140" s="1">
        <v>135.0</v>
      </c>
      <c r="B140" s="1" t="s">
        <v>323</v>
      </c>
      <c r="C140" s="1">
        <v>135.0</v>
      </c>
      <c r="H140" s="2" t="str">
        <f t="shared" si="1"/>
        <v>INSERT INTO tblStudentTotalScore VALUES (seqStudentTotalScore.nextval, 135, null, null, null);</v>
      </c>
    </row>
    <row r="141">
      <c r="A141" s="1">
        <v>136.0</v>
      </c>
      <c r="B141" s="1" t="s">
        <v>323</v>
      </c>
      <c r="C141" s="1">
        <v>136.0</v>
      </c>
      <c r="H141" s="2" t="str">
        <f t="shared" si="1"/>
        <v>INSERT INTO tblStudentTotalScore VALUES (seqStudentTotalScore.nextval, 136, null, null, null);</v>
      </c>
    </row>
    <row r="142">
      <c r="A142" s="1">
        <v>137.0</v>
      </c>
      <c r="B142" s="1" t="s">
        <v>323</v>
      </c>
      <c r="C142" s="1">
        <v>137.0</v>
      </c>
      <c r="H142" s="2" t="str">
        <f t="shared" si="1"/>
        <v>INSERT INTO tblStudentTotalScore VALUES (seqStudentTotalScore.nextval, 137, null, null, null);</v>
      </c>
    </row>
    <row r="143">
      <c r="A143" s="1">
        <v>138.0</v>
      </c>
      <c r="B143" s="1" t="s">
        <v>323</v>
      </c>
      <c r="C143" s="1">
        <v>138.0</v>
      </c>
      <c r="H143" s="2" t="str">
        <f t="shared" si="1"/>
        <v>INSERT INTO tblStudentTotalScore VALUES (seqStudentTotalScore.nextval, 138, null, null, null);</v>
      </c>
    </row>
    <row r="144">
      <c r="A144" s="1">
        <v>139.0</v>
      </c>
      <c r="B144" s="1" t="s">
        <v>323</v>
      </c>
      <c r="C144" s="1">
        <v>139.0</v>
      </c>
      <c r="H144" s="2" t="str">
        <f t="shared" si="1"/>
        <v>INSERT INTO tblStudentTotalScore VALUES (seqStudentTotalScore.nextval, 139, null, null, null);</v>
      </c>
    </row>
    <row r="145">
      <c r="A145" s="1">
        <v>140.0</v>
      </c>
      <c r="B145" s="1" t="s">
        <v>323</v>
      </c>
      <c r="C145" s="1">
        <v>140.0</v>
      </c>
      <c r="H145" s="2" t="str">
        <f t="shared" si="1"/>
        <v>INSERT INTO tblStudentTotalScore VALUES (seqStudentTotalScore.nextval, 140, null, null, null);</v>
      </c>
    </row>
    <row r="146">
      <c r="A146" s="1">
        <v>141.0</v>
      </c>
      <c r="B146" s="1" t="s">
        <v>323</v>
      </c>
      <c r="C146" s="1">
        <v>141.0</v>
      </c>
      <c r="H146" s="2" t="str">
        <f t="shared" si="1"/>
        <v>INSERT INTO tblStudentTotalScore VALUES (seqStudentTotalScore.nextval, 141, null, null, null);</v>
      </c>
    </row>
    <row r="147">
      <c r="A147" s="1">
        <v>142.0</v>
      </c>
      <c r="B147" s="1" t="s">
        <v>323</v>
      </c>
      <c r="C147" s="1">
        <v>142.0</v>
      </c>
      <c r="H147" s="2" t="str">
        <f t="shared" si="1"/>
        <v>INSERT INTO tblStudentTotalScore VALUES (seqStudentTotalScore.nextval, 142, null, null, null);</v>
      </c>
    </row>
    <row r="148">
      <c r="A148" s="1">
        <v>143.0</v>
      </c>
      <c r="B148" s="1" t="s">
        <v>323</v>
      </c>
      <c r="C148" s="1">
        <v>143.0</v>
      </c>
      <c r="H148" s="2" t="str">
        <f t="shared" si="1"/>
        <v>INSERT INTO tblStudentTotalScore VALUES (seqStudentTotalScore.nextval, 143, null, null, null);</v>
      </c>
    </row>
    <row r="149">
      <c r="A149" s="1">
        <v>144.0</v>
      </c>
      <c r="B149" s="1" t="s">
        <v>323</v>
      </c>
      <c r="C149" s="1">
        <v>144.0</v>
      </c>
      <c r="H149" s="2" t="str">
        <f t="shared" si="1"/>
        <v>INSERT INTO tblStudentTotalScore VALUES (seqStudentTotalScore.nextval, 144, null, null, null);</v>
      </c>
    </row>
    <row r="150">
      <c r="A150" s="1">
        <v>145.0</v>
      </c>
      <c r="B150" s="1" t="s">
        <v>323</v>
      </c>
      <c r="C150" s="1">
        <v>145.0</v>
      </c>
      <c r="H150" s="2" t="str">
        <f t="shared" si="1"/>
        <v>INSERT INTO tblStudentTotalScore VALUES (seqStudentTotalScore.nextval, 145, null, null, null);</v>
      </c>
    </row>
    <row r="151">
      <c r="A151" s="1">
        <v>146.0</v>
      </c>
      <c r="B151" s="1" t="s">
        <v>323</v>
      </c>
      <c r="C151" s="1">
        <v>146.0</v>
      </c>
      <c r="H151" s="2" t="str">
        <f t="shared" si="1"/>
        <v>INSERT INTO tblStudentTotalScore VALUES (seqStudentTotalScore.nextval, 146, null, null, null);</v>
      </c>
    </row>
    <row r="152">
      <c r="A152" s="1">
        <v>147.0</v>
      </c>
      <c r="B152" s="1" t="s">
        <v>323</v>
      </c>
      <c r="C152" s="1">
        <v>147.0</v>
      </c>
      <c r="H152" s="2" t="str">
        <f t="shared" si="1"/>
        <v>INSERT INTO tblStudentTotalScore VALUES (seqStudentTotalScore.nextval, 147, null, null, null);</v>
      </c>
    </row>
    <row r="153">
      <c r="A153" s="1">
        <v>148.0</v>
      </c>
      <c r="B153" s="1" t="s">
        <v>323</v>
      </c>
      <c r="C153" s="1">
        <v>148.0</v>
      </c>
      <c r="H153" s="2" t="str">
        <f t="shared" si="1"/>
        <v>INSERT INTO tblStudentTotalScore VALUES (seqStudentTotalScore.nextval, 148, null, null, null);</v>
      </c>
    </row>
    <row r="154">
      <c r="A154" s="1">
        <v>149.0</v>
      </c>
      <c r="B154" s="1" t="s">
        <v>323</v>
      </c>
      <c r="C154" s="1">
        <v>149.0</v>
      </c>
      <c r="H154" s="2" t="str">
        <f t="shared" si="1"/>
        <v>INSERT INTO tblStudentTotalScore VALUES (seqStudentTotalScore.nextval, 149, null, null, null);</v>
      </c>
    </row>
    <row r="155">
      <c r="A155" s="1">
        <v>150.0</v>
      </c>
      <c r="B155" s="1" t="s">
        <v>323</v>
      </c>
      <c r="C155" s="1">
        <v>150.0</v>
      </c>
      <c r="H155" s="2" t="str">
        <f t="shared" si="1"/>
        <v>INSERT INTO tblStudentTotalScore VALUES (seqStudentTotalScore.nextval, 150, null, null, null);</v>
      </c>
    </row>
    <row r="156">
      <c r="A156" s="1">
        <v>151.0</v>
      </c>
      <c r="B156" s="1" t="s">
        <v>323</v>
      </c>
      <c r="C156" s="1">
        <v>151.0</v>
      </c>
      <c r="H156" s="2" t="str">
        <f t="shared" si="1"/>
        <v>INSERT INTO tblStudentTotalScore VALUES (seqStudentTotalScore.nextval, 151, null, null, null);</v>
      </c>
    </row>
    <row r="157">
      <c r="A157" s="1">
        <v>152.0</v>
      </c>
      <c r="B157" s="1" t="s">
        <v>323</v>
      </c>
      <c r="C157" s="1">
        <v>152.0</v>
      </c>
      <c r="H157" s="2" t="str">
        <f t="shared" si="1"/>
        <v>INSERT INTO tblStudentTotalScore VALUES (seqStudentTotalScore.nextval, 152, null, null, null);</v>
      </c>
    </row>
    <row r="158">
      <c r="A158" s="1">
        <v>153.0</v>
      </c>
      <c r="B158" s="1" t="s">
        <v>323</v>
      </c>
      <c r="C158" s="1">
        <v>153.0</v>
      </c>
      <c r="H158" s="2" t="str">
        <f t="shared" si="1"/>
        <v>INSERT INTO tblStudentTotalScore VALUES (seqStudentTotalScore.nextval, 153, null, null, null);</v>
      </c>
    </row>
    <row r="159">
      <c r="A159" s="1">
        <v>154.0</v>
      </c>
      <c r="B159" s="1" t="s">
        <v>323</v>
      </c>
      <c r="C159" s="1">
        <v>154.0</v>
      </c>
      <c r="H159" s="2" t="str">
        <f t="shared" si="1"/>
        <v>INSERT INTO tblStudentTotalScore VALUES (seqStudentTotalScore.nextval, 154, null, null, null);</v>
      </c>
    </row>
    <row r="160">
      <c r="A160" s="1">
        <v>155.0</v>
      </c>
      <c r="B160" s="1" t="s">
        <v>323</v>
      </c>
      <c r="C160" s="1">
        <v>155.0</v>
      </c>
      <c r="H160" s="2" t="str">
        <f t="shared" si="1"/>
        <v>INSERT INTO tblStudentTotalScore VALUES (seqStudentTotalScore.nextval, 155, null, null, null);</v>
      </c>
    </row>
    <row r="161">
      <c r="A161" s="1">
        <v>156.0</v>
      </c>
      <c r="B161" s="1" t="s">
        <v>323</v>
      </c>
      <c r="C161" s="1">
        <v>156.0</v>
      </c>
      <c r="H161" s="2" t="str">
        <f t="shared" si="1"/>
        <v>INSERT INTO tblStudentTotalScore VALUES (seqStudentTotalScore.nextval, 156, null, null, null);</v>
      </c>
    </row>
    <row r="162">
      <c r="A162" s="1">
        <v>157.0</v>
      </c>
      <c r="B162" s="1" t="s">
        <v>323</v>
      </c>
      <c r="C162" s="1">
        <v>157.0</v>
      </c>
      <c r="H162" s="2" t="str">
        <f t="shared" si="1"/>
        <v>INSERT INTO tblStudentTotalScore VALUES (seqStudentTotalScore.nextval, 157, null, null, null);</v>
      </c>
    </row>
    <row r="163">
      <c r="A163" s="1">
        <v>158.0</v>
      </c>
      <c r="B163" s="1" t="s">
        <v>323</v>
      </c>
      <c r="C163" s="1">
        <v>158.0</v>
      </c>
      <c r="H163" s="2" t="str">
        <f t="shared" si="1"/>
        <v>INSERT INTO tblStudentTotalScore VALUES (seqStudentTotalScore.nextval, 158, null, null, null);</v>
      </c>
    </row>
    <row r="164">
      <c r="A164" s="1">
        <v>159.0</v>
      </c>
      <c r="B164" s="1" t="s">
        <v>323</v>
      </c>
      <c r="C164" s="1">
        <v>159.0</v>
      </c>
      <c r="H164" s="2" t="str">
        <f t="shared" si="1"/>
        <v>INSERT INTO tblStudentTotalScore VALUES (seqStudentTotalScore.nextval, 159, null, null, null);</v>
      </c>
    </row>
    <row r="165">
      <c r="A165" s="1">
        <v>160.0</v>
      </c>
      <c r="B165" s="1" t="s">
        <v>323</v>
      </c>
      <c r="C165" s="1">
        <v>160.0</v>
      </c>
      <c r="H165" s="2" t="str">
        <f t="shared" si="1"/>
        <v>INSERT INTO tblStudentTotalScore VALUES (seqStudentTotalScore.nextval, 160, null, null, null);</v>
      </c>
    </row>
    <row r="166">
      <c r="A166" s="1">
        <v>161.0</v>
      </c>
      <c r="B166" s="1" t="s">
        <v>323</v>
      </c>
      <c r="C166" s="1">
        <v>161.0</v>
      </c>
      <c r="H166" s="2" t="str">
        <f t="shared" si="1"/>
        <v>INSERT INTO tblStudentTotalScore VALUES (seqStudentTotalScore.nextval, 161, null, null, null);</v>
      </c>
    </row>
    <row r="167">
      <c r="A167" s="1">
        <v>162.0</v>
      </c>
      <c r="B167" s="1" t="s">
        <v>323</v>
      </c>
      <c r="C167" s="1">
        <v>162.0</v>
      </c>
      <c r="H167" s="2" t="str">
        <f t="shared" si="1"/>
        <v>INSERT INTO tblStudentTotalScore VALUES (seqStudentTotalScore.nextval, 162, null, null, null);</v>
      </c>
    </row>
    <row r="168">
      <c r="A168" s="1">
        <v>163.0</v>
      </c>
      <c r="B168" s="1" t="s">
        <v>323</v>
      </c>
      <c r="C168" s="1">
        <v>163.0</v>
      </c>
      <c r="H168" s="2" t="str">
        <f t="shared" si="1"/>
        <v>INSERT INTO tblStudentTotalScore VALUES (seqStudentTotalScore.nextval, 163, null, null, null);</v>
      </c>
    </row>
    <row r="169">
      <c r="A169" s="1">
        <v>164.0</v>
      </c>
      <c r="B169" s="1" t="s">
        <v>323</v>
      </c>
      <c r="C169" s="1">
        <v>164.0</v>
      </c>
      <c r="H169" s="2" t="str">
        <f t="shared" si="1"/>
        <v>INSERT INTO tblStudentTotalScore VALUES (seqStudentTotalScore.nextval, 164, null, null, null);</v>
      </c>
    </row>
    <row r="170">
      <c r="A170" s="1">
        <v>165.0</v>
      </c>
      <c r="B170" s="1" t="s">
        <v>323</v>
      </c>
      <c r="C170" s="1">
        <v>165.0</v>
      </c>
      <c r="H170" s="2" t="str">
        <f t="shared" si="1"/>
        <v>INSERT INTO tblStudentTotalScore VALUES (seqStudentTotalScore.nextval, 165, null, null, null);</v>
      </c>
    </row>
    <row r="171">
      <c r="A171" s="1">
        <v>166.0</v>
      </c>
      <c r="B171" s="1" t="s">
        <v>323</v>
      </c>
      <c r="C171" s="1">
        <v>166.0</v>
      </c>
      <c r="H171" s="2" t="str">
        <f t="shared" si="1"/>
        <v>INSERT INTO tblStudentTotalScore VALUES (seqStudentTotalScore.nextval, 166, null, null, null);</v>
      </c>
    </row>
    <row r="172">
      <c r="A172" s="1">
        <v>167.0</v>
      </c>
      <c r="B172" s="1" t="s">
        <v>323</v>
      </c>
      <c r="C172" s="1">
        <v>167.0</v>
      </c>
      <c r="H172" s="2" t="str">
        <f t="shared" si="1"/>
        <v>INSERT INTO tblStudentTotalScore VALUES (seqStudentTotalScore.nextval, 167, null, null, null);</v>
      </c>
    </row>
    <row r="173">
      <c r="A173" s="1">
        <v>168.0</v>
      </c>
      <c r="B173" s="1" t="s">
        <v>323</v>
      </c>
      <c r="C173" s="1">
        <v>168.0</v>
      </c>
      <c r="H173" s="2" t="str">
        <f t="shared" si="1"/>
        <v>INSERT INTO tblStudentTotalScore VALUES (seqStudentTotalScore.nextval, 168, null, null, null);</v>
      </c>
    </row>
    <row r="174">
      <c r="A174" s="1">
        <v>169.0</v>
      </c>
      <c r="B174" s="1" t="s">
        <v>323</v>
      </c>
      <c r="C174" s="1">
        <v>169.0</v>
      </c>
      <c r="H174" s="2" t="str">
        <f t="shared" si="1"/>
        <v>INSERT INTO tblStudentTotalScore VALUES (seqStudentTotalScore.nextval, 169, null, null, null);</v>
      </c>
    </row>
    <row r="175">
      <c r="A175" s="1">
        <v>170.0</v>
      </c>
      <c r="B175" s="1" t="s">
        <v>323</v>
      </c>
      <c r="C175" s="1">
        <v>170.0</v>
      </c>
      <c r="H175" s="2" t="str">
        <f t="shared" si="1"/>
        <v>INSERT INTO tblStudentTotalScore VALUES (seqStudentTotalScore.nextval, 170, null, null, null);</v>
      </c>
    </row>
    <row r="176">
      <c r="A176" s="1">
        <v>171.0</v>
      </c>
      <c r="B176" s="1" t="s">
        <v>323</v>
      </c>
      <c r="C176" s="1">
        <v>171.0</v>
      </c>
      <c r="H176" s="2" t="str">
        <f t="shared" si="1"/>
        <v>INSERT INTO tblStudentTotalScore VALUES (seqStudentTotalScore.nextval, 171, null, null, null);</v>
      </c>
    </row>
    <row r="177">
      <c r="A177" s="1">
        <v>172.0</v>
      </c>
      <c r="B177" s="1" t="s">
        <v>323</v>
      </c>
      <c r="C177" s="1">
        <v>172.0</v>
      </c>
      <c r="H177" s="2" t="str">
        <f t="shared" si="1"/>
        <v>INSERT INTO tblStudentTotalScore VALUES (seqStudentTotalScore.nextval, 172, null, null, null);</v>
      </c>
    </row>
    <row r="178">
      <c r="A178" s="1">
        <v>173.0</v>
      </c>
      <c r="B178" s="1" t="s">
        <v>323</v>
      </c>
      <c r="C178" s="1">
        <v>173.0</v>
      </c>
      <c r="H178" s="2" t="str">
        <f t="shared" si="1"/>
        <v>INSERT INTO tblStudentTotalScore VALUES (seqStudentTotalScore.nextval, 173, null, null, null);</v>
      </c>
    </row>
    <row r="179">
      <c r="A179" s="1">
        <v>174.0</v>
      </c>
      <c r="B179" s="1" t="s">
        <v>323</v>
      </c>
      <c r="C179" s="1">
        <v>174.0</v>
      </c>
      <c r="H179" s="2" t="str">
        <f t="shared" si="1"/>
        <v>INSERT INTO tblStudentTotalScore VALUES (seqStudentTotalScore.nextval, 174, null, null, null);</v>
      </c>
    </row>
    <row r="180">
      <c r="A180" s="1">
        <v>175.0</v>
      </c>
      <c r="B180" s="1" t="s">
        <v>323</v>
      </c>
      <c r="C180" s="1">
        <v>175.0</v>
      </c>
      <c r="H180" s="2" t="str">
        <f t="shared" si="1"/>
        <v>INSERT INTO tblStudentTotalScore VALUES (seqStudentTotalScore.nextval, 175, null, null, null);</v>
      </c>
    </row>
    <row r="181">
      <c r="A181" s="1">
        <v>176.0</v>
      </c>
      <c r="B181" s="1" t="s">
        <v>323</v>
      </c>
      <c r="C181" s="1">
        <v>176.0</v>
      </c>
      <c r="H181" s="2" t="str">
        <f t="shared" si="1"/>
        <v>INSERT INTO tblStudentTotalScore VALUES (seqStudentTotalScore.nextval, 176, null, null, null);</v>
      </c>
    </row>
    <row r="182">
      <c r="A182" s="1">
        <v>177.0</v>
      </c>
      <c r="B182" s="1" t="s">
        <v>323</v>
      </c>
      <c r="C182" s="1">
        <v>177.0</v>
      </c>
      <c r="H182" s="2" t="str">
        <f t="shared" si="1"/>
        <v>INSERT INTO tblStudentTotalScore VALUES (seqStudentTotalScore.nextval, 177, null, null, null);</v>
      </c>
    </row>
    <row r="183">
      <c r="A183" s="1">
        <v>178.0</v>
      </c>
      <c r="B183" s="1" t="s">
        <v>323</v>
      </c>
      <c r="C183" s="1">
        <v>178.0</v>
      </c>
      <c r="H183" s="2" t="str">
        <f t="shared" si="1"/>
        <v>INSERT INTO tblStudentTotalScore VALUES (seqStudentTotalScore.nextval, 178, null, null, null);</v>
      </c>
    </row>
    <row r="184">
      <c r="A184" s="1">
        <v>179.0</v>
      </c>
      <c r="B184" s="1" t="s">
        <v>323</v>
      </c>
      <c r="C184" s="1">
        <v>179.0</v>
      </c>
      <c r="H184" s="2" t="str">
        <f t="shared" si="1"/>
        <v>INSERT INTO tblStudentTotalScore VALUES (seqStudentTotalScore.nextval, 179, null, null, null);</v>
      </c>
    </row>
    <row r="185">
      <c r="A185" s="1">
        <v>180.0</v>
      </c>
      <c r="B185" s="1" t="s">
        <v>323</v>
      </c>
      <c r="C185" s="1">
        <v>180.0</v>
      </c>
      <c r="H185" s="2" t="str">
        <f t="shared" si="1"/>
        <v>INSERT INTO tblStudentTotalScore VALUES (seqStudentTotalScore.nextval, 180, null, null, null);</v>
      </c>
    </row>
    <row r="186">
      <c r="A186" s="1">
        <v>181.0</v>
      </c>
      <c r="B186" s="1" t="s">
        <v>323</v>
      </c>
      <c r="C186" s="1">
        <v>181.0</v>
      </c>
      <c r="H186" s="2" t="str">
        <f t="shared" si="1"/>
        <v>INSERT INTO tblStudentTotalScore VALUES (seqStudentTotalScore.nextval, 181, null, null, null);</v>
      </c>
    </row>
    <row r="187">
      <c r="A187" s="1">
        <v>182.0</v>
      </c>
      <c r="B187" s="1" t="s">
        <v>323</v>
      </c>
      <c r="C187" s="1">
        <v>182.0</v>
      </c>
      <c r="H187" s="2" t="str">
        <f t="shared" si="1"/>
        <v>INSERT INTO tblStudentTotalScore VALUES (seqStudentTotalScore.nextval, 182, null, null, null);</v>
      </c>
    </row>
    <row r="188">
      <c r="A188" s="1">
        <v>183.0</v>
      </c>
      <c r="B188" s="1" t="s">
        <v>323</v>
      </c>
      <c r="C188" s="1">
        <v>183.0</v>
      </c>
      <c r="H188" s="2" t="str">
        <f t="shared" si="1"/>
        <v>INSERT INTO tblStudentTotalScore VALUES (seqStudentTotalScore.nextval, 183, null, null, null);</v>
      </c>
    </row>
    <row r="189">
      <c r="A189" s="1">
        <v>184.0</v>
      </c>
      <c r="B189" s="1" t="s">
        <v>323</v>
      </c>
      <c r="C189" s="1">
        <v>184.0</v>
      </c>
      <c r="H189" s="2" t="str">
        <f t="shared" si="1"/>
        <v>INSERT INTO tblStudentTotalScore VALUES (seqStudentTotalScore.nextval, 184, null, null, null);</v>
      </c>
    </row>
    <row r="190">
      <c r="A190" s="1">
        <v>185.0</v>
      </c>
      <c r="B190" s="1" t="s">
        <v>323</v>
      </c>
      <c r="C190" s="1">
        <v>185.0</v>
      </c>
      <c r="H190" s="2" t="str">
        <f t="shared" si="1"/>
        <v>INSERT INTO tblStudentTotalScore VALUES (seqStudentTotalScore.nextval, 185, null, null, null);</v>
      </c>
    </row>
    <row r="191">
      <c r="A191" s="1">
        <v>186.0</v>
      </c>
      <c r="B191" s="1" t="s">
        <v>323</v>
      </c>
      <c r="C191" s="1">
        <v>186.0</v>
      </c>
      <c r="H191" s="2" t="str">
        <f t="shared" si="1"/>
        <v>INSERT INTO tblStudentTotalScore VALUES (seqStudentTotalScore.nextval, 186, null, null, null);</v>
      </c>
    </row>
    <row r="192">
      <c r="A192" s="1">
        <v>187.0</v>
      </c>
      <c r="B192" s="1" t="s">
        <v>323</v>
      </c>
      <c r="C192" s="1">
        <v>187.0</v>
      </c>
      <c r="H192" s="2" t="str">
        <f t="shared" si="1"/>
        <v>INSERT INTO tblStudentTotalScore VALUES (seqStudentTotalScore.nextval, 187, null, null, null);</v>
      </c>
    </row>
    <row r="193">
      <c r="A193" s="1">
        <v>188.0</v>
      </c>
      <c r="B193" s="1" t="s">
        <v>323</v>
      </c>
      <c r="C193" s="1">
        <v>188.0</v>
      </c>
      <c r="H193" s="2" t="str">
        <f t="shared" si="1"/>
        <v>INSERT INTO tblStudentTotalScore VALUES (seqStudentTotalScore.nextval, 188, null, null, null);</v>
      </c>
    </row>
    <row r="194">
      <c r="A194" s="1">
        <v>189.0</v>
      </c>
      <c r="B194" s="1" t="s">
        <v>323</v>
      </c>
      <c r="C194" s="1">
        <v>189.0</v>
      </c>
      <c r="H194" s="2" t="str">
        <f t="shared" si="1"/>
        <v>INSERT INTO tblStudentTotalScore VALUES (seqStudentTotalScore.nextval, 189, null, null, null);</v>
      </c>
    </row>
    <row r="195">
      <c r="A195" s="1">
        <v>190.0</v>
      </c>
      <c r="B195" s="1" t="s">
        <v>323</v>
      </c>
      <c r="C195" s="1">
        <v>190.0</v>
      </c>
      <c r="H195" s="2" t="str">
        <f t="shared" si="1"/>
        <v>INSERT INTO tblStudentTotalScore VALUES (seqStudentTotalScore.nextval, 190, null, null, null);</v>
      </c>
    </row>
    <row r="196">
      <c r="A196" s="1">
        <v>191.0</v>
      </c>
      <c r="B196" s="1" t="s">
        <v>323</v>
      </c>
      <c r="C196" s="1">
        <v>191.0</v>
      </c>
      <c r="H196" s="2" t="str">
        <f t="shared" si="1"/>
        <v>INSERT INTO tblStudentTotalScore VALUES (seqStudentTotalScore.nextval, 191, null, null, null);</v>
      </c>
    </row>
    <row r="197">
      <c r="A197" s="1">
        <v>192.0</v>
      </c>
      <c r="B197" s="1" t="s">
        <v>323</v>
      </c>
      <c r="C197" s="1">
        <v>192.0</v>
      </c>
      <c r="H197" s="2" t="str">
        <f t="shared" si="1"/>
        <v>INSERT INTO tblStudentTotalScore VALUES (seqStudentTotalScore.nextval, 192, null, null, null);</v>
      </c>
    </row>
    <row r="198">
      <c r="A198" s="1">
        <v>193.0</v>
      </c>
      <c r="B198" s="1" t="s">
        <v>323</v>
      </c>
      <c r="C198" s="1">
        <v>193.0</v>
      </c>
      <c r="H198" s="2" t="str">
        <f t="shared" si="1"/>
        <v>INSERT INTO tblStudentTotalScore VALUES (seqStudentTotalScore.nextval, 193, null, null, null);</v>
      </c>
    </row>
    <row r="199">
      <c r="A199" s="1">
        <v>194.0</v>
      </c>
      <c r="B199" s="1" t="s">
        <v>323</v>
      </c>
      <c r="C199" s="1">
        <v>194.0</v>
      </c>
      <c r="H199" s="2" t="str">
        <f t="shared" si="1"/>
        <v>INSERT INTO tblStudentTotalScore VALUES (seqStudentTotalScore.nextval, 194, null, null, null);</v>
      </c>
    </row>
    <row r="200">
      <c r="A200" s="1">
        <v>195.0</v>
      </c>
      <c r="B200" s="1" t="s">
        <v>323</v>
      </c>
      <c r="C200" s="1">
        <v>195.0</v>
      </c>
      <c r="H200" s="2" t="str">
        <f t="shared" si="1"/>
        <v>INSERT INTO tblStudentTotalScore VALUES (seqStudentTotalScore.nextval, 195, null, null, null);</v>
      </c>
    </row>
    <row r="201">
      <c r="A201" s="1">
        <v>196.0</v>
      </c>
      <c r="B201" s="1" t="s">
        <v>323</v>
      </c>
      <c r="C201" s="1">
        <v>196.0</v>
      </c>
      <c r="H201" s="2" t="str">
        <f t="shared" si="1"/>
        <v>INSERT INTO tblStudentTotalScore VALUES (seqStudentTotalScore.nextval, 196, null, null, null);</v>
      </c>
    </row>
    <row r="202">
      <c r="A202" s="1">
        <v>197.0</v>
      </c>
      <c r="B202" s="1" t="s">
        <v>323</v>
      </c>
      <c r="C202" s="1">
        <v>197.0</v>
      </c>
      <c r="H202" s="2" t="str">
        <f t="shared" si="1"/>
        <v>INSERT INTO tblStudentTotalScore VALUES (seqStudentTotalScore.nextval, 197, null, null, null);</v>
      </c>
    </row>
    <row r="203">
      <c r="A203" s="1">
        <v>198.0</v>
      </c>
      <c r="B203" s="1" t="s">
        <v>323</v>
      </c>
      <c r="C203" s="1">
        <v>198.0</v>
      </c>
      <c r="H203" s="2" t="str">
        <f t="shared" si="1"/>
        <v>INSERT INTO tblStudentTotalScore VALUES (seqStudentTotalScore.nextval, 198, null, null, null);</v>
      </c>
    </row>
    <row r="204">
      <c r="A204" s="1">
        <v>199.0</v>
      </c>
      <c r="B204" s="1" t="s">
        <v>323</v>
      </c>
      <c r="C204" s="1">
        <v>199.0</v>
      </c>
      <c r="H204" s="2" t="str">
        <f t="shared" si="1"/>
        <v>INSERT INTO tblStudentTotalScore VALUES (seqStudentTotalScore.nextval, 199, null, null, null);</v>
      </c>
    </row>
    <row r="205">
      <c r="A205" s="1">
        <v>200.0</v>
      </c>
      <c r="B205" s="1" t="s">
        <v>323</v>
      </c>
      <c r="C205" s="1">
        <v>200.0</v>
      </c>
      <c r="H205" s="2" t="str">
        <f t="shared" si="1"/>
        <v>INSERT INTO tblStudentTotalScore VALUES (seqStudentTotalScore.nextval, 200, null, null, null);</v>
      </c>
    </row>
    <row r="206">
      <c r="A206" s="1">
        <v>201.0</v>
      </c>
      <c r="B206" s="1" t="s">
        <v>323</v>
      </c>
      <c r="C206" s="1">
        <v>201.0</v>
      </c>
      <c r="H206" s="2" t="str">
        <f t="shared" si="1"/>
        <v>INSERT INTO tblStudentTotalScore VALUES (seqStudentTotalScore.nextval, 201, null, null, null);</v>
      </c>
    </row>
    <row r="207">
      <c r="A207" s="1">
        <v>202.0</v>
      </c>
      <c r="B207" s="1" t="s">
        <v>323</v>
      </c>
      <c r="C207" s="1">
        <v>202.0</v>
      </c>
      <c r="H207" s="2" t="str">
        <f t="shared" si="1"/>
        <v>INSERT INTO tblStudentTotalScore VALUES (seqStudentTotalScore.nextval, 202, null, null, null);</v>
      </c>
    </row>
    <row r="208">
      <c r="A208" s="1">
        <v>203.0</v>
      </c>
      <c r="B208" s="1" t="s">
        <v>323</v>
      </c>
      <c r="C208" s="1">
        <v>203.0</v>
      </c>
      <c r="H208" s="2" t="str">
        <f t="shared" si="1"/>
        <v>INSERT INTO tblStudentTotalScore VALUES (seqStudentTotalScore.nextval, 203, null, null, null);</v>
      </c>
    </row>
    <row r="209">
      <c r="A209" s="1">
        <v>204.0</v>
      </c>
      <c r="B209" s="1" t="s">
        <v>323</v>
      </c>
      <c r="C209" s="1">
        <v>204.0</v>
      </c>
      <c r="H209" s="2" t="str">
        <f t="shared" si="1"/>
        <v>INSERT INTO tblStudentTotalScore VALUES (seqStudentTotalScore.nextval, 204, null, null, null);</v>
      </c>
    </row>
    <row r="210">
      <c r="A210" s="1">
        <v>205.0</v>
      </c>
      <c r="B210" s="1" t="s">
        <v>323</v>
      </c>
      <c r="C210" s="1">
        <v>205.0</v>
      </c>
      <c r="H210" s="2" t="str">
        <f t="shared" si="1"/>
        <v>INSERT INTO tblStudentTotalScore VALUES (seqStudentTotalScore.nextval, 205, null, null, null);</v>
      </c>
    </row>
    <row r="211">
      <c r="A211" s="1">
        <v>206.0</v>
      </c>
      <c r="B211" s="1" t="s">
        <v>323</v>
      </c>
      <c r="C211" s="1">
        <v>206.0</v>
      </c>
      <c r="H211" s="2" t="str">
        <f t="shared" si="1"/>
        <v>INSERT INTO tblStudentTotalScore VALUES (seqStudentTotalScore.nextval, 206, null, null, null);</v>
      </c>
    </row>
    <row r="212">
      <c r="A212" s="1">
        <v>207.0</v>
      </c>
      <c r="B212" s="1" t="s">
        <v>323</v>
      </c>
      <c r="C212" s="1">
        <v>207.0</v>
      </c>
      <c r="H212" s="2" t="str">
        <f t="shared" si="1"/>
        <v>INSERT INTO tblStudentTotalScore VALUES (seqStudentTotalScore.nextval, 207, null, null, null);</v>
      </c>
    </row>
    <row r="213">
      <c r="A213" s="1">
        <v>208.0</v>
      </c>
      <c r="B213" s="1" t="s">
        <v>323</v>
      </c>
      <c r="C213" s="1">
        <v>208.0</v>
      </c>
      <c r="H213" s="2" t="str">
        <f t="shared" si="1"/>
        <v>INSERT INTO tblStudentTotalScore VALUES (seqStudentTotalScore.nextval, 208, null, null, null);</v>
      </c>
    </row>
    <row r="214">
      <c r="A214" s="1">
        <v>209.0</v>
      </c>
      <c r="B214" s="1" t="s">
        <v>323</v>
      </c>
      <c r="C214" s="1">
        <v>209.0</v>
      </c>
      <c r="H214" s="2" t="str">
        <f t="shared" si="1"/>
        <v>INSERT INTO tblStudentTotalScore VALUES (seqStudentTotalScore.nextval, 209, null, null, null);</v>
      </c>
    </row>
    <row r="215">
      <c r="A215" s="1">
        <v>210.0</v>
      </c>
      <c r="B215" s="1" t="s">
        <v>323</v>
      </c>
      <c r="C215" s="1">
        <v>210.0</v>
      </c>
      <c r="H215" s="2" t="str">
        <f t="shared" si="1"/>
        <v>INSERT INTO tblStudentTotalScore VALUES (seqStudentTotalScore.nextval, 210, null, null, null);</v>
      </c>
    </row>
    <row r="216">
      <c r="A216" s="1">
        <v>211.0</v>
      </c>
      <c r="B216" s="1" t="s">
        <v>323</v>
      </c>
      <c r="C216" s="1">
        <v>211.0</v>
      </c>
      <c r="H216" s="2" t="str">
        <f t="shared" si="1"/>
        <v>INSERT INTO tblStudentTotalScore VALUES (seqStudentTotalScore.nextval, 211, null, null, null);</v>
      </c>
    </row>
    <row r="217">
      <c r="A217" s="1">
        <v>212.0</v>
      </c>
      <c r="B217" s="1" t="s">
        <v>323</v>
      </c>
      <c r="C217" s="1">
        <v>212.0</v>
      </c>
      <c r="H217" s="2" t="str">
        <f t="shared" si="1"/>
        <v>INSERT INTO tblStudentTotalScore VALUES (seqStudentTotalScore.nextval, 212, null, null, null);</v>
      </c>
    </row>
    <row r="218">
      <c r="A218" s="1">
        <v>213.0</v>
      </c>
      <c r="B218" s="1" t="s">
        <v>323</v>
      </c>
      <c r="C218" s="1">
        <v>213.0</v>
      </c>
      <c r="H218" s="2" t="str">
        <f t="shared" si="1"/>
        <v>INSERT INTO tblStudentTotalScore VALUES (seqStudentTotalScore.nextval, 213, null, null, null);</v>
      </c>
    </row>
    <row r="219">
      <c r="A219" s="1">
        <v>214.0</v>
      </c>
      <c r="B219" s="1" t="s">
        <v>323</v>
      </c>
      <c r="C219" s="1">
        <v>214.0</v>
      </c>
      <c r="H219" s="2" t="str">
        <f t="shared" si="1"/>
        <v>INSERT INTO tblStudentTotalScore VALUES (seqStudentTotalScore.nextval, 214, null, null, null);</v>
      </c>
    </row>
    <row r="220">
      <c r="A220" s="1">
        <v>215.0</v>
      </c>
      <c r="B220" s="1" t="s">
        <v>323</v>
      </c>
      <c r="C220" s="1">
        <v>215.0</v>
      </c>
      <c r="H220" s="2" t="str">
        <f t="shared" si="1"/>
        <v>INSERT INTO tblStudentTotalScore VALUES (seqStudentTotalScore.nextval, 215, null, null, null);</v>
      </c>
    </row>
    <row r="221">
      <c r="A221" s="1">
        <v>216.0</v>
      </c>
      <c r="B221" s="1" t="s">
        <v>323</v>
      </c>
      <c r="C221" s="1">
        <v>216.0</v>
      </c>
      <c r="H221" s="2" t="str">
        <f t="shared" si="1"/>
        <v>INSERT INTO tblStudentTotalScore VALUES (seqStudentTotalScore.nextval, 216, null, null, null);</v>
      </c>
    </row>
    <row r="222">
      <c r="A222" s="1">
        <v>217.0</v>
      </c>
      <c r="B222" s="1" t="s">
        <v>323</v>
      </c>
      <c r="C222" s="1">
        <v>217.0</v>
      </c>
      <c r="H222" s="2" t="str">
        <f t="shared" si="1"/>
        <v>INSERT INTO tblStudentTotalScore VALUES (seqStudentTotalScore.nextval, 217, null, null, null);</v>
      </c>
    </row>
    <row r="223">
      <c r="A223" s="1">
        <v>218.0</v>
      </c>
      <c r="B223" s="1" t="s">
        <v>323</v>
      </c>
      <c r="C223" s="1">
        <v>218.0</v>
      </c>
      <c r="H223" s="2" t="str">
        <f t="shared" si="1"/>
        <v>INSERT INTO tblStudentTotalScore VALUES (seqStudentTotalScore.nextval, 218, null, null, null);</v>
      </c>
    </row>
    <row r="224">
      <c r="A224" s="1">
        <v>219.0</v>
      </c>
      <c r="B224" s="1" t="s">
        <v>323</v>
      </c>
      <c r="C224" s="1">
        <v>219.0</v>
      </c>
      <c r="H224" s="2" t="str">
        <f t="shared" si="1"/>
        <v>INSERT INTO tblStudentTotalScore VALUES (seqStudentTotalScore.nextval, 219, null, null, null);</v>
      </c>
    </row>
    <row r="225">
      <c r="A225" s="1">
        <v>220.0</v>
      </c>
      <c r="B225" s="1" t="s">
        <v>323</v>
      </c>
      <c r="C225" s="1">
        <v>220.0</v>
      </c>
      <c r="H225" s="2" t="str">
        <f t="shared" si="1"/>
        <v>INSERT INTO tblStudentTotalScore VALUES (seqStudentTotalScore.nextval, 220, null, null, null);</v>
      </c>
    </row>
    <row r="226">
      <c r="A226" s="1">
        <v>221.0</v>
      </c>
      <c r="B226" s="1" t="s">
        <v>323</v>
      </c>
      <c r="C226" s="1">
        <v>221.0</v>
      </c>
      <c r="H226" s="2" t="str">
        <f t="shared" si="1"/>
        <v>INSERT INTO tblStudentTotalScore VALUES (seqStudentTotalScore.nextval, 221, null, null, null);</v>
      </c>
    </row>
    <row r="227">
      <c r="A227" s="1">
        <v>222.0</v>
      </c>
      <c r="B227" s="1" t="s">
        <v>323</v>
      </c>
      <c r="C227" s="1">
        <v>222.0</v>
      </c>
      <c r="H227" s="2" t="str">
        <f t="shared" si="1"/>
        <v>INSERT INTO tblStudentTotalScore VALUES (seqStudentTotalScore.nextval, 222, null, null, null);</v>
      </c>
    </row>
    <row r="228">
      <c r="A228" s="1">
        <v>223.0</v>
      </c>
      <c r="B228" s="1" t="s">
        <v>323</v>
      </c>
      <c r="C228" s="1">
        <v>223.0</v>
      </c>
      <c r="H228" s="2" t="str">
        <f t="shared" si="1"/>
        <v>INSERT INTO tblStudentTotalScore VALUES (seqStudentTotalScore.nextval, 223, null, null, null);</v>
      </c>
    </row>
    <row r="229">
      <c r="A229" s="1">
        <v>224.0</v>
      </c>
      <c r="B229" s="1" t="s">
        <v>323</v>
      </c>
      <c r="C229" s="1">
        <v>224.0</v>
      </c>
      <c r="H229" s="2" t="str">
        <f t="shared" si="1"/>
        <v>INSERT INTO tblStudentTotalScore VALUES (seqStudentTotalScore.nextval, 224, null, null, null);</v>
      </c>
    </row>
    <row r="230">
      <c r="A230" s="1">
        <v>225.0</v>
      </c>
      <c r="B230" s="1" t="s">
        <v>323</v>
      </c>
      <c r="C230" s="1">
        <v>225.0</v>
      </c>
      <c r="H230" s="2" t="str">
        <f t="shared" si="1"/>
        <v>INSERT INTO tblStudentTotalScore VALUES (seqStudentTotalScore.nextval, 225, null, null, null);</v>
      </c>
    </row>
    <row r="231">
      <c r="A231" s="1">
        <v>226.0</v>
      </c>
      <c r="B231" s="1" t="s">
        <v>323</v>
      </c>
      <c r="C231" s="1">
        <v>226.0</v>
      </c>
      <c r="H231" s="2" t="str">
        <f t="shared" si="1"/>
        <v>INSERT INTO tblStudentTotalScore VALUES (seqStudentTotalScore.nextval, 226, null, null, null);</v>
      </c>
    </row>
    <row r="232">
      <c r="A232" s="1">
        <v>227.0</v>
      </c>
      <c r="B232" s="1" t="s">
        <v>323</v>
      </c>
      <c r="C232" s="1">
        <v>227.0</v>
      </c>
      <c r="H232" s="2" t="str">
        <f t="shared" si="1"/>
        <v>INSERT INTO tblStudentTotalScore VALUES (seqStudentTotalScore.nextval, 227, null, null, null);</v>
      </c>
    </row>
    <row r="233">
      <c r="A233" s="1">
        <v>228.0</v>
      </c>
      <c r="B233" s="1" t="s">
        <v>323</v>
      </c>
      <c r="C233" s="1">
        <v>228.0</v>
      </c>
      <c r="H233" s="2" t="str">
        <f t="shared" si="1"/>
        <v>INSERT INTO tblStudentTotalScore VALUES (seqStudentTotalScore.nextval, 228, null, null, null);</v>
      </c>
    </row>
    <row r="234">
      <c r="A234" s="1">
        <v>229.0</v>
      </c>
      <c r="B234" s="1" t="s">
        <v>323</v>
      </c>
      <c r="C234" s="1">
        <v>229.0</v>
      </c>
      <c r="H234" s="2" t="str">
        <f t="shared" si="1"/>
        <v>INSERT INTO tblStudentTotalScore VALUES (seqStudentTotalScore.nextval, 229, null, null, null);</v>
      </c>
    </row>
    <row r="235">
      <c r="A235" s="1">
        <v>230.0</v>
      </c>
      <c r="B235" s="1" t="s">
        <v>323</v>
      </c>
      <c r="C235" s="1">
        <v>230.0</v>
      </c>
      <c r="H235" s="2" t="str">
        <f t="shared" si="1"/>
        <v>INSERT INTO tblStudentTotalScore VALUES (seqStudentTotalScore.nextval, 230, null, null, null);</v>
      </c>
    </row>
    <row r="236">
      <c r="A236" s="1">
        <v>231.0</v>
      </c>
      <c r="B236" s="1" t="s">
        <v>323</v>
      </c>
      <c r="C236" s="1">
        <v>231.0</v>
      </c>
      <c r="H236" s="2" t="str">
        <f t="shared" si="1"/>
        <v>INSERT INTO tblStudentTotalScore VALUES (seqStudentTotalScore.nextval, 231, null, null, null);</v>
      </c>
    </row>
    <row r="237">
      <c r="A237" s="1">
        <v>232.0</v>
      </c>
      <c r="B237" s="1" t="s">
        <v>323</v>
      </c>
      <c r="C237" s="1">
        <v>232.0</v>
      </c>
      <c r="H237" s="2" t="str">
        <f t="shared" si="1"/>
        <v>INSERT INTO tblStudentTotalScore VALUES (seqStudentTotalScore.nextval, 232, null, null, null);</v>
      </c>
    </row>
    <row r="238">
      <c r="A238" s="1">
        <v>233.0</v>
      </c>
      <c r="B238" s="1" t="s">
        <v>323</v>
      </c>
      <c r="C238" s="1">
        <v>233.0</v>
      </c>
      <c r="H238" s="2" t="str">
        <f t="shared" si="1"/>
        <v>INSERT INTO tblStudentTotalScore VALUES (seqStudentTotalScore.nextval, 233, null, null, null);</v>
      </c>
    </row>
    <row r="239">
      <c r="A239" s="1">
        <v>234.0</v>
      </c>
      <c r="B239" s="1" t="s">
        <v>323</v>
      </c>
      <c r="C239" s="1">
        <v>234.0</v>
      </c>
      <c r="H239" s="2" t="str">
        <f t="shared" si="1"/>
        <v>INSERT INTO tblStudentTotalScore VALUES (seqStudentTotalScore.nextval, 234, null, null, null);</v>
      </c>
    </row>
    <row r="240">
      <c r="A240" s="1">
        <v>235.0</v>
      </c>
      <c r="B240" s="1" t="s">
        <v>323</v>
      </c>
      <c r="C240" s="1">
        <v>235.0</v>
      </c>
      <c r="H240" s="2" t="str">
        <f t="shared" si="1"/>
        <v>INSERT INTO tblStudentTotalScore VALUES (seqStudentTotalScore.nextval, 235, null, null, null);</v>
      </c>
    </row>
    <row r="241">
      <c r="A241" s="1">
        <v>236.0</v>
      </c>
      <c r="B241" s="1" t="s">
        <v>323</v>
      </c>
      <c r="C241" s="1">
        <v>236.0</v>
      </c>
      <c r="H241" s="2" t="str">
        <f t="shared" si="1"/>
        <v>INSERT INTO tblStudentTotalScore VALUES (seqStudentTotalScore.nextval, 236, null, null, null);</v>
      </c>
    </row>
    <row r="242">
      <c r="A242" s="1">
        <v>237.0</v>
      </c>
      <c r="B242" s="1" t="s">
        <v>323</v>
      </c>
      <c r="C242" s="1">
        <v>237.0</v>
      </c>
      <c r="H242" s="2" t="str">
        <f t="shared" si="1"/>
        <v>INSERT INTO tblStudentTotalScore VALUES (seqStudentTotalScore.nextval, 237, null, null, null);</v>
      </c>
    </row>
    <row r="243">
      <c r="A243" s="1">
        <v>238.0</v>
      </c>
      <c r="B243" s="1" t="s">
        <v>323</v>
      </c>
      <c r="C243" s="1">
        <v>238.0</v>
      </c>
      <c r="H243" s="2" t="str">
        <f t="shared" si="1"/>
        <v>INSERT INTO tblStudentTotalScore VALUES (seqStudentTotalScore.nextval, 238, null, null, null);</v>
      </c>
    </row>
    <row r="244">
      <c r="A244" s="1">
        <v>239.0</v>
      </c>
      <c r="B244" s="1" t="s">
        <v>323</v>
      </c>
      <c r="C244" s="1">
        <v>239.0</v>
      </c>
      <c r="H244" s="2" t="str">
        <f t="shared" si="1"/>
        <v>INSERT INTO tblStudentTotalScore VALUES (seqStudentTotalScore.nextval, 239, null, null, null);</v>
      </c>
    </row>
    <row r="245">
      <c r="A245" s="1">
        <v>240.0</v>
      </c>
      <c r="B245" s="1" t="s">
        <v>323</v>
      </c>
      <c r="C245" s="1">
        <v>240.0</v>
      </c>
      <c r="H245" s="2" t="str">
        <f t="shared" si="1"/>
        <v>INSERT INTO tblStudentTotalScore VALUES (seqStudentTotalScore.nextval, 240, null, null, null);</v>
      </c>
    </row>
    <row r="246">
      <c r="A246" s="1">
        <v>241.0</v>
      </c>
      <c r="B246" s="1" t="s">
        <v>323</v>
      </c>
      <c r="C246" s="1">
        <v>241.0</v>
      </c>
      <c r="H246" s="2" t="str">
        <f t="shared" si="1"/>
        <v>INSERT INTO tblStudentTotalScore VALUES (seqStudentTotalScore.nextval, 241, null, null, null);</v>
      </c>
    </row>
    <row r="247">
      <c r="A247" s="1">
        <v>242.0</v>
      </c>
      <c r="B247" s="1" t="s">
        <v>323</v>
      </c>
      <c r="C247" s="1">
        <v>242.0</v>
      </c>
      <c r="H247" s="2" t="str">
        <f t="shared" si="1"/>
        <v>INSERT INTO tblStudentTotalScore VALUES (seqStudentTotalScore.nextval, 242, null, null, null);</v>
      </c>
    </row>
    <row r="248">
      <c r="A248" s="1">
        <v>243.0</v>
      </c>
      <c r="B248" s="1" t="s">
        <v>323</v>
      </c>
      <c r="C248" s="1">
        <v>243.0</v>
      </c>
      <c r="H248" s="2" t="str">
        <f t="shared" si="1"/>
        <v>INSERT INTO tblStudentTotalScore VALUES (seqStudentTotalScore.nextval, 243, null, null, null);</v>
      </c>
    </row>
    <row r="249">
      <c r="A249" s="1">
        <v>244.0</v>
      </c>
      <c r="B249" s="1" t="s">
        <v>323</v>
      </c>
      <c r="C249" s="1">
        <v>244.0</v>
      </c>
      <c r="H249" s="2" t="str">
        <f t="shared" si="1"/>
        <v>INSERT INTO tblStudentTotalScore VALUES (seqStudentTotalScore.nextval, 244, null, null, null);</v>
      </c>
    </row>
    <row r="250">
      <c r="A250" s="1">
        <v>245.0</v>
      </c>
      <c r="B250" s="1" t="s">
        <v>323</v>
      </c>
      <c r="C250" s="1">
        <v>245.0</v>
      </c>
      <c r="H250" s="2" t="str">
        <f t="shared" si="1"/>
        <v>INSERT INTO tblStudentTotalScore VALUES (seqStudentTotalScore.nextval, 245, null, null, null);</v>
      </c>
    </row>
    <row r="251">
      <c r="A251" s="1">
        <v>246.0</v>
      </c>
      <c r="B251" s="1" t="s">
        <v>323</v>
      </c>
      <c r="C251" s="1">
        <v>246.0</v>
      </c>
      <c r="H251" s="2" t="str">
        <f t="shared" si="1"/>
        <v>INSERT INTO tblStudentTotalScore VALUES (seqStudentTotalScore.nextval, 246, null, null, null);</v>
      </c>
    </row>
    <row r="252">
      <c r="A252" s="1">
        <v>247.0</v>
      </c>
      <c r="B252" s="1" t="s">
        <v>323</v>
      </c>
      <c r="C252" s="1">
        <v>247.0</v>
      </c>
      <c r="H252" s="2" t="str">
        <f t="shared" si="1"/>
        <v>INSERT INTO tblStudentTotalScore VALUES (seqStudentTotalScore.nextval, 247, null, null, null);</v>
      </c>
    </row>
    <row r="253">
      <c r="A253" s="1">
        <v>248.0</v>
      </c>
      <c r="B253" s="1" t="s">
        <v>323</v>
      </c>
      <c r="C253" s="1">
        <v>248.0</v>
      </c>
      <c r="H253" s="2" t="str">
        <f t="shared" si="1"/>
        <v>INSERT INTO tblStudentTotalScore VALUES (seqStudentTotalScore.nextval, 248, null, null, null);</v>
      </c>
    </row>
    <row r="254">
      <c r="A254" s="1">
        <v>249.0</v>
      </c>
      <c r="B254" s="1" t="s">
        <v>323</v>
      </c>
      <c r="C254" s="1">
        <v>249.0</v>
      </c>
      <c r="H254" s="2" t="str">
        <f t="shared" si="1"/>
        <v>INSERT INTO tblStudentTotalScore VALUES (seqStudentTotalScore.nextval, 249, null, null, null);</v>
      </c>
    </row>
    <row r="255">
      <c r="A255" s="1">
        <v>250.0</v>
      </c>
      <c r="B255" s="1" t="s">
        <v>323</v>
      </c>
      <c r="C255" s="1">
        <v>250.0</v>
      </c>
      <c r="H255" s="2" t="str">
        <f t="shared" si="1"/>
        <v>INSERT INTO tblStudentTotalScore VALUES (seqStudentTotalScore.nextval, 250, null, null, null);</v>
      </c>
    </row>
    <row r="256">
      <c r="A256" s="1">
        <v>251.0</v>
      </c>
      <c r="B256" s="1" t="s">
        <v>323</v>
      </c>
      <c r="C256" s="1">
        <v>251.0</v>
      </c>
      <c r="H256" s="2" t="str">
        <f t="shared" si="1"/>
        <v>INSERT INTO tblStudentTotalScore VALUES (seqStudentTotalScore.nextval, 251, null, null, null);</v>
      </c>
    </row>
    <row r="257">
      <c r="A257" s="1">
        <v>252.0</v>
      </c>
      <c r="B257" s="1" t="s">
        <v>323</v>
      </c>
      <c r="C257" s="1">
        <v>252.0</v>
      </c>
      <c r="H257" s="2" t="str">
        <f t="shared" si="1"/>
        <v>INSERT INTO tblStudentTotalScore VALUES (seqStudentTotalScore.nextval, 252, null, null, null);</v>
      </c>
    </row>
    <row r="258">
      <c r="A258" s="1">
        <v>253.0</v>
      </c>
      <c r="B258" s="1" t="s">
        <v>323</v>
      </c>
      <c r="C258" s="1">
        <v>253.0</v>
      </c>
      <c r="H258" s="2" t="str">
        <f t="shared" si="1"/>
        <v>INSERT INTO tblStudentTotalScore VALUES (seqStudentTotalScore.nextval, 253, null, null, null);</v>
      </c>
    </row>
    <row r="259">
      <c r="A259" s="1">
        <v>254.0</v>
      </c>
      <c r="B259" s="1" t="s">
        <v>323</v>
      </c>
      <c r="C259" s="1">
        <v>254.0</v>
      </c>
      <c r="H259" s="2" t="str">
        <f t="shared" si="1"/>
        <v>INSERT INTO tblStudentTotalScore VALUES (seqStudentTotalScore.nextval, 254, null, null, null);</v>
      </c>
    </row>
    <row r="260">
      <c r="A260" s="1">
        <v>255.0</v>
      </c>
      <c r="B260" s="1" t="s">
        <v>323</v>
      </c>
      <c r="C260" s="1">
        <v>255.0</v>
      </c>
      <c r="H260" s="2" t="str">
        <f t="shared" si="1"/>
        <v>INSERT INTO tblStudentTotalScore VALUES (seqStudentTotalScore.nextval, 255, null, null, null);</v>
      </c>
    </row>
    <row r="261">
      <c r="A261" s="1">
        <v>256.0</v>
      </c>
      <c r="B261" s="1" t="s">
        <v>323</v>
      </c>
      <c r="C261" s="1">
        <v>256.0</v>
      </c>
      <c r="H261" s="2" t="str">
        <f t="shared" si="1"/>
        <v>INSERT INTO tblStudentTotalScore VALUES (seqStudentTotalScore.nextval, 256, null, null, null);</v>
      </c>
    </row>
    <row r="262">
      <c r="A262" s="1">
        <v>257.0</v>
      </c>
      <c r="B262" s="1" t="s">
        <v>323</v>
      </c>
      <c r="C262" s="1">
        <v>257.0</v>
      </c>
      <c r="H262" s="2" t="str">
        <f t="shared" si="1"/>
        <v>INSERT INTO tblStudentTotalScore VALUES (seqStudentTotalScore.nextval, 257, null, null, null);</v>
      </c>
    </row>
    <row r="263">
      <c r="A263" s="1">
        <v>258.0</v>
      </c>
      <c r="B263" s="1" t="s">
        <v>323</v>
      </c>
      <c r="C263" s="1">
        <v>258.0</v>
      </c>
      <c r="H263" s="2" t="str">
        <f t="shared" si="1"/>
        <v>INSERT INTO tblStudentTotalScore VALUES (seqStudentTotalScore.nextval, 258, null, null, null);</v>
      </c>
    </row>
    <row r="264">
      <c r="A264" s="1">
        <v>259.0</v>
      </c>
      <c r="B264" s="1" t="s">
        <v>323</v>
      </c>
      <c r="C264" s="1">
        <v>259.0</v>
      </c>
      <c r="H264" s="2" t="str">
        <f t="shared" si="1"/>
        <v>INSERT INTO tblStudentTotalScore VALUES (seqStudentTotalScore.nextval, 259, null, null, null);</v>
      </c>
    </row>
    <row r="265">
      <c r="A265" s="1">
        <v>260.0</v>
      </c>
      <c r="B265" s="1" t="s">
        <v>323</v>
      </c>
      <c r="C265" s="1">
        <v>260.0</v>
      </c>
      <c r="H265" s="2" t="str">
        <f t="shared" si="1"/>
        <v>INSERT INTO tblStudentTotalScore VALUES (seqStudentTotalScore.nextval, 260, null, null, null);</v>
      </c>
    </row>
    <row r="266">
      <c r="A266" s="1">
        <v>261.0</v>
      </c>
      <c r="B266" s="1" t="s">
        <v>323</v>
      </c>
      <c r="C266" s="1">
        <v>261.0</v>
      </c>
      <c r="H266" s="2" t="str">
        <f t="shared" si="1"/>
        <v>INSERT INTO tblStudentTotalScore VALUES (seqStudentTotalScore.nextval, 261, null, null, null);</v>
      </c>
    </row>
    <row r="267">
      <c r="A267" s="1">
        <v>262.0</v>
      </c>
      <c r="B267" s="1" t="s">
        <v>323</v>
      </c>
      <c r="C267" s="1">
        <v>262.0</v>
      </c>
      <c r="H267" s="2" t="str">
        <f t="shared" si="1"/>
        <v>INSERT INTO tblStudentTotalScore VALUES (seqStudentTotalScore.nextval, 262, null, null, null);</v>
      </c>
    </row>
    <row r="268">
      <c r="A268" s="1">
        <v>263.0</v>
      </c>
      <c r="B268" s="1" t="s">
        <v>323</v>
      </c>
      <c r="C268" s="1">
        <v>263.0</v>
      </c>
      <c r="H268" s="2" t="str">
        <f t="shared" si="1"/>
        <v>INSERT INTO tblStudentTotalScore VALUES (seqStudentTotalScore.nextval, 263, null, null, null);</v>
      </c>
    </row>
    <row r="269">
      <c r="A269" s="1">
        <v>264.0</v>
      </c>
      <c r="B269" s="1" t="s">
        <v>323</v>
      </c>
      <c r="C269" s="1">
        <v>264.0</v>
      </c>
      <c r="H269" s="2" t="str">
        <f t="shared" si="1"/>
        <v>INSERT INTO tblStudentTotalScore VALUES (seqStudentTotalScore.nextval, 264, null, null, null);</v>
      </c>
    </row>
    <row r="270">
      <c r="A270" s="1">
        <v>265.0</v>
      </c>
      <c r="B270" s="1" t="s">
        <v>323</v>
      </c>
      <c r="C270" s="1">
        <v>265.0</v>
      </c>
      <c r="H270" s="2" t="str">
        <f t="shared" si="1"/>
        <v>INSERT INTO tblStudentTotalScore VALUES (seqStudentTotalScore.nextval, 265, null, null, null);</v>
      </c>
    </row>
    <row r="271">
      <c r="A271" s="1">
        <v>266.0</v>
      </c>
      <c r="B271" s="1" t="s">
        <v>323</v>
      </c>
      <c r="C271" s="1">
        <v>266.0</v>
      </c>
      <c r="H271" s="2" t="str">
        <f t="shared" si="1"/>
        <v>INSERT INTO tblStudentTotalScore VALUES (seqStudentTotalScore.nextval, 266, null, null, null);</v>
      </c>
    </row>
    <row r="272">
      <c r="A272" s="1">
        <v>267.0</v>
      </c>
      <c r="B272" s="1" t="s">
        <v>323</v>
      </c>
      <c r="C272" s="1">
        <v>267.0</v>
      </c>
      <c r="H272" s="2" t="str">
        <f t="shared" si="1"/>
        <v>INSERT INTO tblStudentTotalScore VALUES (seqStudentTotalScore.nextval, 267, null, null, null);</v>
      </c>
    </row>
    <row r="273">
      <c r="A273" s="1">
        <v>268.0</v>
      </c>
      <c r="B273" s="1" t="s">
        <v>323</v>
      </c>
      <c r="C273" s="1">
        <v>268.0</v>
      </c>
      <c r="H273" s="2" t="str">
        <f t="shared" si="1"/>
        <v>INSERT INTO tblStudentTotalScore VALUES (seqStudentTotalScore.nextval, 268, null, null, null);</v>
      </c>
    </row>
    <row r="274">
      <c r="A274" s="1">
        <v>269.0</v>
      </c>
      <c r="B274" s="1" t="s">
        <v>323</v>
      </c>
      <c r="C274" s="1">
        <v>269.0</v>
      </c>
      <c r="H274" s="2" t="str">
        <f t="shared" si="1"/>
        <v>INSERT INTO tblStudentTotalScore VALUES (seqStudentTotalScore.nextval, 269, null, null, null);</v>
      </c>
    </row>
    <row r="275">
      <c r="A275" s="1">
        <v>270.0</v>
      </c>
      <c r="B275" s="1" t="s">
        <v>323</v>
      </c>
      <c r="C275" s="1">
        <v>270.0</v>
      </c>
      <c r="H275" s="2" t="str">
        <f t="shared" si="1"/>
        <v>INSERT INTO tblStudentTotalScore VALUES (seqStudentTotalScore.nextval, 270, null, null, null);</v>
      </c>
    </row>
    <row r="276">
      <c r="A276" s="1">
        <v>271.0</v>
      </c>
      <c r="B276" s="1" t="s">
        <v>323</v>
      </c>
      <c r="C276" s="1">
        <v>271.0</v>
      </c>
      <c r="H276" s="2" t="str">
        <f t="shared" si="1"/>
        <v>INSERT INTO tblStudentTotalScore VALUES (seqStudentTotalScore.nextval, 271, null, null, null);</v>
      </c>
    </row>
    <row r="277">
      <c r="A277" s="1">
        <v>272.0</v>
      </c>
      <c r="B277" s="1" t="s">
        <v>323</v>
      </c>
      <c r="C277" s="1">
        <v>272.0</v>
      </c>
      <c r="H277" s="2" t="str">
        <f t="shared" si="1"/>
        <v>INSERT INTO tblStudentTotalScore VALUES (seqStudentTotalScore.nextval, 272, null, null, null);</v>
      </c>
    </row>
    <row r="278">
      <c r="A278" s="1">
        <v>273.0</v>
      </c>
      <c r="B278" s="1" t="s">
        <v>323</v>
      </c>
      <c r="C278" s="1">
        <v>273.0</v>
      </c>
      <c r="H278" s="2" t="str">
        <f t="shared" si="1"/>
        <v>INSERT INTO tblStudentTotalScore VALUES (seqStudentTotalScore.nextval, 273, null, null, null);</v>
      </c>
    </row>
    <row r="279">
      <c r="A279" s="1">
        <v>274.0</v>
      </c>
      <c r="B279" s="1" t="s">
        <v>323</v>
      </c>
      <c r="C279" s="1">
        <v>274.0</v>
      </c>
      <c r="H279" s="2" t="str">
        <f t="shared" si="1"/>
        <v>INSERT INTO tblStudentTotalScore VALUES (seqStudentTotalScore.nextval, 274, null, null, null);</v>
      </c>
    </row>
    <row r="280">
      <c r="A280" s="1">
        <v>275.0</v>
      </c>
      <c r="B280" s="1" t="s">
        <v>323</v>
      </c>
      <c r="C280" s="1">
        <v>275.0</v>
      </c>
      <c r="H280" s="2" t="str">
        <f t="shared" si="1"/>
        <v>INSERT INTO tblStudentTotalScore VALUES (seqStudentTotalScore.nextval, 275, null, null, null);</v>
      </c>
    </row>
    <row r="281">
      <c r="A281" s="1">
        <v>276.0</v>
      </c>
      <c r="B281" s="1" t="s">
        <v>323</v>
      </c>
      <c r="C281" s="1">
        <v>276.0</v>
      </c>
      <c r="H281" s="2" t="str">
        <f t="shared" si="1"/>
        <v>INSERT INTO tblStudentTotalScore VALUES (seqStudentTotalScore.nextval, 276, null, null, null);</v>
      </c>
    </row>
    <row r="282">
      <c r="A282" s="1">
        <v>277.0</v>
      </c>
      <c r="B282" s="1" t="s">
        <v>323</v>
      </c>
      <c r="C282" s="1">
        <v>277.0</v>
      </c>
      <c r="H282" s="2" t="str">
        <f t="shared" si="1"/>
        <v>INSERT INTO tblStudentTotalScore VALUES (seqStudentTotalScore.nextval, 277, null, null, null);</v>
      </c>
    </row>
    <row r="283">
      <c r="A283" s="1">
        <v>278.0</v>
      </c>
      <c r="B283" s="1" t="s">
        <v>323</v>
      </c>
      <c r="C283" s="1">
        <v>278.0</v>
      </c>
      <c r="H283" s="2" t="str">
        <f t="shared" si="1"/>
        <v>INSERT INTO tblStudentTotalScore VALUES (seqStudentTotalScore.nextval, 278, null, null, null);</v>
      </c>
    </row>
    <row r="284">
      <c r="A284" s="1">
        <v>279.0</v>
      </c>
      <c r="B284" s="1" t="s">
        <v>323</v>
      </c>
      <c r="C284" s="1">
        <v>279.0</v>
      </c>
      <c r="H284" s="2" t="str">
        <f t="shared" si="1"/>
        <v>INSERT INTO tblStudentTotalScore VALUES (seqStudentTotalScore.nextval, 279, null, null, null);</v>
      </c>
    </row>
    <row r="285">
      <c r="A285" s="1">
        <v>280.0</v>
      </c>
      <c r="B285" s="1" t="s">
        <v>323</v>
      </c>
      <c r="C285" s="1">
        <v>280.0</v>
      </c>
      <c r="H285" s="2" t="str">
        <f t="shared" si="1"/>
        <v>INSERT INTO tblStudentTotalScore VALUES (seqStudentTotalScore.nextval, 280, null, null, null);</v>
      </c>
    </row>
    <row r="286">
      <c r="A286" s="1">
        <v>281.0</v>
      </c>
      <c r="B286" s="1" t="s">
        <v>323</v>
      </c>
      <c r="C286" s="1">
        <v>281.0</v>
      </c>
      <c r="H286" s="2" t="str">
        <f t="shared" si="1"/>
        <v>INSERT INTO tblStudentTotalScore VALUES (seqStudentTotalScore.nextval, 281, null, null, null);</v>
      </c>
    </row>
    <row r="287">
      <c r="A287" s="1">
        <v>282.0</v>
      </c>
      <c r="B287" s="1" t="s">
        <v>323</v>
      </c>
      <c r="C287" s="1">
        <v>282.0</v>
      </c>
      <c r="H287" s="2" t="str">
        <f t="shared" si="1"/>
        <v>INSERT INTO tblStudentTotalScore VALUES (seqStudentTotalScore.nextval, 282, null, null, null);</v>
      </c>
    </row>
    <row r="288">
      <c r="A288" s="1">
        <v>283.0</v>
      </c>
      <c r="B288" s="1" t="s">
        <v>323</v>
      </c>
      <c r="C288" s="1">
        <v>283.0</v>
      </c>
      <c r="H288" s="2" t="str">
        <f t="shared" si="1"/>
        <v>INSERT INTO tblStudentTotalScore VALUES (seqStudentTotalScore.nextval, 283, null, null, null);</v>
      </c>
    </row>
    <row r="289">
      <c r="A289" s="1">
        <v>284.0</v>
      </c>
      <c r="B289" s="1" t="s">
        <v>323</v>
      </c>
      <c r="C289" s="1">
        <v>284.0</v>
      </c>
      <c r="H289" s="2" t="str">
        <f t="shared" si="1"/>
        <v>INSERT INTO tblStudentTotalScore VALUES (seqStudentTotalScore.nextval, 284, null, null, null);</v>
      </c>
    </row>
    <row r="290">
      <c r="A290" s="1">
        <v>285.0</v>
      </c>
      <c r="B290" s="1" t="s">
        <v>323</v>
      </c>
      <c r="C290" s="1">
        <v>285.0</v>
      </c>
      <c r="H290" s="2" t="str">
        <f t="shared" si="1"/>
        <v>INSERT INTO tblStudentTotalScore VALUES (seqStudentTotalScore.nextval, 285, null, null, null);</v>
      </c>
    </row>
    <row r="291">
      <c r="A291" s="1">
        <v>286.0</v>
      </c>
      <c r="B291" s="1" t="s">
        <v>323</v>
      </c>
      <c r="C291" s="1">
        <v>286.0</v>
      </c>
      <c r="H291" s="2" t="str">
        <f t="shared" si="1"/>
        <v>INSERT INTO tblStudentTotalScore VALUES (seqStudentTotalScore.nextval, 286, null, null, null);</v>
      </c>
    </row>
    <row r="292">
      <c r="A292" s="1">
        <v>287.0</v>
      </c>
      <c r="B292" s="1" t="s">
        <v>323</v>
      </c>
      <c r="C292" s="1">
        <v>287.0</v>
      </c>
      <c r="H292" s="2" t="str">
        <f t="shared" si="1"/>
        <v>INSERT INTO tblStudentTotalScore VALUES (seqStudentTotalScore.nextval, 287, null, null, null);</v>
      </c>
    </row>
    <row r="293">
      <c r="A293" s="1">
        <v>288.0</v>
      </c>
      <c r="B293" s="1" t="s">
        <v>323</v>
      </c>
      <c r="C293" s="1">
        <v>288.0</v>
      </c>
      <c r="H293" s="2" t="str">
        <f t="shared" si="1"/>
        <v>INSERT INTO tblStudentTotalScore VALUES (seqStudentTotalScore.nextval, 288, null, null, null);</v>
      </c>
    </row>
    <row r="294">
      <c r="A294" s="1">
        <v>289.0</v>
      </c>
      <c r="B294" s="1" t="s">
        <v>323</v>
      </c>
      <c r="C294" s="1">
        <v>289.0</v>
      </c>
      <c r="H294" s="2" t="str">
        <f t="shared" si="1"/>
        <v>INSERT INTO tblStudentTotalScore VALUES (seqStudentTotalScore.nextval, 289, null, null, null);</v>
      </c>
    </row>
    <row r="295">
      <c r="A295" s="1">
        <v>290.0</v>
      </c>
      <c r="B295" s="1" t="s">
        <v>323</v>
      </c>
      <c r="C295" s="1">
        <v>290.0</v>
      </c>
      <c r="H295" s="2" t="str">
        <f t="shared" si="1"/>
        <v>INSERT INTO tblStudentTotalScore VALUES (seqStudentTotalScore.nextval, 290, null, null, null);</v>
      </c>
    </row>
    <row r="296">
      <c r="A296" s="1">
        <v>291.0</v>
      </c>
      <c r="B296" s="1" t="s">
        <v>323</v>
      </c>
      <c r="C296" s="1">
        <v>291.0</v>
      </c>
      <c r="H296" s="2" t="str">
        <f t="shared" si="1"/>
        <v>INSERT INTO tblStudentTotalScore VALUES (seqStudentTotalScore.nextval, 291, null, null, null);</v>
      </c>
    </row>
    <row r="297">
      <c r="A297" s="1">
        <v>292.0</v>
      </c>
      <c r="B297" s="1" t="s">
        <v>323</v>
      </c>
      <c r="C297" s="1">
        <v>292.0</v>
      </c>
      <c r="H297" s="2" t="str">
        <f t="shared" si="1"/>
        <v>INSERT INTO tblStudentTotalScore VALUES (seqStudentTotalScore.nextval, 292, null, null, null);</v>
      </c>
    </row>
    <row r="298">
      <c r="A298" s="1">
        <v>293.0</v>
      </c>
      <c r="B298" s="1" t="s">
        <v>323</v>
      </c>
      <c r="C298" s="1">
        <v>293.0</v>
      </c>
      <c r="H298" s="2" t="str">
        <f t="shared" si="1"/>
        <v>INSERT INTO tblStudentTotalScore VALUES (seqStudentTotalScore.nextval, 293, null, null, null);</v>
      </c>
    </row>
    <row r="299">
      <c r="A299" s="1">
        <v>294.0</v>
      </c>
      <c r="B299" s="1" t="s">
        <v>323</v>
      </c>
      <c r="C299" s="1">
        <v>294.0</v>
      </c>
      <c r="H299" s="2" t="str">
        <f t="shared" si="1"/>
        <v>INSERT INTO tblStudentTotalScore VALUES (seqStudentTotalScore.nextval, 294, null, null, null);</v>
      </c>
    </row>
    <row r="300">
      <c r="A300" s="1">
        <v>295.0</v>
      </c>
      <c r="B300" s="1" t="s">
        <v>323</v>
      </c>
      <c r="C300" s="1">
        <v>295.0</v>
      </c>
      <c r="H300" s="2" t="str">
        <f t="shared" si="1"/>
        <v>INSERT INTO tblStudentTotalScore VALUES (seqStudentTotalScore.nextval, 295, null, null, null);</v>
      </c>
    </row>
    <row r="301">
      <c r="A301" s="1">
        <v>296.0</v>
      </c>
      <c r="B301" s="1" t="s">
        <v>323</v>
      </c>
      <c r="C301" s="1">
        <v>296.0</v>
      </c>
      <c r="H301" s="2" t="str">
        <f t="shared" si="1"/>
        <v>INSERT INTO tblStudentTotalScore VALUES (seqStudentTotalScore.nextval, 296, null, null, null);</v>
      </c>
    </row>
    <row r="302">
      <c r="A302" s="1">
        <v>297.0</v>
      </c>
      <c r="B302" s="1" t="s">
        <v>323</v>
      </c>
      <c r="C302" s="1">
        <v>297.0</v>
      </c>
      <c r="H302" s="2" t="str">
        <f t="shared" si="1"/>
        <v>INSERT INTO tblStudentTotalScore VALUES (seqStudentTotalScore.nextval, 297, null, null, null);</v>
      </c>
    </row>
    <row r="303">
      <c r="A303" s="1">
        <v>298.0</v>
      </c>
      <c r="B303" s="1" t="s">
        <v>323</v>
      </c>
      <c r="C303" s="1">
        <v>298.0</v>
      </c>
      <c r="H303" s="2" t="str">
        <f t="shared" si="1"/>
        <v>INSERT INTO tblStudentTotalScore VALUES (seqStudentTotalScore.nextval, 298, null, null, null);</v>
      </c>
    </row>
    <row r="304">
      <c r="A304" s="1">
        <v>299.0</v>
      </c>
      <c r="B304" s="1" t="s">
        <v>323</v>
      </c>
      <c r="C304" s="1">
        <v>299.0</v>
      </c>
      <c r="H304" s="2" t="str">
        <f t="shared" si="1"/>
        <v>INSERT INTO tblStudentTotalScore VALUES (seqStudentTotalScore.nextval, 299, null, null, null);</v>
      </c>
    </row>
    <row r="305">
      <c r="A305" s="1">
        <v>300.0</v>
      </c>
      <c r="B305" s="1" t="s">
        <v>323</v>
      </c>
      <c r="C305" s="1">
        <v>300.0</v>
      </c>
      <c r="H305" s="2" t="str">
        <f t="shared" si="1"/>
        <v>INSERT INTO tblStudentTotalScore VALUES (seqStudentTotalScore.nextval, 300, null, null, null);</v>
      </c>
    </row>
    <row r="306">
      <c r="A306" s="1">
        <v>301.0</v>
      </c>
      <c r="B306" s="1" t="s">
        <v>323</v>
      </c>
      <c r="C306" s="1">
        <v>301.0</v>
      </c>
      <c r="H306" s="2" t="str">
        <f t="shared" si="1"/>
        <v>INSERT INTO tblStudentTotalScore VALUES (seqStudentTotalScore.nextval, 301, null, null, null);</v>
      </c>
    </row>
    <row r="307">
      <c r="A307" s="1">
        <v>302.0</v>
      </c>
      <c r="B307" s="1" t="s">
        <v>323</v>
      </c>
      <c r="C307" s="1">
        <v>302.0</v>
      </c>
      <c r="H307" s="2" t="str">
        <f t="shared" si="1"/>
        <v>INSERT INTO tblStudentTotalScore VALUES (seqStudentTotalScore.nextval, 302, null, null, null);</v>
      </c>
    </row>
    <row r="308">
      <c r="A308" s="1">
        <v>303.0</v>
      </c>
      <c r="B308" s="1" t="s">
        <v>323</v>
      </c>
      <c r="C308" s="1">
        <v>303.0</v>
      </c>
      <c r="H308" s="2" t="str">
        <f t="shared" si="1"/>
        <v>INSERT INTO tblStudentTotalScore VALUES (seqStudentTotalScore.nextval, 303, null, null, null);</v>
      </c>
    </row>
    <row r="309">
      <c r="A309" s="1">
        <v>304.0</v>
      </c>
      <c r="B309" s="1" t="s">
        <v>323</v>
      </c>
      <c r="C309" s="1">
        <v>304.0</v>
      </c>
      <c r="H309" s="2" t="str">
        <f t="shared" si="1"/>
        <v>INSERT INTO tblStudentTotalScore VALUES (seqStudentTotalScore.nextval, 304, null, null, null);</v>
      </c>
    </row>
    <row r="310">
      <c r="A310" s="1">
        <v>305.0</v>
      </c>
      <c r="B310" s="1" t="s">
        <v>323</v>
      </c>
      <c r="C310" s="1">
        <v>305.0</v>
      </c>
      <c r="H310" s="2" t="str">
        <f t="shared" si="1"/>
        <v>INSERT INTO tblStudentTotalScore VALUES (seqStudentTotalScore.nextval, 305, null, null, null);</v>
      </c>
    </row>
    <row r="311">
      <c r="A311" s="1">
        <v>306.0</v>
      </c>
      <c r="B311" s="1" t="s">
        <v>323</v>
      </c>
      <c r="C311" s="1">
        <v>306.0</v>
      </c>
      <c r="H311" s="2" t="str">
        <f t="shared" si="1"/>
        <v>INSERT INTO tblStudentTotalScore VALUES (seqStudentTotalScore.nextval, 306, null, null, null);</v>
      </c>
    </row>
    <row r="312">
      <c r="A312" s="1">
        <v>307.0</v>
      </c>
      <c r="B312" s="1" t="s">
        <v>323</v>
      </c>
      <c r="C312" s="1">
        <v>307.0</v>
      </c>
      <c r="H312" s="2" t="str">
        <f t="shared" si="1"/>
        <v>INSERT INTO tblStudentTotalScore VALUES (seqStudentTotalScore.nextval, 307, null, null, null);</v>
      </c>
    </row>
    <row r="313">
      <c r="A313" s="1">
        <v>308.0</v>
      </c>
      <c r="B313" s="1" t="s">
        <v>323</v>
      </c>
      <c r="C313" s="1">
        <v>308.0</v>
      </c>
      <c r="H313" s="2" t="str">
        <f t="shared" si="1"/>
        <v>INSERT INTO tblStudentTotalScore VALUES (seqStudentTotalScore.nextval, 308, null, null, null);</v>
      </c>
    </row>
    <row r="314">
      <c r="A314" s="1">
        <v>309.0</v>
      </c>
      <c r="B314" s="1" t="s">
        <v>323</v>
      </c>
      <c r="C314" s="1">
        <v>309.0</v>
      </c>
      <c r="H314" s="2" t="str">
        <f t="shared" si="1"/>
        <v>INSERT INTO tblStudentTotalScore VALUES (seqStudentTotalScore.nextval, 309, null, null, null);</v>
      </c>
    </row>
    <row r="315">
      <c r="A315" s="1">
        <v>310.0</v>
      </c>
      <c r="B315" s="1" t="s">
        <v>323</v>
      </c>
      <c r="C315" s="1">
        <v>310.0</v>
      </c>
      <c r="H315" s="2" t="str">
        <f t="shared" si="1"/>
        <v>INSERT INTO tblStudentTotalScore VALUES (seqStudentTotalScore.nextval, 310, null, null, null);</v>
      </c>
    </row>
    <row r="316">
      <c r="A316" s="1">
        <v>311.0</v>
      </c>
      <c r="B316" s="1" t="s">
        <v>323</v>
      </c>
      <c r="C316" s="1">
        <v>311.0</v>
      </c>
      <c r="H316" s="2" t="str">
        <f t="shared" si="1"/>
        <v>INSERT INTO tblStudentTotalScore VALUES (seqStudentTotalScore.nextval, 311, null, null, null);</v>
      </c>
    </row>
    <row r="317">
      <c r="A317" s="1">
        <v>312.0</v>
      </c>
      <c r="B317" s="1" t="s">
        <v>323</v>
      </c>
      <c r="C317" s="1">
        <v>312.0</v>
      </c>
      <c r="H317" s="2" t="str">
        <f t="shared" si="1"/>
        <v>INSERT INTO tblStudentTotalScore VALUES (seqStudentTotalScore.nextval, 312, null, null, null);</v>
      </c>
    </row>
    <row r="318">
      <c r="A318" s="1">
        <v>313.0</v>
      </c>
      <c r="B318" s="1" t="s">
        <v>323</v>
      </c>
      <c r="C318" s="1">
        <v>313.0</v>
      </c>
      <c r="H318" s="2" t="str">
        <f t="shared" si="1"/>
        <v>INSERT INTO tblStudentTotalScore VALUES (seqStudentTotalScore.nextval, 313, null, null, null);</v>
      </c>
    </row>
    <row r="319">
      <c r="A319" s="1">
        <v>314.0</v>
      </c>
      <c r="B319" s="1" t="s">
        <v>323</v>
      </c>
      <c r="C319" s="1">
        <v>314.0</v>
      </c>
      <c r="H319" s="2" t="str">
        <f t="shared" si="1"/>
        <v>INSERT INTO tblStudentTotalScore VALUES (seqStudentTotalScore.nextval, 314, null, null, null);</v>
      </c>
    </row>
    <row r="320">
      <c r="A320" s="1">
        <v>315.0</v>
      </c>
      <c r="B320" s="1" t="s">
        <v>323</v>
      </c>
      <c r="C320" s="1">
        <v>315.0</v>
      </c>
      <c r="H320" s="2" t="str">
        <f t="shared" si="1"/>
        <v>INSERT INTO tblStudentTotalScore VALUES (seqStudentTotalScore.nextval, 315, null, null, null);</v>
      </c>
    </row>
    <row r="321">
      <c r="A321" s="1">
        <v>316.0</v>
      </c>
      <c r="B321" s="1" t="s">
        <v>323</v>
      </c>
      <c r="C321" s="1">
        <v>316.0</v>
      </c>
      <c r="H321" s="2" t="str">
        <f t="shared" si="1"/>
        <v>INSERT INTO tblStudentTotalScore VALUES (seqStudentTotalScore.nextval, 316, null, null, null);</v>
      </c>
    </row>
    <row r="322">
      <c r="A322" s="1">
        <v>317.0</v>
      </c>
      <c r="B322" s="1" t="s">
        <v>323</v>
      </c>
      <c r="C322" s="1">
        <v>317.0</v>
      </c>
      <c r="H322" s="2" t="str">
        <f t="shared" si="1"/>
        <v>INSERT INTO tblStudentTotalScore VALUES (seqStudentTotalScore.nextval, 317, null, null, null);</v>
      </c>
    </row>
    <row r="323">
      <c r="A323" s="1">
        <v>318.0</v>
      </c>
      <c r="B323" s="1" t="s">
        <v>323</v>
      </c>
      <c r="C323" s="1">
        <v>318.0</v>
      </c>
      <c r="H323" s="2" t="str">
        <f t="shared" si="1"/>
        <v>INSERT INTO tblStudentTotalScore VALUES (seqStudentTotalScore.nextval, 318, null, null, null);</v>
      </c>
    </row>
    <row r="324">
      <c r="A324" s="1">
        <v>319.0</v>
      </c>
      <c r="B324" s="1" t="s">
        <v>323</v>
      </c>
      <c r="C324" s="1">
        <v>319.0</v>
      </c>
      <c r="H324" s="2" t="str">
        <f t="shared" si="1"/>
        <v>INSERT INTO tblStudentTotalScore VALUES (seqStudentTotalScore.nextval, 319, null, null, null);</v>
      </c>
    </row>
    <row r="325">
      <c r="A325" s="1">
        <v>320.0</v>
      </c>
      <c r="B325" s="1" t="s">
        <v>323</v>
      </c>
      <c r="C325" s="1">
        <v>320.0</v>
      </c>
      <c r="H325" s="2" t="str">
        <f t="shared" si="1"/>
        <v>INSERT INTO tblStudentTotalScore VALUES (seqStudentTotalScore.nextval, 320, null, null, null);</v>
      </c>
    </row>
    <row r="326">
      <c r="A326" s="1">
        <v>321.0</v>
      </c>
      <c r="B326" s="1" t="s">
        <v>323</v>
      </c>
      <c r="C326" s="1">
        <v>321.0</v>
      </c>
      <c r="H326" s="2" t="str">
        <f t="shared" si="1"/>
        <v>INSERT INTO tblStudentTotalScore VALUES (seqStudentTotalScore.nextval, 321, null, null, null);</v>
      </c>
    </row>
    <row r="327">
      <c r="A327" s="1">
        <v>322.0</v>
      </c>
      <c r="B327" s="1" t="s">
        <v>323</v>
      </c>
      <c r="C327" s="1">
        <v>322.0</v>
      </c>
      <c r="H327" s="2" t="str">
        <f t="shared" si="1"/>
        <v>INSERT INTO tblStudentTotalScore VALUES (seqStudentTotalScore.nextval, 322, null, null, null);</v>
      </c>
    </row>
    <row r="328">
      <c r="A328" s="1">
        <v>323.0</v>
      </c>
      <c r="B328" s="1" t="s">
        <v>323</v>
      </c>
      <c r="C328" s="1">
        <v>323.0</v>
      </c>
      <c r="H328" s="2" t="str">
        <f t="shared" si="1"/>
        <v>INSERT INTO tblStudentTotalScore VALUES (seqStudentTotalScore.nextval, 323, null, null, null);</v>
      </c>
    </row>
    <row r="329">
      <c r="A329" s="1">
        <v>324.0</v>
      </c>
      <c r="B329" s="1" t="s">
        <v>323</v>
      </c>
      <c r="C329" s="1">
        <v>324.0</v>
      </c>
      <c r="H329" s="2" t="str">
        <f t="shared" si="1"/>
        <v>INSERT INTO tblStudentTotalScore VALUES (seqStudentTotalScore.nextval, 324, null, null, null);</v>
      </c>
    </row>
    <row r="330">
      <c r="A330" s="1">
        <v>325.0</v>
      </c>
      <c r="B330" s="1" t="s">
        <v>323</v>
      </c>
      <c r="C330" s="1">
        <v>325.0</v>
      </c>
      <c r="H330" s="2" t="str">
        <f t="shared" si="1"/>
        <v>INSERT INTO tblStudentTotalScore VALUES (seqStudentTotalScore.nextval, 325, null, null, null);</v>
      </c>
    </row>
    <row r="331">
      <c r="A331" s="1">
        <v>326.0</v>
      </c>
      <c r="B331" s="1" t="s">
        <v>323</v>
      </c>
      <c r="C331" s="1">
        <v>326.0</v>
      </c>
      <c r="H331" s="2" t="str">
        <f t="shared" si="1"/>
        <v>INSERT INTO tblStudentTotalScore VALUES (seqStudentTotalScore.nextval, 326, null, null, null);</v>
      </c>
    </row>
    <row r="332">
      <c r="A332" s="1">
        <v>327.0</v>
      </c>
      <c r="B332" s="1" t="s">
        <v>323</v>
      </c>
      <c r="C332" s="1">
        <v>327.0</v>
      </c>
      <c r="H332" s="2" t="str">
        <f t="shared" si="1"/>
        <v>INSERT INTO tblStudentTotalScore VALUES (seqStudentTotalScore.nextval, 327, null, null, null);</v>
      </c>
    </row>
    <row r="333">
      <c r="A333" s="1">
        <v>328.0</v>
      </c>
      <c r="B333" s="1" t="s">
        <v>323</v>
      </c>
      <c r="C333" s="1">
        <v>328.0</v>
      </c>
      <c r="H333" s="2" t="str">
        <f t="shared" si="1"/>
        <v>INSERT INTO tblStudentTotalScore VALUES (seqStudentTotalScore.nextval, 328, null, null, null);</v>
      </c>
    </row>
    <row r="334">
      <c r="A334" s="1">
        <v>329.0</v>
      </c>
      <c r="B334" s="1" t="s">
        <v>323</v>
      </c>
      <c r="C334" s="1">
        <v>329.0</v>
      </c>
      <c r="H334" s="2" t="str">
        <f t="shared" si="1"/>
        <v>INSERT INTO tblStudentTotalScore VALUES (seqStudentTotalScore.nextval, 329, null, null, null);</v>
      </c>
    </row>
    <row r="335">
      <c r="A335" s="1">
        <v>330.0</v>
      </c>
      <c r="B335" s="1" t="s">
        <v>323</v>
      </c>
      <c r="C335" s="1">
        <v>330.0</v>
      </c>
      <c r="H335" s="2" t="str">
        <f t="shared" si="1"/>
        <v>INSERT INTO tblStudentTotalScore VALUES (seqStudentTotalScore.nextval, 330, null, null, null);</v>
      </c>
    </row>
    <row r="336">
      <c r="A336" s="1">
        <v>331.0</v>
      </c>
      <c r="B336" s="1" t="s">
        <v>323</v>
      </c>
      <c r="C336" s="1">
        <v>331.0</v>
      </c>
      <c r="H336" s="2" t="str">
        <f t="shared" si="1"/>
        <v>INSERT INTO tblStudentTotalScore VALUES (seqStudentTotalScore.nextval, 331, null, null, null);</v>
      </c>
    </row>
    <row r="337">
      <c r="A337" s="1">
        <v>332.0</v>
      </c>
      <c r="B337" s="1" t="s">
        <v>323</v>
      </c>
      <c r="C337" s="1">
        <v>332.0</v>
      </c>
      <c r="H337" s="2" t="str">
        <f t="shared" si="1"/>
        <v>INSERT INTO tblStudentTotalScore VALUES (seqStudentTotalScore.nextval, 332, null, null, null);</v>
      </c>
    </row>
    <row r="338">
      <c r="A338" s="1">
        <v>333.0</v>
      </c>
      <c r="B338" s="1" t="s">
        <v>323</v>
      </c>
      <c r="C338" s="1">
        <v>333.0</v>
      </c>
      <c r="H338" s="2" t="str">
        <f t="shared" si="1"/>
        <v>INSERT INTO tblStudentTotalScore VALUES (seqStudentTotalScore.nextval, 333, null, null, null);</v>
      </c>
    </row>
    <row r="339">
      <c r="A339" s="1">
        <v>334.0</v>
      </c>
      <c r="B339" s="1" t="s">
        <v>323</v>
      </c>
      <c r="C339" s="1">
        <v>334.0</v>
      </c>
      <c r="H339" s="2" t="str">
        <f t="shared" si="1"/>
        <v>INSERT INTO tblStudentTotalScore VALUES (seqStudentTotalScore.nextval, 334, null, null, null);</v>
      </c>
    </row>
    <row r="340">
      <c r="A340" s="1">
        <v>335.0</v>
      </c>
      <c r="B340" s="1" t="s">
        <v>323</v>
      </c>
      <c r="C340" s="1">
        <v>335.0</v>
      </c>
      <c r="H340" s="2" t="str">
        <f t="shared" si="1"/>
        <v>INSERT INTO tblStudentTotalScore VALUES (seqStudentTotalScore.nextval, 335, null, null, null);</v>
      </c>
    </row>
    <row r="341">
      <c r="A341" s="1">
        <v>336.0</v>
      </c>
      <c r="B341" s="1" t="s">
        <v>323</v>
      </c>
      <c r="C341" s="1">
        <v>336.0</v>
      </c>
      <c r="H341" s="2" t="str">
        <f t="shared" si="1"/>
        <v>INSERT INTO tblStudentTotalScore VALUES (seqStudentTotalScore.nextval, 336, null, null, null);</v>
      </c>
    </row>
    <row r="342">
      <c r="A342" s="1">
        <v>337.0</v>
      </c>
      <c r="B342" s="1" t="s">
        <v>323</v>
      </c>
      <c r="C342" s="1">
        <v>337.0</v>
      </c>
      <c r="H342" s="2" t="str">
        <f t="shared" si="1"/>
        <v>INSERT INTO tblStudentTotalScore VALUES (seqStudentTotalScore.nextval, 337, null, null, null);</v>
      </c>
    </row>
    <row r="343">
      <c r="A343" s="1">
        <v>338.0</v>
      </c>
      <c r="B343" s="1" t="s">
        <v>323</v>
      </c>
      <c r="C343" s="1">
        <v>338.0</v>
      </c>
      <c r="H343" s="2" t="str">
        <f t="shared" si="1"/>
        <v>INSERT INTO tblStudentTotalScore VALUES (seqStudentTotalScore.nextval, 338, null, null, null);</v>
      </c>
    </row>
    <row r="344">
      <c r="A344" s="1">
        <v>339.0</v>
      </c>
      <c r="B344" s="1" t="s">
        <v>323</v>
      </c>
      <c r="C344" s="1">
        <v>339.0</v>
      </c>
      <c r="H344" s="2" t="str">
        <f t="shared" si="1"/>
        <v>INSERT INTO tblStudentTotalScore VALUES (seqStudentTotalScore.nextval, 339, null, null, null);</v>
      </c>
    </row>
    <row r="345">
      <c r="A345" s="1">
        <v>340.0</v>
      </c>
      <c r="B345" s="1" t="s">
        <v>323</v>
      </c>
      <c r="C345" s="1">
        <v>340.0</v>
      </c>
      <c r="H345" s="2" t="str">
        <f t="shared" si="1"/>
        <v>INSERT INTO tblStudentTotalScore VALUES (seqStudentTotalScore.nextval, 340, null, null, null);</v>
      </c>
    </row>
    <row r="346">
      <c r="A346" s="1">
        <v>341.0</v>
      </c>
      <c r="B346" s="1" t="s">
        <v>323</v>
      </c>
      <c r="C346" s="1">
        <v>341.0</v>
      </c>
      <c r="H346" s="2" t="str">
        <f t="shared" si="1"/>
        <v>INSERT INTO tblStudentTotalScore VALUES (seqStudentTotalScore.nextval, 341, null, null, null);</v>
      </c>
    </row>
    <row r="347">
      <c r="A347" s="1">
        <v>342.0</v>
      </c>
      <c r="B347" s="1" t="s">
        <v>323</v>
      </c>
      <c r="C347" s="1">
        <v>342.0</v>
      </c>
      <c r="H347" s="2" t="str">
        <f t="shared" si="1"/>
        <v>INSERT INTO tblStudentTotalScore VALUES (seqStudentTotalScore.nextval, 342, null, null, null);</v>
      </c>
    </row>
    <row r="348">
      <c r="A348" s="1">
        <v>343.0</v>
      </c>
      <c r="B348" s="1" t="s">
        <v>323</v>
      </c>
      <c r="C348" s="1">
        <v>343.0</v>
      </c>
      <c r="H348" s="2" t="str">
        <f t="shared" si="1"/>
        <v>INSERT INTO tblStudentTotalScore VALUES (seqStudentTotalScore.nextval, 343, null, null, null);</v>
      </c>
    </row>
    <row r="349">
      <c r="A349" s="1">
        <v>344.0</v>
      </c>
      <c r="B349" s="1" t="s">
        <v>323</v>
      </c>
      <c r="C349" s="1">
        <v>344.0</v>
      </c>
      <c r="H349" s="2" t="str">
        <f t="shared" si="1"/>
        <v>INSERT INTO tblStudentTotalScore VALUES (seqStudentTotalScore.nextval, 344, null, null, null);</v>
      </c>
    </row>
    <row r="350">
      <c r="A350" s="1">
        <v>345.0</v>
      </c>
      <c r="B350" s="1" t="s">
        <v>323</v>
      </c>
      <c r="C350" s="1">
        <v>345.0</v>
      </c>
      <c r="H350" s="2" t="str">
        <f t="shared" si="1"/>
        <v>INSERT INTO tblStudentTotalScore VALUES (seqStudentTotalScore.nextval, 345, null, null, null);</v>
      </c>
    </row>
    <row r="351">
      <c r="A351" s="1">
        <v>346.0</v>
      </c>
      <c r="B351" s="1" t="s">
        <v>323</v>
      </c>
      <c r="C351" s="1">
        <v>346.0</v>
      </c>
      <c r="H351" s="2" t="str">
        <f t="shared" si="1"/>
        <v>INSERT INTO tblStudentTotalScore VALUES (seqStudentTotalScore.nextval, 346, null, null, null);</v>
      </c>
    </row>
    <row r="352">
      <c r="A352" s="1">
        <v>347.0</v>
      </c>
      <c r="B352" s="1" t="s">
        <v>323</v>
      </c>
      <c r="C352" s="1">
        <v>347.0</v>
      </c>
      <c r="H352" s="2" t="str">
        <f t="shared" si="1"/>
        <v>INSERT INTO tblStudentTotalScore VALUES (seqStudentTotalScore.nextval, 347, null, null, null);</v>
      </c>
    </row>
    <row r="353">
      <c r="A353" s="1">
        <v>348.0</v>
      </c>
      <c r="B353" s="1" t="s">
        <v>323</v>
      </c>
      <c r="C353" s="1">
        <v>348.0</v>
      </c>
      <c r="H353" s="2" t="str">
        <f t="shared" si="1"/>
        <v>INSERT INTO tblStudentTotalScore VALUES (seqStudentTotalScore.nextval, 348, null, null, null);</v>
      </c>
    </row>
    <row r="354">
      <c r="A354" s="1">
        <v>349.0</v>
      </c>
      <c r="B354" s="1" t="s">
        <v>323</v>
      </c>
      <c r="C354" s="1">
        <v>349.0</v>
      </c>
      <c r="H354" s="2" t="str">
        <f t="shared" si="1"/>
        <v>INSERT INTO tblStudentTotalScore VALUES (seqStudentTotalScore.nextval, 349, null, null, null);</v>
      </c>
    </row>
    <row r="355">
      <c r="A355" s="1">
        <v>350.0</v>
      </c>
      <c r="B355" s="1" t="s">
        <v>323</v>
      </c>
      <c r="C355" s="1">
        <v>350.0</v>
      </c>
      <c r="H355" s="2" t="str">
        <f t="shared" si="1"/>
        <v>INSERT INTO tblStudentTotalScore VALUES (seqStudentTotalScore.nextval, 350, null, null, null);</v>
      </c>
    </row>
    <row r="356">
      <c r="A356" s="1">
        <v>351.0</v>
      </c>
      <c r="B356" s="1" t="s">
        <v>323</v>
      </c>
      <c r="C356" s="1">
        <v>351.0</v>
      </c>
      <c r="H356" s="2" t="str">
        <f t="shared" si="1"/>
        <v>INSERT INTO tblStudentTotalScore VALUES (seqStudentTotalScore.nextval, 351, null, null, null);</v>
      </c>
    </row>
    <row r="357">
      <c r="A357" s="1">
        <v>352.0</v>
      </c>
      <c r="B357" s="1" t="s">
        <v>323</v>
      </c>
      <c r="C357" s="1">
        <v>352.0</v>
      </c>
      <c r="H357" s="2" t="str">
        <f t="shared" si="1"/>
        <v>INSERT INTO tblStudentTotalScore VALUES (seqStudentTotalScore.nextval, 352, null, null, null);</v>
      </c>
    </row>
    <row r="358">
      <c r="A358" s="1">
        <v>353.0</v>
      </c>
      <c r="B358" s="1" t="s">
        <v>323</v>
      </c>
      <c r="C358" s="1">
        <v>353.0</v>
      </c>
      <c r="H358" s="2" t="str">
        <f t="shared" si="1"/>
        <v>INSERT INTO tblStudentTotalScore VALUES (seqStudentTotalScore.nextval, 353, null, null, null);</v>
      </c>
    </row>
    <row r="359">
      <c r="A359" s="1">
        <v>354.0</v>
      </c>
      <c r="B359" s="1" t="s">
        <v>323</v>
      </c>
      <c r="C359" s="1">
        <v>354.0</v>
      </c>
      <c r="H359" s="2" t="str">
        <f t="shared" si="1"/>
        <v>INSERT INTO tblStudentTotalScore VALUES (seqStudentTotalScore.nextval, 354, null, null, null);</v>
      </c>
    </row>
    <row r="360">
      <c r="A360" s="1">
        <v>355.0</v>
      </c>
      <c r="B360" s="1" t="s">
        <v>323</v>
      </c>
      <c r="C360" s="1">
        <v>355.0</v>
      </c>
      <c r="H360" s="2" t="str">
        <f t="shared" si="1"/>
        <v>INSERT INTO tblStudentTotalScore VALUES (seqStudentTotalScore.nextval, 355, null, null, null);</v>
      </c>
    </row>
    <row r="361">
      <c r="A361" s="1">
        <v>356.0</v>
      </c>
      <c r="B361" s="1" t="s">
        <v>323</v>
      </c>
      <c r="C361" s="1">
        <v>356.0</v>
      </c>
      <c r="H361" s="2" t="str">
        <f t="shared" si="1"/>
        <v>INSERT INTO tblStudentTotalScore VALUES (seqStudentTotalScore.nextval, 356, null, null, null);</v>
      </c>
    </row>
    <row r="362">
      <c r="A362" s="1">
        <v>357.0</v>
      </c>
      <c r="B362" s="1" t="s">
        <v>323</v>
      </c>
      <c r="C362" s="1">
        <v>357.0</v>
      </c>
      <c r="H362" s="2" t="str">
        <f t="shared" si="1"/>
        <v>INSERT INTO tblStudentTotalScore VALUES (seqStudentTotalScore.nextval, 357, null, null, null);</v>
      </c>
    </row>
    <row r="363">
      <c r="A363" s="1">
        <v>358.0</v>
      </c>
      <c r="B363" s="1" t="s">
        <v>323</v>
      </c>
      <c r="C363" s="1">
        <v>358.0</v>
      </c>
      <c r="H363" s="2" t="str">
        <f t="shared" si="1"/>
        <v>INSERT INTO tblStudentTotalScore VALUES (seqStudentTotalScore.nextval, 358, null, null, null);</v>
      </c>
    </row>
    <row r="364">
      <c r="A364" s="1">
        <v>359.0</v>
      </c>
      <c r="B364" s="1" t="s">
        <v>323</v>
      </c>
      <c r="C364" s="1">
        <v>359.0</v>
      </c>
      <c r="H364" s="2" t="str">
        <f t="shared" si="1"/>
        <v>INSERT INTO tblStudentTotalScore VALUES (seqStudentTotalScore.nextval, 359, null, null, null);</v>
      </c>
    </row>
    <row r="365">
      <c r="A365" s="1">
        <v>360.0</v>
      </c>
      <c r="B365" s="1" t="s">
        <v>323</v>
      </c>
      <c r="C365" s="1">
        <v>360.0</v>
      </c>
      <c r="H365" s="2" t="str">
        <f t="shared" si="1"/>
        <v>INSERT INTO tblStudentTotalScore VALUES (seqStudentTotalScore.nextval, 360, null, null, null);</v>
      </c>
    </row>
    <row r="366">
      <c r="A366" s="1">
        <v>361.0</v>
      </c>
      <c r="B366" s="1" t="s">
        <v>323</v>
      </c>
      <c r="C366" s="1">
        <v>361.0</v>
      </c>
      <c r="H366" s="2" t="str">
        <f t="shared" si="1"/>
        <v>INSERT INTO tblStudentTotalScore VALUES (seqStudentTotalScore.nextval, 361, null, null, null);</v>
      </c>
    </row>
    <row r="367">
      <c r="A367" s="1">
        <v>362.0</v>
      </c>
      <c r="B367" s="1" t="s">
        <v>323</v>
      </c>
      <c r="C367" s="1">
        <v>362.0</v>
      </c>
      <c r="H367" s="2" t="str">
        <f t="shared" si="1"/>
        <v>INSERT INTO tblStudentTotalScore VALUES (seqStudentTotalScore.nextval, 362, null, null, null);</v>
      </c>
    </row>
    <row r="368">
      <c r="A368" s="1">
        <v>363.0</v>
      </c>
      <c r="B368" s="1" t="s">
        <v>323</v>
      </c>
      <c r="C368" s="1">
        <v>363.0</v>
      </c>
      <c r="H368" s="2" t="str">
        <f t="shared" si="1"/>
        <v>INSERT INTO tblStudentTotalScore VALUES (seqStudentTotalScore.nextval, 363, null, null, null);</v>
      </c>
    </row>
    <row r="369">
      <c r="A369" s="1">
        <v>364.0</v>
      </c>
      <c r="B369" s="1" t="s">
        <v>323</v>
      </c>
      <c r="C369" s="1">
        <v>364.0</v>
      </c>
      <c r="H369" s="2" t="str">
        <f t="shared" si="1"/>
        <v>INSERT INTO tblStudentTotalScore VALUES (seqStudentTotalScore.nextval, 364, null, null, null);</v>
      </c>
    </row>
    <row r="370">
      <c r="A370" s="1">
        <v>365.0</v>
      </c>
      <c r="B370" s="1" t="s">
        <v>323</v>
      </c>
      <c r="C370" s="1">
        <v>365.0</v>
      </c>
      <c r="H370" s="2" t="str">
        <f t="shared" si="1"/>
        <v>INSERT INTO tblStudentTotalScore VALUES (seqStudentTotalScore.nextval, 365, null, null, null);</v>
      </c>
    </row>
    <row r="371">
      <c r="A371" s="1">
        <v>366.0</v>
      </c>
      <c r="B371" s="1" t="s">
        <v>323</v>
      </c>
      <c r="C371" s="1">
        <v>366.0</v>
      </c>
      <c r="H371" s="2" t="str">
        <f t="shared" si="1"/>
        <v>INSERT INTO tblStudentTotalScore VALUES (seqStudentTotalScore.nextval, 366, null, null, null);</v>
      </c>
    </row>
    <row r="372">
      <c r="A372" s="1">
        <v>367.0</v>
      </c>
      <c r="B372" s="1" t="s">
        <v>323</v>
      </c>
      <c r="C372" s="1">
        <v>367.0</v>
      </c>
      <c r="H372" s="2" t="str">
        <f t="shared" si="1"/>
        <v>INSERT INTO tblStudentTotalScore VALUES (seqStudentTotalScore.nextval, 367, null, null, null);</v>
      </c>
    </row>
    <row r="373">
      <c r="A373" s="1">
        <v>368.0</v>
      </c>
      <c r="B373" s="1" t="s">
        <v>323</v>
      </c>
      <c r="C373" s="1">
        <v>368.0</v>
      </c>
      <c r="H373" s="2" t="str">
        <f t="shared" si="1"/>
        <v>INSERT INTO tblStudentTotalScore VALUES (seqStudentTotalScore.nextval, 368, null, null, null);</v>
      </c>
    </row>
    <row r="374">
      <c r="A374" s="1">
        <v>369.0</v>
      </c>
      <c r="B374" s="1" t="s">
        <v>323</v>
      </c>
      <c r="C374" s="1">
        <v>369.0</v>
      </c>
      <c r="H374" s="2" t="str">
        <f t="shared" si="1"/>
        <v>INSERT INTO tblStudentTotalScore VALUES (seqStudentTotalScore.nextval, 369, null, null, null);</v>
      </c>
    </row>
    <row r="375">
      <c r="A375" s="1">
        <v>370.0</v>
      </c>
      <c r="B375" s="1" t="s">
        <v>323</v>
      </c>
      <c r="C375" s="1">
        <v>370.0</v>
      </c>
      <c r="H375" s="2" t="str">
        <f t="shared" si="1"/>
        <v>INSERT INTO tblStudentTotalScore VALUES (seqStudentTotalScore.nextval, 370, null, null, null);</v>
      </c>
    </row>
    <row r="376">
      <c r="A376" s="1">
        <v>371.0</v>
      </c>
      <c r="B376" s="1" t="s">
        <v>323</v>
      </c>
      <c r="C376" s="1">
        <v>371.0</v>
      </c>
      <c r="H376" s="2" t="str">
        <f t="shared" si="1"/>
        <v>INSERT INTO tblStudentTotalScore VALUES (seqStudentTotalScore.nextval, 371, null, null, null);</v>
      </c>
    </row>
    <row r="377">
      <c r="A377" s="1">
        <v>372.0</v>
      </c>
      <c r="B377" s="1" t="s">
        <v>323</v>
      </c>
      <c r="C377" s="1">
        <v>372.0</v>
      </c>
      <c r="H377" s="2" t="str">
        <f t="shared" si="1"/>
        <v>INSERT INTO tblStudentTotalScore VALUES (seqStudentTotalScore.nextval, 372, null, null, null);</v>
      </c>
    </row>
    <row r="378">
      <c r="A378" s="1">
        <v>373.0</v>
      </c>
      <c r="B378" s="1" t="s">
        <v>323</v>
      </c>
      <c r="C378" s="1">
        <v>373.0</v>
      </c>
      <c r="H378" s="2" t="str">
        <f t="shared" si="1"/>
        <v>INSERT INTO tblStudentTotalScore VALUES (seqStudentTotalScore.nextval, 373, null, null, null);</v>
      </c>
    </row>
    <row r="379">
      <c r="A379" s="1">
        <v>374.0</v>
      </c>
      <c r="B379" s="1" t="s">
        <v>323</v>
      </c>
      <c r="C379" s="1">
        <v>374.0</v>
      </c>
      <c r="H379" s="2" t="str">
        <f t="shared" si="1"/>
        <v>INSERT INTO tblStudentTotalScore VALUES (seqStudentTotalScore.nextval, 374, null, null, null);</v>
      </c>
    </row>
    <row r="380">
      <c r="A380" s="1">
        <v>375.0</v>
      </c>
      <c r="B380" s="1" t="s">
        <v>323</v>
      </c>
      <c r="C380" s="1">
        <v>375.0</v>
      </c>
      <c r="H380" s="2" t="str">
        <f t="shared" si="1"/>
        <v>INSERT INTO tblStudentTotalScore VALUES (seqStudentTotalScore.nextval, 375, null, null, null);</v>
      </c>
    </row>
    <row r="381">
      <c r="A381" s="1">
        <v>376.0</v>
      </c>
      <c r="B381" s="1" t="s">
        <v>323</v>
      </c>
      <c r="C381" s="1">
        <v>376.0</v>
      </c>
      <c r="H381" s="2" t="str">
        <f t="shared" si="1"/>
        <v>INSERT INTO tblStudentTotalScore VALUES (seqStudentTotalScore.nextval, 376, null, null, null);</v>
      </c>
    </row>
    <row r="382">
      <c r="A382" s="1">
        <v>377.0</v>
      </c>
      <c r="B382" s="1" t="s">
        <v>323</v>
      </c>
      <c r="C382" s="1">
        <v>377.0</v>
      </c>
      <c r="H382" s="2" t="str">
        <f t="shared" si="1"/>
        <v>INSERT INTO tblStudentTotalScore VALUES (seqStudentTotalScore.nextval, 377, null, null, null);</v>
      </c>
    </row>
    <row r="383">
      <c r="A383" s="1">
        <v>378.0</v>
      </c>
      <c r="B383" s="1" t="s">
        <v>323</v>
      </c>
      <c r="C383" s="1">
        <v>378.0</v>
      </c>
      <c r="H383" s="2" t="str">
        <f t="shared" si="1"/>
        <v>INSERT INTO tblStudentTotalScore VALUES (seqStudentTotalScore.nextval, 378, null, null, null);</v>
      </c>
    </row>
    <row r="384">
      <c r="A384" s="1">
        <v>379.0</v>
      </c>
      <c r="B384" s="1" t="s">
        <v>323</v>
      </c>
      <c r="C384" s="1">
        <v>379.0</v>
      </c>
      <c r="H384" s="2" t="str">
        <f t="shared" si="1"/>
        <v>INSERT INTO tblStudentTotalScore VALUES (seqStudentTotalScore.nextval, 379, null, null, null);</v>
      </c>
    </row>
    <row r="385">
      <c r="A385" s="1">
        <v>380.0</v>
      </c>
      <c r="B385" s="1" t="s">
        <v>323</v>
      </c>
      <c r="C385" s="1">
        <v>380.0</v>
      </c>
      <c r="H385" s="2" t="str">
        <f t="shared" si="1"/>
        <v>INSERT INTO tblStudentTotalScore VALUES (seqStudentTotalScore.nextval, 380, null, null, null);</v>
      </c>
    </row>
    <row r="386">
      <c r="A386" s="1">
        <v>381.0</v>
      </c>
      <c r="B386" s="1" t="s">
        <v>323</v>
      </c>
      <c r="C386" s="1">
        <v>381.0</v>
      </c>
      <c r="H386" s="2" t="str">
        <f t="shared" si="1"/>
        <v>INSERT INTO tblStudentTotalScore VALUES (seqStudentTotalScore.nextval, 381, null, null, null);</v>
      </c>
    </row>
    <row r="387">
      <c r="A387" s="1">
        <v>382.0</v>
      </c>
      <c r="B387" s="1" t="s">
        <v>323</v>
      </c>
      <c r="C387" s="1">
        <v>382.0</v>
      </c>
      <c r="H387" s="2" t="str">
        <f t="shared" si="1"/>
        <v>INSERT INTO tblStudentTotalScore VALUES (seqStudentTotalScore.nextval, 382, null, null, null);</v>
      </c>
    </row>
    <row r="388">
      <c r="A388" s="1">
        <v>383.0</v>
      </c>
      <c r="B388" s="1" t="s">
        <v>323</v>
      </c>
      <c r="C388" s="1">
        <v>383.0</v>
      </c>
      <c r="H388" s="2" t="str">
        <f t="shared" si="1"/>
        <v>INSERT INTO tblStudentTotalScore VALUES (seqStudentTotalScore.nextval, 383, null, null, null);</v>
      </c>
    </row>
    <row r="389">
      <c r="A389" s="1">
        <v>384.0</v>
      </c>
      <c r="B389" s="1" t="s">
        <v>323</v>
      </c>
      <c r="C389" s="1">
        <v>384.0</v>
      </c>
      <c r="H389" s="2" t="str">
        <f t="shared" si="1"/>
        <v>INSERT INTO tblStudentTotalScore VALUES (seqStudentTotalScore.nextval, 384, null, null, null);</v>
      </c>
    </row>
    <row r="390">
      <c r="A390" s="1">
        <v>385.0</v>
      </c>
      <c r="B390" s="1" t="s">
        <v>323</v>
      </c>
      <c r="C390" s="1">
        <v>385.0</v>
      </c>
      <c r="H390" s="2" t="str">
        <f t="shared" si="1"/>
        <v>INSERT INTO tblStudentTotalScore VALUES (seqStudentTotalScore.nextval, 385, null, null, null);</v>
      </c>
    </row>
    <row r="391">
      <c r="A391" s="1">
        <v>386.0</v>
      </c>
      <c r="B391" s="1" t="s">
        <v>323</v>
      </c>
      <c r="C391" s="1">
        <v>386.0</v>
      </c>
      <c r="H391" s="2" t="str">
        <f t="shared" si="1"/>
        <v>INSERT INTO tblStudentTotalScore VALUES (seqStudentTotalScore.nextval, 386, null, null, null);</v>
      </c>
    </row>
    <row r="392">
      <c r="A392" s="1">
        <v>387.0</v>
      </c>
      <c r="B392" s="1" t="s">
        <v>323</v>
      </c>
      <c r="C392" s="1">
        <v>387.0</v>
      </c>
      <c r="H392" s="2" t="str">
        <f t="shared" si="1"/>
        <v>INSERT INTO tblStudentTotalScore VALUES (seqStudentTotalScore.nextval, 387, null, null, null);</v>
      </c>
    </row>
    <row r="393">
      <c r="A393" s="1">
        <v>388.0</v>
      </c>
      <c r="B393" s="1" t="s">
        <v>323</v>
      </c>
      <c r="C393" s="1">
        <v>388.0</v>
      </c>
      <c r="H393" s="2" t="str">
        <f t="shared" si="1"/>
        <v>INSERT INTO tblStudentTotalScore VALUES (seqStudentTotalScore.nextval, 388, null, null, null);</v>
      </c>
    </row>
    <row r="394">
      <c r="A394" s="1">
        <v>389.0</v>
      </c>
      <c r="B394" s="1" t="s">
        <v>323</v>
      </c>
      <c r="C394" s="1">
        <v>389.0</v>
      </c>
      <c r="H394" s="2" t="str">
        <f t="shared" si="1"/>
        <v>INSERT INTO tblStudentTotalScore VALUES (seqStudentTotalScore.nextval, 389, null, null, null);</v>
      </c>
    </row>
    <row r="395">
      <c r="A395" s="1">
        <v>390.0</v>
      </c>
      <c r="B395" s="1" t="s">
        <v>323</v>
      </c>
      <c r="C395" s="1">
        <v>390.0</v>
      </c>
      <c r="H395" s="2" t="str">
        <f t="shared" si="1"/>
        <v>INSERT INTO tblStudentTotalScore VALUES (seqStudentTotalScore.nextval, 390, null, null, null);</v>
      </c>
    </row>
    <row r="396">
      <c r="A396" s="1">
        <v>391.0</v>
      </c>
      <c r="B396" s="1" t="s">
        <v>323</v>
      </c>
      <c r="C396" s="1">
        <v>391.0</v>
      </c>
      <c r="H396" s="2" t="str">
        <f t="shared" si="1"/>
        <v>INSERT INTO tblStudentTotalScore VALUES (seqStudentTotalScore.nextval, 391, null, null, null);</v>
      </c>
    </row>
    <row r="397">
      <c r="A397" s="1">
        <v>392.0</v>
      </c>
      <c r="B397" s="1" t="s">
        <v>323</v>
      </c>
      <c r="C397" s="1">
        <v>392.0</v>
      </c>
      <c r="H397" s="2" t="str">
        <f t="shared" si="1"/>
        <v>INSERT INTO tblStudentTotalScore VALUES (seqStudentTotalScore.nextval, 392, null, null, null);</v>
      </c>
    </row>
    <row r="398">
      <c r="A398" s="1">
        <v>393.0</v>
      </c>
      <c r="B398" s="1" t="s">
        <v>323</v>
      </c>
      <c r="C398" s="1">
        <v>393.0</v>
      </c>
      <c r="H398" s="2" t="str">
        <f t="shared" si="1"/>
        <v>INSERT INTO tblStudentTotalScore VALUES (seqStudentTotalScore.nextval, 393, null, null, null);</v>
      </c>
    </row>
    <row r="399">
      <c r="A399" s="1">
        <v>394.0</v>
      </c>
      <c r="B399" s="1" t="s">
        <v>323</v>
      </c>
      <c r="C399" s="1">
        <v>394.0</v>
      </c>
      <c r="H399" s="2" t="str">
        <f t="shared" si="1"/>
        <v>INSERT INTO tblStudentTotalScore VALUES (seqStudentTotalScore.nextval, 394, null, null, null);</v>
      </c>
    </row>
    <row r="400">
      <c r="A400" s="1">
        <v>395.0</v>
      </c>
      <c r="B400" s="1" t="s">
        <v>323</v>
      </c>
      <c r="C400" s="1">
        <v>395.0</v>
      </c>
      <c r="H400" s="2" t="str">
        <f t="shared" si="1"/>
        <v>INSERT INTO tblStudentTotalScore VALUES (seqStudentTotalScore.nextval, 395, null, null, null);</v>
      </c>
    </row>
    <row r="401">
      <c r="A401" s="1">
        <v>396.0</v>
      </c>
      <c r="B401" s="1" t="s">
        <v>323</v>
      </c>
      <c r="C401" s="1">
        <v>396.0</v>
      </c>
      <c r="H401" s="2" t="str">
        <f t="shared" si="1"/>
        <v>INSERT INTO tblStudentTotalScore VALUES (seqStudentTotalScore.nextval, 396, null, null, null);</v>
      </c>
    </row>
    <row r="402">
      <c r="A402" s="1">
        <v>397.0</v>
      </c>
      <c r="B402" s="1" t="s">
        <v>323</v>
      </c>
      <c r="C402" s="1">
        <v>397.0</v>
      </c>
      <c r="H402" s="2" t="str">
        <f t="shared" si="1"/>
        <v>INSERT INTO tblStudentTotalScore VALUES (seqStudentTotalScore.nextval, 397, null, null, null);</v>
      </c>
    </row>
    <row r="403">
      <c r="A403" s="1">
        <v>398.0</v>
      </c>
      <c r="B403" s="1" t="s">
        <v>323</v>
      </c>
      <c r="C403" s="1">
        <v>398.0</v>
      </c>
      <c r="H403" s="2" t="str">
        <f t="shared" si="1"/>
        <v>INSERT INTO tblStudentTotalScore VALUES (seqStudentTotalScore.nextval, 398, null, null, null);</v>
      </c>
    </row>
    <row r="404">
      <c r="A404" s="1">
        <v>399.0</v>
      </c>
      <c r="B404" s="1" t="s">
        <v>323</v>
      </c>
      <c r="C404" s="1">
        <v>399.0</v>
      </c>
      <c r="H404" s="2" t="str">
        <f t="shared" si="1"/>
        <v>INSERT INTO tblStudentTotalScore VALUES (seqStudentTotalScore.nextval, 399, null, null, null);</v>
      </c>
    </row>
    <row r="405">
      <c r="A405" s="1">
        <v>400.0</v>
      </c>
      <c r="B405" s="1" t="s">
        <v>323</v>
      </c>
      <c r="C405" s="1">
        <v>400.0</v>
      </c>
      <c r="H405" s="2" t="str">
        <f t="shared" si="1"/>
        <v>INSERT INTO tblStudentTotalScore VALUES (seqStudentTotalScore.nextval, 400, null, null, null);</v>
      </c>
    </row>
    <row r="406">
      <c r="A406" s="1">
        <v>401.0</v>
      </c>
      <c r="B406" s="1" t="s">
        <v>323</v>
      </c>
      <c r="C406" s="1">
        <v>401.0</v>
      </c>
      <c r="H406" s="2" t="str">
        <f t="shared" si="1"/>
        <v>INSERT INTO tblStudentTotalScore VALUES (seqStudentTotalScore.nextval, 401, null, null, null);</v>
      </c>
    </row>
    <row r="407">
      <c r="A407" s="1">
        <v>402.0</v>
      </c>
      <c r="B407" s="1" t="s">
        <v>323</v>
      </c>
      <c r="C407" s="1">
        <v>402.0</v>
      </c>
      <c r="H407" s="2" t="str">
        <f t="shared" si="1"/>
        <v>INSERT INTO tblStudentTotalScore VALUES (seqStudentTotalScore.nextval, 402, null, null, null);</v>
      </c>
    </row>
    <row r="408">
      <c r="A408" s="1">
        <v>403.0</v>
      </c>
      <c r="B408" s="1" t="s">
        <v>323</v>
      </c>
      <c r="C408" s="1">
        <v>403.0</v>
      </c>
      <c r="H408" s="2" t="str">
        <f t="shared" si="1"/>
        <v>INSERT INTO tblStudentTotalScore VALUES (seqStudentTotalScore.nextval, 403, null, null, null);</v>
      </c>
    </row>
    <row r="409">
      <c r="A409" s="1">
        <v>404.0</v>
      </c>
      <c r="B409" s="1" t="s">
        <v>323</v>
      </c>
      <c r="C409" s="1">
        <v>404.0</v>
      </c>
      <c r="H409" s="2" t="str">
        <f t="shared" si="1"/>
        <v>INSERT INTO tblStudentTotalScore VALUES (seqStudentTotalScore.nextval, 404, null, null, null);</v>
      </c>
    </row>
    <row r="410">
      <c r="A410" s="1">
        <v>405.0</v>
      </c>
      <c r="B410" s="1" t="s">
        <v>323</v>
      </c>
      <c r="C410" s="1">
        <v>405.0</v>
      </c>
      <c r="H410" s="2" t="str">
        <f t="shared" si="1"/>
        <v>INSERT INTO tblStudentTotalScore VALUES (seqStudentTotalScore.nextval, 405, null, null, null);</v>
      </c>
    </row>
    <row r="411">
      <c r="A411" s="1">
        <v>406.0</v>
      </c>
      <c r="B411" s="1" t="s">
        <v>323</v>
      </c>
      <c r="C411" s="1">
        <v>406.0</v>
      </c>
      <c r="H411" s="2" t="str">
        <f t="shared" si="1"/>
        <v>INSERT INTO tblStudentTotalScore VALUES (seqStudentTotalScore.nextval, 406, null, null, null);</v>
      </c>
    </row>
    <row r="412">
      <c r="A412" s="1">
        <v>407.0</v>
      </c>
      <c r="B412" s="1" t="s">
        <v>323</v>
      </c>
      <c r="C412" s="1">
        <v>407.0</v>
      </c>
      <c r="H412" s="2" t="str">
        <f t="shared" si="1"/>
        <v>INSERT INTO tblStudentTotalScore VALUES (seqStudentTotalScore.nextval, 407, null, null, null);</v>
      </c>
    </row>
    <row r="413">
      <c r="A413" s="1">
        <v>408.0</v>
      </c>
      <c r="B413" s="1" t="s">
        <v>323</v>
      </c>
      <c r="C413" s="1">
        <v>408.0</v>
      </c>
      <c r="H413" s="2" t="str">
        <f t="shared" si="1"/>
        <v>INSERT INTO tblStudentTotalScore VALUES (seqStudentTotalScore.nextval, 408, null, null, null);</v>
      </c>
    </row>
    <row r="414">
      <c r="A414" s="1">
        <v>409.0</v>
      </c>
      <c r="B414" s="1" t="s">
        <v>323</v>
      </c>
      <c r="C414" s="1">
        <v>409.0</v>
      </c>
      <c r="H414" s="2" t="str">
        <f t="shared" si="1"/>
        <v>INSERT INTO tblStudentTotalScore VALUES (seqStudentTotalScore.nextval, 409, null, null, null);</v>
      </c>
    </row>
    <row r="415">
      <c r="A415" s="1">
        <v>410.0</v>
      </c>
      <c r="B415" s="1" t="s">
        <v>323</v>
      </c>
      <c r="C415" s="1">
        <v>410.0</v>
      </c>
      <c r="H415" s="2" t="str">
        <f t="shared" si="1"/>
        <v>INSERT INTO tblStudentTotalScore VALUES (seqStudentTotalScore.nextval, 410, null, null, null);</v>
      </c>
    </row>
    <row r="416">
      <c r="A416" s="1">
        <v>411.0</v>
      </c>
      <c r="B416" s="1" t="s">
        <v>323</v>
      </c>
      <c r="C416" s="1">
        <v>411.0</v>
      </c>
      <c r="H416" s="2" t="str">
        <f t="shared" si="1"/>
        <v>INSERT INTO tblStudentTotalScore VALUES (seqStudentTotalScore.nextval, 411, null, null, null);</v>
      </c>
    </row>
    <row r="417">
      <c r="A417" s="1">
        <v>412.0</v>
      </c>
      <c r="B417" s="1" t="s">
        <v>323</v>
      </c>
      <c r="C417" s="1">
        <v>412.0</v>
      </c>
      <c r="H417" s="2" t="str">
        <f t="shared" si="1"/>
        <v>INSERT INTO tblStudentTotalScore VALUES (seqStudentTotalScore.nextval, 412, null, null, null);</v>
      </c>
    </row>
    <row r="418">
      <c r="A418" s="1">
        <v>413.0</v>
      </c>
      <c r="B418" s="1" t="s">
        <v>323</v>
      </c>
      <c r="C418" s="1">
        <v>413.0</v>
      </c>
      <c r="H418" s="2" t="str">
        <f t="shared" si="1"/>
        <v>INSERT INTO tblStudentTotalScore VALUES (seqStudentTotalScore.nextval, 413, null, null, null);</v>
      </c>
    </row>
    <row r="419">
      <c r="A419" s="1">
        <v>414.0</v>
      </c>
      <c r="B419" s="1" t="s">
        <v>323</v>
      </c>
      <c r="C419" s="1">
        <v>414.0</v>
      </c>
      <c r="H419" s="2" t="str">
        <f t="shared" si="1"/>
        <v>INSERT INTO tblStudentTotalScore VALUES (seqStudentTotalScore.nextval, 414, null, null, null);</v>
      </c>
    </row>
    <row r="420">
      <c r="A420" s="1">
        <v>415.0</v>
      </c>
      <c r="B420" s="1" t="s">
        <v>323</v>
      </c>
      <c r="C420" s="1">
        <v>415.0</v>
      </c>
      <c r="H420" s="2" t="str">
        <f t="shared" si="1"/>
        <v>INSERT INTO tblStudentTotalScore VALUES (seqStudentTotalScore.nextval, 415, null, null, null);</v>
      </c>
    </row>
    <row r="421">
      <c r="A421" s="1">
        <v>416.0</v>
      </c>
      <c r="B421" s="1" t="s">
        <v>323</v>
      </c>
      <c r="C421" s="1">
        <v>416.0</v>
      </c>
      <c r="H421" s="2" t="str">
        <f t="shared" si="1"/>
        <v>INSERT INTO tblStudentTotalScore VALUES (seqStudentTotalScore.nextval, 416, null, null, null);</v>
      </c>
    </row>
    <row r="422">
      <c r="A422" s="1">
        <v>417.0</v>
      </c>
      <c r="B422" s="1" t="s">
        <v>323</v>
      </c>
      <c r="C422" s="1">
        <v>417.0</v>
      </c>
      <c r="H422" s="2" t="str">
        <f t="shared" si="1"/>
        <v>INSERT INTO tblStudentTotalScore VALUES (seqStudentTotalScore.nextval, 417, null, null, null);</v>
      </c>
    </row>
    <row r="423">
      <c r="A423" s="1">
        <v>418.0</v>
      </c>
      <c r="B423" s="1" t="s">
        <v>323</v>
      </c>
      <c r="C423" s="1">
        <v>418.0</v>
      </c>
      <c r="H423" s="2" t="str">
        <f t="shared" si="1"/>
        <v>INSERT INTO tblStudentTotalScore VALUES (seqStudentTotalScore.nextval, 418, null, null, null);</v>
      </c>
    </row>
    <row r="424">
      <c r="A424" s="1">
        <v>419.0</v>
      </c>
      <c r="B424" s="1" t="s">
        <v>323</v>
      </c>
      <c r="C424" s="1">
        <v>419.0</v>
      </c>
      <c r="H424" s="2" t="str">
        <f t="shared" si="1"/>
        <v>INSERT INTO tblStudentTotalScore VALUES (seqStudentTotalScore.nextval, 419, null, null, null);</v>
      </c>
    </row>
    <row r="425">
      <c r="A425" s="1">
        <v>420.0</v>
      </c>
      <c r="B425" s="1" t="s">
        <v>323</v>
      </c>
      <c r="C425" s="1">
        <v>420.0</v>
      </c>
      <c r="H425" s="2" t="str">
        <f t="shared" si="1"/>
        <v>INSERT INTO tblStudentTotalScore VALUES (seqStudentTotalScore.nextval, 420, null, null, null);</v>
      </c>
    </row>
    <row r="426">
      <c r="A426" s="1">
        <v>421.0</v>
      </c>
      <c r="B426" s="1" t="s">
        <v>323</v>
      </c>
      <c r="C426" s="1">
        <v>421.0</v>
      </c>
      <c r="H426" s="2" t="str">
        <f t="shared" si="1"/>
        <v>INSERT INTO tblStudentTotalScore VALUES (seqStudentTotalScore.nextval, 421, null, null, null);</v>
      </c>
    </row>
    <row r="427">
      <c r="A427" s="1">
        <v>422.0</v>
      </c>
      <c r="B427" s="1" t="s">
        <v>323</v>
      </c>
      <c r="C427" s="1">
        <v>422.0</v>
      </c>
      <c r="H427" s="2" t="str">
        <f t="shared" si="1"/>
        <v>INSERT INTO tblStudentTotalScore VALUES (seqStudentTotalScore.nextval, 422, null, null, null);</v>
      </c>
    </row>
    <row r="428">
      <c r="A428" s="1">
        <v>423.0</v>
      </c>
      <c r="B428" s="1" t="s">
        <v>323</v>
      </c>
      <c r="C428" s="1">
        <v>423.0</v>
      </c>
      <c r="H428" s="2" t="str">
        <f t="shared" si="1"/>
        <v>INSERT INTO tblStudentTotalScore VALUES (seqStudentTotalScore.nextval, 423, null, null, null);</v>
      </c>
    </row>
    <row r="429">
      <c r="A429" s="1">
        <v>424.0</v>
      </c>
      <c r="B429" s="1" t="s">
        <v>323</v>
      </c>
      <c r="C429" s="1">
        <v>424.0</v>
      </c>
      <c r="H429" s="2" t="str">
        <f t="shared" si="1"/>
        <v>INSERT INTO tblStudentTotalScore VALUES (seqStudentTotalScore.nextval, 424, null, null, null);</v>
      </c>
    </row>
    <row r="430">
      <c r="A430" s="1">
        <v>425.0</v>
      </c>
      <c r="B430" s="1" t="s">
        <v>323</v>
      </c>
      <c r="C430" s="1">
        <v>425.0</v>
      </c>
      <c r="H430" s="2" t="str">
        <f t="shared" si="1"/>
        <v>INSERT INTO tblStudentTotalScore VALUES (seqStudentTotalScore.nextval, 425, null, null, null);</v>
      </c>
    </row>
    <row r="431">
      <c r="A431" s="1">
        <v>426.0</v>
      </c>
      <c r="B431" s="1" t="s">
        <v>323</v>
      </c>
      <c r="C431" s="1">
        <v>426.0</v>
      </c>
      <c r="H431" s="2" t="str">
        <f t="shared" si="1"/>
        <v>INSERT INTO tblStudentTotalScore VALUES (seqStudentTotalScore.nextval, 426, null, null, null);</v>
      </c>
    </row>
    <row r="432">
      <c r="A432" s="1">
        <v>427.0</v>
      </c>
      <c r="B432" s="1" t="s">
        <v>323</v>
      </c>
      <c r="C432" s="1">
        <v>427.0</v>
      </c>
      <c r="H432" s="2" t="str">
        <f t="shared" si="1"/>
        <v>INSERT INTO tblStudentTotalScore VALUES (seqStudentTotalScore.nextval, 427, null, null, null);</v>
      </c>
    </row>
    <row r="433">
      <c r="A433" s="1">
        <v>428.0</v>
      </c>
      <c r="B433" s="1" t="s">
        <v>323</v>
      </c>
      <c r="C433" s="1">
        <v>428.0</v>
      </c>
      <c r="H433" s="2" t="str">
        <f t="shared" si="1"/>
        <v>INSERT INTO tblStudentTotalScore VALUES (seqStudentTotalScore.nextval, 428, null, null, null);</v>
      </c>
    </row>
    <row r="434">
      <c r="A434" s="1">
        <v>429.0</v>
      </c>
      <c r="B434" s="1" t="s">
        <v>323</v>
      </c>
      <c r="C434" s="1">
        <v>429.0</v>
      </c>
      <c r="H434" s="2" t="str">
        <f t="shared" si="1"/>
        <v>INSERT INTO tblStudentTotalScore VALUES (seqStudentTotalScore.nextval, 429, null, null, null);</v>
      </c>
    </row>
    <row r="435">
      <c r="A435" s="1">
        <v>430.0</v>
      </c>
      <c r="B435" s="1" t="s">
        <v>323</v>
      </c>
      <c r="C435" s="1">
        <v>430.0</v>
      </c>
      <c r="H435" s="2" t="str">
        <f t="shared" si="1"/>
        <v>INSERT INTO tblStudentTotalScore VALUES (seqStudentTotalScore.nextval, 430, null, null, null);</v>
      </c>
    </row>
    <row r="436">
      <c r="A436" s="1">
        <v>431.0</v>
      </c>
      <c r="B436" s="1" t="s">
        <v>323</v>
      </c>
      <c r="C436" s="1">
        <v>431.0</v>
      </c>
      <c r="H436" s="2" t="str">
        <f t="shared" si="1"/>
        <v>INSERT INTO tblStudentTotalScore VALUES (seqStudentTotalScore.nextval, 431, null, null, null);</v>
      </c>
    </row>
    <row r="437">
      <c r="A437" s="1">
        <v>432.0</v>
      </c>
      <c r="B437" s="1" t="s">
        <v>323</v>
      </c>
      <c r="C437" s="1">
        <v>432.0</v>
      </c>
      <c r="H437" s="2" t="str">
        <f t="shared" si="1"/>
        <v>INSERT INTO tblStudentTotalScore VALUES (seqStudentTotalScore.nextval, 432, null, null, null);</v>
      </c>
    </row>
    <row r="438">
      <c r="A438" s="1">
        <v>433.0</v>
      </c>
      <c r="B438" s="1" t="s">
        <v>323</v>
      </c>
      <c r="C438" s="1">
        <v>433.0</v>
      </c>
      <c r="H438" s="2" t="str">
        <f t="shared" si="1"/>
        <v>INSERT INTO tblStudentTotalScore VALUES (seqStudentTotalScore.nextval, 433, null, null, null);</v>
      </c>
    </row>
    <row r="439">
      <c r="A439" s="1">
        <v>434.0</v>
      </c>
      <c r="B439" s="1" t="s">
        <v>323</v>
      </c>
      <c r="C439" s="1">
        <v>434.0</v>
      </c>
      <c r="H439" s="2" t="str">
        <f t="shared" si="1"/>
        <v>INSERT INTO tblStudentTotalScore VALUES (seqStudentTotalScore.nextval, 434, null, null, null);</v>
      </c>
    </row>
    <row r="440">
      <c r="A440" s="1">
        <v>435.0</v>
      </c>
      <c r="B440" s="1" t="s">
        <v>323</v>
      </c>
      <c r="C440" s="1">
        <v>435.0</v>
      </c>
      <c r="H440" s="2" t="str">
        <f t="shared" si="1"/>
        <v>INSERT INTO tblStudentTotalScore VALUES (seqStudentTotalScore.nextval, 435, null, null, null);</v>
      </c>
    </row>
    <row r="441">
      <c r="A441" s="1">
        <v>436.0</v>
      </c>
      <c r="B441" s="1" t="s">
        <v>323</v>
      </c>
      <c r="C441" s="1">
        <v>436.0</v>
      </c>
      <c r="H441" s="2" t="str">
        <f t="shared" si="1"/>
        <v>INSERT INTO tblStudentTotalScore VALUES (seqStudentTotalScore.nextval, 436, null, null, null);</v>
      </c>
    </row>
    <row r="442">
      <c r="A442" s="1">
        <v>437.0</v>
      </c>
      <c r="B442" s="1" t="s">
        <v>323</v>
      </c>
      <c r="C442" s="1">
        <v>437.0</v>
      </c>
      <c r="H442" s="2" t="str">
        <f t="shared" si="1"/>
        <v>INSERT INTO tblStudentTotalScore VALUES (seqStudentTotalScore.nextval, 437, null, null, null);</v>
      </c>
    </row>
    <row r="443">
      <c r="A443" s="1">
        <v>438.0</v>
      </c>
      <c r="B443" s="1" t="s">
        <v>323</v>
      </c>
      <c r="C443" s="1">
        <v>438.0</v>
      </c>
      <c r="H443" s="2" t="str">
        <f t="shared" si="1"/>
        <v>INSERT INTO tblStudentTotalScore VALUES (seqStudentTotalScore.nextval, 438, null, null, null);</v>
      </c>
    </row>
    <row r="444">
      <c r="A444" s="1">
        <v>439.0</v>
      </c>
      <c r="B444" s="1" t="s">
        <v>323</v>
      </c>
      <c r="C444" s="1">
        <v>439.0</v>
      </c>
      <c r="H444" s="2" t="str">
        <f t="shared" si="1"/>
        <v>INSERT INTO tblStudentTotalScore VALUES (seqStudentTotalScore.nextval, 439, null, null, null);</v>
      </c>
    </row>
    <row r="445">
      <c r="A445" s="1">
        <v>440.0</v>
      </c>
      <c r="B445" s="1" t="s">
        <v>323</v>
      </c>
      <c r="C445" s="1">
        <v>440.0</v>
      </c>
      <c r="H445" s="2" t="str">
        <f t="shared" si="1"/>
        <v>INSERT INTO tblStudentTotalScore VALUES (seqStudentTotalScore.nextval, 440, null, null, null);</v>
      </c>
    </row>
    <row r="446">
      <c r="A446" s="1">
        <v>441.0</v>
      </c>
      <c r="B446" s="1" t="s">
        <v>323</v>
      </c>
      <c r="C446" s="1">
        <v>441.0</v>
      </c>
      <c r="H446" s="2" t="str">
        <f t="shared" si="1"/>
        <v>INSERT INTO tblStudentTotalScore VALUES (seqStudentTotalScore.nextval, 441, null, null, null);</v>
      </c>
    </row>
    <row r="447">
      <c r="A447" s="1">
        <v>442.0</v>
      </c>
      <c r="B447" s="1" t="s">
        <v>323</v>
      </c>
      <c r="C447" s="1">
        <v>442.0</v>
      </c>
      <c r="H447" s="2" t="str">
        <f t="shared" si="1"/>
        <v>INSERT INTO tblStudentTotalScore VALUES (seqStudentTotalScore.nextval, 442, null, null, null);</v>
      </c>
    </row>
    <row r="448">
      <c r="A448" s="1">
        <v>443.0</v>
      </c>
      <c r="B448" s="1" t="s">
        <v>323</v>
      </c>
      <c r="C448" s="1">
        <v>443.0</v>
      </c>
      <c r="H448" s="2" t="str">
        <f t="shared" si="1"/>
        <v>INSERT INTO tblStudentTotalScore VALUES (seqStudentTotalScore.nextval, 443, null, null, null);</v>
      </c>
    </row>
    <row r="449">
      <c r="A449" s="1">
        <v>444.0</v>
      </c>
      <c r="B449" s="1" t="s">
        <v>323</v>
      </c>
      <c r="C449" s="1">
        <v>444.0</v>
      </c>
      <c r="H449" s="2" t="str">
        <f t="shared" si="1"/>
        <v>INSERT INTO tblStudentTotalScore VALUES (seqStudentTotalScore.nextval, 444, null, null, null);</v>
      </c>
    </row>
    <row r="450">
      <c r="A450" s="1">
        <v>445.0</v>
      </c>
      <c r="B450" s="1" t="s">
        <v>323</v>
      </c>
      <c r="C450" s="1">
        <v>445.0</v>
      </c>
      <c r="H450" s="2" t="str">
        <f t="shared" si="1"/>
        <v>INSERT INTO tblStudentTotalScore VALUES (seqStudentTotalScore.nextval, 445, null, null, null);</v>
      </c>
    </row>
    <row r="451">
      <c r="A451" s="1">
        <v>446.0</v>
      </c>
      <c r="B451" s="1" t="s">
        <v>323</v>
      </c>
      <c r="C451" s="1">
        <v>446.0</v>
      </c>
      <c r="H451" s="2" t="str">
        <f t="shared" si="1"/>
        <v>INSERT INTO tblStudentTotalScore VALUES (seqStudentTotalScore.nextval, 446, null, null, null);</v>
      </c>
    </row>
    <row r="452">
      <c r="A452" s="1">
        <v>447.0</v>
      </c>
      <c r="B452" s="1" t="s">
        <v>323</v>
      </c>
      <c r="C452" s="1">
        <v>447.0</v>
      </c>
      <c r="H452" s="2" t="str">
        <f t="shared" si="1"/>
        <v>INSERT INTO tblStudentTotalScore VALUES (seqStudentTotalScore.nextval, 447, null, null, null);</v>
      </c>
    </row>
    <row r="453">
      <c r="A453" s="1">
        <v>448.0</v>
      </c>
      <c r="B453" s="1" t="s">
        <v>323</v>
      </c>
      <c r="C453" s="1">
        <v>448.0</v>
      </c>
      <c r="H453" s="2" t="str">
        <f t="shared" si="1"/>
        <v>INSERT INTO tblStudentTotalScore VALUES (seqStudentTotalScore.nextval, 448, null, null, null);</v>
      </c>
    </row>
    <row r="454">
      <c r="A454" s="1">
        <v>449.0</v>
      </c>
      <c r="B454" s="1" t="s">
        <v>323</v>
      </c>
      <c r="C454" s="1">
        <v>449.0</v>
      </c>
      <c r="H454" s="2" t="str">
        <f t="shared" si="1"/>
        <v>INSERT INTO tblStudentTotalScore VALUES (seqStudentTotalScore.nextval, 449, null, null, null);</v>
      </c>
    </row>
    <row r="455">
      <c r="A455" s="1">
        <v>450.0</v>
      </c>
      <c r="B455" s="1" t="s">
        <v>323</v>
      </c>
      <c r="C455" s="1">
        <v>450.0</v>
      </c>
      <c r="H455" s="2" t="str">
        <f t="shared" si="1"/>
        <v>INSERT INTO tblStudentTotalScore VALUES (seqStudentTotalScore.nextval, 450, null, null, null);</v>
      </c>
    </row>
    <row r="456">
      <c r="A456" s="1">
        <v>451.0</v>
      </c>
      <c r="B456" s="1" t="s">
        <v>323</v>
      </c>
      <c r="C456" s="1">
        <v>451.0</v>
      </c>
      <c r="H456" s="2" t="str">
        <f t="shared" si="1"/>
        <v>INSERT INTO tblStudentTotalScore VALUES (seqStudentTotalScore.nextval, 451, null, null, null);</v>
      </c>
    </row>
    <row r="457">
      <c r="A457" s="1">
        <v>452.0</v>
      </c>
      <c r="B457" s="1" t="s">
        <v>323</v>
      </c>
      <c r="C457" s="1">
        <v>452.0</v>
      </c>
      <c r="H457" s="2" t="str">
        <f t="shared" si="1"/>
        <v>INSERT INTO tblStudentTotalScore VALUES (seqStudentTotalScore.nextval, 452, null, null, null);</v>
      </c>
    </row>
    <row r="458">
      <c r="A458" s="1">
        <v>453.0</v>
      </c>
      <c r="B458" s="1" t="s">
        <v>323</v>
      </c>
      <c r="C458" s="1">
        <v>453.0</v>
      </c>
      <c r="H458" s="2" t="str">
        <f t="shared" si="1"/>
        <v>INSERT INTO tblStudentTotalScore VALUES (seqStudentTotalScore.nextval, 453, null, null, null);</v>
      </c>
    </row>
    <row r="459">
      <c r="A459" s="1">
        <v>454.0</v>
      </c>
      <c r="B459" s="1" t="s">
        <v>323</v>
      </c>
      <c r="C459" s="1">
        <v>454.0</v>
      </c>
      <c r="H459" s="2" t="str">
        <f t="shared" si="1"/>
        <v>INSERT INTO tblStudentTotalScore VALUES (seqStudentTotalScore.nextval, 454, null, null, null);</v>
      </c>
    </row>
    <row r="460">
      <c r="A460" s="1">
        <v>455.0</v>
      </c>
      <c r="B460" s="1" t="s">
        <v>323</v>
      </c>
      <c r="C460" s="1">
        <v>455.0</v>
      </c>
      <c r="H460" s="2" t="str">
        <f t="shared" si="1"/>
        <v>INSERT INTO tblStudentTotalScore VALUES (seqStudentTotalScore.nextval, 455, null, null, null);</v>
      </c>
    </row>
    <row r="461">
      <c r="A461" s="1">
        <v>456.0</v>
      </c>
      <c r="B461" s="1" t="s">
        <v>323</v>
      </c>
      <c r="C461" s="1">
        <v>456.0</v>
      </c>
      <c r="H461" s="2" t="str">
        <f t="shared" si="1"/>
        <v>INSERT INTO tblStudentTotalScore VALUES (seqStudentTotalScore.nextval, 456, null, null, null);</v>
      </c>
    </row>
    <row r="462">
      <c r="A462" s="1">
        <v>457.0</v>
      </c>
      <c r="B462" s="1" t="s">
        <v>323</v>
      </c>
      <c r="C462" s="1">
        <v>457.0</v>
      </c>
      <c r="H462" s="2" t="str">
        <f t="shared" si="1"/>
        <v>INSERT INTO tblStudentTotalScore VALUES (seqStudentTotalScore.nextval, 457, null, null, null);</v>
      </c>
    </row>
    <row r="463">
      <c r="A463" s="1">
        <v>458.0</v>
      </c>
      <c r="B463" s="1" t="s">
        <v>323</v>
      </c>
      <c r="C463" s="1">
        <v>458.0</v>
      </c>
      <c r="H463" s="2" t="str">
        <f t="shared" si="1"/>
        <v>INSERT INTO tblStudentTotalScore VALUES (seqStudentTotalScore.nextval, 458, null, null, null);</v>
      </c>
    </row>
    <row r="464">
      <c r="A464" s="1">
        <v>459.0</v>
      </c>
      <c r="B464" s="1" t="s">
        <v>323</v>
      </c>
      <c r="C464" s="1">
        <v>459.0</v>
      </c>
      <c r="H464" s="2" t="str">
        <f t="shared" si="1"/>
        <v>INSERT INTO tblStudentTotalScore VALUES (seqStudentTotalScore.nextval, 459, null, null, null);</v>
      </c>
    </row>
    <row r="465">
      <c r="A465" s="1">
        <v>460.0</v>
      </c>
      <c r="B465" s="1" t="s">
        <v>323</v>
      </c>
      <c r="C465" s="1">
        <v>460.0</v>
      </c>
      <c r="H465" s="2" t="str">
        <f t="shared" si="1"/>
        <v>INSERT INTO tblStudentTotalScore VALUES (seqStudentTotalScore.nextval, 460, null, null, null);</v>
      </c>
    </row>
    <row r="466">
      <c r="A466" s="1">
        <v>461.0</v>
      </c>
      <c r="B466" s="1" t="s">
        <v>323</v>
      </c>
      <c r="C466" s="1">
        <v>461.0</v>
      </c>
      <c r="H466" s="2" t="str">
        <f t="shared" si="1"/>
        <v>INSERT INTO tblStudentTotalScore VALUES (seqStudentTotalScore.nextval, 461, null, null, null);</v>
      </c>
    </row>
    <row r="467">
      <c r="A467" s="1">
        <v>462.0</v>
      </c>
      <c r="B467" s="1" t="s">
        <v>323</v>
      </c>
      <c r="C467" s="1">
        <v>462.0</v>
      </c>
      <c r="H467" s="2" t="str">
        <f t="shared" si="1"/>
        <v>INSERT INTO tblStudentTotalScore VALUES (seqStudentTotalScore.nextval, 462, null, null, null);</v>
      </c>
    </row>
    <row r="468">
      <c r="A468" s="1">
        <v>463.0</v>
      </c>
      <c r="B468" s="1" t="s">
        <v>323</v>
      </c>
      <c r="C468" s="1">
        <v>463.0</v>
      </c>
      <c r="H468" s="2" t="str">
        <f t="shared" si="1"/>
        <v>INSERT INTO tblStudentTotalScore VALUES (seqStudentTotalScore.nextval, 463, null, null, null);</v>
      </c>
    </row>
    <row r="469">
      <c r="A469" s="1">
        <v>464.0</v>
      </c>
      <c r="B469" s="1" t="s">
        <v>323</v>
      </c>
      <c r="C469" s="1">
        <v>464.0</v>
      </c>
      <c r="H469" s="2" t="str">
        <f t="shared" si="1"/>
        <v>INSERT INTO tblStudentTotalScore VALUES (seqStudentTotalScore.nextval, 464, null, null, null);</v>
      </c>
    </row>
    <row r="470">
      <c r="A470" s="1">
        <v>465.0</v>
      </c>
      <c r="B470" s="1" t="s">
        <v>323</v>
      </c>
      <c r="C470" s="1">
        <v>465.0</v>
      </c>
      <c r="H470" s="2" t="str">
        <f t="shared" si="1"/>
        <v>INSERT INTO tblStudentTotalScore VALUES (seqStudentTotalScore.nextval, 465, null, null, null);</v>
      </c>
    </row>
    <row r="471">
      <c r="A471" s="1">
        <v>466.0</v>
      </c>
      <c r="B471" s="1" t="s">
        <v>323</v>
      </c>
      <c r="C471" s="1">
        <v>466.0</v>
      </c>
      <c r="H471" s="2" t="str">
        <f t="shared" si="1"/>
        <v>INSERT INTO tblStudentTotalScore VALUES (seqStudentTotalScore.nextval, 466, null, null, null);</v>
      </c>
    </row>
    <row r="472">
      <c r="A472" s="1">
        <v>467.0</v>
      </c>
      <c r="B472" s="1" t="s">
        <v>323</v>
      </c>
      <c r="C472" s="1">
        <v>467.0</v>
      </c>
      <c r="H472" s="2" t="str">
        <f t="shared" si="1"/>
        <v>INSERT INTO tblStudentTotalScore VALUES (seqStudentTotalScore.nextval, 467, null, null, null);</v>
      </c>
    </row>
    <row r="473">
      <c r="A473" s="1">
        <v>468.0</v>
      </c>
      <c r="B473" s="1" t="s">
        <v>323</v>
      </c>
      <c r="C473" s="1">
        <v>468.0</v>
      </c>
      <c r="H473" s="2" t="str">
        <f t="shared" si="1"/>
        <v>INSERT INTO tblStudentTotalScore VALUES (seqStudentTotalScore.nextval, 468, null, null, null);</v>
      </c>
    </row>
    <row r="474">
      <c r="A474" s="1">
        <v>469.0</v>
      </c>
      <c r="B474" s="1" t="s">
        <v>323</v>
      </c>
      <c r="C474" s="1">
        <v>469.0</v>
      </c>
      <c r="H474" s="2" t="str">
        <f t="shared" si="1"/>
        <v>INSERT INTO tblStudentTotalScore VALUES (seqStudentTotalScore.nextval, 469, null, null, null);</v>
      </c>
    </row>
    <row r="475">
      <c r="A475" s="1">
        <v>470.0</v>
      </c>
      <c r="B475" s="1" t="s">
        <v>323</v>
      </c>
      <c r="C475" s="1">
        <v>470.0</v>
      </c>
      <c r="H475" s="2" t="str">
        <f t="shared" si="1"/>
        <v>INSERT INTO tblStudentTotalScore VALUES (seqStudentTotalScore.nextval, 470, null, null, null);</v>
      </c>
    </row>
    <row r="476">
      <c r="A476" s="1">
        <v>471.0</v>
      </c>
      <c r="B476" s="1" t="s">
        <v>323</v>
      </c>
      <c r="C476" s="1">
        <v>471.0</v>
      </c>
      <c r="H476" s="2" t="str">
        <f t="shared" si="1"/>
        <v>INSERT INTO tblStudentTotalScore VALUES (seqStudentTotalScore.nextval, 471, null, null, null);</v>
      </c>
    </row>
    <row r="477">
      <c r="A477" s="1">
        <v>472.0</v>
      </c>
      <c r="B477" s="1" t="s">
        <v>323</v>
      </c>
      <c r="C477" s="1">
        <v>472.0</v>
      </c>
      <c r="H477" s="2" t="str">
        <f t="shared" si="1"/>
        <v>INSERT INTO tblStudentTotalScore VALUES (seqStudentTotalScore.nextval, 472, null, null, null);</v>
      </c>
    </row>
    <row r="478">
      <c r="A478" s="1">
        <v>473.0</v>
      </c>
      <c r="B478" s="1" t="s">
        <v>323</v>
      </c>
      <c r="C478" s="1">
        <v>473.0</v>
      </c>
      <c r="H478" s="2" t="str">
        <f t="shared" si="1"/>
        <v>INSERT INTO tblStudentTotalScore VALUES (seqStudentTotalScore.nextval, 473, null, null, null);</v>
      </c>
    </row>
    <row r="479">
      <c r="A479" s="1">
        <v>474.0</v>
      </c>
      <c r="B479" s="1" t="s">
        <v>323</v>
      </c>
      <c r="C479" s="1">
        <v>474.0</v>
      </c>
      <c r="H479" s="2" t="str">
        <f t="shared" si="1"/>
        <v>INSERT INTO tblStudentTotalScore VALUES (seqStudentTotalScore.nextval, 474, null, null, null);</v>
      </c>
    </row>
    <row r="480">
      <c r="A480" s="1">
        <v>475.0</v>
      </c>
      <c r="B480" s="1" t="s">
        <v>323</v>
      </c>
      <c r="C480" s="1">
        <v>475.0</v>
      </c>
      <c r="H480" s="2" t="str">
        <f t="shared" si="1"/>
        <v>INSERT INTO tblStudentTotalScore VALUES (seqStudentTotalScore.nextval, 475, null, null, null);</v>
      </c>
    </row>
    <row r="481">
      <c r="A481" s="1">
        <v>476.0</v>
      </c>
      <c r="B481" s="1" t="s">
        <v>323</v>
      </c>
      <c r="C481" s="1">
        <v>476.0</v>
      </c>
      <c r="H481" s="2" t="str">
        <f t="shared" si="1"/>
        <v>INSERT INTO tblStudentTotalScore VALUES (seqStudentTotalScore.nextval, 476, null, null, null);</v>
      </c>
    </row>
    <row r="482">
      <c r="A482" s="1">
        <v>477.0</v>
      </c>
      <c r="B482" s="1" t="s">
        <v>323</v>
      </c>
      <c r="C482" s="1">
        <v>477.0</v>
      </c>
      <c r="H482" s="2" t="str">
        <f t="shared" si="1"/>
        <v>INSERT INTO tblStudentTotalScore VALUES (seqStudentTotalScore.nextval, 477, null, null, null);</v>
      </c>
    </row>
    <row r="483">
      <c r="A483" s="1">
        <v>478.0</v>
      </c>
      <c r="B483" s="1" t="s">
        <v>323</v>
      </c>
      <c r="C483" s="1">
        <v>478.0</v>
      </c>
      <c r="H483" s="2" t="str">
        <f t="shared" si="1"/>
        <v>INSERT INTO tblStudentTotalScore VALUES (seqStudentTotalScore.nextval, 478, null, null, null);</v>
      </c>
    </row>
    <row r="484">
      <c r="A484" s="1">
        <v>479.0</v>
      </c>
      <c r="B484" s="1" t="s">
        <v>323</v>
      </c>
      <c r="C484" s="1">
        <v>479.0</v>
      </c>
      <c r="H484" s="2" t="str">
        <f t="shared" si="1"/>
        <v>INSERT INTO tblStudentTotalScore VALUES (seqStudentTotalScore.nextval, 479, null, null, null);</v>
      </c>
    </row>
    <row r="485">
      <c r="A485" s="1">
        <v>480.0</v>
      </c>
      <c r="B485" s="1" t="s">
        <v>323</v>
      </c>
      <c r="C485" s="1">
        <v>480.0</v>
      </c>
      <c r="H485" s="2" t="str">
        <f t="shared" si="1"/>
        <v>INSERT INTO tblStudentTotalScore VALUES (seqStudentTotalScore.nextval, 480, null, null, null);</v>
      </c>
    </row>
    <row r="486">
      <c r="A486" s="1">
        <v>481.0</v>
      </c>
      <c r="B486" s="1" t="s">
        <v>323</v>
      </c>
      <c r="C486" s="1">
        <v>481.0</v>
      </c>
      <c r="H486" s="2" t="str">
        <f t="shared" si="1"/>
        <v>INSERT INTO tblStudentTotalScore VALUES (seqStudentTotalScore.nextval, 481, null, null, null);</v>
      </c>
    </row>
    <row r="487">
      <c r="A487" s="1">
        <v>482.0</v>
      </c>
      <c r="B487" s="1" t="s">
        <v>323</v>
      </c>
      <c r="C487" s="1">
        <v>482.0</v>
      </c>
      <c r="H487" s="2" t="str">
        <f t="shared" si="1"/>
        <v>INSERT INTO tblStudentTotalScore VALUES (seqStudentTotalScore.nextval, 482, null, null, null);</v>
      </c>
    </row>
    <row r="488">
      <c r="A488" s="1">
        <v>483.0</v>
      </c>
      <c r="B488" s="1" t="s">
        <v>323</v>
      </c>
      <c r="C488" s="1">
        <v>483.0</v>
      </c>
      <c r="H488" s="2" t="str">
        <f t="shared" si="1"/>
        <v>INSERT INTO tblStudentTotalScore VALUES (seqStudentTotalScore.nextval, 483, null, null, null);</v>
      </c>
    </row>
    <row r="489">
      <c r="A489" s="1">
        <v>484.0</v>
      </c>
      <c r="B489" s="1" t="s">
        <v>323</v>
      </c>
      <c r="C489" s="1">
        <v>484.0</v>
      </c>
      <c r="H489" s="2" t="str">
        <f t="shared" si="1"/>
        <v>INSERT INTO tblStudentTotalScore VALUES (seqStudentTotalScore.nextval, 484, null, null, null);</v>
      </c>
    </row>
    <row r="490">
      <c r="A490" s="1">
        <v>485.0</v>
      </c>
      <c r="B490" s="1" t="s">
        <v>323</v>
      </c>
      <c r="C490" s="1">
        <v>485.0</v>
      </c>
      <c r="H490" s="2" t="str">
        <f t="shared" si="1"/>
        <v>INSERT INTO tblStudentTotalScore VALUES (seqStudentTotalScore.nextval, 485, null, null, null);</v>
      </c>
    </row>
    <row r="491">
      <c r="A491" s="1">
        <v>486.0</v>
      </c>
      <c r="B491" s="1" t="s">
        <v>323</v>
      </c>
      <c r="C491" s="1">
        <v>486.0</v>
      </c>
      <c r="H491" s="2" t="str">
        <f t="shared" si="1"/>
        <v>INSERT INTO tblStudentTotalScore VALUES (seqStudentTotalScore.nextval, 486, null, null, null);</v>
      </c>
    </row>
    <row r="492">
      <c r="A492" s="1">
        <v>487.0</v>
      </c>
      <c r="B492" s="1" t="s">
        <v>323</v>
      </c>
      <c r="C492" s="1">
        <v>487.0</v>
      </c>
      <c r="H492" s="2" t="str">
        <f t="shared" si="1"/>
        <v>INSERT INTO tblStudentTotalScore VALUES (seqStudentTotalScore.nextval, 487, null, null, null);</v>
      </c>
    </row>
    <row r="493">
      <c r="A493" s="1">
        <v>488.0</v>
      </c>
      <c r="B493" s="1" t="s">
        <v>323</v>
      </c>
      <c r="C493" s="1">
        <v>488.0</v>
      </c>
      <c r="H493" s="2" t="str">
        <f t="shared" si="1"/>
        <v>INSERT INTO tblStudentTotalScore VALUES (seqStudentTotalScore.nextval, 488, null, null, null);</v>
      </c>
    </row>
    <row r="494">
      <c r="A494" s="1">
        <v>489.0</v>
      </c>
      <c r="B494" s="1" t="s">
        <v>323</v>
      </c>
      <c r="C494" s="1">
        <v>489.0</v>
      </c>
      <c r="H494" s="2" t="str">
        <f t="shared" si="1"/>
        <v>INSERT INTO tblStudentTotalScore VALUES (seqStudentTotalScore.nextval, 489, null, null, null);</v>
      </c>
    </row>
    <row r="495">
      <c r="A495" s="1">
        <v>490.0</v>
      </c>
      <c r="B495" s="1" t="s">
        <v>323</v>
      </c>
      <c r="C495" s="1">
        <v>490.0</v>
      </c>
      <c r="H495" s="2" t="str">
        <f t="shared" si="1"/>
        <v>INSERT INTO tblStudentTotalScore VALUES (seqStudentTotalScore.nextval, 490, null, null, null);</v>
      </c>
    </row>
    <row r="496">
      <c r="A496" s="1">
        <v>491.0</v>
      </c>
      <c r="B496" s="1" t="s">
        <v>323</v>
      </c>
      <c r="C496" s="1">
        <v>491.0</v>
      </c>
      <c r="H496" s="2" t="str">
        <f t="shared" si="1"/>
        <v>INSERT INTO tblStudentTotalScore VALUES (seqStudentTotalScore.nextval, 491, null, null, null);</v>
      </c>
    </row>
  </sheetData>
  <mergeCells count="1">
    <mergeCell ref="B3:F3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4" max="4" width="27.0"/>
    <col customWidth="1" min="5" max="5" width="91.38"/>
    <col customWidth="1" min="6" max="6" width="41.88"/>
  </cols>
  <sheetData>
    <row r="1">
      <c r="A1" s="42" t="s">
        <v>324</v>
      </c>
      <c r="E1" s="1" t="s">
        <v>325</v>
      </c>
      <c r="F1" s="1" t="s">
        <v>326</v>
      </c>
      <c r="G1" s="1" t="s">
        <v>327</v>
      </c>
      <c r="H1" s="1" t="s">
        <v>328</v>
      </c>
    </row>
    <row r="2">
      <c r="A2" s="43" t="s">
        <v>329</v>
      </c>
      <c r="B2" s="43" t="s">
        <v>327</v>
      </c>
      <c r="C2" s="43" t="s">
        <v>328</v>
      </c>
      <c r="D2" s="43" t="s">
        <v>330</v>
      </c>
      <c r="F2" s="1" t="s">
        <v>331</v>
      </c>
      <c r="G2" s="44">
        <v>45292.0</v>
      </c>
      <c r="H2" s="44">
        <v>47848.0</v>
      </c>
    </row>
    <row r="3">
      <c r="A3" s="1" t="s">
        <v>332</v>
      </c>
      <c r="B3" s="45">
        <v>45292.0</v>
      </c>
      <c r="C3" s="45">
        <v>45293.0</v>
      </c>
      <c r="D3" s="1" t="s">
        <v>333</v>
      </c>
      <c r="E3" s="2" t="str">
        <f t="shared" ref="E3:E8" si="1">"INSERT INTO tblHoliday VALUES (seqHoliday.NEXTVAL, TO_DATE('" &amp; TEXT(B3,"yyyy-mm-dd") &amp; "', 'YYYY-MM-DD'), '" &amp; A3 &amp; "');"</f>
        <v>INSERT INTO tblHoliday VALUES (seqHoliday.NEXTVAL, TO_DATE('2024-01-01', 'YYYY-MM-DD'), '새해첫날');</v>
      </c>
    </row>
    <row r="4">
      <c r="A4" s="1" t="s">
        <v>334</v>
      </c>
      <c r="B4" s="45">
        <v>45331.0</v>
      </c>
      <c r="C4" s="45">
        <v>45332.0</v>
      </c>
      <c r="D4" s="1" t="s">
        <v>333</v>
      </c>
      <c r="E4" s="2" t="str">
        <f t="shared" si="1"/>
        <v>INSERT INTO tblHoliday VALUES (seqHoliday.NEXTVAL, TO_DATE('2024-02-09', 'YYYY-MM-DD'), '설날 연휴');</v>
      </c>
    </row>
    <row r="5">
      <c r="A5" s="1" t="s">
        <v>335</v>
      </c>
      <c r="B5" s="45">
        <v>45332.0</v>
      </c>
      <c r="C5" s="45">
        <v>45333.0</v>
      </c>
      <c r="D5" s="1" t="s">
        <v>333</v>
      </c>
      <c r="E5" s="2" t="str">
        <f t="shared" si="1"/>
        <v>INSERT INTO tblHoliday VALUES (seqHoliday.NEXTVAL, TO_DATE('2024-02-10', 'YYYY-MM-DD'), '설날');</v>
      </c>
    </row>
    <row r="6">
      <c r="A6" s="1" t="s">
        <v>334</v>
      </c>
      <c r="B6" s="45">
        <v>45333.0</v>
      </c>
      <c r="C6" s="45">
        <v>45334.0</v>
      </c>
      <c r="D6" s="1" t="s">
        <v>333</v>
      </c>
      <c r="E6" s="2" t="str">
        <f t="shared" si="1"/>
        <v>INSERT INTO tblHoliday VALUES (seqHoliday.NEXTVAL, TO_DATE('2024-02-11', 'YYYY-MM-DD'), '설날 연휴');</v>
      </c>
    </row>
    <row r="7">
      <c r="A7" s="1" t="s">
        <v>334</v>
      </c>
      <c r="B7" s="45">
        <v>45334.0</v>
      </c>
      <c r="C7" s="45">
        <v>45335.0</v>
      </c>
      <c r="D7" s="1" t="s">
        <v>333</v>
      </c>
      <c r="E7" s="2" t="str">
        <f t="shared" si="1"/>
        <v>INSERT INTO tblHoliday VALUES (seqHoliday.NEXTVAL, TO_DATE('2024-02-12', 'YYYY-MM-DD'), '설날 연휴');</v>
      </c>
    </row>
    <row r="8">
      <c r="A8" s="1" t="s">
        <v>336</v>
      </c>
      <c r="B8" s="45">
        <v>45352.0</v>
      </c>
      <c r="C8" s="45">
        <v>45353.0</v>
      </c>
      <c r="D8" s="1" t="s">
        <v>333</v>
      </c>
      <c r="E8" s="2" t="str">
        <f t="shared" si="1"/>
        <v>INSERT INTO tblHoliday VALUES (seqHoliday.NEXTVAL, TO_DATE('2024-03-01', 'YYYY-MM-DD'), '삼일절');</v>
      </c>
    </row>
    <row r="9" hidden="1">
      <c r="A9" s="1" t="s">
        <v>337</v>
      </c>
      <c r="B9" s="45">
        <v>45387.0</v>
      </c>
      <c r="C9" s="45">
        <v>45388.0</v>
      </c>
      <c r="D9" s="1" t="s">
        <v>338</v>
      </c>
      <c r="E9" s="2" t="str">
        <f>"INSERT INTO tblHoliday (holiday, name) VALUES (TO_DATE('" &amp; TEXT(B9,"yyyy-mm-dd") &amp; "', 'YYYY-MM-DD'), '" &amp; A9 &amp; "');"
</f>
        <v>INSERT INTO tblHoliday (holiday, name) VALUES (TO_DATE('2024-04-05', 'YYYY-MM-DD'), '식목일');</v>
      </c>
    </row>
    <row r="10">
      <c r="A10" s="1" t="s">
        <v>339</v>
      </c>
      <c r="B10" s="45">
        <v>45392.0</v>
      </c>
      <c r="C10" s="45">
        <v>45393.0</v>
      </c>
      <c r="D10" s="1" t="s">
        <v>333</v>
      </c>
      <c r="E10" s="2" t="str">
        <f t="shared" ref="E10:E13" si="2">"INSERT INTO tblHoliday VALUES (seqHoliday.NEXTVAL, TO_DATE('" &amp; TEXT(B10,"yyyy-mm-dd") &amp; "', 'YYYY-MM-DD'), '" &amp; A10 &amp; "');"</f>
        <v>INSERT INTO tblHoliday VALUES (seqHoliday.NEXTVAL, TO_DATE('2024-04-10', 'YYYY-MM-DD'), '국회의원선거일');</v>
      </c>
    </row>
    <row r="11">
      <c r="A11" s="1" t="s">
        <v>340</v>
      </c>
      <c r="B11" s="45">
        <v>45413.0</v>
      </c>
      <c r="C11" s="45">
        <v>45414.0</v>
      </c>
      <c r="D11" s="1" t="s">
        <v>333</v>
      </c>
      <c r="E11" s="2" t="str">
        <f t="shared" si="2"/>
        <v>INSERT INTO tblHoliday VALUES (seqHoliday.NEXTVAL, TO_DATE('2024-05-01', 'YYYY-MM-DD'), '노동절');</v>
      </c>
    </row>
    <row r="12">
      <c r="A12" s="1" t="s">
        <v>341</v>
      </c>
      <c r="B12" s="45">
        <v>45417.0</v>
      </c>
      <c r="C12" s="45">
        <v>45418.0</v>
      </c>
      <c r="D12" s="1" t="s">
        <v>333</v>
      </c>
      <c r="E12" s="2" t="str">
        <f t="shared" si="2"/>
        <v>INSERT INTO tblHoliday VALUES (seqHoliday.NEXTVAL, TO_DATE('2024-05-05', 'YYYY-MM-DD'), '어린이날');</v>
      </c>
    </row>
    <row r="13">
      <c r="A13" s="1" t="s">
        <v>342</v>
      </c>
      <c r="B13" s="45">
        <v>45418.0</v>
      </c>
      <c r="C13" s="45">
        <v>45419.0</v>
      </c>
      <c r="D13" s="1" t="s">
        <v>333</v>
      </c>
      <c r="E13" s="2" t="str">
        <f t="shared" si="2"/>
        <v>INSERT INTO tblHoliday VALUES (seqHoliday.NEXTVAL, TO_DATE('2024-05-06', 'YYYY-MM-DD'), '쉬는 날 어린이날');</v>
      </c>
    </row>
    <row r="14" hidden="1">
      <c r="A14" s="1" t="s">
        <v>343</v>
      </c>
      <c r="B14" s="45">
        <v>45420.0</v>
      </c>
      <c r="C14" s="45">
        <v>45421.0</v>
      </c>
      <c r="D14" s="1" t="s">
        <v>338</v>
      </c>
      <c r="E14" s="2" t="str">
        <f>"INSERT INTO tblHoliday (holiday, name) VALUES (TO_DATE('" &amp; TEXT(B14,"yyyy-mm-dd") &amp; "', 'YYYY-MM-DD'), '" &amp; A14 &amp; "');"
</f>
        <v>INSERT INTO tblHoliday (holiday, name) VALUES (TO_DATE('2024-05-08', 'YYYY-MM-DD'), '어버이날');</v>
      </c>
    </row>
    <row r="15">
      <c r="A15" s="1" t="s">
        <v>344</v>
      </c>
      <c r="B15" s="45">
        <v>45427.0</v>
      </c>
      <c r="C15" s="45">
        <v>45428.0</v>
      </c>
      <c r="D15" s="1" t="s">
        <v>333</v>
      </c>
      <c r="E15" s="2" t="str">
        <f>"INSERT INTO tblHoliday VALUES (seqHoliday.NEXTVAL, TO_DATE('" &amp; TEXT(B15,"yyyy-mm-dd") &amp; "', 'YYYY-MM-DD'), '" &amp; A15 &amp; "');"</f>
        <v>INSERT INTO tblHoliday VALUES (seqHoliday.NEXTVAL, TO_DATE('2024-05-15', 'YYYY-MM-DD'), '부처님오신날');</v>
      </c>
    </row>
    <row r="16" hidden="1">
      <c r="A16" s="1" t="s">
        <v>345</v>
      </c>
      <c r="B16" s="45">
        <v>45427.0</v>
      </c>
      <c r="C16" s="45">
        <v>45428.0</v>
      </c>
      <c r="D16" s="1" t="s">
        <v>338</v>
      </c>
      <c r="E16" s="2" t="str">
        <f>"INSERT INTO tblHoliday (holiday, name) VALUES (TO_DATE('" &amp; TEXT(B16,"yyyy-mm-dd") &amp; "', 'YYYY-MM-DD'), '" &amp; A16 &amp; "');"
</f>
        <v>INSERT INTO tblHoliday (holiday, name) VALUES (TO_DATE('2024-05-15', 'YYYY-MM-DD'), '스승의날');</v>
      </c>
    </row>
    <row r="17">
      <c r="A17" s="1" t="s">
        <v>346</v>
      </c>
      <c r="B17" s="45">
        <v>45449.0</v>
      </c>
      <c r="C17" s="45">
        <v>45450.0</v>
      </c>
      <c r="D17" s="1" t="s">
        <v>333</v>
      </c>
      <c r="E17" s="2" t="str">
        <f>"INSERT INTO tblHoliday VALUES (seqHoliday.NEXTVAL, TO_DATE('" &amp; TEXT(B17,"yyyy-mm-dd") &amp; "', 'YYYY-MM-DD'), '" &amp; A17 &amp; "');"</f>
        <v>INSERT INTO tblHoliday VALUES (seqHoliday.NEXTVAL, TO_DATE('2024-06-06', 'YYYY-MM-DD'), '현충일');</v>
      </c>
    </row>
    <row r="18" hidden="1">
      <c r="A18" s="1" t="s">
        <v>347</v>
      </c>
      <c r="B18" s="45">
        <v>45490.0</v>
      </c>
      <c r="C18" s="45">
        <v>45491.0</v>
      </c>
      <c r="D18" s="1" t="s">
        <v>338</v>
      </c>
      <c r="E18" s="2" t="str">
        <f>"INSERT INTO tblHoliday (holiday, name) VALUES (TO_DATE('" &amp; TEXT(B18,"yyyy-mm-dd") &amp; "', 'YYYY-MM-DD'), '" &amp; A18 &amp; "');"
</f>
        <v>INSERT INTO tblHoliday (holiday, name) VALUES (TO_DATE('2024-07-17', 'YYYY-MM-DD'), '제헌절');</v>
      </c>
    </row>
    <row r="19">
      <c r="A19" s="1" t="s">
        <v>348</v>
      </c>
      <c r="B19" s="45">
        <v>45519.0</v>
      </c>
      <c r="C19" s="45">
        <v>45520.0</v>
      </c>
      <c r="D19" s="1" t="s">
        <v>333</v>
      </c>
      <c r="E19" s="2" t="str">
        <f t="shared" ref="E19:E24" si="3">"INSERT INTO tblHoliday VALUES (seqHoliday.NEXTVAL, TO_DATE('" &amp; TEXT(B19,"yyyy-mm-dd") &amp; "', 'YYYY-MM-DD'), '" &amp; A19 &amp; "');"</f>
        <v>INSERT INTO tblHoliday VALUES (seqHoliday.NEXTVAL, TO_DATE('2024-08-15', 'YYYY-MM-DD'), '광복절');</v>
      </c>
    </row>
    <row r="20">
      <c r="A20" s="1" t="s">
        <v>349</v>
      </c>
      <c r="B20" s="45">
        <v>45552.0</v>
      </c>
      <c r="C20" s="45">
        <v>45553.0</v>
      </c>
      <c r="D20" s="1" t="s">
        <v>333</v>
      </c>
      <c r="E20" s="2" t="str">
        <f t="shared" si="3"/>
        <v>INSERT INTO tblHoliday VALUES (seqHoliday.NEXTVAL, TO_DATE('2024-09-17', 'YYYY-MM-DD'), '추석');</v>
      </c>
    </row>
    <row r="21">
      <c r="A21" s="1" t="s">
        <v>350</v>
      </c>
      <c r="B21" s="45">
        <v>45553.0</v>
      </c>
      <c r="C21" s="45">
        <v>45554.0</v>
      </c>
      <c r="D21" s="1" t="s">
        <v>333</v>
      </c>
      <c r="E21" s="2" t="str">
        <f t="shared" si="3"/>
        <v>INSERT INTO tblHoliday VALUES (seqHoliday.NEXTVAL, TO_DATE('2024-09-18', 'YYYY-MM-DD'), '추석 연휴');</v>
      </c>
    </row>
    <row r="22">
      <c r="A22" s="1" t="s">
        <v>351</v>
      </c>
      <c r="B22" s="45">
        <v>45566.0</v>
      </c>
      <c r="C22" s="45">
        <v>45567.0</v>
      </c>
      <c r="D22" s="1" t="s">
        <v>333</v>
      </c>
      <c r="E22" s="2" t="str">
        <f t="shared" si="3"/>
        <v>INSERT INTO tblHoliday VALUES (seqHoliday.NEXTVAL, TO_DATE('2024-10-01', 'YYYY-MM-DD'), '국군의날');</v>
      </c>
    </row>
    <row r="23">
      <c r="A23" s="1" t="s">
        <v>352</v>
      </c>
      <c r="B23" s="45">
        <v>45568.0</v>
      </c>
      <c r="C23" s="45">
        <v>45569.0</v>
      </c>
      <c r="D23" s="1" t="s">
        <v>333</v>
      </c>
      <c r="E23" s="2" t="str">
        <f t="shared" si="3"/>
        <v>INSERT INTO tblHoliday VALUES (seqHoliday.NEXTVAL, TO_DATE('2024-10-03', 'YYYY-MM-DD'), '개천절');</v>
      </c>
    </row>
    <row r="24">
      <c r="A24" s="1" t="s">
        <v>353</v>
      </c>
      <c r="B24" s="45">
        <v>45574.0</v>
      </c>
      <c r="C24" s="45">
        <v>45575.0</v>
      </c>
      <c r="D24" s="1" t="s">
        <v>333</v>
      </c>
      <c r="E24" s="2" t="str">
        <f t="shared" si="3"/>
        <v>INSERT INTO tblHoliday VALUES (seqHoliday.NEXTVAL, TO_DATE('2024-10-09', 'YYYY-MM-DD'), '한글날');</v>
      </c>
    </row>
    <row r="25" hidden="1">
      <c r="A25" s="1" t="s">
        <v>354</v>
      </c>
      <c r="B25" s="45">
        <v>45650.0</v>
      </c>
      <c r="C25" s="45">
        <v>45651.0</v>
      </c>
      <c r="D25" s="1" t="s">
        <v>338</v>
      </c>
      <c r="E25" s="2" t="str">
        <f>"INSERT INTO tblHoliday (holiday, name) VALUES (TO_DATE('" &amp; TEXT(B25,"yyyy-mm-dd") &amp; "', 'YYYY-MM-DD'), '" &amp; A25 &amp; "');"
</f>
        <v>INSERT INTO tblHoliday (holiday, name) VALUES (TO_DATE('2024-12-24', 'YYYY-MM-DD'), '크리스마스 이브');</v>
      </c>
    </row>
    <row r="26">
      <c r="A26" s="1" t="s">
        <v>355</v>
      </c>
      <c r="B26" s="45">
        <v>45651.0</v>
      </c>
      <c r="C26" s="45">
        <v>45652.0</v>
      </c>
      <c r="D26" s="1" t="s">
        <v>333</v>
      </c>
      <c r="E26" s="2" t="str">
        <f>"INSERT INTO tblHoliday VALUES (seqHoliday.NEXTVAL, TO_DATE('" &amp; TEXT(B26,"yyyy-mm-dd") &amp; "', 'YYYY-MM-DD'), '" &amp; A26 &amp; "');"</f>
        <v>INSERT INTO tblHoliday VALUES (seqHoliday.NEXTVAL, TO_DATE('2024-12-25', 'YYYY-MM-DD'), '크리스마스');</v>
      </c>
    </row>
    <row r="27" hidden="1">
      <c r="A27" s="1" t="s">
        <v>356</v>
      </c>
      <c r="B27" s="45">
        <v>45657.0</v>
      </c>
      <c r="C27" s="45">
        <v>45658.0</v>
      </c>
      <c r="D27" s="1" t="s">
        <v>338</v>
      </c>
      <c r="E27" s="2" t="str">
        <f>"INSERT INTO tblHoliday (holiday, name) VALUES (TO_DATE('" &amp; TEXT(B27,"yyyy-mm-dd") &amp; "', 'YYYY-MM-DD'), '" &amp; A27 &amp; "');"
</f>
        <v>INSERT INTO tblHoliday (holiday, name) VALUES (TO_DATE('2024-12-31', 'YYYY-MM-DD'), '섣달 그믐날');</v>
      </c>
    </row>
    <row r="28">
      <c r="A28" s="1" t="s">
        <v>332</v>
      </c>
      <c r="B28" s="45">
        <v>45658.0</v>
      </c>
      <c r="C28" s="45">
        <v>45659.0</v>
      </c>
      <c r="D28" s="1" t="s">
        <v>333</v>
      </c>
      <c r="E28" s="2" t="str">
        <f t="shared" ref="E28:E34" si="4">"INSERT INTO tblHoliday VALUES (seqHoliday.NEXTVAL, TO_DATE('" &amp; TEXT(B28,"yyyy-mm-dd") &amp; "', 'YYYY-MM-DD'), '" &amp; A28 &amp; "');"</f>
        <v>INSERT INTO tblHoliday VALUES (seqHoliday.NEXTVAL, TO_DATE('2025-01-01', 'YYYY-MM-DD'), '새해첫날');</v>
      </c>
    </row>
    <row r="29">
      <c r="A29" s="1" t="s">
        <v>334</v>
      </c>
      <c r="B29" s="45">
        <v>45684.0</v>
      </c>
      <c r="C29" s="45">
        <v>45685.0</v>
      </c>
      <c r="D29" s="1" t="s">
        <v>333</v>
      </c>
      <c r="E29" s="2" t="str">
        <f t="shared" si="4"/>
        <v>INSERT INTO tblHoliday VALUES (seqHoliday.NEXTVAL, TO_DATE('2025-01-27', 'YYYY-MM-DD'), '설날 연휴');</v>
      </c>
    </row>
    <row r="30">
      <c r="A30" s="1" t="s">
        <v>334</v>
      </c>
      <c r="B30" s="45">
        <v>45685.0</v>
      </c>
      <c r="C30" s="45">
        <v>45686.0</v>
      </c>
      <c r="D30" s="1" t="s">
        <v>333</v>
      </c>
      <c r="E30" s="2" t="str">
        <f t="shared" si="4"/>
        <v>INSERT INTO tblHoliday VALUES (seqHoliday.NEXTVAL, TO_DATE('2025-01-28', 'YYYY-MM-DD'), '설날 연휴');</v>
      </c>
    </row>
    <row r="31">
      <c r="A31" s="1" t="s">
        <v>335</v>
      </c>
      <c r="B31" s="45">
        <v>45686.0</v>
      </c>
      <c r="C31" s="45">
        <v>45687.0</v>
      </c>
      <c r="D31" s="1" t="s">
        <v>333</v>
      </c>
      <c r="E31" s="2" t="str">
        <f t="shared" si="4"/>
        <v>INSERT INTO tblHoliday VALUES (seqHoliday.NEXTVAL, TO_DATE('2025-01-29', 'YYYY-MM-DD'), '설날');</v>
      </c>
    </row>
    <row r="32">
      <c r="A32" s="1" t="s">
        <v>334</v>
      </c>
      <c r="B32" s="45">
        <v>45687.0</v>
      </c>
      <c r="C32" s="45">
        <v>45688.0</v>
      </c>
      <c r="D32" s="1" t="s">
        <v>333</v>
      </c>
      <c r="E32" s="2" t="str">
        <f t="shared" si="4"/>
        <v>INSERT INTO tblHoliday VALUES (seqHoliday.NEXTVAL, TO_DATE('2025-01-30', 'YYYY-MM-DD'), '설날 연휴');</v>
      </c>
    </row>
    <row r="33">
      <c r="A33" s="1" t="s">
        <v>336</v>
      </c>
      <c r="B33" s="45">
        <v>45717.0</v>
      </c>
      <c r="C33" s="45">
        <v>45718.0</v>
      </c>
      <c r="D33" s="1" t="s">
        <v>333</v>
      </c>
      <c r="E33" s="2" t="str">
        <f t="shared" si="4"/>
        <v>INSERT INTO tblHoliday VALUES (seqHoliday.NEXTVAL, TO_DATE('2025-03-01', 'YYYY-MM-DD'), '삼일절');</v>
      </c>
    </row>
    <row r="34">
      <c r="A34" s="1" t="s">
        <v>357</v>
      </c>
      <c r="B34" s="45">
        <v>45719.0</v>
      </c>
      <c r="C34" s="45">
        <v>45720.0</v>
      </c>
      <c r="D34" s="1" t="s">
        <v>333</v>
      </c>
      <c r="E34" s="2" t="str">
        <f t="shared" si="4"/>
        <v>INSERT INTO tblHoliday VALUES (seqHoliday.NEXTVAL, TO_DATE('2025-03-03', 'YYYY-MM-DD'), '쉬는 날 삼일절');</v>
      </c>
    </row>
    <row r="35" hidden="1">
      <c r="A35" s="1" t="s">
        <v>337</v>
      </c>
      <c r="B35" s="45">
        <v>45752.0</v>
      </c>
      <c r="C35" s="45">
        <v>45753.0</v>
      </c>
      <c r="D35" s="1" t="s">
        <v>338</v>
      </c>
      <c r="E35" s="2" t="str">
        <f>"INSERT INTO tblHoliday (holiday, name) VALUES (TO_DATE('" &amp; TEXT(B35,"yyyy-mm-dd") &amp; "', 'YYYY-MM-DD'), '" &amp; A35 &amp; "');"
</f>
        <v>INSERT INTO tblHoliday (holiday, name) VALUES (TO_DATE('2025-04-05', 'YYYY-MM-DD'), '식목일');</v>
      </c>
    </row>
    <row r="36">
      <c r="A36" s="1" t="s">
        <v>340</v>
      </c>
      <c r="B36" s="45">
        <v>45778.0</v>
      </c>
      <c r="C36" s="45">
        <v>45779.0</v>
      </c>
      <c r="D36" s="1" t="s">
        <v>333</v>
      </c>
      <c r="E36" s="2" t="str">
        <f t="shared" ref="E36:E39" si="5">"INSERT INTO tblHoliday VALUES (seqHoliday.NEXTVAL, TO_DATE('" &amp; TEXT(B36,"yyyy-mm-dd") &amp; "', 'YYYY-MM-DD'), '" &amp; A36 &amp; "');"</f>
        <v>INSERT INTO tblHoliday VALUES (seqHoliday.NEXTVAL, TO_DATE('2025-05-01', 'YYYY-MM-DD'), '노동절');</v>
      </c>
    </row>
    <row r="37">
      <c r="A37" s="1" t="s">
        <v>341</v>
      </c>
      <c r="B37" s="45">
        <v>45782.0</v>
      </c>
      <c r="C37" s="45">
        <v>45783.0</v>
      </c>
      <c r="D37" s="1" t="s">
        <v>333</v>
      </c>
      <c r="E37" s="2" t="str">
        <f t="shared" si="5"/>
        <v>INSERT INTO tblHoliday VALUES (seqHoliday.NEXTVAL, TO_DATE('2025-05-05', 'YYYY-MM-DD'), '어린이날');</v>
      </c>
    </row>
    <row r="38">
      <c r="A38" s="1" t="s">
        <v>344</v>
      </c>
      <c r="B38" s="45">
        <v>45782.0</v>
      </c>
      <c r="C38" s="45">
        <v>45783.0</v>
      </c>
      <c r="D38" s="1" t="s">
        <v>333</v>
      </c>
      <c r="E38" s="2" t="str">
        <f t="shared" si="5"/>
        <v>INSERT INTO tblHoliday VALUES (seqHoliday.NEXTVAL, TO_DATE('2025-05-05', 'YYYY-MM-DD'), '부처님오신날');</v>
      </c>
    </row>
    <row r="39">
      <c r="A39" s="1" t="s">
        <v>342</v>
      </c>
      <c r="B39" s="45">
        <v>45783.0</v>
      </c>
      <c r="C39" s="45">
        <v>45784.0</v>
      </c>
      <c r="D39" s="1" t="s">
        <v>333</v>
      </c>
      <c r="E39" s="2" t="str">
        <f t="shared" si="5"/>
        <v>INSERT INTO tblHoliday VALUES (seqHoliday.NEXTVAL, TO_DATE('2025-05-06', 'YYYY-MM-DD'), '쉬는 날 어린이날');</v>
      </c>
    </row>
    <row r="40" hidden="1">
      <c r="A40" s="1" t="s">
        <v>343</v>
      </c>
      <c r="B40" s="45">
        <v>45785.0</v>
      </c>
      <c r="C40" s="45">
        <v>45786.0</v>
      </c>
      <c r="D40" s="1" t="s">
        <v>338</v>
      </c>
      <c r="E40" s="2" t="str">
        <f t="shared" ref="E40:E41" si="6">"INSERT INTO tblHoliday (holiday, name) VALUES (TO_DATE('" &amp; TEXT(B40,"yyyy-mm-dd") &amp; "', 'YYYY-MM-DD'), '" &amp; A40 &amp; "');"
</f>
        <v>INSERT INTO tblHoliday (holiday, name) VALUES (TO_DATE('2025-05-08', 'YYYY-MM-DD'), '어버이날');</v>
      </c>
    </row>
    <row r="41" hidden="1">
      <c r="A41" s="1" t="s">
        <v>345</v>
      </c>
      <c r="B41" s="45">
        <v>45792.0</v>
      </c>
      <c r="C41" s="45">
        <v>45793.0</v>
      </c>
      <c r="D41" s="1" t="s">
        <v>338</v>
      </c>
      <c r="E41" s="2" t="str">
        <f t="shared" si="6"/>
        <v>INSERT INTO tblHoliday (holiday, name) VALUES (TO_DATE('2025-05-15', 'YYYY-MM-DD'), '스승의날');</v>
      </c>
    </row>
    <row r="42">
      <c r="A42" s="1" t="s">
        <v>358</v>
      </c>
      <c r="B42" s="45">
        <v>45811.0</v>
      </c>
      <c r="C42" s="45">
        <v>45812.0</v>
      </c>
      <c r="D42" s="1" t="s">
        <v>333</v>
      </c>
      <c r="E42" s="2" t="str">
        <f t="shared" ref="E42:E43" si="7">"INSERT INTO tblHoliday VALUES (seqHoliday.NEXTVAL, TO_DATE('" &amp; TEXT(B42,"yyyy-mm-dd") &amp; "', 'YYYY-MM-DD'), '" &amp; A42 &amp; "');"</f>
        <v>INSERT INTO tblHoliday VALUES (seqHoliday.NEXTVAL, TO_DATE('2025-06-03', 'YYYY-MM-DD'), '대통령 선거');</v>
      </c>
    </row>
    <row r="43">
      <c r="A43" s="1" t="s">
        <v>346</v>
      </c>
      <c r="B43" s="45">
        <v>45814.0</v>
      </c>
      <c r="C43" s="45">
        <v>45815.0</v>
      </c>
      <c r="D43" s="1" t="s">
        <v>333</v>
      </c>
      <c r="E43" s="2" t="str">
        <f t="shared" si="7"/>
        <v>INSERT INTO tblHoliday VALUES (seqHoliday.NEXTVAL, TO_DATE('2025-06-06', 'YYYY-MM-DD'), '현충일');</v>
      </c>
    </row>
    <row r="44" hidden="1">
      <c r="A44" s="1" t="s">
        <v>347</v>
      </c>
      <c r="B44" s="45">
        <v>45855.0</v>
      </c>
      <c r="C44" s="45">
        <v>45856.0</v>
      </c>
      <c r="D44" s="1" t="s">
        <v>338</v>
      </c>
      <c r="E44" s="2" t="str">
        <f>"INSERT INTO tblHoliday (holiday, name) VALUES (TO_DATE('" &amp; TEXT(B44,"yyyy-mm-dd") &amp; "', 'YYYY-MM-DD'), '" &amp; A44 &amp; "');"
</f>
        <v>INSERT INTO tblHoliday (holiday, name) VALUES (TO_DATE('2025-07-17', 'YYYY-MM-DD'), '제헌절');</v>
      </c>
    </row>
    <row r="45">
      <c r="A45" s="1" t="s">
        <v>348</v>
      </c>
      <c r="B45" s="45">
        <v>45884.0</v>
      </c>
      <c r="C45" s="45">
        <v>45885.0</v>
      </c>
      <c r="D45" s="1" t="s">
        <v>333</v>
      </c>
      <c r="E45" s="2" t="str">
        <f>"INSERT INTO tblHoliday VALUES (seqHoliday.NEXTVAL, TO_DATE('" &amp; TEXT(B45,"yyyy-mm-dd") &amp; "', 'YYYY-MM-DD'), '" &amp; A45 &amp; "');"</f>
        <v>INSERT INTO tblHoliday VALUES (seqHoliday.NEXTVAL, TO_DATE('2025-08-15', 'YYYY-MM-DD'), '광복절');</v>
      </c>
    </row>
    <row r="46" hidden="1">
      <c r="A46" s="1" t="s">
        <v>351</v>
      </c>
      <c r="B46" s="45">
        <v>45931.0</v>
      </c>
      <c r="C46" s="45">
        <v>45932.0</v>
      </c>
      <c r="D46" s="1" t="s">
        <v>338</v>
      </c>
      <c r="E46" s="2" t="str">
        <f>"INSERT INTO tblHoliday (holiday, name) VALUES (TO_DATE('" &amp; TEXT(B46,"yyyy-mm-dd") &amp; "', 'YYYY-MM-DD'), '" &amp; A46 &amp; "');"
</f>
        <v>INSERT INTO tblHoliday (holiday, name) VALUES (TO_DATE('2025-10-01', 'YYYY-MM-DD'), '국군의날');</v>
      </c>
    </row>
    <row r="47">
      <c r="A47" s="1" t="s">
        <v>352</v>
      </c>
      <c r="B47" s="45">
        <v>45933.0</v>
      </c>
      <c r="C47" s="45">
        <v>45934.0</v>
      </c>
      <c r="D47" s="1" t="s">
        <v>333</v>
      </c>
      <c r="E47" s="2" t="str">
        <f t="shared" ref="E47:E52" si="8">"INSERT INTO tblHoliday VALUES (seqHoliday.NEXTVAL, TO_DATE('" &amp; TEXT(B47,"yyyy-mm-dd") &amp; "', 'YYYY-MM-DD'), '" &amp; A47 &amp; "');"</f>
        <v>INSERT INTO tblHoliday VALUES (seqHoliday.NEXTVAL, TO_DATE('2025-10-03', 'YYYY-MM-DD'), '개천절');</v>
      </c>
    </row>
    <row r="48">
      <c r="A48" s="1" t="s">
        <v>350</v>
      </c>
      <c r="B48" s="45">
        <v>45935.0</v>
      </c>
      <c r="C48" s="45">
        <v>45936.0</v>
      </c>
      <c r="D48" s="1" t="s">
        <v>333</v>
      </c>
      <c r="E48" s="2" t="str">
        <f t="shared" si="8"/>
        <v>INSERT INTO tblHoliday VALUES (seqHoliday.NEXTVAL, TO_DATE('2025-10-05', 'YYYY-MM-DD'), '추석 연휴');</v>
      </c>
    </row>
    <row r="49">
      <c r="A49" s="1" t="s">
        <v>349</v>
      </c>
      <c r="B49" s="45">
        <v>45936.0</v>
      </c>
      <c r="C49" s="45">
        <v>45937.0</v>
      </c>
      <c r="D49" s="1" t="s">
        <v>333</v>
      </c>
      <c r="E49" s="2" t="str">
        <f t="shared" si="8"/>
        <v>INSERT INTO tblHoliday VALUES (seqHoliday.NEXTVAL, TO_DATE('2025-10-06', 'YYYY-MM-DD'), '추석');</v>
      </c>
    </row>
    <row r="50">
      <c r="A50" s="1" t="s">
        <v>350</v>
      </c>
      <c r="B50" s="45">
        <v>45937.0</v>
      </c>
      <c r="C50" s="45">
        <v>45938.0</v>
      </c>
      <c r="D50" s="1" t="s">
        <v>333</v>
      </c>
      <c r="E50" s="2" t="str">
        <f t="shared" si="8"/>
        <v>INSERT INTO tblHoliday VALUES (seqHoliday.NEXTVAL, TO_DATE('2025-10-07', 'YYYY-MM-DD'), '추석 연휴');</v>
      </c>
    </row>
    <row r="51">
      <c r="A51" s="1" t="s">
        <v>359</v>
      </c>
      <c r="B51" s="45">
        <v>45938.0</v>
      </c>
      <c r="C51" s="45">
        <v>45939.0</v>
      </c>
      <c r="D51" s="1" t="s">
        <v>333</v>
      </c>
      <c r="E51" s="2" t="str">
        <f t="shared" si="8"/>
        <v>INSERT INTO tblHoliday VALUES (seqHoliday.NEXTVAL, TO_DATE('2025-10-08', 'YYYY-MM-DD'), '쉬는 날 추석 연휴');</v>
      </c>
    </row>
    <row r="52">
      <c r="A52" s="1" t="s">
        <v>353</v>
      </c>
      <c r="B52" s="45">
        <v>45939.0</v>
      </c>
      <c r="C52" s="45">
        <v>45940.0</v>
      </c>
      <c r="D52" s="1" t="s">
        <v>333</v>
      </c>
      <c r="E52" s="2" t="str">
        <f t="shared" si="8"/>
        <v>INSERT INTO tblHoliday VALUES (seqHoliday.NEXTVAL, TO_DATE('2025-10-09', 'YYYY-MM-DD'), '한글날');</v>
      </c>
    </row>
    <row r="53" hidden="1">
      <c r="A53" s="1" t="s">
        <v>354</v>
      </c>
      <c r="B53" s="45">
        <v>46015.0</v>
      </c>
      <c r="C53" s="45">
        <v>46016.0</v>
      </c>
      <c r="D53" s="1" t="s">
        <v>338</v>
      </c>
      <c r="E53" s="2" t="str">
        <f>"INSERT INTO tblHoliday (holiday, name) VALUES (TO_DATE('" &amp; TEXT(B53,"yyyy-mm-dd") &amp; "', 'YYYY-MM-DD'), '" &amp; A53 &amp; "');"
</f>
        <v>INSERT INTO tblHoliday (holiday, name) VALUES (TO_DATE('2025-12-24', 'YYYY-MM-DD'), '크리스마스 이브');</v>
      </c>
    </row>
    <row r="54">
      <c r="A54" s="1" t="s">
        <v>355</v>
      </c>
      <c r="B54" s="45">
        <v>46016.0</v>
      </c>
      <c r="C54" s="45">
        <v>46017.0</v>
      </c>
      <c r="D54" s="1" t="s">
        <v>333</v>
      </c>
      <c r="E54" s="2" t="str">
        <f>"INSERT INTO tblHoliday VALUES (seqHoliday.NEXTVAL, TO_DATE('" &amp; TEXT(B54,"yyyy-mm-dd") &amp; "', 'YYYY-MM-DD'), '" &amp; A54 &amp; "');"</f>
        <v>INSERT INTO tblHoliday VALUES (seqHoliday.NEXTVAL, TO_DATE('2025-12-25', 'YYYY-MM-DD'), '크리스마스');</v>
      </c>
    </row>
    <row r="55" hidden="1">
      <c r="A55" s="1" t="s">
        <v>356</v>
      </c>
      <c r="B55" s="45">
        <v>46022.0</v>
      </c>
      <c r="C55" s="45">
        <v>46023.0</v>
      </c>
      <c r="D55" s="1" t="s">
        <v>338</v>
      </c>
      <c r="E55" s="2" t="str">
        <f>"INSERT INTO tblHoliday (holiday, name) VALUES (TO_DATE('" &amp; TEXT(B55,"yyyy-mm-dd") &amp; "', 'YYYY-MM-DD'), '" &amp; A55 &amp; "');"
</f>
        <v>INSERT INTO tblHoliday (holiday, name) VALUES (TO_DATE('2025-12-31', 'YYYY-MM-DD'), '섣달 그믐날');</v>
      </c>
    </row>
    <row r="56">
      <c r="A56" s="1" t="s">
        <v>332</v>
      </c>
      <c r="B56" s="45">
        <v>46023.0</v>
      </c>
      <c r="C56" s="45">
        <v>46024.0</v>
      </c>
      <c r="D56" s="1" t="s">
        <v>333</v>
      </c>
      <c r="E56" s="2" t="str">
        <f t="shared" ref="E56:E61" si="9">"INSERT INTO tblHoliday VALUES (seqHoliday.NEXTVAL, TO_DATE('" &amp; TEXT(B56,"yyyy-mm-dd") &amp; "', 'YYYY-MM-DD'), '" &amp; A56 &amp; "');"</f>
        <v>INSERT INTO tblHoliday VALUES (seqHoliday.NEXTVAL, TO_DATE('2026-01-01', 'YYYY-MM-DD'), '새해첫날');</v>
      </c>
    </row>
    <row r="57">
      <c r="A57" s="1" t="s">
        <v>334</v>
      </c>
      <c r="B57" s="45">
        <v>46069.0</v>
      </c>
      <c r="C57" s="45">
        <v>46070.0</v>
      </c>
      <c r="D57" s="1" t="s">
        <v>333</v>
      </c>
      <c r="E57" s="2" t="str">
        <f t="shared" si="9"/>
        <v>INSERT INTO tblHoliday VALUES (seqHoliday.NEXTVAL, TO_DATE('2026-02-16', 'YYYY-MM-DD'), '설날 연휴');</v>
      </c>
    </row>
    <row r="58">
      <c r="A58" s="1" t="s">
        <v>335</v>
      </c>
      <c r="B58" s="45">
        <v>46070.0</v>
      </c>
      <c r="C58" s="45">
        <v>46071.0</v>
      </c>
      <c r="D58" s="1" t="s">
        <v>333</v>
      </c>
      <c r="E58" s="2" t="str">
        <f t="shared" si="9"/>
        <v>INSERT INTO tblHoliday VALUES (seqHoliday.NEXTVAL, TO_DATE('2026-02-17', 'YYYY-MM-DD'), '설날');</v>
      </c>
    </row>
    <row r="59">
      <c r="A59" s="1" t="s">
        <v>334</v>
      </c>
      <c r="B59" s="45">
        <v>46071.0</v>
      </c>
      <c r="C59" s="45">
        <v>46072.0</v>
      </c>
      <c r="D59" s="1" t="s">
        <v>333</v>
      </c>
      <c r="E59" s="2" t="str">
        <f t="shared" si="9"/>
        <v>INSERT INTO tblHoliday VALUES (seqHoliday.NEXTVAL, TO_DATE('2026-02-18', 'YYYY-MM-DD'), '설날 연휴');</v>
      </c>
    </row>
    <row r="60">
      <c r="A60" s="1" t="s">
        <v>336</v>
      </c>
      <c r="B60" s="45">
        <v>46082.0</v>
      </c>
      <c r="C60" s="45">
        <v>46083.0</v>
      </c>
      <c r="D60" s="1" t="s">
        <v>333</v>
      </c>
      <c r="E60" s="2" t="str">
        <f t="shared" si="9"/>
        <v>INSERT INTO tblHoliday VALUES (seqHoliday.NEXTVAL, TO_DATE('2026-03-01', 'YYYY-MM-DD'), '삼일절');</v>
      </c>
    </row>
    <row r="61">
      <c r="A61" s="1" t="s">
        <v>357</v>
      </c>
      <c r="B61" s="45">
        <v>46083.0</v>
      </c>
      <c r="C61" s="45">
        <v>46084.0</v>
      </c>
      <c r="D61" s="1" t="s">
        <v>333</v>
      </c>
      <c r="E61" s="2" t="str">
        <f t="shared" si="9"/>
        <v>INSERT INTO tblHoliday VALUES (seqHoliday.NEXTVAL, TO_DATE('2026-03-02', 'YYYY-MM-DD'), '쉬는 날 삼일절');</v>
      </c>
    </row>
    <row r="62" hidden="1">
      <c r="A62" s="1" t="s">
        <v>337</v>
      </c>
      <c r="B62" s="45">
        <v>46117.0</v>
      </c>
      <c r="C62" s="45">
        <v>46118.0</v>
      </c>
      <c r="D62" s="1" t="s">
        <v>338</v>
      </c>
      <c r="E62" s="2" t="str">
        <f>"INSERT INTO tblHoliday (holiday, name) VALUES (TO_DATE('" &amp; TEXT(B62,"yyyy-mm-dd") &amp; "', 'YYYY-MM-DD'), '" &amp; A62 &amp; "');"
</f>
        <v>INSERT INTO tblHoliday (holiday, name) VALUES (TO_DATE('2026-04-05', 'YYYY-MM-DD'), '식목일');</v>
      </c>
    </row>
    <row r="63">
      <c r="A63" s="1" t="s">
        <v>340</v>
      </c>
      <c r="B63" s="45">
        <v>46143.0</v>
      </c>
      <c r="C63" s="45">
        <v>46144.0</v>
      </c>
      <c r="D63" s="1" t="s">
        <v>333</v>
      </c>
      <c r="E63" s="2" t="str">
        <f t="shared" ref="E63:E64" si="10">"INSERT INTO tblHoliday VALUES (seqHoliday.NEXTVAL, TO_DATE('" &amp; TEXT(B63,"yyyy-mm-dd") &amp; "', 'YYYY-MM-DD'), '" &amp; A63 &amp; "');"</f>
        <v>INSERT INTO tblHoliday VALUES (seqHoliday.NEXTVAL, TO_DATE('2026-05-01', 'YYYY-MM-DD'), '노동절');</v>
      </c>
    </row>
    <row r="64">
      <c r="A64" s="1" t="s">
        <v>341</v>
      </c>
      <c r="B64" s="45">
        <v>46147.0</v>
      </c>
      <c r="C64" s="45">
        <v>46148.0</v>
      </c>
      <c r="D64" s="1" t="s">
        <v>333</v>
      </c>
      <c r="E64" s="2" t="str">
        <f t="shared" si="10"/>
        <v>INSERT INTO tblHoliday VALUES (seqHoliday.NEXTVAL, TO_DATE('2026-05-05', 'YYYY-MM-DD'), '어린이날');</v>
      </c>
    </row>
    <row r="65" hidden="1">
      <c r="A65" s="1" t="s">
        <v>343</v>
      </c>
      <c r="B65" s="45">
        <v>46150.0</v>
      </c>
      <c r="C65" s="45">
        <v>46151.0</v>
      </c>
      <c r="D65" s="1" t="s">
        <v>338</v>
      </c>
      <c r="E65" s="2" t="str">
        <f t="shared" ref="E65:E66" si="11">"INSERT INTO tblHoliday (holiday, name) VALUES (TO_DATE('" &amp; TEXT(B65,"yyyy-mm-dd") &amp; "', 'YYYY-MM-DD'), '" &amp; A65 &amp; "');"
</f>
        <v>INSERT INTO tblHoliday (holiday, name) VALUES (TO_DATE('2026-05-08', 'YYYY-MM-DD'), '어버이날');</v>
      </c>
    </row>
    <row r="66" hidden="1">
      <c r="A66" s="1" t="s">
        <v>345</v>
      </c>
      <c r="B66" s="45">
        <v>46157.0</v>
      </c>
      <c r="C66" s="45">
        <v>46158.0</v>
      </c>
      <c r="D66" s="1" t="s">
        <v>338</v>
      </c>
      <c r="E66" s="2" t="str">
        <f t="shared" si="11"/>
        <v>INSERT INTO tblHoliday (holiday, name) VALUES (TO_DATE('2026-05-15', 'YYYY-MM-DD'), '스승의날');</v>
      </c>
    </row>
    <row r="67">
      <c r="A67" s="1" t="s">
        <v>344</v>
      </c>
      <c r="B67" s="45">
        <v>46166.0</v>
      </c>
      <c r="C67" s="45">
        <v>46167.0</v>
      </c>
      <c r="D67" s="1" t="s">
        <v>333</v>
      </c>
      <c r="E67" s="2" t="str">
        <f t="shared" ref="E67:E70" si="12">"INSERT INTO tblHoliday VALUES (seqHoliday.NEXTVAL, TO_DATE('" &amp; TEXT(B67,"yyyy-mm-dd") &amp; "', 'YYYY-MM-DD'), '" &amp; A67 &amp; "');"</f>
        <v>INSERT INTO tblHoliday VALUES (seqHoliday.NEXTVAL, TO_DATE('2026-05-24', 'YYYY-MM-DD'), '부처님오신날');</v>
      </c>
    </row>
    <row r="68">
      <c r="A68" s="1" t="s">
        <v>360</v>
      </c>
      <c r="B68" s="45">
        <v>46167.0</v>
      </c>
      <c r="C68" s="45">
        <v>46168.0</v>
      </c>
      <c r="D68" s="1" t="s">
        <v>333</v>
      </c>
      <c r="E68" s="2" t="str">
        <f t="shared" si="12"/>
        <v>INSERT INTO tblHoliday VALUES (seqHoliday.NEXTVAL, TO_DATE('2026-05-25', 'YYYY-MM-DD'), '부처님오신날 연휴');</v>
      </c>
    </row>
    <row r="69">
      <c r="A69" s="1" t="s">
        <v>361</v>
      </c>
      <c r="B69" s="45">
        <v>46176.0</v>
      </c>
      <c r="C69" s="45">
        <v>46177.0</v>
      </c>
      <c r="D69" s="1" t="s">
        <v>333</v>
      </c>
      <c r="E69" s="2" t="str">
        <f t="shared" si="12"/>
        <v>INSERT INTO tblHoliday VALUES (seqHoliday.NEXTVAL, TO_DATE('2026-06-03', 'YYYY-MM-DD'), '지방선거일');</v>
      </c>
    </row>
    <row r="70">
      <c r="A70" s="1" t="s">
        <v>346</v>
      </c>
      <c r="B70" s="45">
        <v>46179.0</v>
      </c>
      <c r="C70" s="45">
        <v>46180.0</v>
      </c>
      <c r="D70" s="1" t="s">
        <v>333</v>
      </c>
      <c r="E70" s="2" t="str">
        <f t="shared" si="12"/>
        <v>INSERT INTO tblHoliday VALUES (seqHoliday.NEXTVAL, TO_DATE('2026-06-06', 'YYYY-MM-DD'), '현충일');</v>
      </c>
    </row>
    <row r="71" hidden="1">
      <c r="A71" s="1" t="s">
        <v>347</v>
      </c>
      <c r="B71" s="45">
        <v>46220.0</v>
      </c>
      <c r="C71" s="45">
        <v>46221.0</v>
      </c>
      <c r="D71" s="1" t="s">
        <v>338</v>
      </c>
      <c r="E71" s="2" t="str">
        <f>"INSERT INTO tblHoliday (holiday, name) VALUES (TO_DATE('" &amp; TEXT(B71,"yyyy-mm-dd") &amp; "', 'YYYY-MM-DD'), '" &amp; A71 &amp; "');"
</f>
        <v>INSERT INTO tblHoliday (holiday, name) VALUES (TO_DATE('2026-07-17', 'YYYY-MM-DD'), '제헌절');</v>
      </c>
    </row>
    <row r="72">
      <c r="A72" s="1" t="s">
        <v>348</v>
      </c>
      <c r="B72" s="45">
        <v>46249.0</v>
      </c>
      <c r="C72" s="45">
        <v>46250.0</v>
      </c>
      <c r="D72" s="1" t="s">
        <v>333</v>
      </c>
      <c r="E72" s="2" t="str">
        <f t="shared" ref="E72:E76" si="13">"INSERT INTO tblHoliday VALUES (seqHoliday.NEXTVAL, TO_DATE('" &amp; TEXT(B72,"yyyy-mm-dd") &amp; "', 'YYYY-MM-DD'), '" &amp; A72 &amp; "');"</f>
        <v>INSERT INTO tblHoliday VALUES (seqHoliday.NEXTVAL, TO_DATE('2026-08-15', 'YYYY-MM-DD'), '광복절');</v>
      </c>
    </row>
    <row r="73">
      <c r="A73" s="1" t="s">
        <v>362</v>
      </c>
      <c r="B73" s="45">
        <v>46251.0</v>
      </c>
      <c r="C73" s="45">
        <v>46252.0</v>
      </c>
      <c r="D73" s="1" t="s">
        <v>333</v>
      </c>
      <c r="E73" s="2" t="str">
        <f t="shared" si="13"/>
        <v>INSERT INTO tblHoliday VALUES (seqHoliday.NEXTVAL, TO_DATE('2026-08-17', 'YYYY-MM-DD'), '쉬는 날 광복절');</v>
      </c>
    </row>
    <row r="74">
      <c r="A74" s="1" t="s">
        <v>350</v>
      </c>
      <c r="B74" s="45">
        <v>46289.0</v>
      </c>
      <c r="C74" s="45">
        <v>46290.0</v>
      </c>
      <c r="D74" s="1" t="s">
        <v>333</v>
      </c>
      <c r="E74" s="2" t="str">
        <f t="shared" si="13"/>
        <v>INSERT INTO tblHoliday VALUES (seqHoliday.NEXTVAL, TO_DATE('2026-09-24', 'YYYY-MM-DD'), '추석 연휴');</v>
      </c>
    </row>
    <row r="75">
      <c r="A75" s="1" t="s">
        <v>349</v>
      </c>
      <c r="B75" s="45">
        <v>46290.0</v>
      </c>
      <c r="C75" s="45">
        <v>46291.0</v>
      </c>
      <c r="D75" s="1" t="s">
        <v>333</v>
      </c>
      <c r="E75" s="2" t="str">
        <f t="shared" si="13"/>
        <v>INSERT INTO tblHoliday VALUES (seqHoliday.NEXTVAL, TO_DATE('2026-09-25', 'YYYY-MM-DD'), '추석');</v>
      </c>
    </row>
    <row r="76">
      <c r="A76" s="1" t="s">
        <v>350</v>
      </c>
      <c r="B76" s="45">
        <v>46291.0</v>
      </c>
      <c r="C76" s="45">
        <v>46292.0</v>
      </c>
      <c r="D76" s="1" t="s">
        <v>333</v>
      </c>
      <c r="E76" s="2" t="str">
        <f t="shared" si="13"/>
        <v>INSERT INTO tblHoliday VALUES (seqHoliday.NEXTVAL, TO_DATE('2026-09-26', 'YYYY-MM-DD'), '추석 연휴');</v>
      </c>
    </row>
    <row r="77" hidden="1">
      <c r="A77" s="1" t="s">
        <v>351</v>
      </c>
      <c r="B77" s="45">
        <v>46296.0</v>
      </c>
      <c r="C77" s="45">
        <v>46297.0</v>
      </c>
      <c r="D77" s="1" t="s">
        <v>338</v>
      </c>
      <c r="E77" s="2" t="str">
        <f>"INSERT INTO tblHoliday (holiday, name) VALUES (TO_DATE('" &amp; TEXT(B77,"yyyy-mm-dd") &amp; "', 'YYYY-MM-DD'), '" &amp; A77 &amp; "');"
</f>
        <v>INSERT INTO tblHoliday (holiday, name) VALUES (TO_DATE('2026-10-01', 'YYYY-MM-DD'), '국군의날');</v>
      </c>
    </row>
    <row r="78">
      <c r="A78" s="1" t="s">
        <v>352</v>
      </c>
      <c r="B78" s="45">
        <v>46298.0</v>
      </c>
      <c r="C78" s="45">
        <v>46299.0</v>
      </c>
      <c r="D78" s="1" t="s">
        <v>333</v>
      </c>
      <c r="E78" s="2" t="str">
        <f t="shared" ref="E78:E80" si="14">"INSERT INTO tblHoliday VALUES (seqHoliday.NEXTVAL, TO_DATE('" &amp; TEXT(B78,"yyyy-mm-dd") &amp; "', 'YYYY-MM-DD'), '" &amp; A78 &amp; "');"</f>
        <v>INSERT INTO tblHoliday VALUES (seqHoliday.NEXTVAL, TO_DATE('2026-10-03', 'YYYY-MM-DD'), '개천절');</v>
      </c>
    </row>
    <row r="79">
      <c r="A79" s="1" t="s">
        <v>363</v>
      </c>
      <c r="B79" s="45">
        <v>46300.0</v>
      </c>
      <c r="C79" s="45">
        <v>46301.0</v>
      </c>
      <c r="D79" s="1" t="s">
        <v>333</v>
      </c>
      <c r="E79" s="2" t="str">
        <f t="shared" si="14"/>
        <v>INSERT INTO tblHoliday VALUES (seqHoliday.NEXTVAL, TO_DATE('2026-10-05', 'YYYY-MM-DD'), '쉬는 날 개천절');</v>
      </c>
    </row>
    <row r="80">
      <c r="A80" s="1" t="s">
        <v>353</v>
      </c>
      <c r="B80" s="45">
        <v>46304.0</v>
      </c>
      <c r="C80" s="45">
        <v>46305.0</v>
      </c>
      <c r="D80" s="1" t="s">
        <v>333</v>
      </c>
      <c r="E80" s="2" t="str">
        <f t="shared" si="14"/>
        <v>INSERT INTO tblHoliday VALUES (seqHoliday.NEXTVAL, TO_DATE('2026-10-09', 'YYYY-MM-DD'), '한글날');</v>
      </c>
    </row>
    <row r="81" hidden="1">
      <c r="A81" s="1" t="s">
        <v>354</v>
      </c>
      <c r="B81" s="45">
        <v>46380.0</v>
      </c>
      <c r="C81" s="45">
        <v>46381.0</v>
      </c>
      <c r="D81" s="1" t="s">
        <v>338</v>
      </c>
      <c r="E81" s="2" t="str">
        <f>"INSERT INTO tblHoliday (holiday, name) VALUES (TO_DATE('" &amp; TEXT(B81,"yyyy-mm-dd") &amp; "', 'YYYY-MM-DD'), '" &amp; A81 &amp; "');"
</f>
        <v>INSERT INTO tblHoliday (holiday, name) VALUES (TO_DATE('2026-12-24', 'YYYY-MM-DD'), '크리스마스 이브');</v>
      </c>
    </row>
    <row r="82">
      <c r="A82" s="1" t="s">
        <v>355</v>
      </c>
      <c r="B82" s="45">
        <v>46381.0</v>
      </c>
      <c r="C82" s="45">
        <v>46382.0</v>
      </c>
      <c r="D82" s="1" t="s">
        <v>333</v>
      </c>
      <c r="E82" s="2" t="str">
        <f>"INSERT INTO tblHoliday VALUES (seqHoliday.NEXTVAL, TO_DATE('" &amp; TEXT(B82,"yyyy-mm-dd") &amp; "', 'YYYY-MM-DD'), '" &amp; A82 &amp; "');"</f>
        <v>INSERT INTO tblHoliday VALUES (seqHoliday.NEXTVAL, TO_DATE('2026-12-25', 'YYYY-MM-DD'), '크리스마스');</v>
      </c>
    </row>
    <row r="83" hidden="1">
      <c r="A83" s="1" t="s">
        <v>356</v>
      </c>
      <c r="B83" s="45">
        <v>46387.0</v>
      </c>
      <c r="C83" s="45">
        <v>46388.0</v>
      </c>
      <c r="D83" s="1" t="s">
        <v>338</v>
      </c>
      <c r="E83" s="2" t="str">
        <f>"INSERT INTO tblHoliday (holiday, name) VALUES (TO_DATE('" &amp; TEXT(B83,"yyyy-mm-dd") &amp; "', 'YYYY-MM-DD'), '" &amp; A83 &amp; "');"
</f>
        <v>INSERT INTO tblHoliday (holiday, name) VALUES (TO_DATE('2026-12-31', 'YYYY-MM-DD'), '섣달 그믐날');</v>
      </c>
    </row>
    <row r="84">
      <c r="A84" s="1" t="s">
        <v>332</v>
      </c>
      <c r="B84" s="45">
        <v>46388.0</v>
      </c>
      <c r="C84" s="45">
        <v>46389.0</v>
      </c>
      <c r="D84" s="1" t="s">
        <v>333</v>
      </c>
      <c r="E84" s="2" t="str">
        <f t="shared" ref="E84:E87" si="15">"INSERT INTO tblHoliday VALUES (seqHoliday.NEXTVAL, TO_DATE('" &amp; TEXT(B84,"yyyy-mm-dd") &amp; "', 'YYYY-MM-DD'), '" &amp; A84 &amp; "');"</f>
        <v>INSERT INTO tblHoliday VALUES (seqHoliday.NEXTVAL, TO_DATE('2027-01-01', 'YYYY-MM-DD'), '새해첫날');</v>
      </c>
    </row>
    <row r="85">
      <c r="A85" s="1" t="s">
        <v>335</v>
      </c>
      <c r="B85" s="45">
        <v>46424.0</v>
      </c>
      <c r="C85" s="45">
        <v>46425.0</v>
      </c>
      <c r="D85" s="1" t="s">
        <v>333</v>
      </c>
      <c r="E85" s="2" t="str">
        <f t="shared" si="15"/>
        <v>INSERT INTO tblHoliday VALUES (seqHoliday.NEXTVAL, TO_DATE('2027-02-06', 'YYYY-MM-DD'), '설날');</v>
      </c>
    </row>
    <row r="86">
      <c r="A86" s="1" t="s">
        <v>334</v>
      </c>
      <c r="B86" s="45">
        <v>46426.0</v>
      </c>
      <c r="C86" s="45">
        <v>46427.0</v>
      </c>
      <c r="D86" s="1" t="s">
        <v>333</v>
      </c>
      <c r="E86" s="2" t="str">
        <f t="shared" si="15"/>
        <v>INSERT INTO tblHoliday VALUES (seqHoliday.NEXTVAL, TO_DATE('2027-02-08', 'YYYY-MM-DD'), '설날 연휴');</v>
      </c>
    </row>
    <row r="87">
      <c r="A87" s="1" t="s">
        <v>336</v>
      </c>
      <c r="B87" s="45">
        <v>46447.0</v>
      </c>
      <c r="C87" s="45">
        <v>46448.0</v>
      </c>
      <c r="D87" s="1" t="s">
        <v>333</v>
      </c>
      <c r="E87" s="2" t="str">
        <f t="shared" si="15"/>
        <v>INSERT INTO tblHoliday VALUES (seqHoliday.NEXTVAL, TO_DATE('2027-03-01', 'YYYY-MM-DD'), '삼일절');</v>
      </c>
    </row>
    <row r="88" hidden="1">
      <c r="A88" s="1" t="s">
        <v>337</v>
      </c>
      <c r="B88" s="45">
        <v>46482.0</v>
      </c>
      <c r="C88" s="45">
        <v>46483.0</v>
      </c>
      <c r="D88" s="1" t="s">
        <v>338</v>
      </c>
      <c r="E88" s="2" t="str">
        <f>"INSERT INTO tblHoliday (holiday, name) VALUES (TO_DATE('" &amp; TEXT(B88,"yyyy-mm-dd") &amp; "', 'YYYY-MM-DD'), '" &amp; A88 &amp; "');"
</f>
        <v>INSERT INTO tblHoliday (holiday, name) VALUES (TO_DATE('2027-04-05', 'YYYY-MM-DD'), '식목일');</v>
      </c>
    </row>
    <row r="89">
      <c r="A89" s="1" t="s">
        <v>340</v>
      </c>
      <c r="B89" s="45">
        <v>46508.0</v>
      </c>
      <c r="C89" s="45">
        <v>46509.0</v>
      </c>
      <c r="D89" s="1" t="s">
        <v>333</v>
      </c>
      <c r="E89" s="2" t="str">
        <f t="shared" ref="E89:E90" si="16">"INSERT INTO tblHoliday VALUES (seqHoliday.NEXTVAL, TO_DATE('" &amp; TEXT(B89,"yyyy-mm-dd") &amp; "', 'YYYY-MM-DD'), '" &amp; A89 &amp; "');"</f>
        <v>INSERT INTO tblHoliday VALUES (seqHoliday.NEXTVAL, TO_DATE('2027-05-01', 'YYYY-MM-DD'), '노동절');</v>
      </c>
    </row>
    <row r="90">
      <c r="A90" s="1" t="s">
        <v>341</v>
      </c>
      <c r="B90" s="45">
        <v>46512.0</v>
      </c>
      <c r="C90" s="45">
        <v>46513.0</v>
      </c>
      <c r="D90" s="1" t="s">
        <v>333</v>
      </c>
      <c r="E90" s="2" t="str">
        <f t="shared" si="16"/>
        <v>INSERT INTO tblHoliday VALUES (seqHoliday.NEXTVAL, TO_DATE('2027-05-05', 'YYYY-MM-DD'), '어린이날');</v>
      </c>
    </row>
    <row r="91" hidden="1">
      <c r="A91" s="1" t="s">
        <v>343</v>
      </c>
      <c r="B91" s="45">
        <v>46515.0</v>
      </c>
      <c r="C91" s="45">
        <v>46516.0</v>
      </c>
      <c r="D91" s="1" t="s">
        <v>338</v>
      </c>
      <c r="E91" s="2" t="str">
        <f>"INSERT INTO tblHoliday (holiday, name) VALUES (TO_DATE('" &amp; TEXT(B91,"yyyy-mm-dd") &amp; "', 'YYYY-MM-DD'), '" &amp; A91 &amp; "');"
</f>
        <v>INSERT INTO tblHoliday (holiday, name) VALUES (TO_DATE('2027-05-08', 'YYYY-MM-DD'), '어버이날');</v>
      </c>
    </row>
    <row r="92">
      <c r="A92" s="1" t="s">
        <v>344</v>
      </c>
      <c r="B92" s="45">
        <v>46520.0</v>
      </c>
      <c r="C92" s="45">
        <v>46521.0</v>
      </c>
      <c r="D92" s="1" t="s">
        <v>333</v>
      </c>
      <c r="E92" s="2" t="str">
        <f>"INSERT INTO tblHoliday VALUES (seqHoliday.NEXTVAL, TO_DATE('" &amp; TEXT(B92,"yyyy-mm-dd") &amp; "', 'YYYY-MM-DD'), '" &amp; A92 &amp; "');"</f>
        <v>INSERT INTO tblHoliday VALUES (seqHoliday.NEXTVAL, TO_DATE('2027-05-13', 'YYYY-MM-DD'), '부처님오신날');</v>
      </c>
    </row>
    <row r="93" hidden="1">
      <c r="A93" s="1" t="s">
        <v>345</v>
      </c>
      <c r="B93" s="45">
        <v>46522.0</v>
      </c>
      <c r="C93" s="45">
        <v>46523.0</v>
      </c>
      <c r="D93" s="1" t="s">
        <v>338</v>
      </c>
      <c r="E93" s="2" t="str">
        <f>"INSERT INTO tblHoliday (holiday, name) VALUES (TO_DATE('" &amp; TEXT(B93,"yyyy-mm-dd") &amp; "', 'YYYY-MM-DD'), '" &amp; A93 &amp; "');"
</f>
        <v>INSERT INTO tblHoliday (holiday, name) VALUES (TO_DATE('2027-05-15', 'YYYY-MM-DD'), '스승의날');</v>
      </c>
    </row>
    <row r="94">
      <c r="A94" s="1" t="s">
        <v>346</v>
      </c>
      <c r="B94" s="45">
        <v>46544.0</v>
      </c>
      <c r="C94" s="45">
        <v>46545.0</v>
      </c>
      <c r="D94" s="1" t="s">
        <v>333</v>
      </c>
      <c r="E94" s="2" t="str">
        <f>"INSERT INTO tblHoliday VALUES (seqHoliday.NEXTVAL, TO_DATE('" &amp; TEXT(B94,"yyyy-mm-dd") &amp; "', 'YYYY-MM-DD'), '" &amp; A94 &amp; "');"</f>
        <v>INSERT INTO tblHoliday VALUES (seqHoliday.NEXTVAL, TO_DATE('2027-06-06', 'YYYY-MM-DD'), '현충일');</v>
      </c>
    </row>
    <row r="95" hidden="1">
      <c r="A95" s="1" t="s">
        <v>347</v>
      </c>
      <c r="B95" s="45">
        <v>46585.0</v>
      </c>
      <c r="C95" s="45">
        <v>46586.0</v>
      </c>
      <c r="D95" s="1" t="s">
        <v>338</v>
      </c>
      <c r="E95" s="2" t="str">
        <f>"INSERT INTO tblHoliday (holiday, name) VALUES (TO_DATE('" &amp; TEXT(B95,"yyyy-mm-dd") &amp; "', 'YYYY-MM-DD'), '" &amp; A95 &amp; "');"
</f>
        <v>INSERT INTO tblHoliday (holiday, name) VALUES (TO_DATE('2027-07-17', 'YYYY-MM-DD'), '제헌절');</v>
      </c>
    </row>
    <row r="96">
      <c r="A96" s="1" t="s">
        <v>348</v>
      </c>
      <c r="B96" s="45">
        <v>46614.0</v>
      </c>
      <c r="C96" s="45">
        <v>46615.0</v>
      </c>
      <c r="D96" s="1" t="s">
        <v>333</v>
      </c>
      <c r="E96" s="2" t="str">
        <f t="shared" ref="E96:E99" si="17">"INSERT INTO tblHoliday VALUES (seqHoliday.NEXTVAL, TO_DATE('" &amp; TEXT(B96,"yyyy-mm-dd") &amp; "', 'YYYY-MM-DD'), '" &amp; A96 &amp; "');"</f>
        <v>INSERT INTO tblHoliday VALUES (seqHoliday.NEXTVAL, TO_DATE('2027-08-15', 'YYYY-MM-DD'), '광복절');</v>
      </c>
    </row>
    <row r="97">
      <c r="A97" s="1" t="s">
        <v>350</v>
      </c>
      <c r="B97" s="45">
        <v>46644.0</v>
      </c>
      <c r="C97" s="45">
        <v>46645.0</v>
      </c>
      <c r="D97" s="1" t="s">
        <v>333</v>
      </c>
      <c r="E97" s="2" t="str">
        <f t="shared" si="17"/>
        <v>INSERT INTO tblHoliday VALUES (seqHoliday.NEXTVAL, TO_DATE('2027-09-14', 'YYYY-MM-DD'), '추석 연휴');</v>
      </c>
    </row>
    <row r="98">
      <c r="A98" s="1" t="s">
        <v>349</v>
      </c>
      <c r="B98" s="45">
        <v>46645.0</v>
      </c>
      <c r="C98" s="45">
        <v>46646.0</v>
      </c>
      <c r="D98" s="1" t="s">
        <v>333</v>
      </c>
      <c r="E98" s="2" t="str">
        <f t="shared" si="17"/>
        <v>INSERT INTO tblHoliday VALUES (seqHoliday.NEXTVAL, TO_DATE('2027-09-15', 'YYYY-MM-DD'), '추석');</v>
      </c>
    </row>
    <row r="99">
      <c r="A99" s="1" t="s">
        <v>350</v>
      </c>
      <c r="B99" s="45">
        <v>46646.0</v>
      </c>
      <c r="C99" s="45">
        <v>46647.0</v>
      </c>
      <c r="D99" s="1" t="s">
        <v>333</v>
      </c>
      <c r="E99" s="2" t="str">
        <f t="shared" si="17"/>
        <v>INSERT INTO tblHoliday VALUES (seqHoliday.NEXTVAL, TO_DATE('2027-09-16', 'YYYY-MM-DD'), '추석 연휴');</v>
      </c>
    </row>
    <row r="100" hidden="1">
      <c r="A100" s="1" t="s">
        <v>351</v>
      </c>
      <c r="B100" s="45">
        <v>46661.0</v>
      </c>
      <c r="C100" s="45">
        <v>46662.0</v>
      </c>
      <c r="D100" s="1" t="s">
        <v>338</v>
      </c>
      <c r="E100" s="2" t="str">
        <f>"INSERT INTO tblHoliday (holiday, name) VALUES (TO_DATE('" &amp; TEXT(B100,"yyyy-mm-dd") &amp; "', 'YYYY-MM-DD'), '" &amp; A100 &amp; "');"
</f>
        <v>INSERT INTO tblHoliday (holiday, name) VALUES (TO_DATE('2027-10-01', 'YYYY-MM-DD'), '국군의날');</v>
      </c>
    </row>
    <row r="101">
      <c r="A101" s="1" t="s">
        <v>352</v>
      </c>
      <c r="B101" s="45">
        <v>46663.0</v>
      </c>
      <c r="C101" s="45">
        <v>46664.0</v>
      </c>
      <c r="D101" s="1" t="s">
        <v>333</v>
      </c>
      <c r="E101" s="2" t="str">
        <f t="shared" ref="E101:E103" si="18">"INSERT INTO tblHoliday VALUES (seqHoliday.NEXTVAL, TO_DATE('" &amp; TEXT(B101,"yyyy-mm-dd") &amp; "', 'YYYY-MM-DD'), '" &amp; A101 &amp; "');"</f>
        <v>INSERT INTO tblHoliday VALUES (seqHoliday.NEXTVAL, TO_DATE('2027-10-03', 'YYYY-MM-DD'), '개천절');</v>
      </c>
    </row>
    <row r="102">
      <c r="A102" s="1" t="s">
        <v>353</v>
      </c>
      <c r="B102" s="45">
        <v>46669.0</v>
      </c>
      <c r="C102" s="45">
        <v>46670.0</v>
      </c>
      <c r="D102" s="1" t="s">
        <v>333</v>
      </c>
      <c r="E102" s="2" t="str">
        <f t="shared" si="18"/>
        <v>INSERT INTO tblHoliday VALUES (seqHoliday.NEXTVAL, TO_DATE('2027-10-09', 'YYYY-MM-DD'), '한글날');</v>
      </c>
    </row>
    <row r="103">
      <c r="A103" s="1" t="s">
        <v>364</v>
      </c>
      <c r="B103" s="45">
        <v>46671.0</v>
      </c>
      <c r="C103" s="45">
        <v>46672.0</v>
      </c>
      <c r="D103" s="1" t="s">
        <v>333</v>
      </c>
      <c r="E103" s="2" t="str">
        <f t="shared" si="18"/>
        <v>INSERT INTO tblHoliday VALUES (seqHoliday.NEXTVAL, TO_DATE('2027-10-11', 'YYYY-MM-DD'), '쉬는 날 한글날');</v>
      </c>
    </row>
    <row r="104" hidden="1">
      <c r="A104" s="1" t="s">
        <v>354</v>
      </c>
      <c r="B104" s="45">
        <v>46745.0</v>
      </c>
      <c r="C104" s="45">
        <v>46746.0</v>
      </c>
      <c r="D104" s="1" t="s">
        <v>338</v>
      </c>
      <c r="E104" s="2" t="str">
        <f>"INSERT INTO tblHoliday (holiday, name) VALUES (TO_DATE('" &amp; TEXT(B104,"yyyy-mm-dd") &amp; "', 'YYYY-MM-DD'), '" &amp; A104 &amp; "');"
</f>
        <v>INSERT INTO tblHoliday (holiday, name) VALUES (TO_DATE('2027-12-24', 'YYYY-MM-DD'), '크리스마스 이브');</v>
      </c>
    </row>
    <row r="105">
      <c r="A105" s="1" t="s">
        <v>355</v>
      </c>
      <c r="B105" s="45">
        <v>46746.0</v>
      </c>
      <c r="C105" s="45">
        <v>46747.0</v>
      </c>
      <c r="D105" s="1" t="s">
        <v>333</v>
      </c>
      <c r="E105" s="2" t="str">
        <f>"INSERT INTO tblHoliday VALUES (seqHoliday.NEXTVAL, TO_DATE('" &amp; TEXT(B105,"yyyy-mm-dd") &amp; "', 'YYYY-MM-DD'), '" &amp; A105 &amp; "');"</f>
        <v>INSERT INTO tblHoliday VALUES (seqHoliday.NEXTVAL, TO_DATE('2027-12-25', 'YYYY-MM-DD'), '크리스마스');</v>
      </c>
    </row>
    <row r="106" hidden="1">
      <c r="A106" s="1" t="s">
        <v>356</v>
      </c>
      <c r="B106" s="45">
        <v>46752.0</v>
      </c>
      <c r="C106" s="45">
        <v>46753.0</v>
      </c>
      <c r="D106" s="1" t="s">
        <v>338</v>
      </c>
      <c r="E106" s="2" t="str">
        <f>"INSERT INTO tblHoliday (holiday, name) VALUES (TO_DATE('" &amp; TEXT(B106,"yyyy-mm-dd") &amp; "', 'YYYY-MM-DD'), '" &amp; A106 &amp; "');"
</f>
        <v>INSERT INTO tblHoliday (holiday, name) VALUES (TO_DATE('2027-12-31', 'YYYY-MM-DD'), '섣달 그믐날');</v>
      </c>
    </row>
    <row r="107">
      <c r="A107" s="1" t="s">
        <v>332</v>
      </c>
      <c r="B107" s="45">
        <v>46753.0</v>
      </c>
      <c r="C107" s="45">
        <v>46754.0</v>
      </c>
      <c r="D107" s="1" t="s">
        <v>333</v>
      </c>
      <c r="E107" s="2" t="str">
        <f t="shared" ref="E107:E110" si="19">"INSERT INTO tblHoliday VALUES (seqHoliday.NEXTVAL, TO_DATE('" &amp; TEXT(B107,"yyyy-mm-dd") &amp; "', 'YYYY-MM-DD'), '" &amp; A107 &amp; "');"</f>
        <v>INSERT INTO tblHoliday VALUES (seqHoliday.NEXTVAL, TO_DATE('2028-01-01', 'YYYY-MM-DD'), '새해첫날');</v>
      </c>
    </row>
    <row r="108">
      <c r="A108" s="1" t="s">
        <v>335</v>
      </c>
      <c r="B108" s="45">
        <v>46778.0</v>
      </c>
      <c r="C108" s="45">
        <v>46779.0</v>
      </c>
      <c r="D108" s="1" t="s">
        <v>333</v>
      </c>
      <c r="E108" s="2" t="str">
        <f t="shared" si="19"/>
        <v>INSERT INTO tblHoliday VALUES (seqHoliday.NEXTVAL, TO_DATE('2028-01-26', 'YYYY-MM-DD'), '설날');</v>
      </c>
    </row>
    <row r="109">
      <c r="A109" s="1" t="s">
        <v>334</v>
      </c>
      <c r="B109" s="45">
        <v>46779.0</v>
      </c>
      <c r="C109" s="45">
        <v>46780.0</v>
      </c>
      <c r="D109" s="1" t="s">
        <v>333</v>
      </c>
      <c r="E109" s="2" t="str">
        <f t="shared" si="19"/>
        <v>INSERT INTO tblHoliday VALUES (seqHoliday.NEXTVAL, TO_DATE('2028-01-27', 'YYYY-MM-DD'), '설날 연휴');</v>
      </c>
    </row>
    <row r="110">
      <c r="A110" s="1" t="s">
        <v>336</v>
      </c>
      <c r="B110" s="45">
        <v>46813.0</v>
      </c>
      <c r="C110" s="45">
        <v>46814.0</v>
      </c>
      <c r="D110" s="1" t="s">
        <v>333</v>
      </c>
      <c r="E110" s="2" t="str">
        <f t="shared" si="19"/>
        <v>INSERT INTO tblHoliday VALUES (seqHoliday.NEXTVAL, TO_DATE('2028-03-01', 'YYYY-MM-DD'), '삼일절');</v>
      </c>
    </row>
    <row r="111" hidden="1">
      <c r="A111" s="1" t="s">
        <v>337</v>
      </c>
      <c r="B111" s="45">
        <v>46848.0</v>
      </c>
      <c r="C111" s="45">
        <v>46849.0</v>
      </c>
      <c r="D111" s="1" t="s">
        <v>338</v>
      </c>
      <c r="E111" s="2" t="str">
        <f>"INSERT INTO tblHoliday (holiday, name) VALUES (TO_DATE('" &amp; TEXT(B111,"yyyy-mm-dd") &amp; "', 'YYYY-MM-DD'), '" &amp; A111 &amp; "');"
</f>
        <v>INSERT INTO tblHoliday (holiday, name) VALUES (TO_DATE('2028-04-05', 'YYYY-MM-DD'), '식목일');</v>
      </c>
    </row>
    <row r="112">
      <c r="A112" s="1" t="s">
        <v>340</v>
      </c>
      <c r="B112" s="45">
        <v>46874.0</v>
      </c>
      <c r="C112" s="45">
        <v>46875.0</v>
      </c>
      <c r="D112" s="1" t="s">
        <v>333</v>
      </c>
      <c r="E112" s="2" t="str">
        <f t="shared" ref="E112:E114" si="20">"INSERT INTO tblHoliday VALUES (seqHoliday.NEXTVAL, TO_DATE('" &amp; TEXT(B112,"yyyy-mm-dd") &amp; "', 'YYYY-MM-DD'), '" &amp; A112 &amp; "');"</f>
        <v>INSERT INTO tblHoliday VALUES (seqHoliday.NEXTVAL, TO_DATE('2028-05-01', 'YYYY-MM-DD'), '노동절');</v>
      </c>
    </row>
    <row r="113">
      <c r="A113" s="1" t="s">
        <v>344</v>
      </c>
      <c r="B113" s="45">
        <v>46875.0</v>
      </c>
      <c r="C113" s="45">
        <v>46876.0</v>
      </c>
      <c r="D113" s="1" t="s">
        <v>333</v>
      </c>
      <c r="E113" s="2" t="str">
        <f t="shared" si="20"/>
        <v>INSERT INTO tblHoliday VALUES (seqHoliday.NEXTVAL, TO_DATE('2028-05-02', 'YYYY-MM-DD'), '부처님오신날');</v>
      </c>
    </row>
    <row r="114">
      <c r="A114" s="1" t="s">
        <v>341</v>
      </c>
      <c r="B114" s="45">
        <v>46878.0</v>
      </c>
      <c r="C114" s="45">
        <v>46879.0</v>
      </c>
      <c r="D114" s="1" t="s">
        <v>333</v>
      </c>
      <c r="E114" s="2" t="str">
        <f t="shared" si="20"/>
        <v>INSERT INTO tblHoliday VALUES (seqHoliday.NEXTVAL, TO_DATE('2028-05-05', 'YYYY-MM-DD'), '어린이날');</v>
      </c>
    </row>
    <row r="115" hidden="1">
      <c r="A115" s="1" t="s">
        <v>343</v>
      </c>
      <c r="B115" s="45">
        <v>46881.0</v>
      </c>
      <c r="C115" s="45">
        <v>46882.0</v>
      </c>
      <c r="D115" s="1" t="s">
        <v>338</v>
      </c>
      <c r="E115" s="2" t="str">
        <f t="shared" ref="E115:E116" si="21">"INSERT INTO tblHoliday (holiday, name) VALUES (TO_DATE('" &amp; TEXT(B115,"yyyy-mm-dd") &amp; "', 'YYYY-MM-DD'), '" &amp; A115 &amp; "');"
</f>
        <v>INSERT INTO tblHoliday (holiday, name) VALUES (TO_DATE('2028-05-08', 'YYYY-MM-DD'), '어버이날');</v>
      </c>
    </row>
    <row r="116" hidden="1">
      <c r="A116" s="1" t="s">
        <v>345</v>
      </c>
      <c r="B116" s="45">
        <v>46888.0</v>
      </c>
      <c r="C116" s="45">
        <v>46889.0</v>
      </c>
      <c r="D116" s="1" t="s">
        <v>338</v>
      </c>
      <c r="E116" s="2" t="str">
        <f t="shared" si="21"/>
        <v>INSERT INTO tblHoliday (holiday, name) VALUES (TO_DATE('2028-05-15', 'YYYY-MM-DD'), '스승의날');</v>
      </c>
    </row>
    <row r="117">
      <c r="A117" s="1" t="s">
        <v>346</v>
      </c>
      <c r="B117" s="45">
        <v>46910.0</v>
      </c>
      <c r="C117" s="45">
        <v>46911.0</v>
      </c>
      <c r="D117" s="1" t="s">
        <v>333</v>
      </c>
      <c r="E117" s="2" t="str">
        <f>"INSERT INTO tblHoliday VALUES (seqHoliday.NEXTVAL, TO_DATE('" &amp; TEXT(B117,"yyyy-mm-dd") &amp; "', 'YYYY-MM-DD'), '" &amp; A117 &amp; "');"</f>
        <v>INSERT INTO tblHoliday VALUES (seqHoliday.NEXTVAL, TO_DATE('2028-06-06', 'YYYY-MM-DD'), '현충일');</v>
      </c>
    </row>
    <row r="118" hidden="1">
      <c r="A118" s="1" t="s">
        <v>347</v>
      </c>
      <c r="B118" s="45">
        <v>46951.0</v>
      </c>
      <c r="C118" s="45">
        <v>46952.0</v>
      </c>
      <c r="D118" s="1" t="s">
        <v>338</v>
      </c>
      <c r="E118" s="2" t="str">
        <f>"INSERT INTO tblHoliday (holiday, name) VALUES (TO_DATE('" &amp; TEXT(B118,"yyyy-mm-dd") &amp; "', 'YYYY-MM-DD'), '" &amp; A118 &amp; "');"
</f>
        <v>INSERT INTO tblHoliday (holiday, name) VALUES (TO_DATE('2028-07-17', 'YYYY-MM-DD'), '제헌절');</v>
      </c>
    </row>
    <row r="119">
      <c r="A119" s="1" t="s">
        <v>348</v>
      </c>
      <c r="B119" s="45">
        <v>46980.0</v>
      </c>
      <c r="C119" s="45">
        <v>46981.0</v>
      </c>
      <c r="D119" s="1" t="s">
        <v>333</v>
      </c>
      <c r="E119" s="2" t="str">
        <f>"INSERT INTO tblHoliday VALUES (seqHoliday.NEXTVAL, TO_DATE('" &amp; TEXT(B119,"yyyy-mm-dd") &amp; "', 'YYYY-MM-DD'), '" &amp; A119 &amp; "');"</f>
        <v>INSERT INTO tblHoliday VALUES (seqHoliday.NEXTVAL, TO_DATE('2028-08-15', 'YYYY-MM-DD'), '광복절');</v>
      </c>
    </row>
    <row r="120" hidden="1">
      <c r="A120" s="1" t="s">
        <v>351</v>
      </c>
      <c r="B120" s="45">
        <v>47027.0</v>
      </c>
      <c r="C120" s="45">
        <v>47028.0</v>
      </c>
      <c r="D120" s="1" t="s">
        <v>338</v>
      </c>
      <c r="E120" s="2" t="str">
        <f>"INSERT INTO tblHoliday (holiday, name) VALUES (TO_DATE('" &amp; TEXT(B120,"yyyy-mm-dd") &amp; "', 'YYYY-MM-DD'), '" &amp; A120 &amp; "');"
</f>
        <v>INSERT INTO tblHoliday (holiday, name) VALUES (TO_DATE('2028-10-01', 'YYYY-MM-DD'), '국군의날');</v>
      </c>
    </row>
    <row r="121">
      <c r="A121" s="1" t="s">
        <v>350</v>
      </c>
      <c r="B121" s="45">
        <v>47028.0</v>
      </c>
      <c r="C121" s="45">
        <v>47029.0</v>
      </c>
      <c r="D121" s="1" t="s">
        <v>333</v>
      </c>
      <c r="E121" s="2" t="str">
        <f t="shared" ref="E121:E125" si="22">"INSERT INTO tblHoliday VALUES (seqHoliday.NEXTVAL, TO_DATE('" &amp; TEXT(B121,"yyyy-mm-dd") &amp; "', 'YYYY-MM-DD'), '" &amp; A121 &amp; "');"</f>
        <v>INSERT INTO tblHoliday VALUES (seqHoliday.NEXTVAL, TO_DATE('2028-10-02', 'YYYY-MM-DD'), '추석 연휴');</v>
      </c>
    </row>
    <row r="122">
      <c r="A122" s="1" t="s">
        <v>349</v>
      </c>
      <c r="B122" s="45">
        <v>47029.0</v>
      </c>
      <c r="C122" s="45">
        <v>47030.0</v>
      </c>
      <c r="D122" s="1" t="s">
        <v>333</v>
      </c>
      <c r="E122" s="2" t="str">
        <f t="shared" si="22"/>
        <v>INSERT INTO tblHoliday VALUES (seqHoliday.NEXTVAL, TO_DATE('2028-10-03', 'YYYY-MM-DD'), '추석');</v>
      </c>
    </row>
    <row r="123">
      <c r="A123" s="1" t="s">
        <v>352</v>
      </c>
      <c r="B123" s="45">
        <v>47029.0</v>
      </c>
      <c r="C123" s="45">
        <v>47030.0</v>
      </c>
      <c r="D123" s="1" t="s">
        <v>333</v>
      </c>
      <c r="E123" s="2" t="str">
        <f t="shared" si="22"/>
        <v>INSERT INTO tblHoliday VALUES (seqHoliday.NEXTVAL, TO_DATE('2028-10-03', 'YYYY-MM-DD'), '개천절');</v>
      </c>
    </row>
    <row r="124">
      <c r="A124" s="1" t="s">
        <v>350</v>
      </c>
      <c r="B124" s="45">
        <v>47030.0</v>
      </c>
      <c r="C124" s="45">
        <v>47031.0</v>
      </c>
      <c r="D124" s="1" t="s">
        <v>333</v>
      </c>
      <c r="E124" s="2" t="str">
        <f t="shared" si="22"/>
        <v>INSERT INTO tblHoliday VALUES (seqHoliday.NEXTVAL, TO_DATE('2028-10-04', 'YYYY-MM-DD'), '추석 연휴');</v>
      </c>
    </row>
    <row r="125">
      <c r="A125" s="1" t="s">
        <v>353</v>
      </c>
      <c r="B125" s="45">
        <v>47035.0</v>
      </c>
      <c r="C125" s="45">
        <v>47036.0</v>
      </c>
      <c r="D125" s="1" t="s">
        <v>333</v>
      </c>
      <c r="E125" s="2" t="str">
        <f t="shared" si="22"/>
        <v>INSERT INTO tblHoliday VALUES (seqHoliday.NEXTVAL, TO_DATE('2028-10-09', 'YYYY-MM-DD'), '한글날');</v>
      </c>
    </row>
    <row r="126" hidden="1">
      <c r="A126" s="1" t="s">
        <v>354</v>
      </c>
      <c r="B126" s="45">
        <v>47111.0</v>
      </c>
      <c r="C126" s="45">
        <v>47112.0</v>
      </c>
      <c r="D126" s="1" t="s">
        <v>338</v>
      </c>
      <c r="E126" s="2" t="str">
        <f>"INSERT INTO tblHoliday (holiday, name) VALUES (TO_DATE('" &amp; TEXT(B126,"yyyy-mm-dd") &amp; "', 'YYYY-MM-DD'), '" &amp; A126 &amp; "');"
</f>
        <v>INSERT INTO tblHoliday (holiday, name) VALUES (TO_DATE('2028-12-24', 'YYYY-MM-DD'), '크리스마스 이브');</v>
      </c>
    </row>
    <row r="127">
      <c r="A127" s="1" t="s">
        <v>355</v>
      </c>
      <c r="B127" s="45">
        <v>47112.0</v>
      </c>
      <c r="C127" s="45">
        <v>47113.0</v>
      </c>
      <c r="D127" s="1" t="s">
        <v>333</v>
      </c>
      <c r="E127" s="2" t="str">
        <f>"INSERT INTO tblHoliday VALUES (seqHoliday.NEXTVAL, TO_DATE('" &amp; TEXT(B127,"yyyy-mm-dd") &amp; "', 'YYYY-MM-DD'), '" &amp; A127 &amp; "');"</f>
        <v>INSERT INTO tblHoliday VALUES (seqHoliday.NEXTVAL, TO_DATE('2028-12-25', 'YYYY-MM-DD'), '크리스마스');</v>
      </c>
    </row>
    <row r="128" hidden="1">
      <c r="A128" s="1" t="s">
        <v>356</v>
      </c>
      <c r="B128" s="45">
        <v>47118.0</v>
      </c>
      <c r="C128" s="45">
        <v>47119.0</v>
      </c>
      <c r="D128" s="1" t="s">
        <v>338</v>
      </c>
      <c r="E128" s="2" t="str">
        <f>"INSERT INTO tblHoliday (holiday, name) VALUES (TO_DATE('" &amp; TEXT(B128,"yyyy-mm-dd") &amp; "', 'YYYY-MM-DD'), '" &amp; A128 &amp; "');"
</f>
        <v>INSERT INTO tblHoliday (holiday, name) VALUES (TO_DATE('2028-12-31', 'YYYY-MM-DD'), '섣달 그믐날');</v>
      </c>
    </row>
    <row r="129">
      <c r="A129" s="1" t="s">
        <v>332</v>
      </c>
      <c r="B129" s="45">
        <v>47119.0</v>
      </c>
      <c r="C129" s="45">
        <v>47120.0</v>
      </c>
      <c r="D129" s="1" t="s">
        <v>333</v>
      </c>
      <c r="E129" s="2" t="str">
        <f t="shared" ref="E129:E132" si="23">"INSERT INTO tblHoliday VALUES (seqHoliday.NEXTVAL, TO_DATE('" &amp; TEXT(B129,"yyyy-mm-dd") &amp; "', 'YYYY-MM-DD'), '" &amp; A129 &amp; "');"</f>
        <v>INSERT INTO tblHoliday VALUES (seqHoliday.NEXTVAL, TO_DATE('2029-01-01', 'YYYY-MM-DD'), '새해첫날');</v>
      </c>
    </row>
    <row r="130">
      <c r="A130" s="1" t="s">
        <v>335</v>
      </c>
      <c r="B130" s="45">
        <v>47162.0</v>
      </c>
      <c r="C130" s="45">
        <v>47163.0</v>
      </c>
      <c r="D130" s="1" t="s">
        <v>333</v>
      </c>
      <c r="E130" s="2" t="str">
        <f t="shared" si="23"/>
        <v>INSERT INTO tblHoliday VALUES (seqHoliday.NEXTVAL, TO_DATE('2029-02-13', 'YYYY-MM-DD'), '설날');</v>
      </c>
    </row>
    <row r="131">
      <c r="A131" s="1" t="s">
        <v>334</v>
      </c>
      <c r="B131" s="45">
        <v>47163.0</v>
      </c>
      <c r="C131" s="45">
        <v>47164.0</v>
      </c>
      <c r="D131" s="1" t="s">
        <v>333</v>
      </c>
      <c r="E131" s="2" t="str">
        <f t="shared" si="23"/>
        <v>INSERT INTO tblHoliday VALUES (seqHoliday.NEXTVAL, TO_DATE('2029-02-14', 'YYYY-MM-DD'), '설날 연휴');</v>
      </c>
    </row>
    <row r="132">
      <c r="A132" s="1" t="s">
        <v>336</v>
      </c>
      <c r="B132" s="45">
        <v>47178.0</v>
      </c>
      <c r="C132" s="45">
        <v>47179.0</v>
      </c>
      <c r="D132" s="1" t="s">
        <v>333</v>
      </c>
      <c r="E132" s="2" t="str">
        <f t="shared" si="23"/>
        <v>INSERT INTO tblHoliday VALUES (seqHoliday.NEXTVAL, TO_DATE('2029-03-01', 'YYYY-MM-DD'), '삼일절');</v>
      </c>
    </row>
    <row r="133" hidden="1">
      <c r="A133" s="1" t="s">
        <v>337</v>
      </c>
      <c r="B133" s="45">
        <v>47213.0</v>
      </c>
      <c r="C133" s="45">
        <v>47214.0</v>
      </c>
      <c r="D133" s="1" t="s">
        <v>338</v>
      </c>
      <c r="E133" s="2" t="str">
        <f>"INSERT INTO tblHoliday (holiday, name) VALUES (TO_DATE('" &amp; TEXT(B133,"yyyy-mm-dd") &amp; "', 'YYYY-MM-DD'), '" &amp; A133 &amp; "');"
</f>
        <v>INSERT INTO tblHoliday (holiday, name) VALUES (TO_DATE('2029-04-05', 'YYYY-MM-DD'), '식목일');</v>
      </c>
    </row>
    <row r="134">
      <c r="A134" s="1" t="s">
        <v>340</v>
      </c>
      <c r="B134" s="45">
        <v>47239.0</v>
      </c>
      <c r="C134" s="45">
        <v>47240.0</v>
      </c>
      <c r="D134" s="1" t="s">
        <v>333</v>
      </c>
      <c r="E134" s="2" t="str">
        <f t="shared" ref="E134:E135" si="24">"INSERT INTO tblHoliday VALUES (seqHoliday.NEXTVAL, TO_DATE('" &amp; TEXT(B134,"yyyy-mm-dd") &amp; "', 'YYYY-MM-DD'), '" &amp; A134 &amp; "');"</f>
        <v>INSERT INTO tblHoliday VALUES (seqHoliday.NEXTVAL, TO_DATE('2029-05-01', 'YYYY-MM-DD'), '노동절');</v>
      </c>
    </row>
    <row r="135">
      <c r="A135" s="1" t="s">
        <v>341</v>
      </c>
      <c r="B135" s="45">
        <v>47243.0</v>
      </c>
      <c r="C135" s="45">
        <v>47244.0</v>
      </c>
      <c r="D135" s="1" t="s">
        <v>333</v>
      </c>
      <c r="E135" s="2" t="str">
        <f t="shared" si="24"/>
        <v>INSERT INTO tblHoliday VALUES (seqHoliday.NEXTVAL, TO_DATE('2029-05-05', 'YYYY-MM-DD'), '어린이날');</v>
      </c>
    </row>
    <row r="136" hidden="1">
      <c r="A136" s="1" t="s">
        <v>343</v>
      </c>
      <c r="B136" s="45">
        <v>47246.0</v>
      </c>
      <c r="C136" s="45">
        <v>47247.0</v>
      </c>
      <c r="D136" s="1" t="s">
        <v>338</v>
      </c>
      <c r="E136" s="2" t="str">
        <f t="shared" ref="E136:E137" si="25">"INSERT INTO tblHoliday (holiday, name) VALUES (TO_DATE('" &amp; TEXT(B136,"yyyy-mm-dd") &amp; "', 'YYYY-MM-DD'), '" &amp; A136 &amp; "');"
</f>
        <v>INSERT INTO tblHoliday (holiday, name) VALUES (TO_DATE('2029-05-08', 'YYYY-MM-DD'), '어버이날');</v>
      </c>
    </row>
    <row r="137" hidden="1">
      <c r="A137" s="1" t="s">
        <v>345</v>
      </c>
      <c r="B137" s="45">
        <v>47253.0</v>
      </c>
      <c r="C137" s="45">
        <v>47254.0</v>
      </c>
      <c r="D137" s="1" t="s">
        <v>338</v>
      </c>
      <c r="E137" s="2" t="str">
        <f t="shared" si="25"/>
        <v>INSERT INTO tblHoliday (holiday, name) VALUES (TO_DATE('2029-05-15', 'YYYY-MM-DD'), '스승의날');</v>
      </c>
    </row>
    <row r="138">
      <c r="A138" s="1" t="s">
        <v>344</v>
      </c>
      <c r="B138" s="45">
        <v>47258.0</v>
      </c>
      <c r="C138" s="45">
        <v>47259.0</v>
      </c>
      <c r="D138" s="1" t="s">
        <v>333</v>
      </c>
      <c r="E138" s="2" t="str">
        <f t="shared" ref="E138:E140" si="26">"INSERT INTO tblHoliday VALUES (seqHoliday.NEXTVAL, TO_DATE('" &amp; TEXT(B138,"yyyy-mm-dd") &amp; "', 'YYYY-MM-DD'), '" &amp; A138 &amp; "');"</f>
        <v>INSERT INTO tblHoliday VALUES (seqHoliday.NEXTVAL, TO_DATE('2029-05-20', 'YYYY-MM-DD'), '부처님오신날');</v>
      </c>
    </row>
    <row r="139">
      <c r="A139" s="1" t="s">
        <v>365</v>
      </c>
      <c r="B139" s="45">
        <v>47259.0</v>
      </c>
      <c r="C139" s="45">
        <v>47260.0</v>
      </c>
      <c r="D139" s="1" t="s">
        <v>333</v>
      </c>
      <c r="E139" s="2" t="str">
        <f t="shared" si="26"/>
        <v>INSERT INTO tblHoliday VALUES (seqHoliday.NEXTVAL, TO_DATE('2029-05-21', 'YYYY-MM-DD'), '쉬는 날 부처님오신날');</v>
      </c>
    </row>
    <row r="140">
      <c r="A140" s="1" t="s">
        <v>346</v>
      </c>
      <c r="B140" s="45">
        <v>47275.0</v>
      </c>
      <c r="C140" s="45">
        <v>47276.0</v>
      </c>
      <c r="D140" s="1" t="s">
        <v>333</v>
      </c>
      <c r="E140" s="2" t="str">
        <f t="shared" si="26"/>
        <v>INSERT INTO tblHoliday VALUES (seqHoliday.NEXTVAL, TO_DATE('2029-06-06', 'YYYY-MM-DD'), '현충일');</v>
      </c>
    </row>
    <row r="141" hidden="1">
      <c r="A141" s="1" t="s">
        <v>347</v>
      </c>
      <c r="B141" s="45">
        <v>47316.0</v>
      </c>
      <c r="C141" s="45">
        <v>47317.0</v>
      </c>
      <c r="D141" s="1" t="s">
        <v>338</v>
      </c>
      <c r="E141" s="2" t="str">
        <f>"INSERT INTO tblHoliday (holiday, name) VALUES (TO_DATE('" &amp; TEXT(B141,"yyyy-mm-dd") &amp; "', 'YYYY-MM-DD'), '" &amp; A141 &amp; "');"
</f>
        <v>INSERT INTO tblHoliday (holiday, name) VALUES (TO_DATE('2029-07-17', 'YYYY-MM-DD'), '제헌절');</v>
      </c>
    </row>
    <row r="142">
      <c r="A142" s="1" t="s">
        <v>348</v>
      </c>
      <c r="B142" s="45">
        <v>47345.0</v>
      </c>
      <c r="C142" s="45">
        <v>47346.0</v>
      </c>
      <c r="D142" s="1" t="s">
        <v>333</v>
      </c>
      <c r="E142" s="2" t="str">
        <f t="shared" ref="E142:E146" si="27">"INSERT INTO tblHoliday VALUES (seqHoliday.NEXTVAL, TO_DATE('" &amp; TEXT(B142,"yyyy-mm-dd") &amp; "', 'YYYY-MM-DD'), '" &amp; A142 &amp; "');"</f>
        <v>INSERT INTO tblHoliday VALUES (seqHoliday.NEXTVAL, TO_DATE('2029-08-15', 'YYYY-MM-DD'), '광복절');</v>
      </c>
    </row>
    <row r="143">
      <c r="A143" s="1" t="s">
        <v>350</v>
      </c>
      <c r="B143" s="45">
        <v>47382.0</v>
      </c>
      <c r="C143" s="45">
        <v>47383.0</v>
      </c>
      <c r="D143" s="1" t="s">
        <v>333</v>
      </c>
      <c r="E143" s="2" t="str">
        <f t="shared" si="27"/>
        <v>INSERT INTO tblHoliday VALUES (seqHoliday.NEXTVAL, TO_DATE('2029-09-21', 'YYYY-MM-DD'), '추석 연휴');</v>
      </c>
    </row>
    <row r="144">
      <c r="A144" s="1" t="s">
        <v>349</v>
      </c>
      <c r="B144" s="45">
        <v>47383.0</v>
      </c>
      <c r="C144" s="45">
        <v>47384.0</v>
      </c>
      <c r="D144" s="1" t="s">
        <v>333</v>
      </c>
      <c r="E144" s="2" t="str">
        <f t="shared" si="27"/>
        <v>INSERT INTO tblHoliday VALUES (seqHoliday.NEXTVAL, TO_DATE('2029-09-22', 'YYYY-MM-DD'), '추석');</v>
      </c>
    </row>
    <row r="145">
      <c r="A145" s="1" t="s">
        <v>350</v>
      </c>
      <c r="B145" s="45">
        <v>47384.0</v>
      </c>
      <c r="C145" s="45">
        <v>47385.0</v>
      </c>
      <c r="D145" s="1" t="s">
        <v>333</v>
      </c>
      <c r="E145" s="2" t="str">
        <f t="shared" si="27"/>
        <v>INSERT INTO tblHoliday VALUES (seqHoliday.NEXTVAL, TO_DATE('2029-09-23', 'YYYY-MM-DD'), '추석 연휴');</v>
      </c>
    </row>
    <row r="146">
      <c r="A146" s="1" t="s">
        <v>359</v>
      </c>
      <c r="B146" s="45">
        <v>47385.0</v>
      </c>
      <c r="C146" s="45">
        <v>47386.0</v>
      </c>
      <c r="D146" s="1" t="s">
        <v>333</v>
      </c>
      <c r="E146" s="2" t="str">
        <f t="shared" si="27"/>
        <v>INSERT INTO tblHoliday VALUES (seqHoliday.NEXTVAL, TO_DATE('2029-09-24', 'YYYY-MM-DD'), '쉬는 날 추석 연휴');</v>
      </c>
    </row>
    <row r="147" hidden="1">
      <c r="A147" s="1" t="s">
        <v>351</v>
      </c>
      <c r="B147" s="45">
        <v>47392.0</v>
      </c>
      <c r="C147" s="45">
        <v>47393.0</v>
      </c>
      <c r="D147" s="1" t="s">
        <v>338</v>
      </c>
      <c r="E147" s="2" t="str">
        <f>"INSERT INTO tblHoliday (holiday, name) VALUES (TO_DATE('" &amp; TEXT(B147,"yyyy-mm-dd") &amp; "', 'YYYY-MM-DD'), '" &amp; A147 &amp; "');"
</f>
        <v>INSERT INTO tblHoliday (holiday, name) VALUES (TO_DATE('2029-10-01', 'YYYY-MM-DD'), '국군의날');</v>
      </c>
    </row>
    <row r="148">
      <c r="A148" s="1" t="s">
        <v>352</v>
      </c>
      <c r="B148" s="45">
        <v>47394.0</v>
      </c>
      <c r="C148" s="45">
        <v>47395.0</v>
      </c>
      <c r="D148" s="1" t="s">
        <v>333</v>
      </c>
      <c r="E148" s="2" t="str">
        <f t="shared" ref="E148:E149" si="28">"INSERT INTO tblHoliday VALUES (seqHoliday.NEXTVAL, TO_DATE('" &amp; TEXT(B148,"yyyy-mm-dd") &amp; "', 'YYYY-MM-DD'), '" &amp; A148 &amp; "');"</f>
        <v>INSERT INTO tblHoliday VALUES (seqHoliday.NEXTVAL, TO_DATE('2029-10-03', 'YYYY-MM-DD'), '개천절');</v>
      </c>
    </row>
    <row r="149">
      <c r="A149" s="1" t="s">
        <v>353</v>
      </c>
      <c r="B149" s="45">
        <v>47400.0</v>
      </c>
      <c r="C149" s="45">
        <v>47401.0</v>
      </c>
      <c r="D149" s="1" t="s">
        <v>333</v>
      </c>
      <c r="E149" s="2" t="str">
        <f t="shared" si="28"/>
        <v>INSERT INTO tblHoliday VALUES (seqHoliday.NEXTVAL, TO_DATE('2029-10-09', 'YYYY-MM-DD'), '한글날');</v>
      </c>
    </row>
    <row r="150" hidden="1">
      <c r="A150" s="1" t="s">
        <v>354</v>
      </c>
      <c r="B150" s="45">
        <v>47476.0</v>
      </c>
      <c r="C150" s="45">
        <v>47477.0</v>
      </c>
      <c r="D150" s="1" t="s">
        <v>338</v>
      </c>
      <c r="E150" s="2" t="str">
        <f>"INSERT INTO tblHoliday (holiday, name) VALUES (TO_DATE('" &amp; TEXT(B150,"yyyy-mm-dd") &amp; "', 'YYYY-MM-DD'), '" &amp; A150 &amp; "');"
</f>
        <v>INSERT INTO tblHoliday (holiday, name) VALUES (TO_DATE('2029-12-24', 'YYYY-MM-DD'), '크리스마스 이브');</v>
      </c>
    </row>
    <row r="151">
      <c r="A151" s="1" t="s">
        <v>355</v>
      </c>
      <c r="B151" s="45">
        <v>47477.0</v>
      </c>
      <c r="C151" s="45">
        <v>47478.0</v>
      </c>
      <c r="D151" s="1" t="s">
        <v>333</v>
      </c>
      <c r="E151" s="2" t="str">
        <f>"INSERT INTO tblHoliday VALUES (seqHoliday.NEXTVAL, TO_DATE('" &amp; TEXT(B151,"yyyy-mm-dd") &amp; "', 'YYYY-MM-DD'), '" &amp; A151 &amp; "');"</f>
        <v>INSERT INTO tblHoliday VALUES (seqHoliday.NEXTVAL, TO_DATE('2029-12-25', 'YYYY-MM-DD'), '크리스마스');</v>
      </c>
    </row>
    <row r="152" hidden="1">
      <c r="A152" s="1" t="s">
        <v>356</v>
      </c>
      <c r="B152" s="45">
        <v>47483.0</v>
      </c>
      <c r="C152" s="45">
        <v>47484.0</v>
      </c>
      <c r="D152" s="1" t="s">
        <v>338</v>
      </c>
      <c r="E152" s="2" t="str">
        <f>"INSERT INTO tblHoliday (holiday, name) VALUES (TO_DATE('" &amp; TEXT(B152,"yyyy-mm-dd") &amp; "', 'YYYY-MM-DD'), '" &amp; A152 &amp; "');"
</f>
        <v>INSERT INTO tblHoliday (holiday, name) VALUES (TO_DATE('2029-12-31', 'YYYY-MM-DD'), '섣달 그믐날');</v>
      </c>
    </row>
    <row r="153">
      <c r="A153" s="1" t="s">
        <v>332</v>
      </c>
      <c r="B153" s="45">
        <v>47484.0</v>
      </c>
      <c r="C153" s="45">
        <v>47485.0</v>
      </c>
      <c r="D153" s="1" t="s">
        <v>333</v>
      </c>
      <c r="E153" s="2" t="str">
        <f t="shared" ref="E153:E156" si="29">"INSERT INTO tblHoliday VALUES (seqHoliday.NEXTVAL, TO_DATE('" &amp; TEXT(B153,"yyyy-mm-dd") &amp; "', 'YYYY-MM-DD'), '" &amp; A153 &amp; "');"</f>
        <v>INSERT INTO tblHoliday VALUES (seqHoliday.NEXTVAL, TO_DATE('2030-01-01', 'YYYY-MM-DD'), '새해첫날');</v>
      </c>
    </row>
    <row r="154">
      <c r="A154" s="1" t="s">
        <v>335</v>
      </c>
      <c r="B154" s="45">
        <v>47518.0</v>
      </c>
      <c r="C154" s="45">
        <v>47519.0</v>
      </c>
      <c r="D154" s="1" t="s">
        <v>333</v>
      </c>
      <c r="E154" s="2" t="str">
        <f t="shared" si="29"/>
        <v>INSERT INTO tblHoliday VALUES (seqHoliday.NEXTVAL, TO_DATE('2030-02-04', 'YYYY-MM-DD'), '설날');</v>
      </c>
    </row>
    <row r="155">
      <c r="A155" s="1" t="s">
        <v>334</v>
      </c>
      <c r="B155" s="45">
        <v>47518.0</v>
      </c>
      <c r="C155" s="45">
        <v>47519.0</v>
      </c>
      <c r="D155" s="1" t="s">
        <v>333</v>
      </c>
      <c r="E155" s="2" t="str">
        <f t="shared" si="29"/>
        <v>INSERT INTO tblHoliday VALUES (seqHoliday.NEXTVAL, TO_DATE('2030-02-04', 'YYYY-MM-DD'), '설날 연휴');</v>
      </c>
    </row>
    <row r="156">
      <c r="A156" s="1" t="s">
        <v>336</v>
      </c>
      <c r="B156" s="45">
        <v>47543.0</v>
      </c>
      <c r="C156" s="45">
        <v>47544.0</v>
      </c>
      <c r="D156" s="1" t="s">
        <v>333</v>
      </c>
      <c r="E156" s="2" t="str">
        <f t="shared" si="29"/>
        <v>INSERT INTO tblHoliday VALUES (seqHoliday.NEXTVAL, TO_DATE('2030-03-01', 'YYYY-MM-DD'), '삼일절');</v>
      </c>
    </row>
    <row r="157" hidden="1">
      <c r="A157" s="1" t="s">
        <v>337</v>
      </c>
      <c r="B157" s="45">
        <v>47578.0</v>
      </c>
      <c r="C157" s="45">
        <v>47579.0</v>
      </c>
      <c r="D157" s="1" t="s">
        <v>338</v>
      </c>
      <c r="E157" s="2" t="str">
        <f>"INSERT INTO tblHoliday (holiday, name) VALUES (TO_DATE('" &amp; TEXT(B157,"yyyy-mm-dd") &amp; "', 'YYYY-MM-DD'), '" &amp; A157 &amp; "');"
</f>
        <v>INSERT INTO tblHoliday (holiday, name) VALUES (TO_DATE('2030-04-05', 'YYYY-MM-DD'), '식목일');</v>
      </c>
    </row>
    <row r="158">
      <c r="A158" s="1" t="s">
        <v>340</v>
      </c>
      <c r="B158" s="45">
        <v>47604.0</v>
      </c>
      <c r="C158" s="45">
        <v>47605.0</v>
      </c>
      <c r="D158" s="1" t="s">
        <v>333</v>
      </c>
      <c r="E158" s="2" t="str">
        <f t="shared" ref="E158:E159" si="30">"INSERT INTO tblHoliday VALUES (seqHoliday.NEXTVAL, TO_DATE('" &amp; TEXT(B158,"yyyy-mm-dd") &amp; "', 'YYYY-MM-DD'), '" &amp; A158 &amp; "');"</f>
        <v>INSERT INTO tblHoliday VALUES (seqHoliday.NEXTVAL, TO_DATE('2030-05-01', 'YYYY-MM-DD'), '노동절');</v>
      </c>
    </row>
    <row r="159">
      <c r="A159" s="1" t="s">
        <v>341</v>
      </c>
      <c r="B159" s="45">
        <v>47608.0</v>
      </c>
      <c r="C159" s="45">
        <v>47609.0</v>
      </c>
      <c r="D159" s="1" t="s">
        <v>333</v>
      </c>
      <c r="E159" s="2" t="str">
        <f t="shared" si="30"/>
        <v>INSERT INTO tblHoliday VALUES (seqHoliday.NEXTVAL, TO_DATE('2030-05-05', 'YYYY-MM-DD'), '어린이날');</v>
      </c>
    </row>
    <row r="160" hidden="1">
      <c r="A160" s="1" t="s">
        <v>343</v>
      </c>
      <c r="B160" s="45">
        <v>47611.0</v>
      </c>
      <c r="C160" s="45">
        <v>47612.0</v>
      </c>
      <c r="D160" s="1" t="s">
        <v>338</v>
      </c>
      <c r="E160" s="2" t="str">
        <f>"INSERT INTO tblHoliday (holiday, name) VALUES (TO_DATE('" &amp; TEXT(B160,"yyyy-mm-dd") &amp; "', 'YYYY-MM-DD'), '" &amp; A160 &amp; "');"
</f>
        <v>INSERT INTO tblHoliday (holiday, name) VALUES (TO_DATE('2030-05-08', 'YYYY-MM-DD'), '어버이날');</v>
      </c>
    </row>
    <row r="161">
      <c r="A161" s="1" t="s">
        <v>344</v>
      </c>
      <c r="B161" s="45">
        <v>47612.0</v>
      </c>
      <c r="C161" s="45">
        <v>47613.0</v>
      </c>
      <c r="D161" s="1" t="s">
        <v>333</v>
      </c>
      <c r="E161" s="2" t="str">
        <f>"INSERT INTO tblHoliday VALUES (seqHoliday.NEXTVAL, TO_DATE('" &amp; TEXT(B161,"yyyy-mm-dd") &amp; "', 'YYYY-MM-DD'), '" &amp; A161 &amp; "');"</f>
        <v>INSERT INTO tblHoliday VALUES (seqHoliday.NEXTVAL, TO_DATE('2030-05-09', 'YYYY-MM-DD'), '부처님오신날');</v>
      </c>
    </row>
    <row r="162" hidden="1">
      <c r="A162" s="1" t="s">
        <v>345</v>
      </c>
      <c r="B162" s="45">
        <v>47618.0</v>
      </c>
      <c r="C162" s="45">
        <v>47619.0</v>
      </c>
      <c r="D162" s="1" t="s">
        <v>338</v>
      </c>
      <c r="E162" s="2" t="str">
        <f>"INSERT INTO tblHoliday (holiday, name) VALUES (TO_DATE('" &amp; TEXT(B162,"yyyy-mm-dd") &amp; "', 'YYYY-MM-DD'), '" &amp; A162 &amp; "');"
</f>
        <v>INSERT INTO tblHoliday (holiday, name) VALUES (TO_DATE('2030-05-15', 'YYYY-MM-DD'), '스승의날');</v>
      </c>
    </row>
    <row r="163">
      <c r="A163" s="1" t="s">
        <v>346</v>
      </c>
      <c r="B163" s="45">
        <v>47640.0</v>
      </c>
      <c r="C163" s="45">
        <v>47641.0</v>
      </c>
      <c r="D163" s="1" t="s">
        <v>333</v>
      </c>
      <c r="E163" s="2" t="str">
        <f>"INSERT INTO tblHoliday VALUES (seqHoliday.NEXTVAL, TO_DATE('" &amp; TEXT(B163,"yyyy-mm-dd") &amp; "', 'YYYY-MM-DD'), '" &amp; A163 &amp; "');"</f>
        <v>INSERT INTO tblHoliday VALUES (seqHoliday.NEXTVAL, TO_DATE('2030-06-06', 'YYYY-MM-DD'), '현충일');</v>
      </c>
    </row>
    <row r="164" hidden="1">
      <c r="A164" s="1" t="s">
        <v>347</v>
      </c>
      <c r="B164" s="45">
        <v>47681.0</v>
      </c>
      <c r="C164" s="45">
        <v>47682.0</v>
      </c>
      <c r="D164" s="1" t="s">
        <v>338</v>
      </c>
      <c r="E164" s="2" t="str">
        <f>"INSERT INTO tblHoliday (holiday, name) VALUES (TO_DATE('" &amp; TEXT(B164,"yyyy-mm-dd") &amp; "', 'YYYY-MM-DD'), '" &amp; A164 &amp; "');"
</f>
        <v>INSERT INTO tblHoliday (holiday, name) VALUES (TO_DATE('2030-07-17', 'YYYY-MM-DD'), '제헌절');</v>
      </c>
    </row>
    <row r="165">
      <c r="A165" s="1" t="s">
        <v>348</v>
      </c>
      <c r="B165" s="45">
        <v>47710.0</v>
      </c>
      <c r="C165" s="45">
        <v>47711.0</v>
      </c>
      <c r="D165" s="1" t="s">
        <v>333</v>
      </c>
      <c r="E165" s="2" t="str">
        <f t="shared" ref="E165:E168" si="31">"INSERT INTO tblHoliday VALUES (seqHoliday.NEXTVAL, TO_DATE('" &amp; TEXT(B165,"yyyy-mm-dd") &amp; "', 'YYYY-MM-DD'), '" &amp; A165 &amp; "');"</f>
        <v>INSERT INTO tblHoliday VALUES (seqHoliday.NEXTVAL, TO_DATE('2030-08-15', 'YYYY-MM-DD'), '광복절');</v>
      </c>
    </row>
    <row r="166">
      <c r="A166" s="1" t="s">
        <v>350</v>
      </c>
      <c r="B166" s="45">
        <v>47737.0</v>
      </c>
      <c r="C166" s="45">
        <v>47738.0</v>
      </c>
      <c r="D166" s="1" t="s">
        <v>333</v>
      </c>
      <c r="E166" s="2" t="str">
        <f t="shared" si="31"/>
        <v>INSERT INTO tblHoliday VALUES (seqHoliday.NEXTVAL, TO_DATE('2030-09-11', 'YYYY-MM-DD'), '추석 연휴');</v>
      </c>
    </row>
    <row r="167">
      <c r="A167" s="1" t="s">
        <v>349</v>
      </c>
      <c r="B167" s="45">
        <v>47738.0</v>
      </c>
      <c r="C167" s="45">
        <v>47739.0</v>
      </c>
      <c r="D167" s="1" t="s">
        <v>333</v>
      </c>
      <c r="E167" s="2" t="str">
        <f t="shared" si="31"/>
        <v>INSERT INTO tblHoliday VALUES (seqHoliday.NEXTVAL, TO_DATE('2030-09-12', 'YYYY-MM-DD'), '추석');</v>
      </c>
    </row>
    <row r="168">
      <c r="A168" s="1" t="s">
        <v>350</v>
      </c>
      <c r="B168" s="45">
        <v>47739.0</v>
      </c>
      <c r="C168" s="45">
        <v>47740.0</v>
      </c>
      <c r="D168" s="1" t="s">
        <v>333</v>
      </c>
      <c r="E168" s="2" t="str">
        <f t="shared" si="31"/>
        <v>INSERT INTO tblHoliday VALUES (seqHoliday.NEXTVAL, TO_DATE('2030-09-13', 'YYYY-MM-DD'), '추석 연휴');</v>
      </c>
    </row>
    <row r="169" hidden="1">
      <c r="A169" s="1" t="s">
        <v>351</v>
      </c>
      <c r="B169" s="45">
        <v>47757.0</v>
      </c>
      <c r="C169" s="45">
        <v>47758.0</v>
      </c>
      <c r="D169" s="1" t="s">
        <v>338</v>
      </c>
      <c r="E169" s="2" t="str">
        <f>"INSERT INTO tblHoliday (holiday, name) VALUES (TO_DATE('" &amp; TEXT(B169,"yyyy-mm-dd") &amp; "', 'YYYY-MM-DD'), '" &amp; A169 &amp; "');"
</f>
        <v>INSERT INTO tblHoliday (holiday, name) VALUES (TO_DATE('2030-10-01', 'YYYY-MM-DD'), '국군의날');</v>
      </c>
    </row>
    <row r="170">
      <c r="A170" s="1" t="s">
        <v>352</v>
      </c>
      <c r="B170" s="45">
        <v>47759.0</v>
      </c>
      <c r="C170" s="45">
        <v>47760.0</v>
      </c>
      <c r="D170" s="1" t="s">
        <v>333</v>
      </c>
      <c r="E170" s="2" t="str">
        <f t="shared" ref="E170:E171" si="32">"INSERT INTO tblHoliday VALUES (seqHoliday.NEXTVAL, TO_DATE('" &amp; TEXT(B170,"yyyy-mm-dd") &amp; "', 'YYYY-MM-DD'), '" &amp; A170 &amp; "');"</f>
        <v>INSERT INTO tblHoliday VALUES (seqHoliday.NEXTVAL, TO_DATE('2030-10-03', 'YYYY-MM-DD'), '개천절');</v>
      </c>
    </row>
    <row r="171">
      <c r="A171" s="1" t="s">
        <v>353</v>
      </c>
      <c r="B171" s="45">
        <v>47765.0</v>
      </c>
      <c r="C171" s="45">
        <v>47766.0</v>
      </c>
      <c r="D171" s="1" t="s">
        <v>333</v>
      </c>
      <c r="E171" s="2" t="str">
        <f t="shared" si="32"/>
        <v>INSERT INTO tblHoliday VALUES (seqHoliday.NEXTVAL, TO_DATE('2030-10-09', 'YYYY-MM-DD'), '한글날');</v>
      </c>
    </row>
    <row r="172" hidden="1">
      <c r="A172" s="1" t="s">
        <v>354</v>
      </c>
      <c r="B172" s="45">
        <v>47841.0</v>
      </c>
      <c r="C172" s="45">
        <v>47842.0</v>
      </c>
      <c r="D172" s="1" t="s">
        <v>338</v>
      </c>
      <c r="E172" s="2" t="str">
        <f>"INSERT INTO tblHoliday (holiday, name) VALUES (TO_DATE('" &amp; TEXT(B172,"yyyy-mm-dd") &amp; "', 'YYYY-MM-DD'), '" &amp; A172 &amp; "');"
</f>
        <v>INSERT INTO tblHoliday (holiday, name) VALUES (TO_DATE('2030-12-24', 'YYYY-MM-DD'), '크리스마스 이브');</v>
      </c>
    </row>
    <row r="173">
      <c r="A173" s="1" t="s">
        <v>355</v>
      </c>
      <c r="B173" s="45">
        <v>47842.0</v>
      </c>
      <c r="C173" s="45">
        <v>47843.0</v>
      </c>
      <c r="D173" s="1" t="s">
        <v>333</v>
      </c>
      <c r="E173" s="2" t="str">
        <f>"INSERT INTO tblHoliday VALUES (seqHoliday.NEXTVAL, TO_DATE('" &amp; TEXT(B173,"yyyy-mm-dd") &amp; "', 'YYYY-MM-DD'), '" &amp; A173 &amp; "');"</f>
        <v>INSERT INTO tblHoliday VALUES (seqHoliday.NEXTVAL, TO_DATE('2030-12-25', 'YYYY-MM-DD'), '크리스마스');</v>
      </c>
    </row>
    <row r="174" hidden="1">
      <c r="A174" s="1" t="s">
        <v>356</v>
      </c>
      <c r="B174" s="45">
        <v>47848.0</v>
      </c>
      <c r="C174" s="45">
        <v>47849.0</v>
      </c>
      <c r="D174" s="1" t="s">
        <v>338</v>
      </c>
      <c r="E174" s="2" t="str">
        <f>"INSERT INTO tblHoliday (holiday, name) VALUES (TO_DATE('" &amp; TEXT(B174,"yyyy-mm-dd") &amp; "', 'YYYY-MM-DD'), '" &amp; A174 &amp; "');"
</f>
        <v>INSERT INTO tblHoliday (holiday, name) VALUES (TO_DATE('2030-12-31', 'YYYY-MM-DD'), '섣달 그믐날');</v>
      </c>
    </row>
  </sheetData>
  <autoFilter ref="$A$2:$Z$174">
    <filterColumn colId="3">
      <filters>
        <filter val="공휴일"/>
      </filters>
    </filterColumn>
  </autoFilter>
  <mergeCells count="1">
    <mergeCell ref="A1:D1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366</v>
      </c>
      <c r="B1" s="46" t="s">
        <v>367</v>
      </c>
    </row>
    <row r="2">
      <c r="A2" s="47">
        <v>1.0</v>
      </c>
      <c r="B2" s="47">
        <v>1.0</v>
      </c>
      <c r="D2" s="1" t="str">
        <f t="shared" ref="D2:D169" si="1">"INSERT INTO tblLocker VALUES (" &amp; A2 &amp; ", " &amp; B2 &amp; ");"</f>
        <v>INSERT INTO tblLocker VALUES (1, 1);</v>
      </c>
    </row>
    <row r="3">
      <c r="A3" s="47">
        <v>2.0</v>
      </c>
      <c r="B3" s="47">
        <v>1.0</v>
      </c>
      <c r="D3" s="1" t="str">
        <f t="shared" si="1"/>
        <v>INSERT INTO tblLocker VALUES (2, 1);</v>
      </c>
    </row>
    <row r="4">
      <c r="A4" s="47">
        <v>3.0</v>
      </c>
      <c r="B4" s="47">
        <v>1.0</v>
      </c>
      <c r="D4" s="1" t="str">
        <f t="shared" si="1"/>
        <v>INSERT INTO tblLocker VALUES (3, 1);</v>
      </c>
    </row>
    <row r="5">
      <c r="A5" s="47">
        <v>4.0</v>
      </c>
      <c r="B5" s="47">
        <v>1.0</v>
      </c>
      <c r="D5" s="1" t="str">
        <f t="shared" si="1"/>
        <v>INSERT INTO tblLocker VALUES (4, 1);</v>
      </c>
    </row>
    <row r="6">
      <c r="A6" s="47">
        <v>5.0</v>
      </c>
      <c r="B6" s="47">
        <v>1.0</v>
      </c>
      <c r="D6" s="1" t="str">
        <f t="shared" si="1"/>
        <v>INSERT INTO tblLocker VALUES (5, 1);</v>
      </c>
    </row>
    <row r="7">
      <c r="A7" s="47">
        <v>6.0</v>
      </c>
      <c r="B7" s="47">
        <v>1.0</v>
      </c>
      <c r="D7" s="1" t="str">
        <f t="shared" si="1"/>
        <v>INSERT INTO tblLocker VALUES (6, 1);</v>
      </c>
    </row>
    <row r="8">
      <c r="A8" s="47">
        <v>7.0</v>
      </c>
      <c r="B8" s="47">
        <v>1.0</v>
      </c>
      <c r="D8" s="1" t="str">
        <f t="shared" si="1"/>
        <v>INSERT INTO tblLocker VALUES (7, 1);</v>
      </c>
    </row>
    <row r="9">
      <c r="A9" s="47">
        <v>8.0</v>
      </c>
      <c r="B9" s="47">
        <v>1.0</v>
      </c>
      <c r="D9" s="1" t="str">
        <f t="shared" si="1"/>
        <v>INSERT INTO tblLocker VALUES (8, 1);</v>
      </c>
    </row>
    <row r="10">
      <c r="A10" s="47">
        <v>9.0</v>
      </c>
      <c r="B10" s="47">
        <v>1.0</v>
      </c>
      <c r="D10" s="1" t="str">
        <f t="shared" si="1"/>
        <v>INSERT INTO tblLocker VALUES (9, 1);</v>
      </c>
    </row>
    <row r="11">
      <c r="A11" s="47">
        <v>10.0</v>
      </c>
      <c r="B11" s="47">
        <v>1.0</v>
      </c>
      <c r="D11" s="1" t="str">
        <f t="shared" si="1"/>
        <v>INSERT INTO tblLocker VALUES (10, 1);</v>
      </c>
    </row>
    <row r="12">
      <c r="A12" s="47">
        <v>11.0</v>
      </c>
      <c r="B12" s="47">
        <v>1.0</v>
      </c>
      <c r="D12" s="1" t="str">
        <f t="shared" si="1"/>
        <v>INSERT INTO tblLocker VALUES (11, 1);</v>
      </c>
    </row>
    <row r="13">
      <c r="A13" s="47">
        <v>12.0</v>
      </c>
      <c r="B13" s="47">
        <v>1.0</v>
      </c>
      <c r="D13" s="1" t="str">
        <f t="shared" si="1"/>
        <v>INSERT INTO tblLocker VALUES (12, 1);</v>
      </c>
    </row>
    <row r="14">
      <c r="A14" s="47">
        <v>13.0</v>
      </c>
      <c r="B14" s="47">
        <v>1.0</v>
      </c>
      <c r="D14" s="1" t="str">
        <f t="shared" si="1"/>
        <v>INSERT INTO tblLocker VALUES (13, 1);</v>
      </c>
    </row>
    <row r="15">
      <c r="A15" s="47">
        <v>14.0</v>
      </c>
      <c r="B15" s="47">
        <v>1.0</v>
      </c>
      <c r="D15" s="1" t="str">
        <f t="shared" si="1"/>
        <v>INSERT INTO tblLocker VALUES (14, 1);</v>
      </c>
    </row>
    <row r="16">
      <c r="A16" s="47">
        <v>15.0</v>
      </c>
      <c r="B16" s="47">
        <v>1.0</v>
      </c>
      <c r="D16" s="1" t="str">
        <f t="shared" si="1"/>
        <v>INSERT INTO tblLocker VALUES (15, 1);</v>
      </c>
    </row>
    <row r="17">
      <c r="A17" s="47">
        <v>16.0</v>
      </c>
      <c r="B17" s="47">
        <v>1.0</v>
      </c>
      <c r="D17" s="1" t="str">
        <f t="shared" si="1"/>
        <v>INSERT INTO tblLocker VALUES (16, 1);</v>
      </c>
    </row>
    <row r="18">
      <c r="A18" s="47">
        <v>17.0</v>
      </c>
      <c r="B18" s="47">
        <v>1.0</v>
      </c>
      <c r="D18" s="1" t="str">
        <f t="shared" si="1"/>
        <v>INSERT INTO tblLocker VALUES (17, 1);</v>
      </c>
    </row>
    <row r="19">
      <c r="A19" s="47">
        <v>18.0</v>
      </c>
      <c r="B19" s="47">
        <v>1.0</v>
      </c>
      <c r="D19" s="1" t="str">
        <f t="shared" si="1"/>
        <v>INSERT INTO tblLocker VALUES (18, 1);</v>
      </c>
    </row>
    <row r="20">
      <c r="A20" s="47">
        <v>19.0</v>
      </c>
      <c r="B20" s="47">
        <v>1.0</v>
      </c>
      <c r="D20" s="1" t="str">
        <f t="shared" si="1"/>
        <v>INSERT INTO tblLocker VALUES (19, 1);</v>
      </c>
    </row>
    <row r="21">
      <c r="A21" s="47">
        <v>20.0</v>
      </c>
      <c r="B21" s="47">
        <v>1.0</v>
      </c>
      <c r="D21" s="1" t="str">
        <f t="shared" si="1"/>
        <v>INSERT INTO tblLocker VALUES (20, 1);</v>
      </c>
    </row>
    <row r="22">
      <c r="A22" s="47">
        <v>21.0</v>
      </c>
      <c r="B22" s="47">
        <v>1.0</v>
      </c>
      <c r="D22" s="1" t="str">
        <f t="shared" si="1"/>
        <v>INSERT INTO tblLocker VALUES (21, 1);</v>
      </c>
    </row>
    <row r="23">
      <c r="A23" s="47">
        <v>22.0</v>
      </c>
      <c r="B23" s="47">
        <v>1.0</v>
      </c>
      <c r="D23" s="1" t="str">
        <f t="shared" si="1"/>
        <v>INSERT INTO tblLocker VALUES (22, 1);</v>
      </c>
    </row>
    <row r="24">
      <c r="A24" s="47">
        <v>23.0</v>
      </c>
      <c r="B24" s="47">
        <v>1.0</v>
      </c>
      <c r="D24" s="1" t="str">
        <f t="shared" si="1"/>
        <v>INSERT INTO tblLocker VALUES (23, 1);</v>
      </c>
    </row>
    <row r="25">
      <c r="A25" s="47">
        <v>24.0</v>
      </c>
      <c r="B25" s="47">
        <v>1.0</v>
      </c>
      <c r="D25" s="1" t="str">
        <f t="shared" si="1"/>
        <v>INSERT INTO tblLocker VALUES (24, 1);</v>
      </c>
    </row>
    <row r="26">
      <c r="A26" s="47">
        <v>25.0</v>
      </c>
      <c r="B26" s="47">
        <v>1.0</v>
      </c>
      <c r="D26" s="1" t="str">
        <f t="shared" si="1"/>
        <v>INSERT INTO tblLocker VALUES (25, 1);</v>
      </c>
    </row>
    <row r="27">
      <c r="A27" s="47">
        <v>26.0</v>
      </c>
      <c r="B27" s="47">
        <v>1.0</v>
      </c>
      <c r="D27" s="1" t="str">
        <f t="shared" si="1"/>
        <v>INSERT INTO tblLocker VALUES (26, 1);</v>
      </c>
    </row>
    <row r="28">
      <c r="A28" s="47">
        <v>27.0</v>
      </c>
      <c r="B28" s="47">
        <v>1.0</v>
      </c>
      <c r="D28" s="1" t="str">
        <f t="shared" si="1"/>
        <v>INSERT INTO tblLocker VALUES (27, 1);</v>
      </c>
    </row>
    <row r="29">
      <c r="A29" s="47">
        <v>28.0</v>
      </c>
      <c r="B29" s="47">
        <v>1.0</v>
      </c>
      <c r="D29" s="1" t="str">
        <f t="shared" si="1"/>
        <v>INSERT INTO tblLocker VALUES (28, 1);</v>
      </c>
    </row>
    <row r="30">
      <c r="A30" s="47">
        <v>29.0</v>
      </c>
      <c r="B30" s="47">
        <v>1.0</v>
      </c>
      <c r="D30" s="1" t="str">
        <f t="shared" si="1"/>
        <v>INSERT INTO tblLocker VALUES (29, 1);</v>
      </c>
    </row>
    <row r="31">
      <c r="A31" s="47">
        <v>30.0</v>
      </c>
      <c r="B31" s="47">
        <v>1.0</v>
      </c>
      <c r="D31" s="1" t="str">
        <f t="shared" si="1"/>
        <v>INSERT INTO tblLocker VALUES (30, 1);</v>
      </c>
    </row>
    <row r="32">
      <c r="A32" s="47">
        <v>31.0</v>
      </c>
      <c r="B32" s="47">
        <v>2.0</v>
      </c>
      <c r="D32" s="1" t="str">
        <f t="shared" si="1"/>
        <v>INSERT INTO tblLocker VALUES (31, 2);</v>
      </c>
    </row>
    <row r="33">
      <c r="A33" s="47">
        <v>32.0</v>
      </c>
      <c r="B33" s="47">
        <v>2.0</v>
      </c>
      <c r="D33" s="1" t="str">
        <f t="shared" si="1"/>
        <v>INSERT INTO tblLocker VALUES (32, 2);</v>
      </c>
    </row>
    <row r="34">
      <c r="A34" s="47">
        <v>33.0</v>
      </c>
      <c r="B34" s="47">
        <v>2.0</v>
      </c>
      <c r="D34" s="1" t="str">
        <f t="shared" si="1"/>
        <v>INSERT INTO tblLocker VALUES (33, 2);</v>
      </c>
    </row>
    <row r="35">
      <c r="A35" s="47">
        <v>34.0</v>
      </c>
      <c r="B35" s="47">
        <v>2.0</v>
      </c>
      <c r="D35" s="1" t="str">
        <f t="shared" si="1"/>
        <v>INSERT INTO tblLocker VALUES (34, 2);</v>
      </c>
    </row>
    <row r="36">
      <c r="A36" s="47">
        <v>35.0</v>
      </c>
      <c r="B36" s="47">
        <v>2.0</v>
      </c>
      <c r="D36" s="1" t="str">
        <f t="shared" si="1"/>
        <v>INSERT INTO tblLocker VALUES (35, 2);</v>
      </c>
    </row>
    <row r="37">
      <c r="A37" s="47">
        <v>36.0</v>
      </c>
      <c r="B37" s="47">
        <v>2.0</v>
      </c>
      <c r="D37" s="1" t="str">
        <f t="shared" si="1"/>
        <v>INSERT INTO tblLocker VALUES (36, 2);</v>
      </c>
    </row>
    <row r="38">
      <c r="A38" s="47">
        <v>37.0</v>
      </c>
      <c r="B38" s="47">
        <v>2.0</v>
      </c>
      <c r="D38" s="1" t="str">
        <f t="shared" si="1"/>
        <v>INSERT INTO tblLocker VALUES (37, 2);</v>
      </c>
    </row>
    <row r="39">
      <c r="A39" s="47">
        <v>38.0</v>
      </c>
      <c r="B39" s="47">
        <v>2.0</v>
      </c>
      <c r="D39" s="1" t="str">
        <f t="shared" si="1"/>
        <v>INSERT INTO tblLocker VALUES (38, 2);</v>
      </c>
    </row>
    <row r="40">
      <c r="A40" s="47">
        <v>39.0</v>
      </c>
      <c r="B40" s="47">
        <v>2.0</v>
      </c>
      <c r="D40" s="1" t="str">
        <f t="shared" si="1"/>
        <v>INSERT INTO tblLocker VALUES (39, 2);</v>
      </c>
    </row>
    <row r="41">
      <c r="A41" s="47">
        <v>40.0</v>
      </c>
      <c r="B41" s="47">
        <v>2.0</v>
      </c>
      <c r="D41" s="1" t="str">
        <f t="shared" si="1"/>
        <v>INSERT INTO tblLocker VALUES (40, 2);</v>
      </c>
    </row>
    <row r="42">
      <c r="A42" s="47">
        <v>41.0</v>
      </c>
      <c r="B42" s="47">
        <v>2.0</v>
      </c>
      <c r="D42" s="1" t="str">
        <f t="shared" si="1"/>
        <v>INSERT INTO tblLocker VALUES (41, 2);</v>
      </c>
    </row>
    <row r="43">
      <c r="A43" s="47">
        <v>42.0</v>
      </c>
      <c r="B43" s="47">
        <v>2.0</v>
      </c>
      <c r="D43" s="1" t="str">
        <f t="shared" si="1"/>
        <v>INSERT INTO tblLocker VALUES (42, 2);</v>
      </c>
    </row>
    <row r="44">
      <c r="A44" s="47">
        <v>43.0</v>
      </c>
      <c r="B44" s="47">
        <v>2.0</v>
      </c>
      <c r="D44" s="1" t="str">
        <f t="shared" si="1"/>
        <v>INSERT INTO tblLocker VALUES (43, 2);</v>
      </c>
    </row>
    <row r="45">
      <c r="A45" s="47">
        <v>44.0</v>
      </c>
      <c r="B45" s="47">
        <v>2.0</v>
      </c>
      <c r="D45" s="1" t="str">
        <f t="shared" si="1"/>
        <v>INSERT INTO tblLocker VALUES (44, 2);</v>
      </c>
    </row>
    <row r="46">
      <c r="A46" s="47">
        <v>45.0</v>
      </c>
      <c r="B46" s="47">
        <v>2.0</v>
      </c>
      <c r="D46" s="1" t="str">
        <f t="shared" si="1"/>
        <v>INSERT INTO tblLocker VALUES (45, 2);</v>
      </c>
    </row>
    <row r="47">
      <c r="A47" s="47">
        <v>46.0</v>
      </c>
      <c r="B47" s="47">
        <v>2.0</v>
      </c>
      <c r="D47" s="1" t="str">
        <f t="shared" si="1"/>
        <v>INSERT INTO tblLocker VALUES (46, 2);</v>
      </c>
    </row>
    <row r="48">
      <c r="A48" s="47">
        <v>47.0</v>
      </c>
      <c r="B48" s="47">
        <v>2.0</v>
      </c>
      <c r="D48" s="1" t="str">
        <f t="shared" si="1"/>
        <v>INSERT INTO tblLocker VALUES (47, 2);</v>
      </c>
    </row>
    <row r="49">
      <c r="A49" s="47">
        <v>48.0</v>
      </c>
      <c r="B49" s="47">
        <v>2.0</v>
      </c>
      <c r="D49" s="1" t="str">
        <f t="shared" si="1"/>
        <v>INSERT INTO tblLocker VALUES (48, 2);</v>
      </c>
    </row>
    <row r="50">
      <c r="A50" s="47">
        <v>49.0</v>
      </c>
      <c r="B50" s="47">
        <v>2.0</v>
      </c>
      <c r="D50" s="1" t="str">
        <f t="shared" si="1"/>
        <v>INSERT INTO tblLocker VALUES (49, 2);</v>
      </c>
    </row>
    <row r="51">
      <c r="A51" s="47">
        <v>50.0</v>
      </c>
      <c r="B51" s="47">
        <v>2.0</v>
      </c>
      <c r="D51" s="1" t="str">
        <f t="shared" si="1"/>
        <v>INSERT INTO tblLocker VALUES (50, 2);</v>
      </c>
    </row>
    <row r="52">
      <c r="A52" s="47">
        <v>51.0</v>
      </c>
      <c r="B52" s="47">
        <v>2.0</v>
      </c>
      <c r="D52" s="1" t="str">
        <f t="shared" si="1"/>
        <v>INSERT INTO tblLocker VALUES (51, 2);</v>
      </c>
    </row>
    <row r="53">
      <c r="A53" s="47">
        <v>52.0</v>
      </c>
      <c r="B53" s="47">
        <v>2.0</v>
      </c>
      <c r="D53" s="1" t="str">
        <f t="shared" si="1"/>
        <v>INSERT INTO tblLocker VALUES (52, 2);</v>
      </c>
    </row>
    <row r="54">
      <c r="A54" s="47">
        <v>53.0</v>
      </c>
      <c r="B54" s="47">
        <v>2.0</v>
      </c>
      <c r="D54" s="1" t="str">
        <f t="shared" si="1"/>
        <v>INSERT INTO tblLocker VALUES (53, 2);</v>
      </c>
    </row>
    <row r="55">
      <c r="A55" s="47">
        <v>54.0</v>
      </c>
      <c r="B55" s="47">
        <v>2.0</v>
      </c>
      <c r="D55" s="1" t="str">
        <f t="shared" si="1"/>
        <v>INSERT INTO tblLocker VALUES (54, 2);</v>
      </c>
    </row>
    <row r="56">
      <c r="A56" s="47">
        <v>55.0</v>
      </c>
      <c r="B56" s="47">
        <v>2.0</v>
      </c>
      <c r="D56" s="1" t="str">
        <f t="shared" si="1"/>
        <v>INSERT INTO tblLocker VALUES (55, 2);</v>
      </c>
    </row>
    <row r="57">
      <c r="A57" s="47">
        <v>56.0</v>
      </c>
      <c r="B57" s="47">
        <v>2.0</v>
      </c>
      <c r="D57" s="1" t="str">
        <f t="shared" si="1"/>
        <v>INSERT INTO tblLocker VALUES (56, 2);</v>
      </c>
    </row>
    <row r="58">
      <c r="A58" s="47">
        <v>57.0</v>
      </c>
      <c r="B58" s="47">
        <v>2.0</v>
      </c>
      <c r="D58" s="1" t="str">
        <f t="shared" si="1"/>
        <v>INSERT INTO tblLocker VALUES (57, 2);</v>
      </c>
    </row>
    <row r="59">
      <c r="A59" s="47">
        <v>58.0</v>
      </c>
      <c r="B59" s="47">
        <v>2.0</v>
      </c>
      <c r="D59" s="1" t="str">
        <f t="shared" si="1"/>
        <v>INSERT INTO tblLocker VALUES (58, 2);</v>
      </c>
    </row>
    <row r="60">
      <c r="A60" s="47">
        <v>59.0</v>
      </c>
      <c r="B60" s="47">
        <v>2.0</v>
      </c>
      <c r="D60" s="1" t="str">
        <f t="shared" si="1"/>
        <v>INSERT INTO tblLocker VALUES (59, 2);</v>
      </c>
    </row>
    <row r="61">
      <c r="A61" s="47">
        <v>60.0</v>
      </c>
      <c r="B61" s="47">
        <v>2.0</v>
      </c>
      <c r="D61" s="1" t="str">
        <f t="shared" si="1"/>
        <v>INSERT INTO tblLocker VALUES (60, 2);</v>
      </c>
    </row>
    <row r="62">
      <c r="A62" s="47">
        <v>61.0</v>
      </c>
      <c r="B62" s="47">
        <v>3.0</v>
      </c>
      <c r="D62" s="1" t="str">
        <f t="shared" si="1"/>
        <v>INSERT INTO tblLocker VALUES (61, 3);</v>
      </c>
    </row>
    <row r="63">
      <c r="A63" s="47">
        <v>62.0</v>
      </c>
      <c r="B63" s="47">
        <v>3.0</v>
      </c>
      <c r="D63" s="1" t="str">
        <f t="shared" si="1"/>
        <v>INSERT INTO tblLocker VALUES (62, 3);</v>
      </c>
    </row>
    <row r="64">
      <c r="A64" s="47">
        <v>63.0</v>
      </c>
      <c r="B64" s="47">
        <v>3.0</v>
      </c>
      <c r="D64" s="1" t="str">
        <f t="shared" si="1"/>
        <v>INSERT INTO tblLocker VALUES (63, 3);</v>
      </c>
    </row>
    <row r="65">
      <c r="A65" s="47">
        <v>64.0</v>
      </c>
      <c r="B65" s="47">
        <v>3.0</v>
      </c>
      <c r="D65" s="1" t="str">
        <f t="shared" si="1"/>
        <v>INSERT INTO tblLocker VALUES (64, 3);</v>
      </c>
    </row>
    <row r="66">
      <c r="A66" s="47">
        <v>65.0</v>
      </c>
      <c r="B66" s="47">
        <v>3.0</v>
      </c>
      <c r="D66" s="1" t="str">
        <f t="shared" si="1"/>
        <v>INSERT INTO tblLocker VALUES (65, 3);</v>
      </c>
    </row>
    <row r="67">
      <c r="A67" s="47">
        <v>66.0</v>
      </c>
      <c r="B67" s="47">
        <v>3.0</v>
      </c>
      <c r="D67" s="1" t="str">
        <f t="shared" si="1"/>
        <v>INSERT INTO tblLocker VALUES (66, 3);</v>
      </c>
    </row>
    <row r="68">
      <c r="A68" s="47">
        <v>67.0</v>
      </c>
      <c r="B68" s="47">
        <v>3.0</v>
      </c>
      <c r="D68" s="1" t="str">
        <f t="shared" si="1"/>
        <v>INSERT INTO tblLocker VALUES (67, 3);</v>
      </c>
    </row>
    <row r="69">
      <c r="A69" s="47">
        <v>68.0</v>
      </c>
      <c r="B69" s="47">
        <v>3.0</v>
      </c>
      <c r="D69" s="1" t="str">
        <f t="shared" si="1"/>
        <v>INSERT INTO tblLocker VALUES (68, 3);</v>
      </c>
    </row>
    <row r="70">
      <c r="A70" s="47">
        <v>69.0</v>
      </c>
      <c r="B70" s="47">
        <v>3.0</v>
      </c>
      <c r="D70" s="1" t="str">
        <f t="shared" si="1"/>
        <v>INSERT INTO tblLocker VALUES (69, 3);</v>
      </c>
    </row>
    <row r="71">
      <c r="A71" s="47">
        <v>70.0</v>
      </c>
      <c r="B71" s="47">
        <v>3.0</v>
      </c>
      <c r="D71" s="1" t="str">
        <f t="shared" si="1"/>
        <v>INSERT INTO tblLocker VALUES (70, 3);</v>
      </c>
    </row>
    <row r="72">
      <c r="A72" s="47">
        <v>71.0</v>
      </c>
      <c r="B72" s="47">
        <v>3.0</v>
      </c>
      <c r="D72" s="1" t="str">
        <f t="shared" si="1"/>
        <v>INSERT INTO tblLocker VALUES (71, 3);</v>
      </c>
    </row>
    <row r="73">
      <c r="A73" s="47">
        <v>72.0</v>
      </c>
      <c r="B73" s="47">
        <v>3.0</v>
      </c>
      <c r="D73" s="1" t="str">
        <f t="shared" si="1"/>
        <v>INSERT INTO tblLocker VALUES (72, 3);</v>
      </c>
    </row>
    <row r="74">
      <c r="A74" s="47">
        <v>73.0</v>
      </c>
      <c r="B74" s="47">
        <v>3.0</v>
      </c>
      <c r="D74" s="1" t="str">
        <f t="shared" si="1"/>
        <v>INSERT INTO tblLocker VALUES (73, 3);</v>
      </c>
    </row>
    <row r="75">
      <c r="A75" s="47">
        <v>74.0</v>
      </c>
      <c r="B75" s="47">
        <v>3.0</v>
      </c>
      <c r="D75" s="1" t="str">
        <f t="shared" si="1"/>
        <v>INSERT INTO tblLocker VALUES (74, 3);</v>
      </c>
    </row>
    <row r="76">
      <c r="A76" s="47">
        <v>75.0</v>
      </c>
      <c r="B76" s="47">
        <v>3.0</v>
      </c>
      <c r="D76" s="1" t="str">
        <f t="shared" si="1"/>
        <v>INSERT INTO tblLocker VALUES (75, 3);</v>
      </c>
    </row>
    <row r="77">
      <c r="A77" s="47">
        <v>76.0</v>
      </c>
      <c r="B77" s="47">
        <v>3.0</v>
      </c>
      <c r="D77" s="1" t="str">
        <f t="shared" si="1"/>
        <v>INSERT INTO tblLocker VALUES (76, 3);</v>
      </c>
    </row>
    <row r="78">
      <c r="A78" s="47">
        <v>77.0</v>
      </c>
      <c r="B78" s="47">
        <v>3.0</v>
      </c>
      <c r="D78" s="1" t="str">
        <f t="shared" si="1"/>
        <v>INSERT INTO tblLocker VALUES (77, 3);</v>
      </c>
    </row>
    <row r="79">
      <c r="A79" s="47">
        <v>78.0</v>
      </c>
      <c r="B79" s="47">
        <v>3.0</v>
      </c>
      <c r="D79" s="1" t="str">
        <f t="shared" si="1"/>
        <v>INSERT INTO tblLocker VALUES (78, 3);</v>
      </c>
    </row>
    <row r="80">
      <c r="A80" s="47">
        <v>79.0</v>
      </c>
      <c r="B80" s="47">
        <v>3.0</v>
      </c>
      <c r="D80" s="1" t="str">
        <f t="shared" si="1"/>
        <v>INSERT INTO tblLocker VALUES (79, 3);</v>
      </c>
    </row>
    <row r="81">
      <c r="A81" s="47">
        <v>80.0</v>
      </c>
      <c r="B81" s="47">
        <v>3.0</v>
      </c>
      <c r="D81" s="1" t="str">
        <f t="shared" si="1"/>
        <v>INSERT INTO tblLocker VALUES (80, 3);</v>
      </c>
    </row>
    <row r="82">
      <c r="A82" s="47">
        <v>81.0</v>
      </c>
      <c r="B82" s="47">
        <v>3.0</v>
      </c>
      <c r="D82" s="1" t="str">
        <f t="shared" si="1"/>
        <v>INSERT INTO tblLocker VALUES (81, 3);</v>
      </c>
    </row>
    <row r="83">
      <c r="A83" s="47">
        <v>82.0</v>
      </c>
      <c r="B83" s="47">
        <v>3.0</v>
      </c>
      <c r="D83" s="1" t="str">
        <f t="shared" si="1"/>
        <v>INSERT INTO tblLocker VALUES (82, 3);</v>
      </c>
    </row>
    <row r="84">
      <c r="A84" s="47">
        <v>83.0</v>
      </c>
      <c r="B84" s="47">
        <v>3.0</v>
      </c>
      <c r="D84" s="1" t="str">
        <f t="shared" si="1"/>
        <v>INSERT INTO tblLocker VALUES (83, 3);</v>
      </c>
    </row>
    <row r="85">
      <c r="A85" s="47">
        <v>84.0</v>
      </c>
      <c r="B85" s="47">
        <v>3.0</v>
      </c>
      <c r="D85" s="1" t="str">
        <f t="shared" si="1"/>
        <v>INSERT INTO tblLocker VALUES (84, 3);</v>
      </c>
    </row>
    <row r="86">
      <c r="A86" s="47">
        <v>85.0</v>
      </c>
      <c r="B86" s="47">
        <v>3.0</v>
      </c>
      <c r="D86" s="1" t="str">
        <f t="shared" si="1"/>
        <v>INSERT INTO tblLocker VALUES (85, 3);</v>
      </c>
    </row>
    <row r="87">
      <c r="A87" s="47">
        <v>86.0</v>
      </c>
      <c r="B87" s="47">
        <v>3.0</v>
      </c>
      <c r="D87" s="1" t="str">
        <f t="shared" si="1"/>
        <v>INSERT INTO tblLocker VALUES (86, 3);</v>
      </c>
    </row>
    <row r="88">
      <c r="A88" s="47">
        <v>87.0</v>
      </c>
      <c r="B88" s="47">
        <v>3.0</v>
      </c>
      <c r="D88" s="1" t="str">
        <f t="shared" si="1"/>
        <v>INSERT INTO tblLocker VALUES (87, 3);</v>
      </c>
    </row>
    <row r="89">
      <c r="A89" s="47">
        <v>88.0</v>
      </c>
      <c r="B89" s="47">
        <v>3.0</v>
      </c>
      <c r="D89" s="1" t="str">
        <f t="shared" si="1"/>
        <v>INSERT INTO tblLocker VALUES (88, 3);</v>
      </c>
    </row>
    <row r="90">
      <c r="A90" s="47">
        <v>89.0</v>
      </c>
      <c r="B90" s="47">
        <v>3.0</v>
      </c>
      <c r="D90" s="1" t="str">
        <f t="shared" si="1"/>
        <v>INSERT INTO tblLocker VALUES (89, 3);</v>
      </c>
    </row>
    <row r="91">
      <c r="A91" s="47">
        <v>90.0</v>
      </c>
      <c r="B91" s="47">
        <v>3.0</v>
      </c>
      <c r="D91" s="1" t="str">
        <f t="shared" si="1"/>
        <v>INSERT INTO tblLocker VALUES (90, 3);</v>
      </c>
    </row>
    <row r="92">
      <c r="A92" s="47">
        <v>91.0</v>
      </c>
      <c r="B92" s="47">
        <v>4.0</v>
      </c>
      <c r="D92" s="1" t="str">
        <f t="shared" si="1"/>
        <v>INSERT INTO tblLocker VALUES (91, 4);</v>
      </c>
    </row>
    <row r="93">
      <c r="A93" s="47">
        <v>92.0</v>
      </c>
      <c r="B93" s="47">
        <v>4.0</v>
      </c>
      <c r="D93" s="1" t="str">
        <f t="shared" si="1"/>
        <v>INSERT INTO tblLocker VALUES (92, 4);</v>
      </c>
    </row>
    <row r="94">
      <c r="A94" s="47">
        <v>93.0</v>
      </c>
      <c r="B94" s="47">
        <v>4.0</v>
      </c>
      <c r="D94" s="1" t="str">
        <f t="shared" si="1"/>
        <v>INSERT INTO tblLocker VALUES (93, 4);</v>
      </c>
    </row>
    <row r="95">
      <c r="A95" s="47">
        <v>94.0</v>
      </c>
      <c r="B95" s="47">
        <v>4.0</v>
      </c>
      <c r="D95" s="1" t="str">
        <f t="shared" si="1"/>
        <v>INSERT INTO tblLocker VALUES (94, 4);</v>
      </c>
    </row>
    <row r="96">
      <c r="A96" s="47">
        <v>95.0</v>
      </c>
      <c r="B96" s="47">
        <v>4.0</v>
      </c>
      <c r="D96" s="1" t="str">
        <f t="shared" si="1"/>
        <v>INSERT INTO tblLocker VALUES (95, 4);</v>
      </c>
    </row>
    <row r="97">
      <c r="A97" s="47">
        <v>96.0</v>
      </c>
      <c r="B97" s="47">
        <v>4.0</v>
      </c>
      <c r="D97" s="1" t="str">
        <f t="shared" si="1"/>
        <v>INSERT INTO tblLocker VALUES (96, 4);</v>
      </c>
    </row>
    <row r="98">
      <c r="A98" s="47">
        <v>97.0</v>
      </c>
      <c r="B98" s="47">
        <v>4.0</v>
      </c>
      <c r="D98" s="1" t="str">
        <f t="shared" si="1"/>
        <v>INSERT INTO tblLocker VALUES (97, 4);</v>
      </c>
    </row>
    <row r="99">
      <c r="A99" s="47">
        <v>98.0</v>
      </c>
      <c r="B99" s="47">
        <v>4.0</v>
      </c>
      <c r="D99" s="1" t="str">
        <f t="shared" si="1"/>
        <v>INSERT INTO tblLocker VALUES (98, 4);</v>
      </c>
    </row>
    <row r="100">
      <c r="A100" s="47">
        <v>99.0</v>
      </c>
      <c r="B100" s="47">
        <v>4.0</v>
      </c>
      <c r="D100" s="1" t="str">
        <f t="shared" si="1"/>
        <v>INSERT INTO tblLocker VALUES (99, 4);</v>
      </c>
    </row>
    <row r="101">
      <c r="A101" s="47">
        <v>100.0</v>
      </c>
      <c r="B101" s="47">
        <v>4.0</v>
      </c>
      <c r="D101" s="1" t="str">
        <f t="shared" si="1"/>
        <v>INSERT INTO tblLocker VALUES (100, 4);</v>
      </c>
    </row>
    <row r="102">
      <c r="A102" s="47">
        <v>101.0</v>
      </c>
      <c r="B102" s="47">
        <v>4.0</v>
      </c>
      <c r="D102" s="1" t="str">
        <f t="shared" si="1"/>
        <v>INSERT INTO tblLocker VALUES (101, 4);</v>
      </c>
    </row>
    <row r="103">
      <c r="A103" s="47">
        <v>102.0</v>
      </c>
      <c r="B103" s="47">
        <v>4.0</v>
      </c>
      <c r="D103" s="1" t="str">
        <f t="shared" si="1"/>
        <v>INSERT INTO tblLocker VALUES (102, 4);</v>
      </c>
    </row>
    <row r="104">
      <c r="A104" s="47">
        <v>103.0</v>
      </c>
      <c r="B104" s="47">
        <v>4.0</v>
      </c>
      <c r="D104" s="1" t="str">
        <f t="shared" si="1"/>
        <v>INSERT INTO tblLocker VALUES (103, 4);</v>
      </c>
    </row>
    <row r="105">
      <c r="A105" s="47">
        <v>104.0</v>
      </c>
      <c r="B105" s="47">
        <v>4.0</v>
      </c>
      <c r="D105" s="1" t="str">
        <f t="shared" si="1"/>
        <v>INSERT INTO tblLocker VALUES (104, 4);</v>
      </c>
    </row>
    <row r="106">
      <c r="A106" s="47">
        <v>105.0</v>
      </c>
      <c r="B106" s="47">
        <v>4.0</v>
      </c>
      <c r="D106" s="1" t="str">
        <f t="shared" si="1"/>
        <v>INSERT INTO tblLocker VALUES (105, 4);</v>
      </c>
    </row>
    <row r="107">
      <c r="A107" s="47">
        <v>106.0</v>
      </c>
      <c r="B107" s="47">
        <v>4.0</v>
      </c>
      <c r="D107" s="1" t="str">
        <f t="shared" si="1"/>
        <v>INSERT INTO tblLocker VALUES (106, 4);</v>
      </c>
    </row>
    <row r="108">
      <c r="A108" s="47">
        <v>107.0</v>
      </c>
      <c r="B108" s="47">
        <v>4.0</v>
      </c>
      <c r="D108" s="1" t="str">
        <f t="shared" si="1"/>
        <v>INSERT INTO tblLocker VALUES (107, 4);</v>
      </c>
    </row>
    <row r="109">
      <c r="A109" s="47">
        <v>108.0</v>
      </c>
      <c r="B109" s="47">
        <v>4.0</v>
      </c>
      <c r="D109" s="1" t="str">
        <f t="shared" si="1"/>
        <v>INSERT INTO tblLocker VALUES (108, 4);</v>
      </c>
    </row>
    <row r="110">
      <c r="A110" s="47">
        <v>109.0</v>
      </c>
      <c r="B110" s="47">
        <v>4.0</v>
      </c>
      <c r="D110" s="1" t="str">
        <f t="shared" si="1"/>
        <v>INSERT INTO tblLocker VALUES (109, 4);</v>
      </c>
    </row>
    <row r="111">
      <c r="A111" s="47">
        <v>110.0</v>
      </c>
      <c r="B111" s="47">
        <v>4.0</v>
      </c>
      <c r="D111" s="1" t="str">
        <f t="shared" si="1"/>
        <v>INSERT INTO tblLocker VALUES (110, 4);</v>
      </c>
    </row>
    <row r="112">
      <c r="A112" s="47">
        <v>111.0</v>
      </c>
      <c r="B112" s="47">
        <v>4.0</v>
      </c>
      <c r="D112" s="1" t="str">
        <f t="shared" si="1"/>
        <v>INSERT INTO tblLocker VALUES (111, 4);</v>
      </c>
    </row>
    <row r="113">
      <c r="A113" s="47">
        <v>112.0</v>
      </c>
      <c r="B113" s="47">
        <v>4.0</v>
      </c>
      <c r="D113" s="1" t="str">
        <f t="shared" si="1"/>
        <v>INSERT INTO tblLocker VALUES (112, 4);</v>
      </c>
    </row>
    <row r="114">
      <c r="A114" s="47">
        <v>113.0</v>
      </c>
      <c r="B114" s="47">
        <v>4.0</v>
      </c>
      <c r="D114" s="1" t="str">
        <f t="shared" si="1"/>
        <v>INSERT INTO tblLocker VALUES (113, 4);</v>
      </c>
    </row>
    <row r="115">
      <c r="A115" s="47">
        <v>114.0</v>
      </c>
      <c r="B115" s="47">
        <v>4.0</v>
      </c>
      <c r="D115" s="1" t="str">
        <f t="shared" si="1"/>
        <v>INSERT INTO tblLocker VALUES (114, 4);</v>
      </c>
    </row>
    <row r="116">
      <c r="A116" s="47">
        <v>115.0</v>
      </c>
      <c r="B116" s="47">
        <v>4.0</v>
      </c>
      <c r="D116" s="1" t="str">
        <f t="shared" si="1"/>
        <v>INSERT INTO tblLocker VALUES (115, 4);</v>
      </c>
    </row>
    <row r="117">
      <c r="A117" s="47">
        <v>116.0</v>
      </c>
      <c r="B117" s="47">
        <v>4.0</v>
      </c>
      <c r="D117" s="1" t="str">
        <f t="shared" si="1"/>
        <v>INSERT INTO tblLocker VALUES (116, 4);</v>
      </c>
    </row>
    <row r="118">
      <c r="A118" s="47">
        <v>117.0</v>
      </c>
      <c r="B118" s="47">
        <v>5.0</v>
      </c>
      <c r="D118" s="1" t="str">
        <f t="shared" si="1"/>
        <v>INSERT INTO tblLocker VALUES (117, 5);</v>
      </c>
    </row>
    <row r="119">
      <c r="A119" s="47">
        <v>118.0</v>
      </c>
      <c r="B119" s="47">
        <v>5.0</v>
      </c>
      <c r="D119" s="1" t="str">
        <f t="shared" si="1"/>
        <v>INSERT INTO tblLocker VALUES (118, 5);</v>
      </c>
    </row>
    <row r="120">
      <c r="A120" s="47">
        <v>119.0</v>
      </c>
      <c r="B120" s="47">
        <v>5.0</v>
      </c>
      <c r="D120" s="1" t="str">
        <f t="shared" si="1"/>
        <v>INSERT INTO tblLocker VALUES (119, 5);</v>
      </c>
    </row>
    <row r="121">
      <c r="A121" s="47">
        <v>120.0</v>
      </c>
      <c r="B121" s="47">
        <v>5.0</v>
      </c>
      <c r="D121" s="1" t="str">
        <f t="shared" si="1"/>
        <v>INSERT INTO tblLocker VALUES (120, 5);</v>
      </c>
    </row>
    <row r="122">
      <c r="A122" s="47">
        <v>121.0</v>
      </c>
      <c r="B122" s="47">
        <v>5.0</v>
      </c>
      <c r="D122" s="1" t="str">
        <f t="shared" si="1"/>
        <v>INSERT INTO tblLocker VALUES (121, 5);</v>
      </c>
    </row>
    <row r="123">
      <c r="A123" s="47">
        <v>122.0</v>
      </c>
      <c r="B123" s="47">
        <v>5.0</v>
      </c>
      <c r="D123" s="1" t="str">
        <f t="shared" si="1"/>
        <v>INSERT INTO tblLocker VALUES (122, 5);</v>
      </c>
    </row>
    <row r="124">
      <c r="A124" s="47">
        <v>123.0</v>
      </c>
      <c r="B124" s="47">
        <v>5.0</v>
      </c>
      <c r="D124" s="1" t="str">
        <f t="shared" si="1"/>
        <v>INSERT INTO tblLocker VALUES (123, 5);</v>
      </c>
    </row>
    <row r="125">
      <c r="A125" s="47">
        <v>124.0</v>
      </c>
      <c r="B125" s="47">
        <v>5.0</v>
      </c>
      <c r="D125" s="1" t="str">
        <f t="shared" si="1"/>
        <v>INSERT INTO tblLocker VALUES (124, 5);</v>
      </c>
    </row>
    <row r="126">
      <c r="A126" s="47">
        <v>125.0</v>
      </c>
      <c r="B126" s="47">
        <v>5.0</v>
      </c>
      <c r="D126" s="1" t="str">
        <f t="shared" si="1"/>
        <v>INSERT INTO tblLocker VALUES (125, 5);</v>
      </c>
    </row>
    <row r="127">
      <c r="A127" s="47">
        <v>126.0</v>
      </c>
      <c r="B127" s="47">
        <v>5.0</v>
      </c>
      <c r="D127" s="1" t="str">
        <f t="shared" si="1"/>
        <v>INSERT INTO tblLocker VALUES (126, 5);</v>
      </c>
    </row>
    <row r="128">
      <c r="A128" s="47">
        <v>127.0</v>
      </c>
      <c r="B128" s="47">
        <v>5.0</v>
      </c>
      <c r="D128" s="1" t="str">
        <f t="shared" si="1"/>
        <v>INSERT INTO tblLocker VALUES (127, 5);</v>
      </c>
    </row>
    <row r="129">
      <c r="A129" s="47">
        <v>128.0</v>
      </c>
      <c r="B129" s="47">
        <v>5.0</v>
      </c>
      <c r="D129" s="1" t="str">
        <f t="shared" si="1"/>
        <v>INSERT INTO tblLocker VALUES (128, 5);</v>
      </c>
    </row>
    <row r="130">
      <c r="A130" s="47">
        <v>129.0</v>
      </c>
      <c r="B130" s="47">
        <v>5.0</v>
      </c>
      <c r="D130" s="1" t="str">
        <f t="shared" si="1"/>
        <v>INSERT INTO tblLocker VALUES (129, 5);</v>
      </c>
    </row>
    <row r="131">
      <c r="A131" s="47">
        <v>130.0</v>
      </c>
      <c r="B131" s="47">
        <v>5.0</v>
      </c>
      <c r="D131" s="1" t="str">
        <f t="shared" si="1"/>
        <v>INSERT INTO tblLocker VALUES (130, 5);</v>
      </c>
    </row>
    <row r="132">
      <c r="A132" s="47">
        <v>131.0</v>
      </c>
      <c r="B132" s="47">
        <v>5.0</v>
      </c>
      <c r="D132" s="1" t="str">
        <f t="shared" si="1"/>
        <v>INSERT INTO tblLocker VALUES (131, 5);</v>
      </c>
    </row>
    <row r="133">
      <c r="A133" s="47">
        <v>132.0</v>
      </c>
      <c r="B133" s="47">
        <v>5.0</v>
      </c>
      <c r="D133" s="1" t="str">
        <f t="shared" si="1"/>
        <v>INSERT INTO tblLocker VALUES (132, 5);</v>
      </c>
    </row>
    <row r="134">
      <c r="A134" s="47">
        <v>133.0</v>
      </c>
      <c r="B134" s="47">
        <v>5.0</v>
      </c>
      <c r="D134" s="1" t="str">
        <f t="shared" si="1"/>
        <v>INSERT INTO tblLocker VALUES (133, 5);</v>
      </c>
    </row>
    <row r="135">
      <c r="A135" s="47">
        <v>134.0</v>
      </c>
      <c r="B135" s="47">
        <v>5.0</v>
      </c>
      <c r="D135" s="1" t="str">
        <f t="shared" si="1"/>
        <v>INSERT INTO tblLocker VALUES (134, 5);</v>
      </c>
    </row>
    <row r="136">
      <c r="A136" s="47">
        <v>135.0</v>
      </c>
      <c r="B136" s="47">
        <v>5.0</v>
      </c>
      <c r="D136" s="1" t="str">
        <f t="shared" si="1"/>
        <v>INSERT INTO tblLocker VALUES (135, 5);</v>
      </c>
    </row>
    <row r="137">
      <c r="A137" s="47">
        <v>136.0</v>
      </c>
      <c r="B137" s="47">
        <v>5.0</v>
      </c>
      <c r="D137" s="1" t="str">
        <f t="shared" si="1"/>
        <v>INSERT INTO tblLocker VALUES (136, 5);</v>
      </c>
    </row>
    <row r="138">
      <c r="A138" s="47">
        <v>137.0</v>
      </c>
      <c r="B138" s="47">
        <v>5.0</v>
      </c>
      <c r="D138" s="1" t="str">
        <f t="shared" si="1"/>
        <v>INSERT INTO tblLocker VALUES (137, 5);</v>
      </c>
    </row>
    <row r="139">
      <c r="A139" s="47">
        <v>138.0</v>
      </c>
      <c r="B139" s="47">
        <v>5.0</v>
      </c>
      <c r="D139" s="1" t="str">
        <f t="shared" si="1"/>
        <v>INSERT INTO tblLocker VALUES (138, 5);</v>
      </c>
    </row>
    <row r="140">
      <c r="A140" s="47">
        <v>139.0</v>
      </c>
      <c r="B140" s="47">
        <v>5.0</v>
      </c>
      <c r="D140" s="1" t="str">
        <f t="shared" si="1"/>
        <v>INSERT INTO tblLocker VALUES (139, 5);</v>
      </c>
    </row>
    <row r="141">
      <c r="A141" s="47">
        <v>140.0</v>
      </c>
      <c r="B141" s="47">
        <v>5.0</v>
      </c>
      <c r="D141" s="1" t="str">
        <f t="shared" si="1"/>
        <v>INSERT INTO tblLocker VALUES (140, 5);</v>
      </c>
    </row>
    <row r="142">
      <c r="A142" s="47">
        <v>141.0</v>
      </c>
      <c r="B142" s="47">
        <v>5.0</v>
      </c>
      <c r="D142" s="1" t="str">
        <f t="shared" si="1"/>
        <v>INSERT INTO tblLocker VALUES (141, 5);</v>
      </c>
    </row>
    <row r="143">
      <c r="A143" s="47">
        <v>142.0</v>
      </c>
      <c r="B143" s="47">
        <v>5.0</v>
      </c>
      <c r="D143" s="1" t="str">
        <f t="shared" si="1"/>
        <v>INSERT INTO tblLocker VALUES (142, 5);</v>
      </c>
    </row>
    <row r="144">
      <c r="A144" s="47">
        <v>143.0</v>
      </c>
      <c r="B144" s="47">
        <v>6.0</v>
      </c>
      <c r="D144" s="1" t="str">
        <f t="shared" si="1"/>
        <v>INSERT INTO tblLocker VALUES (143, 6);</v>
      </c>
    </row>
    <row r="145">
      <c r="A145" s="47">
        <v>144.0</v>
      </c>
      <c r="B145" s="47">
        <v>6.0</v>
      </c>
      <c r="D145" s="1" t="str">
        <f t="shared" si="1"/>
        <v>INSERT INTO tblLocker VALUES (144, 6);</v>
      </c>
    </row>
    <row r="146">
      <c r="A146" s="47">
        <v>145.0</v>
      </c>
      <c r="B146" s="47">
        <v>6.0</v>
      </c>
      <c r="D146" s="1" t="str">
        <f t="shared" si="1"/>
        <v>INSERT INTO tblLocker VALUES (145, 6);</v>
      </c>
    </row>
    <row r="147">
      <c r="A147" s="47">
        <v>146.0</v>
      </c>
      <c r="B147" s="47">
        <v>6.0</v>
      </c>
      <c r="D147" s="1" t="str">
        <f t="shared" si="1"/>
        <v>INSERT INTO tblLocker VALUES (146, 6);</v>
      </c>
    </row>
    <row r="148">
      <c r="A148" s="47">
        <v>147.0</v>
      </c>
      <c r="B148" s="47">
        <v>6.0</v>
      </c>
      <c r="D148" s="1" t="str">
        <f t="shared" si="1"/>
        <v>INSERT INTO tblLocker VALUES (147, 6);</v>
      </c>
    </row>
    <row r="149">
      <c r="A149" s="47">
        <v>148.0</v>
      </c>
      <c r="B149" s="47">
        <v>6.0</v>
      </c>
      <c r="D149" s="1" t="str">
        <f t="shared" si="1"/>
        <v>INSERT INTO tblLocker VALUES (148, 6);</v>
      </c>
    </row>
    <row r="150">
      <c r="A150" s="47">
        <v>149.0</v>
      </c>
      <c r="B150" s="47">
        <v>6.0</v>
      </c>
      <c r="D150" s="1" t="str">
        <f t="shared" si="1"/>
        <v>INSERT INTO tblLocker VALUES (149, 6);</v>
      </c>
    </row>
    <row r="151">
      <c r="A151" s="47">
        <v>150.0</v>
      </c>
      <c r="B151" s="47">
        <v>6.0</v>
      </c>
      <c r="D151" s="1" t="str">
        <f t="shared" si="1"/>
        <v>INSERT INTO tblLocker VALUES (150, 6);</v>
      </c>
    </row>
    <row r="152">
      <c r="A152" s="47">
        <v>151.0</v>
      </c>
      <c r="B152" s="47">
        <v>6.0</v>
      </c>
      <c r="D152" s="1" t="str">
        <f t="shared" si="1"/>
        <v>INSERT INTO tblLocker VALUES (151, 6);</v>
      </c>
    </row>
    <row r="153">
      <c r="A153" s="47">
        <v>152.0</v>
      </c>
      <c r="B153" s="47">
        <v>6.0</v>
      </c>
      <c r="D153" s="1" t="str">
        <f t="shared" si="1"/>
        <v>INSERT INTO tblLocker VALUES (152, 6);</v>
      </c>
    </row>
    <row r="154">
      <c r="A154" s="47">
        <v>153.0</v>
      </c>
      <c r="B154" s="47">
        <v>6.0</v>
      </c>
      <c r="D154" s="1" t="str">
        <f t="shared" si="1"/>
        <v>INSERT INTO tblLocker VALUES (153, 6);</v>
      </c>
    </row>
    <row r="155">
      <c r="A155" s="47">
        <v>154.0</v>
      </c>
      <c r="B155" s="47">
        <v>6.0</v>
      </c>
      <c r="D155" s="1" t="str">
        <f t="shared" si="1"/>
        <v>INSERT INTO tblLocker VALUES (154, 6);</v>
      </c>
    </row>
    <row r="156">
      <c r="A156" s="47">
        <v>155.0</v>
      </c>
      <c r="B156" s="47">
        <v>6.0</v>
      </c>
      <c r="D156" s="1" t="str">
        <f t="shared" si="1"/>
        <v>INSERT INTO tblLocker VALUES (155, 6);</v>
      </c>
    </row>
    <row r="157">
      <c r="A157" s="47">
        <v>156.0</v>
      </c>
      <c r="B157" s="47">
        <v>6.0</v>
      </c>
      <c r="D157" s="1" t="str">
        <f t="shared" si="1"/>
        <v>INSERT INTO tblLocker VALUES (156, 6);</v>
      </c>
    </row>
    <row r="158">
      <c r="A158" s="47">
        <v>157.0</v>
      </c>
      <c r="B158" s="47">
        <v>6.0</v>
      </c>
      <c r="D158" s="1" t="str">
        <f t="shared" si="1"/>
        <v>INSERT INTO tblLocker VALUES (157, 6);</v>
      </c>
    </row>
    <row r="159">
      <c r="A159" s="47">
        <v>158.0</v>
      </c>
      <c r="B159" s="47">
        <v>6.0</v>
      </c>
      <c r="D159" s="1" t="str">
        <f t="shared" si="1"/>
        <v>INSERT INTO tblLocker VALUES (158, 6);</v>
      </c>
    </row>
    <row r="160">
      <c r="A160" s="47">
        <v>159.0</v>
      </c>
      <c r="B160" s="47">
        <v>6.0</v>
      </c>
      <c r="D160" s="1" t="str">
        <f t="shared" si="1"/>
        <v>INSERT INTO tblLocker VALUES (159, 6);</v>
      </c>
    </row>
    <row r="161">
      <c r="A161" s="47">
        <v>160.0</v>
      </c>
      <c r="B161" s="47">
        <v>6.0</v>
      </c>
      <c r="D161" s="1" t="str">
        <f t="shared" si="1"/>
        <v>INSERT INTO tblLocker VALUES (160, 6);</v>
      </c>
    </row>
    <row r="162">
      <c r="A162" s="47">
        <v>161.0</v>
      </c>
      <c r="B162" s="47">
        <v>6.0</v>
      </c>
      <c r="D162" s="1" t="str">
        <f t="shared" si="1"/>
        <v>INSERT INTO tblLocker VALUES (161, 6);</v>
      </c>
    </row>
    <row r="163">
      <c r="A163" s="47">
        <v>162.0</v>
      </c>
      <c r="B163" s="47">
        <v>6.0</v>
      </c>
      <c r="D163" s="1" t="str">
        <f t="shared" si="1"/>
        <v>INSERT INTO tblLocker VALUES (162, 6);</v>
      </c>
    </row>
    <row r="164">
      <c r="A164" s="47">
        <v>163.0</v>
      </c>
      <c r="B164" s="47">
        <v>6.0</v>
      </c>
      <c r="D164" s="1" t="str">
        <f t="shared" si="1"/>
        <v>INSERT INTO tblLocker VALUES (163, 6);</v>
      </c>
    </row>
    <row r="165">
      <c r="A165" s="47">
        <v>164.0</v>
      </c>
      <c r="B165" s="47">
        <v>6.0</v>
      </c>
      <c r="D165" s="1" t="str">
        <f t="shared" si="1"/>
        <v>INSERT INTO tblLocker VALUES (164, 6);</v>
      </c>
    </row>
    <row r="166">
      <c r="A166" s="47">
        <v>165.0</v>
      </c>
      <c r="B166" s="47">
        <v>6.0</v>
      </c>
      <c r="D166" s="1" t="str">
        <f t="shared" si="1"/>
        <v>INSERT INTO tblLocker VALUES (165, 6);</v>
      </c>
    </row>
    <row r="167">
      <c r="A167" s="47">
        <v>166.0</v>
      </c>
      <c r="B167" s="47">
        <v>6.0</v>
      </c>
      <c r="D167" s="1" t="str">
        <f t="shared" si="1"/>
        <v>INSERT INTO tblLocker VALUES (166, 6);</v>
      </c>
    </row>
    <row r="168">
      <c r="A168" s="47">
        <v>167.0</v>
      </c>
      <c r="B168" s="47">
        <v>6.0</v>
      </c>
      <c r="D168" s="1" t="str">
        <f t="shared" si="1"/>
        <v>INSERT INTO tblLocker VALUES (167, 6);</v>
      </c>
    </row>
    <row r="169">
      <c r="A169" s="47">
        <v>168.0</v>
      </c>
      <c r="B169" s="47">
        <v>6.0</v>
      </c>
      <c r="D169" s="1" t="str">
        <f t="shared" si="1"/>
        <v>INSERT INTO tblLocker VALUES (168, 6);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</cols>
  <sheetData>
    <row r="1">
      <c r="A1" s="1" t="s">
        <v>307</v>
      </c>
      <c r="B1" s="1" t="s">
        <v>368</v>
      </c>
      <c r="C1" s="1" t="s">
        <v>369</v>
      </c>
      <c r="D1" s="1" t="s">
        <v>370</v>
      </c>
      <c r="E1" s="1" t="s">
        <v>371</v>
      </c>
    </row>
    <row r="2">
      <c r="A2" s="1" t="s">
        <v>372</v>
      </c>
      <c r="B2" s="1" t="s">
        <v>373</v>
      </c>
      <c r="C2" s="1" t="s">
        <v>374</v>
      </c>
      <c r="D2" s="1">
        <v>16.0</v>
      </c>
      <c r="E2" s="1">
        <v>1.0</v>
      </c>
      <c r="H2" s="2" t="str">
        <f t="shared" ref="H2:H41" si="1"> "INSERT INTO tblSubject VALUES (" &amp; A2 &amp; ", '" &amp; B2 &amp; "', '" &amp; C2 &amp; "', " &amp; D2 &amp; ");"</f>
        <v>INSERT INTO tblSubject VALUES (seqSubject.nextval, 'Java', '공통', 16);</v>
      </c>
    </row>
    <row r="3">
      <c r="A3" s="1" t="s">
        <v>372</v>
      </c>
      <c r="B3" s="1" t="s">
        <v>375</v>
      </c>
      <c r="C3" s="1" t="s">
        <v>374</v>
      </c>
      <c r="D3" s="1">
        <v>16.0</v>
      </c>
      <c r="E3" s="1">
        <v>2.0</v>
      </c>
      <c r="H3" s="2" t="str">
        <f t="shared" si="1"/>
        <v>INSERT INTO tblSubject VALUES (seqSubject.nextval, 'Oracle', '공통', 16);</v>
      </c>
    </row>
    <row r="4">
      <c r="A4" s="1" t="s">
        <v>372</v>
      </c>
      <c r="B4" s="1" t="s">
        <v>376</v>
      </c>
      <c r="C4" s="1" t="s">
        <v>374</v>
      </c>
      <c r="D4" s="1">
        <v>17.0</v>
      </c>
      <c r="E4" s="1">
        <v>3.0</v>
      </c>
      <c r="H4" s="2" t="str">
        <f t="shared" si="1"/>
        <v>INSERT INTO tblSubject VALUES (seqSubject.nextval, 'JDBC', '공통', 17);</v>
      </c>
    </row>
    <row r="5">
      <c r="A5" s="1" t="s">
        <v>372</v>
      </c>
      <c r="B5" s="1" t="s">
        <v>377</v>
      </c>
      <c r="C5" s="1" t="s">
        <v>374</v>
      </c>
      <c r="D5" s="1">
        <v>18.0</v>
      </c>
      <c r="E5" s="1">
        <v>4.0</v>
      </c>
      <c r="H5" s="2" t="str">
        <f t="shared" si="1"/>
        <v>INSERT INTO tblSubject VALUES (seqSubject.nextval, 'HTML', '공통', 18);</v>
      </c>
    </row>
    <row r="6">
      <c r="A6" s="1" t="s">
        <v>372</v>
      </c>
      <c r="B6" s="1" t="s">
        <v>378</v>
      </c>
      <c r="C6" s="1" t="s">
        <v>374</v>
      </c>
      <c r="D6" s="1">
        <v>18.0</v>
      </c>
      <c r="E6" s="1">
        <v>5.0</v>
      </c>
      <c r="H6" s="2" t="str">
        <f t="shared" si="1"/>
        <v>INSERT INTO tblSubject VALUES (seqSubject.nextval, 'CSS', '공통', 18);</v>
      </c>
    </row>
    <row r="7">
      <c r="A7" s="1" t="s">
        <v>372</v>
      </c>
      <c r="B7" s="1" t="s">
        <v>379</v>
      </c>
      <c r="C7" s="1" t="s">
        <v>374</v>
      </c>
      <c r="D7" s="1">
        <v>16.0</v>
      </c>
      <c r="E7" s="1">
        <v>6.0</v>
      </c>
      <c r="H7" s="2" t="str">
        <f t="shared" si="1"/>
        <v>INSERT INTO tblSubject VALUES (seqSubject.nextval, 'JavaScript', '공통', 16);</v>
      </c>
    </row>
    <row r="8">
      <c r="A8" s="1" t="s">
        <v>372</v>
      </c>
      <c r="B8" s="1" t="s">
        <v>380</v>
      </c>
      <c r="C8" s="1" t="s">
        <v>374</v>
      </c>
      <c r="D8" s="1">
        <v>16.0</v>
      </c>
      <c r="E8" s="1">
        <v>7.0</v>
      </c>
      <c r="H8" s="2" t="str">
        <f t="shared" si="1"/>
        <v>INSERT INTO tblSubject VALUES (seqSubject.nextval, 'SQL 기초', '공통', 16);</v>
      </c>
    </row>
    <row r="9">
      <c r="A9" s="1" t="s">
        <v>372</v>
      </c>
      <c r="B9" s="1" t="s">
        <v>381</v>
      </c>
      <c r="C9" s="1" t="s">
        <v>374</v>
      </c>
      <c r="D9" s="1">
        <v>17.0</v>
      </c>
      <c r="E9" s="1">
        <v>8.0</v>
      </c>
      <c r="H9" s="2" t="str">
        <f t="shared" si="1"/>
        <v>INSERT INTO tblSubject VALUES (seqSubject.nextval, '자료구조', '공통', 17);</v>
      </c>
    </row>
    <row r="10">
      <c r="A10" s="1" t="s">
        <v>372</v>
      </c>
      <c r="B10" s="1" t="s">
        <v>382</v>
      </c>
      <c r="C10" s="1" t="s">
        <v>374</v>
      </c>
      <c r="D10" s="1">
        <v>18.0</v>
      </c>
      <c r="E10" s="1">
        <v>9.0</v>
      </c>
      <c r="H10" s="2" t="str">
        <f t="shared" si="1"/>
        <v>INSERT INTO tblSubject VALUES (seqSubject.nextval, '운영체제', '공통', 18);</v>
      </c>
    </row>
    <row r="11">
      <c r="A11" s="1" t="s">
        <v>372</v>
      </c>
      <c r="B11" s="1" t="s">
        <v>383</v>
      </c>
      <c r="C11" s="1" t="s">
        <v>374</v>
      </c>
      <c r="D11" s="1">
        <v>20.0</v>
      </c>
      <c r="E11" s="1">
        <v>10.0</v>
      </c>
      <c r="H11" s="2" t="str">
        <f t="shared" si="1"/>
        <v>INSERT INTO tblSubject VALUES (seqSubject.nextval, '네트워크', '공통', 20);</v>
      </c>
    </row>
    <row r="12">
      <c r="A12" s="1" t="s">
        <v>372</v>
      </c>
      <c r="B12" s="1" t="s">
        <v>384</v>
      </c>
      <c r="C12" s="1" t="s">
        <v>374</v>
      </c>
      <c r="D12" s="1">
        <v>10.0</v>
      </c>
      <c r="E12" s="1">
        <v>11.0</v>
      </c>
      <c r="H12" s="2" t="str">
        <f t="shared" si="1"/>
        <v>INSERT INTO tblSubject VALUES (seqSubject.nextval, 'Git/GitHub', '공통', 10);</v>
      </c>
    </row>
    <row r="13">
      <c r="A13" s="1" t="s">
        <v>372</v>
      </c>
      <c r="B13" s="1" t="s">
        <v>385</v>
      </c>
      <c r="C13" s="1" t="s">
        <v>374</v>
      </c>
      <c r="D13" s="1">
        <v>17.0</v>
      </c>
      <c r="E13" s="1">
        <v>12.0</v>
      </c>
      <c r="H13" s="2" t="str">
        <f t="shared" si="1"/>
        <v>INSERT INTO tblSubject VALUES (seqSubject.nextval, 'UML', '공통', 17);</v>
      </c>
    </row>
    <row r="14">
      <c r="A14" s="1" t="s">
        <v>372</v>
      </c>
      <c r="B14" s="1" t="s">
        <v>386</v>
      </c>
      <c r="C14" s="1" t="s">
        <v>374</v>
      </c>
      <c r="D14" s="1">
        <v>16.0</v>
      </c>
      <c r="E14" s="1">
        <v>13.0</v>
      </c>
      <c r="H14" s="2" t="str">
        <f t="shared" si="1"/>
        <v>INSERT INTO tblSubject VALUES (seqSubject.nextval, '소프트웨어 공학', '공통', 16);</v>
      </c>
    </row>
    <row r="15">
      <c r="A15" s="1" t="s">
        <v>372</v>
      </c>
      <c r="B15" s="1" t="s">
        <v>387</v>
      </c>
      <c r="C15" s="1" t="s">
        <v>374</v>
      </c>
      <c r="D15" s="1">
        <v>16.0</v>
      </c>
      <c r="E15" s="1">
        <v>14.0</v>
      </c>
      <c r="H15" s="2" t="str">
        <f t="shared" si="1"/>
        <v>INSERT INTO tblSubject VALUES (seqSubject.nextval, '디자인 패턴', '공통', 16);</v>
      </c>
    </row>
    <row r="16">
      <c r="A16" s="1" t="s">
        <v>372</v>
      </c>
      <c r="B16" s="1" t="s">
        <v>388</v>
      </c>
      <c r="C16" s="1" t="s">
        <v>374</v>
      </c>
      <c r="D16" s="1">
        <v>31.0</v>
      </c>
      <c r="E16" s="1">
        <v>15.0</v>
      </c>
      <c r="H16" s="2" t="str">
        <f t="shared" si="1"/>
        <v>INSERT INTO tblSubject VALUES (seqSubject.nextval, '팀 프로젝트', '공통', 31);</v>
      </c>
    </row>
    <row r="17">
      <c r="A17" s="1" t="s">
        <v>372</v>
      </c>
      <c r="B17" s="1" t="s">
        <v>389</v>
      </c>
      <c r="C17" s="1" t="s">
        <v>374</v>
      </c>
      <c r="D17" s="1">
        <v>18.0</v>
      </c>
      <c r="E17" s="1">
        <v>16.0</v>
      </c>
      <c r="H17" s="2" t="str">
        <f t="shared" si="1"/>
        <v>INSERT INTO tblSubject VALUES (seqSubject.nextval, 'Spring Framework', '공통', 18);</v>
      </c>
    </row>
    <row r="18">
      <c r="A18" s="1" t="s">
        <v>372</v>
      </c>
      <c r="B18" s="1" t="s">
        <v>390</v>
      </c>
      <c r="C18" s="1" t="s">
        <v>374</v>
      </c>
      <c r="D18" s="1">
        <v>34.0</v>
      </c>
      <c r="E18" s="1">
        <v>17.0</v>
      </c>
      <c r="H18" s="2" t="str">
        <f t="shared" si="1"/>
        <v>INSERT INTO tblSubject VALUES (seqSubject.nextval, 'Spring Boot', '공통', 34);</v>
      </c>
    </row>
    <row r="19">
      <c r="A19" s="1" t="s">
        <v>372</v>
      </c>
      <c r="B19" s="1" t="s">
        <v>391</v>
      </c>
      <c r="C19" s="1" t="s">
        <v>374</v>
      </c>
      <c r="D19" s="1">
        <v>20.0</v>
      </c>
      <c r="E19" s="1">
        <v>18.0</v>
      </c>
      <c r="H19" s="2" t="str">
        <f t="shared" si="1"/>
        <v>INSERT INTO tblSubject VALUES (seqSubject.nextval, 'JSP/Servlet', '공통', 20);</v>
      </c>
    </row>
    <row r="20">
      <c r="A20" s="1" t="s">
        <v>372</v>
      </c>
      <c r="B20" s="1" t="s">
        <v>392</v>
      </c>
      <c r="C20" s="1" t="s">
        <v>374</v>
      </c>
      <c r="D20" s="1">
        <v>17.0</v>
      </c>
      <c r="E20" s="1">
        <v>19.0</v>
      </c>
      <c r="H20" s="2" t="str">
        <f t="shared" si="1"/>
        <v>INSERT INTO tblSubject VALUES (seqSubject.nextval, 'Thymeleaf', '공통', 17);</v>
      </c>
    </row>
    <row r="21">
      <c r="A21" s="1" t="s">
        <v>372</v>
      </c>
      <c r="B21" s="1" t="s">
        <v>393</v>
      </c>
      <c r="C21" s="1" t="s">
        <v>374</v>
      </c>
      <c r="D21" s="1">
        <v>16.0</v>
      </c>
      <c r="E21" s="1">
        <v>20.0</v>
      </c>
      <c r="H21" s="2" t="str">
        <f t="shared" si="1"/>
        <v>INSERT INTO tblSubject VALUES (seqSubject.nextval, 'MVC 아키텍처', '공통', 16);</v>
      </c>
    </row>
    <row r="22">
      <c r="A22" s="1" t="s">
        <v>372</v>
      </c>
      <c r="B22" s="1" t="s">
        <v>394</v>
      </c>
      <c r="C22" s="1" t="s">
        <v>374</v>
      </c>
      <c r="D22" s="1">
        <v>10.0</v>
      </c>
      <c r="E22" s="1">
        <v>21.0</v>
      </c>
      <c r="H22" s="2" t="str">
        <f t="shared" si="1"/>
        <v>INSERT INTO tblSubject VALUES (seqSubject.nextval, 'REST API 설계', '공통', 10);</v>
      </c>
    </row>
    <row r="23">
      <c r="A23" s="1" t="s">
        <v>372</v>
      </c>
      <c r="B23" s="1" t="s">
        <v>395</v>
      </c>
      <c r="C23" s="1" t="s">
        <v>374</v>
      </c>
      <c r="D23" s="1">
        <v>10.0</v>
      </c>
      <c r="E23" s="1">
        <v>22.0</v>
      </c>
      <c r="H23" s="2" t="str">
        <f t="shared" si="1"/>
        <v>INSERT INTO tblSubject VALUES (seqSubject.nextval, 'Frontend 연동', '공통', 10);</v>
      </c>
    </row>
    <row r="24">
      <c r="A24" s="1" t="s">
        <v>372</v>
      </c>
      <c r="B24" s="1" t="s">
        <v>396</v>
      </c>
      <c r="C24" s="1" t="s">
        <v>374</v>
      </c>
      <c r="D24" s="1">
        <v>10.0</v>
      </c>
      <c r="E24" s="1">
        <v>23.0</v>
      </c>
      <c r="H24" s="2" t="str">
        <f t="shared" si="1"/>
        <v>INSERT INTO tblSubject VALUES (seqSubject.nextval, 'MyBatis', '공통', 10);</v>
      </c>
    </row>
    <row r="25">
      <c r="A25" s="1" t="s">
        <v>372</v>
      </c>
      <c r="B25" s="1" t="s">
        <v>397</v>
      </c>
      <c r="C25" s="1" t="s">
        <v>374</v>
      </c>
      <c r="D25" s="1">
        <v>10.0</v>
      </c>
      <c r="E25" s="1">
        <v>24.0</v>
      </c>
      <c r="H25" s="2" t="str">
        <f t="shared" si="1"/>
        <v>INSERT INTO tblSubject VALUES (seqSubject.nextval, 'Linux 기본', '공통', 10);</v>
      </c>
    </row>
    <row r="26">
      <c r="A26" s="1" t="s">
        <v>372</v>
      </c>
      <c r="B26" s="1" t="s">
        <v>398</v>
      </c>
      <c r="C26" s="1" t="s">
        <v>374</v>
      </c>
      <c r="D26" s="1">
        <v>10.0</v>
      </c>
      <c r="E26" s="1">
        <v>25.0</v>
      </c>
      <c r="H26" s="2" t="str">
        <f t="shared" si="1"/>
        <v>INSERT INTO tblSubject VALUES (seqSubject.nextval, '프로젝트 발표', '공통', 10);</v>
      </c>
    </row>
    <row r="27">
      <c r="A27" s="1" t="s">
        <v>372</v>
      </c>
      <c r="B27" s="1" t="s">
        <v>399</v>
      </c>
      <c r="C27" s="1" t="s">
        <v>400</v>
      </c>
      <c r="D27" s="1">
        <v>20.0</v>
      </c>
      <c r="E27" s="1">
        <v>26.0</v>
      </c>
      <c r="H27" s="2" t="str">
        <f t="shared" si="1"/>
        <v>INSERT INTO tblSubject VALUES (seqSubject.nextval, 'Python', '선택', 20);</v>
      </c>
    </row>
    <row r="28">
      <c r="A28" s="1" t="s">
        <v>372</v>
      </c>
      <c r="B28" s="1" t="s">
        <v>401</v>
      </c>
      <c r="C28" s="1" t="s">
        <v>400</v>
      </c>
      <c r="D28" s="1">
        <v>10.0</v>
      </c>
      <c r="E28" s="1">
        <v>27.0</v>
      </c>
      <c r="H28" s="2" t="str">
        <f t="shared" si="1"/>
        <v>INSERT INTO tblSubject VALUES (seqSubject.nextval, 'Pandas', '선택', 10);</v>
      </c>
    </row>
    <row r="29">
      <c r="A29" s="1" t="s">
        <v>372</v>
      </c>
      <c r="B29" s="1" t="s">
        <v>402</v>
      </c>
      <c r="C29" s="1" t="s">
        <v>400</v>
      </c>
      <c r="D29" s="1">
        <v>10.0</v>
      </c>
      <c r="E29" s="1">
        <v>28.0</v>
      </c>
      <c r="H29" s="2" t="str">
        <f t="shared" si="1"/>
        <v>INSERT INTO tblSubject VALUES (seqSubject.nextval, 'Numpy', '선택', 10);</v>
      </c>
    </row>
    <row r="30">
      <c r="A30" s="1" t="s">
        <v>372</v>
      </c>
      <c r="B30" s="1" t="s">
        <v>403</v>
      </c>
      <c r="C30" s="1" t="s">
        <v>400</v>
      </c>
      <c r="D30" s="1">
        <v>10.0</v>
      </c>
      <c r="E30" s="1">
        <v>29.0</v>
      </c>
      <c r="H30" s="2" t="str">
        <f t="shared" si="1"/>
        <v>INSERT INTO tblSubject VALUES (seqSubject.nextval, '데이터 시각화', '선택', 10);</v>
      </c>
    </row>
    <row r="31">
      <c r="A31" s="1" t="s">
        <v>372</v>
      </c>
      <c r="B31" s="1" t="s">
        <v>404</v>
      </c>
      <c r="C31" s="1" t="s">
        <v>400</v>
      </c>
      <c r="D31" s="1">
        <v>20.0</v>
      </c>
      <c r="E31" s="1">
        <v>30.0</v>
      </c>
      <c r="H31" s="2" t="str">
        <f t="shared" si="1"/>
        <v>INSERT INTO tblSubject VALUES (seqSubject.nextval, '머신러닝 개요', '선택', 20);</v>
      </c>
    </row>
    <row r="32">
      <c r="A32" s="1" t="s">
        <v>372</v>
      </c>
      <c r="B32" s="1" t="s">
        <v>405</v>
      </c>
      <c r="C32" s="1" t="s">
        <v>400</v>
      </c>
      <c r="D32" s="1">
        <v>20.0</v>
      </c>
      <c r="E32" s="1">
        <v>31.0</v>
      </c>
      <c r="H32" s="2" t="str">
        <f t="shared" si="1"/>
        <v>INSERT INTO tblSubject VALUES (seqSubject.nextval, '딥러닝 기초', '선택', 20);</v>
      </c>
    </row>
    <row r="33">
      <c r="A33" s="1" t="s">
        <v>372</v>
      </c>
      <c r="B33" s="1" t="s">
        <v>406</v>
      </c>
      <c r="C33" s="1" t="s">
        <v>400</v>
      </c>
      <c r="D33" s="1">
        <v>10.0</v>
      </c>
      <c r="E33" s="1">
        <v>32.0</v>
      </c>
      <c r="H33" s="2" t="str">
        <f t="shared" si="1"/>
        <v>INSERT INTO tblSubject VALUES (seqSubject.nextval, 'TensorFlow', '선택', 10);</v>
      </c>
    </row>
    <row r="34">
      <c r="A34" s="1" t="s">
        <v>372</v>
      </c>
      <c r="B34" s="1" t="s">
        <v>407</v>
      </c>
      <c r="C34" s="1" t="s">
        <v>400</v>
      </c>
      <c r="D34" s="1">
        <v>10.0</v>
      </c>
      <c r="E34" s="1">
        <v>33.0</v>
      </c>
      <c r="H34" s="2" t="str">
        <f t="shared" si="1"/>
        <v>INSERT INTO tblSubject VALUES (seqSubject.nextval, '자연어 처리', '선택', 10);</v>
      </c>
    </row>
    <row r="35">
      <c r="A35" s="1" t="s">
        <v>372</v>
      </c>
      <c r="B35" s="1" t="s">
        <v>408</v>
      </c>
      <c r="C35" s="1" t="s">
        <v>400</v>
      </c>
      <c r="D35" s="1">
        <v>10.0</v>
      </c>
      <c r="E35" s="1">
        <v>34.0</v>
      </c>
      <c r="H35" s="2" t="str">
        <f t="shared" si="1"/>
        <v>INSERT INTO tblSubject VALUES (seqSubject.nextval, 'AI 윤리', '선택', 10);</v>
      </c>
    </row>
    <row r="36">
      <c r="A36" s="1" t="s">
        <v>372</v>
      </c>
      <c r="B36" s="1" t="s">
        <v>409</v>
      </c>
      <c r="C36" s="1" t="s">
        <v>400</v>
      </c>
      <c r="D36" s="1">
        <v>20.0</v>
      </c>
      <c r="E36" s="1">
        <v>35.0</v>
      </c>
      <c r="H36" s="2" t="str">
        <f t="shared" si="1"/>
        <v>INSERT INTO tblSubject VALUES (seqSubject.nextval, 'Hadoop', '선택', 20);</v>
      </c>
    </row>
    <row r="37">
      <c r="A37" s="1" t="s">
        <v>372</v>
      </c>
      <c r="B37" s="1" t="s">
        <v>410</v>
      </c>
      <c r="C37" s="1" t="s">
        <v>400</v>
      </c>
      <c r="D37" s="1">
        <v>10.0</v>
      </c>
      <c r="E37" s="1">
        <v>36.0</v>
      </c>
      <c r="H37" s="2" t="str">
        <f t="shared" si="1"/>
        <v>INSERT INTO tblSubject VALUES (seqSubject.nextval, 'Spark', '선택', 10);</v>
      </c>
    </row>
    <row r="38">
      <c r="A38" s="1" t="s">
        <v>372</v>
      </c>
      <c r="B38" s="1" t="s">
        <v>411</v>
      </c>
      <c r="C38" s="1" t="s">
        <v>400</v>
      </c>
      <c r="D38" s="1">
        <v>10.0</v>
      </c>
      <c r="E38" s="1">
        <v>37.0</v>
      </c>
      <c r="H38" s="2" t="str">
        <f t="shared" si="1"/>
        <v>INSERT INTO tblSubject VALUES (seqSubject.nextval, 'Tableau', '선택', 10);</v>
      </c>
    </row>
    <row r="39">
      <c r="A39" s="1" t="s">
        <v>372</v>
      </c>
      <c r="B39" s="1" t="s">
        <v>412</v>
      </c>
      <c r="C39" s="1" t="s">
        <v>400</v>
      </c>
      <c r="D39" s="1">
        <v>20.0</v>
      </c>
      <c r="E39" s="1">
        <v>38.0</v>
      </c>
      <c r="H39" s="2" t="str">
        <f t="shared" si="1"/>
        <v>INSERT INTO tblSubject VALUES (seqSubject.nextval, '데이터 분석 실무', '선택', 20);</v>
      </c>
    </row>
    <row r="40">
      <c r="A40" s="1" t="s">
        <v>372</v>
      </c>
      <c r="B40" s="1" t="s">
        <v>413</v>
      </c>
      <c r="C40" s="1" t="s">
        <v>400</v>
      </c>
      <c r="D40" s="1">
        <v>10.0</v>
      </c>
      <c r="E40" s="1">
        <v>39.0</v>
      </c>
      <c r="H40" s="2" t="str">
        <f t="shared" si="1"/>
        <v>INSERT INTO tblSubject VALUES (seqSubject.nextval, 'R 프로그래밍', '선택', 10);</v>
      </c>
    </row>
    <row r="41">
      <c r="A41" s="1" t="s">
        <v>372</v>
      </c>
      <c r="B41" s="1" t="s">
        <v>414</v>
      </c>
      <c r="C41" s="1" t="s">
        <v>400</v>
      </c>
      <c r="D41" s="1">
        <v>10.0</v>
      </c>
      <c r="E41" s="1">
        <v>40.0</v>
      </c>
      <c r="H41" s="2" t="str">
        <f t="shared" si="1"/>
        <v>INSERT INTO tblSubject VALUES (seqSubject.nextval, '통계 기초', '선택', 10);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 t="s">
        <v>415</v>
      </c>
      <c r="B1" s="1" t="s">
        <v>416</v>
      </c>
      <c r="C1" s="1" t="s">
        <v>417</v>
      </c>
    </row>
    <row r="2">
      <c r="A2" s="1" t="s">
        <v>418</v>
      </c>
      <c r="B2" s="1" t="s">
        <v>419</v>
      </c>
      <c r="C2" s="1">
        <v>30.0</v>
      </c>
      <c r="E2" s="2" t="str">
        <f t="shared" ref="E2:E7" si="1">"INSERT INTO 테이블명 VALUES (" &amp; A2 &amp; ", '" &amp; B2 &amp; "', " &amp; C2 &amp; ");"</f>
        <v>INSERT INTO 테이블명 VALUES (seqclassroom.nextval, '1강의실', 30);</v>
      </c>
    </row>
    <row r="3">
      <c r="A3" s="1" t="s">
        <v>418</v>
      </c>
      <c r="B3" s="1" t="s">
        <v>420</v>
      </c>
      <c r="C3" s="1">
        <v>30.0</v>
      </c>
      <c r="E3" s="2" t="str">
        <f t="shared" si="1"/>
        <v>INSERT INTO 테이블명 VALUES (seqclassroom.nextval, '2강의실', 30);</v>
      </c>
    </row>
    <row r="4">
      <c r="A4" s="1" t="s">
        <v>418</v>
      </c>
      <c r="B4" s="1" t="s">
        <v>421</v>
      </c>
      <c r="C4" s="1">
        <v>30.0</v>
      </c>
      <c r="E4" s="2" t="str">
        <f t="shared" si="1"/>
        <v>INSERT INTO 테이블명 VALUES (seqclassroom.nextval, '3강의실', 30);</v>
      </c>
    </row>
    <row r="5">
      <c r="A5" s="1" t="s">
        <v>418</v>
      </c>
      <c r="B5" s="1" t="s">
        <v>422</v>
      </c>
      <c r="C5" s="1">
        <v>26.0</v>
      </c>
      <c r="E5" s="2" t="str">
        <f t="shared" si="1"/>
        <v>INSERT INTO 테이블명 VALUES (seqclassroom.nextval, '4강의실', 26);</v>
      </c>
    </row>
    <row r="6">
      <c r="A6" s="1" t="s">
        <v>418</v>
      </c>
      <c r="B6" s="1" t="s">
        <v>423</v>
      </c>
      <c r="C6" s="1">
        <v>26.0</v>
      </c>
      <c r="E6" s="2" t="str">
        <f t="shared" si="1"/>
        <v>INSERT INTO 테이블명 VALUES (seqclassroom.nextval, '5강의실', 26);</v>
      </c>
    </row>
    <row r="7">
      <c r="A7" s="1" t="s">
        <v>418</v>
      </c>
      <c r="B7" s="1" t="s">
        <v>424</v>
      </c>
      <c r="C7" s="1">
        <v>26.0</v>
      </c>
      <c r="E7" s="2" t="str">
        <f t="shared" si="1"/>
        <v>INSERT INTO 테이블명 VALUES (seqclassroom.nextval, '6강의실', 26);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</cols>
  <sheetData>
    <row r="1">
      <c r="A1" s="1" t="s">
        <v>425</v>
      </c>
      <c r="B1" s="1" t="s">
        <v>426</v>
      </c>
      <c r="C1" s="1" t="s">
        <v>427</v>
      </c>
    </row>
    <row r="2">
      <c r="A2" s="1" t="s">
        <v>428</v>
      </c>
      <c r="B2" s="1">
        <v>1.0</v>
      </c>
      <c r="C2" s="1">
        <v>1.0</v>
      </c>
      <c r="E2" s="1" t="str">
        <f t="shared" ref="E2:E401" si="1">"INSERT INTO tblTeacherSubject VALUES (" &amp; A2 &amp; ", '" &amp; B2 &amp; "', '" &amp; C2 &amp; "');"</f>
        <v>INSERT INTO tblTeacherSubject VALUES (seqTeacherSubject.nextval, '1', '1');</v>
      </c>
    </row>
    <row r="3">
      <c r="A3" s="1" t="s">
        <v>428</v>
      </c>
      <c r="B3" s="1">
        <v>1.0</v>
      </c>
      <c r="C3" s="1">
        <v>2.0</v>
      </c>
      <c r="E3" s="1" t="str">
        <f t="shared" si="1"/>
        <v>INSERT INTO tblTeacherSubject VALUES (seqTeacherSubject.nextval, '1', '2');</v>
      </c>
    </row>
    <row r="4">
      <c r="A4" s="1" t="s">
        <v>428</v>
      </c>
      <c r="B4" s="1">
        <v>1.0</v>
      </c>
      <c r="C4" s="1">
        <v>3.0</v>
      </c>
      <c r="E4" s="1" t="str">
        <f t="shared" si="1"/>
        <v>INSERT INTO tblTeacherSubject VALUES (seqTeacherSubject.nextval, '1', '3');</v>
      </c>
    </row>
    <row r="5">
      <c r="A5" s="1" t="s">
        <v>428</v>
      </c>
      <c r="B5" s="1">
        <v>1.0</v>
      </c>
      <c r="C5" s="1">
        <v>4.0</v>
      </c>
      <c r="E5" s="1" t="str">
        <f t="shared" si="1"/>
        <v>INSERT INTO tblTeacherSubject VALUES (seqTeacherSubject.nextval, '1', '4');</v>
      </c>
    </row>
    <row r="6">
      <c r="A6" s="1" t="s">
        <v>428</v>
      </c>
      <c r="B6" s="1">
        <v>1.0</v>
      </c>
      <c r="C6" s="1">
        <v>5.0</v>
      </c>
      <c r="E6" s="1" t="str">
        <f t="shared" si="1"/>
        <v>INSERT INTO tblTeacherSubject VALUES (seqTeacherSubject.nextval, '1', '5');</v>
      </c>
    </row>
    <row r="7">
      <c r="A7" s="1" t="s">
        <v>428</v>
      </c>
      <c r="B7" s="1">
        <v>1.0</v>
      </c>
      <c r="C7" s="1">
        <v>6.0</v>
      </c>
      <c r="E7" s="1" t="str">
        <f t="shared" si="1"/>
        <v>INSERT INTO tblTeacherSubject VALUES (seqTeacherSubject.nextval, '1', '6');</v>
      </c>
    </row>
    <row r="8">
      <c r="A8" s="1" t="s">
        <v>428</v>
      </c>
      <c r="B8" s="1">
        <v>1.0</v>
      </c>
      <c r="C8" s="1">
        <v>7.0</v>
      </c>
      <c r="E8" s="1" t="str">
        <f t="shared" si="1"/>
        <v>INSERT INTO tblTeacherSubject VALUES (seqTeacherSubject.nextval, '1', '7');</v>
      </c>
    </row>
    <row r="9">
      <c r="A9" s="1" t="s">
        <v>428</v>
      </c>
      <c r="B9" s="1">
        <v>1.0</v>
      </c>
      <c r="C9" s="1">
        <v>8.0</v>
      </c>
      <c r="E9" s="1" t="str">
        <f t="shared" si="1"/>
        <v>INSERT INTO tblTeacherSubject VALUES (seqTeacherSubject.nextval, '1', '8');</v>
      </c>
    </row>
    <row r="10">
      <c r="A10" s="1" t="s">
        <v>428</v>
      </c>
      <c r="B10" s="1">
        <v>1.0</v>
      </c>
      <c r="C10" s="1">
        <v>9.0</v>
      </c>
      <c r="E10" s="1" t="str">
        <f t="shared" si="1"/>
        <v>INSERT INTO tblTeacherSubject VALUES (seqTeacherSubject.nextval, '1', '9');</v>
      </c>
    </row>
    <row r="11">
      <c r="A11" s="1" t="s">
        <v>428</v>
      </c>
      <c r="B11" s="1">
        <v>1.0</v>
      </c>
      <c r="C11" s="1">
        <v>10.0</v>
      </c>
      <c r="E11" s="1" t="str">
        <f t="shared" si="1"/>
        <v>INSERT INTO tblTeacherSubject VALUES (seqTeacherSubject.nextval, '1', '10');</v>
      </c>
    </row>
    <row r="12">
      <c r="A12" s="1" t="s">
        <v>428</v>
      </c>
      <c r="B12" s="1">
        <v>1.0</v>
      </c>
      <c r="C12" s="1">
        <v>11.0</v>
      </c>
      <c r="E12" s="1" t="str">
        <f t="shared" si="1"/>
        <v>INSERT INTO tblTeacherSubject VALUES (seqTeacherSubject.nextval, '1', '11');</v>
      </c>
    </row>
    <row r="13">
      <c r="A13" s="1" t="s">
        <v>428</v>
      </c>
      <c r="B13" s="1">
        <v>1.0</v>
      </c>
      <c r="C13" s="1">
        <v>12.0</v>
      </c>
      <c r="E13" s="1" t="str">
        <f t="shared" si="1"/>
        <v>INSERT INTO tblTeacherSubject VALUES (seqTeacherSubject.nextval, '1', '12');</v>
      </c>
    </row>
    <row r="14">
      <c r="A14" s="1" t="s">
        <v>428</v>
      </c>
      <c r="B14" s="1">
        <v>1.0</v>
      </c>
      <c r="C14" s="1">
        <v>13.0</v>
      </c>
      <c r="E14" s="1" t="str">
        <f t="shared" si="1"/>
        <v>INSERT INTO tblTeacherSubject VALUES (seqTeacherSubject.nextval, '1', '13');</v>
      </c>
    </row>
    <row r="15">
      <c r="A15" s="1" t="s">
        <v>428</v>
      </c>
      <c r="B15" s="1">
        <v>1.0</v>
      </c>
      <c r="C15" s="1">
        <v>14.0</v>
      </c>
      <c r="E15" s="1" t="str">
        <f t="shared" si="1"/>
        <v>INSERT INTO tblTeacherSubject VALUES (seqTeacherSubject.nextval, '1', '14');</v>
      </c>
    </row>
    <row r="16">
      <c r="A16" s="1" t="s">
        <v>428</v>
      </c>
      <c r="B16" s="1">
        <v>1.0</v>
      </c>
      <c r="C16" s="1">
        <v>15.0</v>
      </c>
      <c r="E16" s="1" t="str">
        <f t="shared" si="1"/>
        <v>INSERT INTO tblTeacherSubject VALUES (seqTeacherSubject.nextval, '1', '15');</v>
      </c>
    </row>
    <row r="17">
      <c r="A17" s="1" t="s">
        <v>428</v>
      </c>
      <c r="B17" s="1">
        <v>1.0</v>
      </c>
      <c r="C17" s="1">
        <v>16.0</v>
      </c>
      <c r="E17" s="1" t="str">
        <f t="shared" si="1"/>
        <v>INSERT INTO tblTeacherSubject VALUES (seqTeacherSubject.nextval, '1', '16');</v>
      </c>
    </row>
    <row r="18">
      <c r="A18" s="1" t="s">
        <v>428</v>
      </c>
      <c r="B18" s="1">
        <v>1.0</v>
      </c>
      <c r="C18" s="1">
        <v>17.0</v>
      </c>
      <c r="E18" s="1" t="str">
        <f t="shared" si="1"/>
        <v>INSERT INTO tblTeacherSubject VALUES (seqTeacherSubject.nextval, '1', '17');</v>
      </c>
    </row>
    <row r="19">
      <c r="A19" s="1" t="s">
        <v>428</v>
      </c>
      <c r="B19" s="1">
        <v>1.0</v>
      </c>
      <c r="C19" s="1">
        <v>18.0</v>
      </c>
      <c r="E19" s="1" t="str">
        <f t="shared" si="1"/>
        <v>INSERT INTO tblTeacherSubject VALUES (seqTeacherSubject.nextval, '1', '18');</v>
      </c>
    </row>
    <row r="20">
      <c r="A20" s="1" t="s">
        <v>428</v>
      </c>
      <c r="B20" s="1">
        <v>1.0</v>
      </c>
      <c r="C20" s="1">
        <v>19.0</v>
      </c>
      <c r="E20" s="1" t="str">
        <f t="shared" si="1"/>
        <v>INSERT INTO tblTeacherSubject VALUES (seqTeacherSubject.nextval, '1', '19');</v>
      </c>
    </row>
    <row r="21">
      <c r="A21" s="1" t="s">
        <v>428</v>
      </c>
      <c r="B21" s="1">
        <v>1.0</v>
      </c>
      <c r="C21" s="1">
        <v>20.0</v>
      </c>
      <c r="E21" s="1" t="str">
        <f t="shared" si="1"/>
        <v>INSERT INTO tblTeacherSubject VALUES (seqTeacherSubject.nextval, '1', '20');</v>
      </c>
    </row>
    <row r="22">
      <c r="A22" s="1" t="s">
        <v>428</v>
      </c>
      <c r="B22" s="1">
        <v>1.0</v>
      </c>
      <c r="C22" s="1">
        <v>21.0</v>
      </c>
      <c r="E22" s="1" t="str">
        <f t="shared" si="1"/>
        <v>INSERT INTO tblTeacherSubject VALUES (seqTeacherSubject.nextval, '1', '21');</v>
      </c>
    </row>
    <row r="23">
      <c r="A23" s="1" t="s">
        <v>428</v>
      </c>
      <c r="B23" s="1">
        <v>1.0</v>
      </c>
      <c r="C23" s="1">
        <v>22.0</v>
      </c>
      <c r="E23" s="1" t="str">
        <f t="shared" si="1"/>
        <v>INSERT INTO tblTeacherSubject VALUES (seqTeacherSubject.nextval, '1', '22');</v>
      </c>
    </row>
    <row r="24">
      <c r="A24" s="1" t="s">
        <v>428</v>
      </c>
      <c r="B24" s="1">
        <v>1.0</v>
      </c>
      <c r="C24" s="1">
        <v>23.0</v>
      </c>
      <c r="E24" s="1" t="str">
        <f t="shared" si="1"/>
        <v>INSERT INTO tblTeacherSubject VALUES (seqTeacherSubject.nextval, '1', '23');</v>
      </c>
    </row>
    <row r="25">
      <c r="A25" s="1" t="s">
        <v>428</v>
      </c>
      <c r="B25" s="1">
        <v>1.0</v>
      </c>
      <c r="C25" s="1">
        <v>24.0</v>
      </c>
      <c r="E25" s="1" t="str">
        <f t="shared" si="1"/>
        <v>INSERT INTO tblTeacherSubject VALUES (seqTeacherSubject.nextval, '1', '24');</v>
      </c>
    </row>
    <row r="26">
      <c r="A26" s="1" t="s">
        <v>428</v>
      </c>
      <c r="B26" s="1">
        <v>1.0</v>
      </c>
      <c r="C26" s="1">
        <v>25.0</v>
      </c>
      <c r="E26" s="1" t="str">
        <f t="shared" si="1"/>
        <v>INSERT INTO tblTeacherSubject VALUES (seqTeacherSubject.nextval, '1', '25');</v>
      </c>
    </row>
    <row r="27">
      <c r="A27" s="1" t="s">
        <v>428</v>
      </c>
      <c r="B27" s="1">
        <v>1.0</v>
      </c>
      <c r="C27" s="1">
        <v>26.0</v>
      </c>
      <c r="E27" s="1" t="str">
        <f t="shared" si="1"/>
        <v>INSERT INTO tblTeacherSubject VALUES (seqTeacherSubject.nextval, '1', '26');</v>
      </c>
    </row>
    <row r="28">
      <c r="A28" s="1" t="s">
        <v>428</v>
      </c>
      <c r="B28" s="1">
        <v>1.0</v>
      </c>
      <c r="C28" s="1">
        <v>27.0</v>
      </c>
      <c r="E28" s="1" t="str">
        <f t="shared" si="1"/>
        <v>INSERT INTO tblTeacherSubject VALUES (seqTeacherSubject.nextval, '1', '27');</v>
      </c>
    </row>
    <row r="29">
      <c r="A29" s="1" t="s">
        <v>428</v>
      </c>
      <c r="B29" s="1">
        <v>1.0</v>
      </c>
      <c r="C29" s="1">
        <v>28.0</v>
      </c>
      <c r="E29" s="1" t="str">
        <f t="shared" si="1"/>
        <v>INSERT INTO tblTeacherSubject VALUES (seqTeacherSubject.nextval, '1', '28');</v>
      </c>
    </row>
    <row r="30">
      <c r="A30" s="1" t="s">
        <v>428</v>
      </c>
      <c r="B30" s="1">
        <v>1.0</v>
      </c>
      <c r="C30" s="1">
        <v>29.0</v>
      </c>
      <c r="E30" s="1" t="str">
        <f t="shared" si="1"/>
        <v>INSERT INTO tblTeacherSubject VALUES (seqTeacherSubject.nextval, '1', '29');</v>
      </c>
    </row>
    <row r="31">
      <c r="A31" s="1" t="s">
        <v>428</v>
      </c>
      <c r="B31" s="1">
        <v>1.0</v>
      </c>
      <c r="C31" s="1">
        <v>30.0</v>
      </c>
      <c r="E31" s="1" t="str">
        <f t="shared" si="1"/>
        <v>INSERT INTO tblTeacherSubject VALUES (seqTeacherSubject.nextval, '1', '30');</v>
      </c>
    </row>
    <row r="32">
      <c r="A32" s="1" t="s">
        <v>428</v>
      </c>
      <c r="B32" s="1">
        <v>1.0</v>
      </c>
      <c r="C32" s="1">
        <v>31.0</v>
      </c>
      <c r="E32" s="1" t="str">
        <f t="shared" si="1"/>
        <v>INSERT INTO tblTeacherSubject VALUES (seqTeacherSubject.nextval, '1', '31');</v>
      </c>
    </row>
    <row r="33">
      <c r="A33" s="1" t="s">
        <v>428</v>
      </c>
      <c r="B33" s="1">
        <v>1.0</v>
      </c>
      <c r="C33" s="1">
        <v>32.0</v>
      </c>
      <c r="E33" s="1" t="str">
        <f t="shared" si="1"/>
        <v>INSERT INTO tblTeacherSubject VALUES (seqTeacherSubject.nextval, '1', '32');</v>
      </c>
    </row>
    <row r="34">
      <c r="A34" s="1" t="s">
        <v>428</v>
      </c>
      <c r="B34" s="1">
        <v>1.0</v>
      </c>
      <c r="C34" s="1">
        <v>33.0</v>
      </c>
      <c r="E34" s="1" t="str">
        <f t="shared" si="1"/>
        <v>INSERT INTO tblTeacherSubject VALUES (seqTeacherSubject.nextval, '1', '33');</v>
      </c>
    </row>
    <row r="35">
      <c r="A35" s="1" t="s">
        <v>428</v>
      </c>
      <c r="B35" s="1">
        <v>1.0</v>
      </c>
      <c r="C35" s="1">
        <v>34.0</v>
      </c>
      <c r="E35" s="1" t="str">
        <f t="shared" si="1"/>
        <v>INSERT INTO tblTeacherSubject VALUES (seqTeacherSubject.nextval, '1', '34');</v>
      </c>
    </row>
    <row r="36">
      <c r="A36" s="1" t="s">
        <v>428</v>
      </c>
      <c r="B36" s="1">
        <v>1.0</v>
      </c>
      <c r="C36" s="1">
        <v>35.0</v>
      </c>
      <c r="E36" s="1" t="str">
        <f t="shared" si="1"/>
        <v>INSERT INTO tblTeacherSubject VALUES (seqTeacherSubject.nextval, '1', '35');</v>
      </c>
    </row>
    <row r="37">
      <c r="A37" s="1" t="s">
        <v>428</v>
      </c>
      <c r="B37" s="1">
        <v>1.0</v>
      </c>
      <c r="C37" s="1">
        <v>36.0</v>
      </c>
      <c r="E37" s="1" t="str">
        <f t="shared" si="1"/>
        <v>INSERT INTO tblTeacherSubject VALUES (seqTeacherSubject.nextval, '1', '36');</v>
      </c>
    </row>
    <row r="38">
      <c r="A38" s="1" t="s">
        <v>428</v>
      </c>
      <c r="B38" s="1">
        <v>1.0</v>
      </c>
      <c r="C38" s="1">
        <v>37.0</v>
      </c>
      <c r="E38" s="1" t="str">
        <f t="shared" si="1"/>
        <v>INSERT INTO tblTeacherSubject VALUES (seqTeacherSubject.nextval, '1', '37');</v>
      </c>
    </row>
    <row r="39">
      <c r="A39" s="1" t="s">
        <v>428</v>
      </c>
      <c r="B39" s="1">
        <v>1.0</v>
      </c>
      <c r="C39" s="1">
        <v>38.0</v>
      </c>
      <c r="E39" s="1" t="str">
        <f t="shared" si="1"/>
        <v>INSERT INTO tblTeacherSubject VALUES (seqTeacherSubject.nextval, '1', '38');</v>
      </c>
    </row>
    <row r="40">
      <c r="A40" s="1" t="s">
        <v>428</v>
      </c>
      <c r="B40" s="1">
        <v>1.0</v>
      </c>
      <c r="C40" s="1">
        <v>39.0</v>
      </c>
      <c r="E40" s="1" t="str">
        <f t="shared" si="1"/>
        <v>INSERT INTO tblTeacherSubject VALUES (seqTeacherSubject.nextval, '1', '39');</v>
      </c>
    </row>
    <row r="41">
      <c r="A41" s="1" t="s">
        <v>428</v>
      </c>
      <c r="B41" s="1">
        <v>1.0</v>
      </c>
      <c r="C41" s="1">
        <v>40.0</v>
      </c>
      <c r="E41" s="1" t="str">
        <f t="shared" si="1"/>
        <v>INSERT INTO tblTeacherSubject VALUES (seqTeacherSubject.nextval, '1', '40');</v>
      </c>
    </row>
    <row r="42">
      <c r="A42" s="1" t="s">
        <v>428</v>
      </c>
      <c r="B42" s="1">
        <v>2.0</v>
      </c>
      <c r="C42" s="1">
        <v>1.0</v>
      </c>
      <c r="E42" s="1" t="str">
        <f t="shared" si="1"/>
        <v>INSERT INTO tblTeacherSubject VALUES (seqTeacherSubject.nextval, '2', '1');</v>
      </c>
    </row>
    <row r="43">
      <c r="A43" s="1" t="s">
        <v>428</v>
      </c>
      <c r="B43" s="1">
        <v>2.0</v>
      </c>
      <c r="C43" s="1">
        <v>2.0</v>
      </c>
      <c r="E43" s="1" t="str">
        <f t="shared" si="1"/>
        <v>INSERT INTO tblTeacherSubject VALUES (seqTeacherSubject.nextval, '2', '2');</v>
      </c>
    </row>
    <row r="44">
      <c r="A44" s="1" t="s">
        <v>428</v>
      </c>
      <c r="B44" s="1">
        <v>2.0</v>
      </c>
      <c r="C44" s="1">
        <v>3.0</v>
      </c>
      <c r="E44" s="1" t="str">
        <f t="shared" si="1"/>
        <v>INSERT INTO tblTeacherSubject VALUES (seqTeacherSubject.nextval, '2', '3');</v>
      </c>
    </row>
    <row r="45">
      <c r="A45" s="1" t="s">
        <v>428</v>
      </c>
      <c r="B45" s="1">
        <v>2.0</v>
      </c>
      <c r="C45" s="1">
        <v>4.0</v>
      </c>
      <c r="E45" s="1" t="str">
        <f t="shared" si="1"/>
        <v>INSERT INTO tblTeacherSubject VALUES (seqTeacherSubject.nextval, '2', '4');</v>
      </c>
    </row>
    <row r="46">
      <c r="A46" s="1" t="s">
        <v>428</v>
      </c>
      <c r="B46" s="1">
        <v>2.0</v>
      </c>
      <c r="C46" s="1">
        <v>5.0</v>
      </c>
      <c r="E46" s="1" t="str">
        <f t="shared" si="1"/>
        <v>INSERT INTO tblTeacherSubject VALUES (seqTeacherSubject.nextval, '2', '5');</v>
      </c>
    </row>
    <row r="47">
      <c r="A47" s="1" t="s">
        <v>428</v>
      </c>
      <c r="B47" s="1">
        <v>2.0</v>
      </c>
      <c r="C47" s="1">
        <v>6.0</v>
      </c>
      <c r="E47" s="1" t="str">
        <f t="shared" si="1"/>
        <v>INSERT INTO tblTeacherSubject VALUES (seqTeacherSubject.nextval, '2', '6');</v>
      </c>
    </row>
    <row r="48">
      <c r="A48" s="1" t="s">
        <v>428</v>
      </c>
      <c r="B48" s="1">
        <v>2.0</v>
      </c>
      <c r="C48" s="1">
        <v>7.0</v>
      </c>
      <c r="E48" s="1" t="str">
        <f t="shared" si="1"/>
        <v>INSERT INTO tblTeacherSubject VALUES (seqTeacherSubject.nextval, '2', '7');</v>
      </c>
    </row>
    <row r="49">
      <c r="A49" s="1" t="s">
        <v>428</v>
      </c>
      <c r="B49" s="1">
        <v>2.0</v>
      </c>
      <c r="C49" s="1">
        <v>8.0</v>
      </c>
      <c r="E49" s="1" t="str">
        <f t="shared" si="1"/>
        <v>INSERT INTO tblTeacherSubject VALUES (seqTeacherSubject.nextval, '2', '8');</v>
      </c>
    </row>
    <row r="50">
      <c r="A50" s="1" t="s">
        <v>428</v>
      </c>
      <c r="B50" s="1">
        <v>2.0</v>
      </c>
      <c r="C50" s="1">
        <v>9.0</v>
      </c>
      <c r="E50" s="1" t="str">
        <f t="shared" si="1"/>
        <v>INSERT INTO tblTeacherSubject VALUES (seqTeacherSubject.nextval, '2', '9');</v>
      </c>
    </row>
    <row r="51">
      <c r="A51" s="1" t="s">
        <v>428</v>
      </c>
      <c r="B51" s="1">
        <v>2.0</v>
      </c>
      <c r="C51" s="1">
        <v>10.0</v>
      </c>
      <c r="E51" s="1" t="str">
        <f t="shared" si="1"/>
        <v>INSERT INTO tblTeacherSubject VALUES (seqTeacherSubject.nextval, '2', '10');</v>
      </c>
    </row>
    <row r="52">
      <c r="A52" s="1" t="s">
        <v>428</v>
      </c>
      <c r="B52" s="1">
        <v>2.0</v>
      </c>
      <c r="C52" s="1">
        <v>11.0</v>
      </c>
      <c r="E52" s="1" t="str">
        <f t="shared" si="1"/>
        <v>INSERT INTO tblTeacherSubject VALUES (seqTeacherSubject.nextval, '2', '11');</v>
      </c>
    </row>
    <row r="53">
      <c r="A53" s="1" t="s">
        <v>428</v>
      </c>
      <c r="B53" s="1">
        <v>2.0</v>
      </c>
      <c r="C53" s="1">
        <v>12.0</v>
      </c>
      <c r="E53" s="1" t="str">
        <f t="shared" si="1"/>
        <v>INSERT INTO tblTeacherSubject VALUES (seqTeacherSubject.nextval, '2', '12');</v>
      </c>
    </row>
    <row r="54">
      <c r="A54" s="1" t="s">
        <v>428</v>
      </c>
      <c r="B54" s="1">
        <v>2.0</v>
      </c>
      <c r="C54" s="1">
        <v>13.0</v>
      </c>
      <c r="E54" s="1" t="str">
        <f t="shared" si="1"/>
        <v>INSERT INTO tblTeacherSubject VALUES (seqTeacherSubject.nextval, '2', '13');</v>
      </c>
    </row>
    <row r="55">
      <c r="A55" s="1" t="s">
        <v>428</v>
      </c>
      <c r="B55" s="1">
        <v>2.0</v>
      </c>
      <c r="C55" s="1">
        <v>14.0</v>
      </c>
      <c r="E55" s="1" t="str">
        <f t="shared" si="1"/>
        <v>INSERT INTO tblTeacherSubject VALUES (seqTeacherSubject.nextval, '2', '14');</v>
      </c>
    </row>
    <row r="56">
      <c r="A56" s="1" t="s">
        <v>428</v>
      </c>
      <c r="B56" s="1">
        <v>2.0</v>
      </c>
      <c r="C56" s="1">
        <v>15.0</v>
      </c>
      <c r="E56" s="1" t="str">
        <f t="shared" si="1"/>
        <v>INSERT INTO tblTeacherSubject VALUES (seqTeacherSubject.nextval, '2', '15');</v>
      </c>
    </row>
    <row r="57">
      <c r="A57" s="1" t="s">
        <v>428</v>
      </c>
      <c r="B57" s="1">
        <v>2.0</v>
      </c>
      <c r="C57" s="1">
        <v>16.0</v>
      </c>
      <c r="E57" s="1" t="str">
        <f t="shared" si="1"/>
        <v>INSERT INTO tblTeacherSubject VALUES (seqTeacherSubject.nextval, '2', '16');</v>
      </c>
    </row>
    <row r="58">
      <c r="A58" s="1" t="s">
        <v>428</v>
      </c>
      <c r="B58" s="1">
        <v>2.0</v>
      </c>
      <c r="C58" s="1">
        <v>17.0</v>
      </c>
      <c r="E58" s="1" t="str">
        <f t="shared" si="1"/>
        <v>INSERT INTO tblTeacherSubject VALUES (seqTeacherSubject.nextval, '2', '17');</v>
      </c>
    </row>
    <row r="59">
      <c r="A59" s="1" t="s">
        <v>428</v>
      </c>
      <c r="B59" s="1">
        <v>2.0</v>
      </c>
      <c r="C59" s="1">
        <v>18.0</v>
      </c>
      <c r="E59" s="1" t="str">
        <f t="shared" si="1"/>
        <v>INSERT INTO tblTeacherSubject VALUES (seqTeacherSubject.nextval, '2', '18');</v>
      </c>
    </row>
    <row r="60">
      <c r="A60" s="1" t="s">
        <v>428</v>
      </c>
      <c r="B60" s="1">
        <v>2.0</v>
      </c>
      <c r="C60" s="1">
        <v>19.0</v>
      </c>
      <c r="E60" s="1" t="str">
        <f t="shared" si="1"/>
        <v>INSERT INTO tblTeacherSubject VALUES (seqTeacherSubject.nextval, '2', '19');</v>
      </c>
    </row>
    <row r="61">
      <c r="A61" s="1" t="s">
        <v>428</v>
      </c>
      <c r="B61" s="1">
        <v>2.0</v>
      </c>
      <c r="C61" s="1">
        <v>20.0</v>
      </c>
      <c r="E61" s="1" t="str">
        <f t="shared" si="1"/>
        <v>INSERT INTO tblTeacherSubject VALUES (seqTeacherSubject.nextval, '2', '20');</v>
      </c>
    </row>
    <row r="62">
      <c r="A62" s="1" t="s">
        <v>428</v>
      </c>
      <c r="B62" s="1">
        <v>2.0</v>
      </c>
      <c r="C62" s="1">
        <v>21.0</v>
      </c>
      <c r="E62" s="1" t="str">
        <f t="shared" si="1"/>
        <v>INSERT INTO tblTeacherSubject VALUES (seqTeacherSubject.nextval, '2', '21');</v>
      </c>
    </row>
    <row r="63">
      <c r="A63" s="1" t="s">
        <v>428</v>
      </c>
      <c r="B63" s="1">
        <v>2.0</v>
      </c>
      <c r="C63" s="1">
        <v>22.0</v>
      </c>
      <c r="E63" s="1" t="str">
        <f t="shared" si="1"/>
        <v>INSERT INTO tblTeacherSubject VALUES (seqTeacherSubject.nextval, '2', '22');</v>
      </c>
    </row>
    <row r="64">
      <c r="A64" s="1" t="s">
        <v>428</v>
      </c>
      <c r="B64" s="1">
        <v>2.0</v>
      </c>
      <c r="C64" s="1">
        <v>23.0</v>
      </c>
      <c r="E64" s="1" t="str">
        <f t="shared" si="1"/>
        <v>INSERT INTO tblTeacherSubject VALUES (seqTeacherSubject.nextval, '2', '23');</v>
      </c>
    </row>
    <row r="65">
      <c r="A65" s="1" t="s">
        <v>428</v>
      </c>
      <c r="B65" s="1">
        <v>2.0</v>
      </c>
      <c r="C65" s="1">
        <v>24.0</v>
      </c>
      <c r="E65" s="1" t="str">
        <f t="shared" si="1"/>
        <v>INSERT INTO tblTeacherSubject VALUES (seqTeacherSubject.nextval, '2', '24');</v>
      </c>
    </row>
    <row r="66">
      <c r="A66" s="1" t="s">
        <v>428</v>
      </c>
      <c r="B66" s="1">
        <v>2.0</v>
      </c>
      <c r="C66" s="1">
        <v>25.0</v>
      </c>
      <c r="E66" s="1" t="str">
        <f t="shared" si="1"/>
        <v>INSERT INTO tblTeacherSubject VALUES (seqTeacherSubject.nextval, '2', '25');</v>
      </c>
    </row>
    <row r="67">
      <c r="A67" s="1" t="s">
        <v>428</v>
      </c>
      <c r="B67" s="1">
        <v>2.0</v>
      </c>
      <c r="C67" s="1">
        <v>26.0</v>
      </c>
      <c r="E67" s="1" t="str">
        <f t="shared" si="1"/>
        <v>INSERT INTO tblTeacherSubject VALUES (seqTeacherSubject.nextval, '2', '26');</v>
      </c>
    </row>
    <row r="68">
      <c r="A68" s="1" t="s">
        <v>428</v>
      </c>
      <c r="B68" s="1">
        <v>2.0</v>
      </c>
      <c r="C68" s="1">
        <v>27.0</v>
      </c>
      <c r="E68" s="1" t="str">
        <f t="shared" si="1"/>
        <v>INSERT INTO tblTeacherSubject VALUES (seqTeacherSubject.nextval, '2', '27');</v>
      </c>
    </row>
    <row r="69">
      <c r="A69" s="1" t="s">
        <v>428</v>
      </c>
      <c r="B69" s="1">
        <v>2.0</v>
      </c>
      <c r="C69" s="1">
        <v>28.0</v>
      </c>
      <c r="E69" s="1" t="str">
        <f t="shared" si="1"/>
        <v>INSERT INTO tblTeacherSubject VALUES (seqTeacherSubject.nextval, '2', '28');</v>
      </c>
    </row>
    <row r="70">
      <c r="A70" s="1" t="s">
        <v>428</v>
      </c>
      <c r="B70" s="1">
        <v>2.0</v>
      </c>
      <c r="C70" s="1">
        <v>29.0</v>
      </c>
      <c r="E70" s="1" t="str">
        <f t="shared" si="1"/>
        <v>INSERT INTO tblTeacherSubject VALUES (seqTeacherSubject.nextval, '2', '29');</v>
      </c>
    </row>
    <row r="71">
      <c r="A71" s="1" t="s">
        <v>428</v>
      </c>
      <c r="B71" s="1">
        <v>2.0</v>
      </c>
      <c r="C71" s="1">
        <v>30.0</v>
      </c>
      <c r="E71" s="1" t="str">
        <f t="shared" si="1"/>
        <v>INSERT INTO tblTeacherSubject VALUES (seqTeacherSubject.nextval, '2', '30');</v>
      </c>
    </row>
    <row r="72">
      <c r="A72" s="1" t="s">
        <v>428</v>
      </c>
      <c r="B72" s="1">
        <v>2.0</v>
      </c>
      <c r="C72" s="1">
        <v>31.0</v>
      </c>
      <c r="E72" s="1" t="str">
        <f t="shared" si="1"/>
        <v>INSERT INTO tblTeacherSubject VALUES (seqTeacherSubject.nextval, '2', '31');</v>
      </c>
    </row>
    <row r="73">
      <c r="A73" s="1" t="s">
        <v>428</v>
      </c>
      <c r="B73" s="1">
        <v>2.0</v>
      </c>
      <c r="C73" s="1">
        <v>32.0</v>
      </c>
      <c r="E73" s="1" t="str">
        <f t="shared" si="1"/>
        <v>INSERT INTO tblTeacherSubject VALUES (seqTeacherSubject.nextval, '2', '32');</v>
      </c>
    </row>
    <row r="74">
      <c r="A74" s="1" t="s">
        <v>428</v>
      </c>
      <c r="B74" s="1">
        <v>2.0</v>
      </c>
      <c r="C74" s="1">
        <v>33.0</v>
      </c>
      <c r="E74" s="1" t="str">
        <f t="shared" si="1"/>
        <v>INSERT INTO tblTeacherSubject VALUES (seqTeacherSubject.nextval, '2', '33');</v>
      </c>
    </row>
    <row r="75">
      <c r="A75" s="1" t="s">
        <v>428</v>
      </c>
      <c r="B75" s="1">
        <v>2.0</v>
      </c>
      <c r="C75" s="1">
        <v>34.0</v>
      </c>
      <c r="E75" s="1" t="str">
        <f t="shared" si="1"/>
        <v>INSERT INTO tblTeacherSubject VALUES (seqTeacherSubject.nextval, '2', '34');</v>
      </c>
    </row>
    <row r="76">
      <c r="A76" s="1" t="s">
        <v>428</v>
      </c>
      <c r="B76" s="1">
        <v>2.0</v>
      </c>
      <c r="C76" s="1">
        <v>35.0</v>
      </c>
      <c r="E76" s="1" t="str">
        <f t="shared" si="1"/>
        <v>INSERT INTO tblTeacherSubject VALUES (seqTeacherSubject.nextval, '2', '35');</v>
      </c>
    </row>
    <row r="77">
      <c r="A77" s="1" t="s">
        <v>428</v>
      </c>
      <c r="B77" s="1">
        <v>2.0</v>
      </c>
      <c r="C77" s="1">
        <v>36.0</v>
      </c>
      <c r="E77" s="1" t="str">
        <f t="shared" si="1"/>
        <v>INSERT INTO tblTeacherSubject VALUES (seqTeacherSubject.nextval, '2', '36');</v>
      </c>
    </row>
    <row r="78">
      <c r="A78" s="1" t="s">
        <v>428</v>
      </c>
      <c r="B78" s="1">
        <v>2.0</v>
      </c>
      <c r="C78" s="1">
        <v>37.0</v>
      </c>
      <c r="E78" s="1" t="str">
        <f t="shared" si="1"/>
        <v>INSERT INTO tblTeacherSubject VALUES (seqTeacherSubject.nextval, '2', '37');</v>
      </c>
    </row>
    <row r="79">
      <c r="A79" s="1" t="s">
        <v>428</v>
      </c>
      <c r="B79" s="1">
        <v>2.0</v>
      </c>
      <c r="C79" s="1">
        <v>38.0</v>
      </c>
      <c r="E79" s="1" t="str">
        <f t="shared" si="1"/>
        <v>INSERT INTO tblTeacherSubject VALUES (seqTeacherSubject.nextval, '2', '38');</v>
      </c>
    </row>
    <row r="80">
      <c r="A80" s="1" t="s">
        <v>428</v>
      </c>
      <c r="B80" s="1">
        <v>2.0</v>
      </c>
      <c r="C80" s="1">
        <v>39.0</v>
      </c>
      <c r="E80" s="1" t="str">
        <f t="shared" si="1"/>
        <v>INSERT INTO tblTeacherSubject VALUES (seqTeacherSubject.nextval, '2', '39');</v>
      </c>
    </row>
    <row r="81">
      <c r="A81" s="1" t="s">
        <v>428</v>
      </c>
      <c r="B81" s="1">
        <v>2.0</v>
      </c>
      <c r="C81" s="1">
        <v>40.0</v>
      </c>
      <c r="E81" s="1" t="str">
        <f t="shared" si="1"/>
        <v>INSERT INTO tblTeacherSubject VALUES (seqTeacherSubject.nextval, '2', '40');</v>
      </c>
    </row>
    <row r="82">
      <c r="A82" s="1" t="s">
        <v>428</v>
      </c>
      <c r="B82" s="1">
        <v>3.0</v>
      </c>
      <c r="C82" s="1">
        <v>1.0</v>
      </c>
      <c r="E82" s="1" t="str">
        <f t="shared" si="1"/>
        <v>INSERT INTO tblTeacherSubject VALUES (seqTeacherSubject.nextval, '3', '1');</v>
      </c>
    </row>
    <row r="83">
      <c r="A83" s="1" t="s">
        <v>428</v>
      </c>
      <c r="B83" s="1">
        <v>3.0</v>
      </c>
      <c r="C83" s="1">
        <v>2.0</v>
      </c>
      <c r="E83" s="1" t="str">
        <f t="shared" si="1"/>
        <v>INSERT INTO tblTeacherSubject VALUES (seqTeacherSubject.nextval, '3', '2');</v>
      </c>
    </row>
    <row r="84">
      <c r="A84" s="1" t="s">
        <v>428</v>
      </c>
      <c r="B84" s="1">
        <v>3.0</v>
      </c>
      <c r="C84" s="1">
        <v>3.0</v>
      </c>
      <c r="E84" s="1" t="str">
        <f t="shared" si="1"/>
        <v>INSERT INTO tblTeacherSubject VALUES (seqTeacherSubject.nextval, '3', '3');</v>
      </c>
    </row>
    <row r="85">
      <c r="A85" s="1" t="s">
        <v>428</v>
      </c>
      <c r="B85" s="1">
        <v>3.0</v>
      </c>
      <c r="C85" s="1">
        <v>4.0</v>
      </c>
      <c r="E85" s="1" t="str">
        <f t="shared" si="1"/>
        <v>INSERT INTO tblTeacherSubject VALUES (seqTeacherSubject.nextval, '3', '4');</v>
      </c>
    </row>
    <row r="86">
      <c r="A86" s="1" t="s">
        <v>428</v>
      </c>
      <c r="B86" s="1">
        <v>3.0</v>
      </c>
      <c r="C86" s="1">
        <v>5.0</v>
      </c>
      <c r="E86" s="1" t="str">
        <f t="shared" si="1"/>
        <v>INSERT INTO tblTeacherSubject VALUES (seqTeacherSubject.nextval, '3', '5');</v>
      </c>
    </row>
    <row r="87">
      <c r="A87" s="1" t="s">
        <v>428</v>
      </c>
      <c r="B87" s="1">
        <v>3.0</v>
      </c>
      <c r="C87" s="1">
        <v>6.0</v>
      </c>
      <c r="E87" s="1" t="str">
        <f t="shared" si="1"/>
        <v>INSERT INTO tblTeacherSubject VALUES (seqTeacherSubject.nextval, '3', '6');</v>
      </c>
    </row>
    <row r="88">
      <c r="A88" s="1" t="s">
        <v>428</v>
      </c>
      <c r="B88" s="1">
        <v>3.0</v>
      </c>
      <c r="C88" s="1">
        <v>7.0</v>
      </c>
      <c r="E88" s="1" t="str">
        <f t="shared" si="1"/>
        <v>INSERT INTO tblTeacherSubject VALUES (seqTeacherSubject.nextval, '3', '7');</v>
      </c>
    </row>
    <row r="89">
      <c r="A89" s="1" t="s">
        <v>428</v>
      </c>
      <c r="B89" s="1">
        <v>3.0</v>
      </c>
      <c r="C89" s="1">
        <v>8.0</v>
      </c>
      <c r="E89" s="1" t="str">
        <f t="shared" si="1"/>
        <v>INSERT INTO tblTeacherSubject VALUES (seqTeacherSubject.nextval, '3', '8');</v>
      </c>
    </row>
    <row r="90">
      <c r="A90" s="1" t="s">
        <v>428</v>
      </c>
      <c r="B90" s="1">
        <v>3.0</v>
      </c>
      <c r="C90" s="1">
        <v>9.0</v>
      </c>
      <c r="E90" s="1" t="str">
        <f t="shared" si="1"/>
        <v>INSERT INTO tblTeacherSubject VALUES (seqTeacherSubject.nextval, '3', '9');</v>
      </c>
    </row>
    <row r="91">
      <c r="A91" s="1" t="s">
        <v>428</v>
      </c>
      <c r="B91" s="1">
        <v>3.0</v>
      </c>
      <c r="C91" s="1">
        <v>10.0</v>
      </c>
      <c r="E91" s="1" t="str">
        <f t="shared" si="1"/>
        <v>INSERT INTO tblTeacherSubject VALUES (seqTeacherSubject.nextval, '3', '10');</v>
      </c>
    </row>
    <row r="92">
      <c r="A92" s="1" t="s">
        <v>428</v>
      </c>
      <c r="B92" s="1">
        <v>3.0</v>
      </c>
      <c r="C92" s="1">
        <v>11.0</v>
      </c>
      <c r="E92" s="1" t="str">
        <f t="shared" si="1"/>
        <v>INSERT INTO tblTeacherSubject VALUES (seqTeacherSubject.nextval, '3', '11');</v>
      </c>
    </row>
    <row r="93">
      <c r="A93" s="1" t="s">
        <v>428</v>
      </c>
      <c r="B93" s="1">
        <v>3.0</v>
      </c>
      <c r="C93" s="1">
        <v>12.0</v>
      </c>
      <c r="E93" s="1" t="str">
        <f t="shared" si="1"/>
        <v>INSERT INTO tblTeacherSubject VALUES (seqTeacherSubject.nextval, '3', '12');</v>
      </c>
    </row>
    <row r="94">
      <c r="A94" s="1" t="s">
        <v>428</v>
      </c>
      <c r="B94" s="1">
        <v>3.0</v>
      </c>
      <c r="C94" s="1">
        <v>13.0</v>
      </c>
      <c r="E94" s="1" t="str">
        <f t="shared" si="1"/>
        <v>INSERT INTO tblTeacherSubject VALUES (seqTeacherSubject.nextval, '3', '13');</v>
      </c>
    </row>
    <row r="95">
      <c r="A95" s="1" t="s">
        <v>428</v>
      </c>
      <c r="B95" s="1">
        <v>3.0</v>
      </c>
      <c r="C95" s="1">
        <v>14.0</v>
      </c>
      <c r="E95" s="1" t="str">
        <f t="shared" si="1"/>
        <v>INSERT INTO tblTeacherSubject VALUES (seqTeacherSubject.nextval, '3', '14');</v>
      </c>
    </row>
    <row r="96">
      <c r="A96" s="1" t="s">
        <v>428</v>
      </c>
      <c r="B96" s="1">
        <v>3.0</v>
      </c>
      <c r="C96" s="1">
        <v>15.0</v>
      </c>
      <c r="E96" s="1" t="str">
        <f t="shared" si="1"/>
        <v>INSERT INTO tblTeacherSubject VALUES (seqTeacherSubject.nextval, '3', '15');</v>
      </c>
    </row>
    <row r="97">
      <c r="A97" s="1" t="s">
        <v>428</v>
      </c>
      <c r="B97" s="1">
        <v>3.0</v>
      </c>
      <c r="C97" s="1">
        <v>16.0</v>
      </c>
      <c r="E97" s="1" t="str">
        <f t="shared" si="1"/>
        <v>INSERT INTO tblTeacherSubject VALUES (seqTeacherSubject.nextval, '3', '16');</v>
      </c>
    </row>
    <row r="98">
      <c r="A98" s="1" t="s">
        <v>428</v>
      </c>
      <c r="B98" s="1">
        <v>3.0</v>
      </c>
      <c r="C98" s="1">
        <v>17.0</v>
      </c>
      <c r="E98" s="1" t="str">
        <f t="shared" si="1"/>
        <v>INSERT INTO tblTeacherSubject VALUES (seqTeacherSubject.nextval, '3', '17');</v>
      </c>
    </row>
    <row r="99">
      <c r="A99" s="1" t="s">
        <v>428</v>
      </c>
      <c r="B99" s="1">
        <v>3.0</v>
      </c>
      <c r="C99" s="1">
        <v>18.0</v>
      </c>
      <c r="E99" s="1" t="str">
        <f t="shared" si="1"/>
        <v>INSERT INTO tblTeacherSubject VALUES (seqTeacherSubject.nextval, '3', '18');</v>
      </c>
    </row>
    <row r="100">
      <c r="A100" s="1" t="s">
        <v>428</v>
      </c>
      <c r="B100" s="1">
        <v>3.0</v>
      </c>
      <c r="C100" s="1">
        <v>19.0</v>
      </c>
      <c r="E100" s="1" t="str">
        <f t="shared" si="1"/>
        <v>INSERT INTO tblTeacherSubject VALUES (seqTeacherSubject.nextval, '3', '19');</v>
      </c>
    </row>
    <row r="101">
      <c r="A101" s="1" t="s">
        <v>428</v>
      </c>
      <c r="B101" s="1">
        <v>3.0</v>
      </c>
      <c r="C101" s="1">
        <v>20.0</v>
      </c>
      <c r="E101" s="1" t="str">
        <f t="shared" si="1"/>
        <v>INSERT INTO tblTeacherSubject VALUES (seqTeacherSubject.nextval, '3', '20');</v>
      </c>
    </row>
    <row r="102">
      <c r="A102" s="1" t="s">
        <v>428</v>
      </c>
      <c r="B102" s="1">
        <v>3.0</v>
      </c>
      <c r="C102" s="1">
        <v>21.0</v>
      </c>
      <c r="E102" s="1" t="str">
        <f t="shared" si="1"/>
        <v>INSERT INTO tblTeacherSubject VALUES (seqTeacherSubject.nextval, '3', '21');</v>
      </c>
    </row>
    <row r="103">
      <c r="A103" s="1" t="s">
        <v>428</v>
      </c>
      <c r="B103" s="1">
        <v>3.0</v>
      </c>
      <c r="C103" s="1">
        <v>22.0</v>
      </c>
      <c r="E103" s="1" t="str">
        <f t="shared" si="1"/>
        <v>INSERT INTO tblTeacherSubject VALUES (seqTeacherSubject.nextval, '3', '22');</v>
      </c>
    </row>
    <row r="104">
      <c r="A104" s="1" t="s">
        <v>428</v>
      </c>
      <c r="B104" s="1">
        <v>3.0</v>
      </c>
      <c r="C104" s="1">
        <v>23.0</v>
      </c>
      <c r="E104" s="1" t="str">
        <f t="shared" si="1"/>
        <v>INSERT INTO tblTeacherSubject VALUES (seqTeacherSubject.nextval, '3', '23');</v>
      </c>
    </row>
    <row r="105">
      <c r="A105" s="1" t="s">
        <v>428</v>
      </c>
      <c r="B105" s="1">
        <v>3.0</v>
      </c>
      <c r="C105" s="1">
        <v>24.0</v>
      </c>
      <c r="E105" s="1" t="str">
        <f t="shared" si="1"/>
        <v>INSERT INTO tblTeacherSubject VALUES (seqTeacherSubject.nextval, '3', '24');</v>
      </c>
    </row>
    <row r="106">
      <c r="A106" s="1" t="s">
        <v>428</v>
      </c>
      <c r="B106" s="1">
        <v>3.0</v>
      </c>
      <c r="C106" s="1">
        <v>25.0</v>
      </c>
      <c r="E106" s="1" t="str">
        <f t="shared" si="1"/>
        <v>INSERT INTO tblTeacherSubject VALUES (seqTeacherSubject.nextval, '3', '25');</v>
      </c>
    </row>
    <row r="107">
      <c r="A107" s="1" t="s">
        <v>428</v>
      </c>
      <c r="B107" s="1">
        <v>3.0</v>
      </c>
      <c r="C107" s="1">
        <v>26.0</v>
      </c>
      <c r="E107" s="1" t="str">
        <f t="shared" si="1"/>
        <v>INSERT INTO tblTeacherSubject VALUES (seqTeacherSubject.nextval, '3', '26');</v>
      </c>
    </row>
    <row r="108">
      <c r="A108" s="1" t="s">
        <v>428</v>
      </c>
      <c r="B108" s="1">
        <v>3.0</v>
      </c>
      <c r="C108" s="1">
        <v>27.0</v>
      </c>
      <c r="E108" s="1" t="str">
        <f t="shared" si="1"/>
        <v>INSERT INTO tblTeacherSubject VALUES (seqTeacherSubject.nextval, '3', '27');</v>
      </c>
    </row>
    <row r="109">
      <c r="A109" s="1" t="s">
        <v>428</v>
      </c>
      <c r="B109" s="1">
        <v>3.0</v>
      </c>
      <c r="C109" s="1">
        <v>28.0</v>
      </c>
      <c r="E109" s="1" t="str">
        <f t="shared" si="1"/>
        <v>INSERT INTO tblTeacherSubject VALUES (seqTeacherSubject.nextval, '3', '28');</v>
      </c>
    </row>
    <row r="110">
      <c r="A110" s="1" t="s">
        <v>428</v>
      </c>
      <c r="B110" s="1">
        <v>3.0</v>
      </c>
      <c r="C110" s="1">
        <v>29.0</v>
      </c>
      <c r="E110" s="1" t="str">
        <f t="shared" si="1"/>
        <v>INSERT INTO tblTeacherSubject VALUES (seqTeacherSubject.nextval, '3', '29');</v>
      </c>
    </row>
    <row r="111">
      <c r="A111" s="1" t="s">
        <v>428</v>
      </c>
      <c r="B111" s="1">
        <v>3.0</v>
      </c>
      <c r="C111" s="1">
        <v>30.0</v>
      </c>
      <c r="E111" s="1" t="str">
        <f t="shared" si="1"/>
        <v>INSERT INTO tblTeacherSubject VALUES (seqTeacherSubject.nextval, '3', '30');</v>
      </c>
    </row>
    <row r="112">
      <c r="A112" s="1" t="s">
        <v>428</v>
      </c>
      <c r="B112" s="1">
        <v>3.0</v>
      </c>
      <c r="C112" s="1">
        <v>31.0</v>
      </c>
      <c r="E112" s="1" t="str">
        <f t="shared" si="1"/>
        <v>INSERT INTO tblTeacherSubject VALUES (seqTeacherSubject.nextval, '3', '31');</v>
      </c>
    </row>
    <row r="113">
      <c r="A113" s="1" t="s">
        <v>428</v>
      </c>
      <c r="B113" s="1">
        <v>3.0</v>
      </c>
      <c r="C113" s="1">
        <v>32.0</v>
      </c>
      <c r="E113" s="1" t="str">
        <f t="shared" si="1"/>
        <v>INSERT INTO tblTeacherSubject VALUES (seqTeacherSubject.nextval, '3', '32');</v>
      </c>
    </row>
    <row r="114">
      <c r="A114" s="1" t="s">
        <v>428</v>
      </c>
      <c r="B114" s="1">
        <v>3.0</v>
      </c>
      <c r="C114" s="1">
        <v>33.0</v>
      </c>
      <c r="E114" s="1" t="str">
        <f t="shared" si="1"/>
        <v>INSERT INTO tblTeacherSubject VALUES (seqTeacherSubject.nextval, '3', '33');</v>
      </c>
    </row>
    <row r="115">
      <c r="A115" s="1" t="s">
        <v>428</v>
      </c>
      <c r="B115" s="1">
        <v>3.0</v>
      </c>
      <c r="C115" s="1">
        <v>34.0</v>
      </c>
      <c r="E115" s="1" t="str">
        <f t="shared" si="1"/>
        <v>INSERT INTO tblTeacherSubject VALUES (seqTeacherSubject.nextval, '3', '34');</v>
      </c>
    </row>
    <row r="116">
      <c r="A116" s="1" t="s">
        <v>428</v>
      </c>
      <c r="B116" s="1">
        <v>3.0</v>
      </c>
      <c r="C116" s="1">
        <v>35.0</v>
      </c>
      <c r="E116" s="1" t="str">
        <f t="shared" si="1"/>
        <v>INSERT INTO tblTeacherSubject VALUES (seqTeacherSubject.nextval, '3', '35');</v>
      </c>
    </row>
    <row r="117">
      <c r="A117" s="1" t="s">
        <v>428</v>
      </c>
      <c r="B117" s="1">
        <v>3.0</v>
      </c>
      <c r="C117" s="1">
        <v>36.0</v>
      </c>
      <c r="E117" s="1" t="str">
        <f t="shared" si="1"/>
        <v>INSERT INTO tblTeacherSubject VALUES (seqTeacherSubject.nextval, '3', '36');</v>
      </c>
    </row>
    <row r="118">
      <c r="A118" s="1" t="s">
        <v>428</v>
      </c>
      <c r="B118" s="1">
        <v>3.0</v>
      </c>
      <c r="C118" s="1">
        <v>37.0</v>
      </c>
      <c r="E118" s="1" t="str">
        <f t="shared" si="1"/>
        <v>INSERT INTO tblTeacherSubject VALUES (seqTeacherSubject.nextval, '3', '37');</v>
      </c>
    </row>
    <row r="119">
      <c r="A119" s="1" t="s">
        <v>428</v>
      </c>
      <c r="B119" s="1">
        <v>3.0</v>
      </c>
      <c r="C119" s="1">
        <v>38.0</v>
      </c>
      <c r="E119" s="1" t="str">
        <f t="shared" si="1"/>
        <v>INSERT INTO tblTeacherSubject VALUES (seqTeacherSubject.nextval, '3', '38');</v>
      </c>
    </row>
    <row r="120">
      <c r="A120" s="1" t="s">
        <v>428</v>
      </c>
      <c r="B120" s="1">
        <v>3.0</v>
      </c>
      <c r="C120" s="1">
        <v>39.0</v>
      </c>
      <c r="E120" s="1" t="str">
        <f t="shared" si="1"/>
        <v>INSERT INTO tblTeacherSubject VALUES (seqTeacherSubject.nextval, '3', '39');</v>
      </c>
    </row>
    <row r="121">
      <c r="A121" s="1" t="s">
        <v>428</v>
      </c>
      <c r="B121" s="1">
        <v>3.0</v>
      </c>
      <c r="C121" s="1">
        <v>40.0</v>
      </c>
      <c r="E121" s="1" t="str">
        <f t="shared" si="1"/>
        <v>INSERT INTO tblTeacherSubject VALUES (seqTeacherSubject.nextval, '3', '40');</v>
      </c>
    </row>
    <row r="122">
      <c r="A122" s="1" t="s">
        <v>428</v>
      </c>
      <c r="B122" s="1">
        <v>4.0</v>
      </c>
      <c r="C122" s="1">
        <v>1.0</v>
      </c>
      <c r="E122" s="1" t="str">
        <f t="shared" si="1"/>
        <v>INSERT INTO tblTeacherSubject VALUES (seqTeacherSubject.nextval, '4', '1');</v>
      </c>
    </row>
    <row r="123">
      <c r="A123" s="1" t="s">
        <v>428</v>
      </c>
      <c r="B123" s="1">
        <v>4.0</v>
      </c>
      <c r="C123" s="1">
        <v>2.0</v>
      </c>
      <c r="E123" s="1" t="str">
        <f t="shared" si="1"/>
        <v>INSERT INTO tblTeacherSubject VALUES (seqTeacherSubject.nextval, '4', '2');</v>
      </c>
    </row>
    <row r="124">
      <c r="A124" s="1" t="s">
        <v>428</v>
      </c>
      <c r="B124" s="1">
        <v>4.0</v>
      </c>
      <c r="C124" s="1">
        <v>3.0</v>
      </c>
      <c r="E124" s="1" t="str">
        <f t="shared" si="1"/>
        <v>INSERT INTO tblTeacherSubject VALUES (seqTeacherSubject.nextval, '4', '3');</v>
      </c>
    </row>
    <row r="125">
      <c r="A125" s="1" t="s">
        <v>428</v>
      </c>
      <c r="B125" s="1">
        <v>4.0</v>
      </c>
      <c r="C125" s="1">
        <v>4.0</v>
      </c>
      <c r="E125" s="1" t="str">
        <f t="shared" si="1"/>
        <v>INSERT INTO tblTeacherSubject VALUES (seqTeacherSubject.nextval, '4', '4');</v>
      </c>
    </row>
    <row r="126">
      <c r="A126" s="1" t="s">
        <v>428</v>
      </c>
      <c r="B126" s="1">
        <v>4.0</v>
      </c>
      <c r="C126" s="1">
        <v>5.0</v>
      </c>
      <c r="E126" s="1" t="str">
        <f t="shared" si="1"/>
        <v>INSERT INTO tblTeacherSubject VALUES (seqTeacherSubject.nextval, '4', '5');</v>
      </c>
    </row>
    <row r="127">
      <c r="A127" s="1" t="s">
        <v>428</v>
      </c>
      <c r="B127" s="1">
        <v>4.0</v>
      </c>
      <c r="C127" s="1">
        <v>6.0</v>
      </c>
      <c r="E127" s="1" t="str">
        <f t="shared" si="1"/>
        <v>INSERT INTO tblTeacherSubject VALUES (seqTeacherSubject.nextval, '4', '6');</v>
      </c>
    </row>
    <row r="128">
      <c r="A128" s="1" t="s">
        <v>428</v>
      </c>
      <c r="B128" s="1">
        <v>4.0</v>
      </c>
      <c r="C128" s="1">
        <v>7.0</v>
      </c>
      <c r="E128" s="1" t="str">
        <f t="shared" si="1"/>
        <v>INSERT INTO tblTeacherSubject VALUES (seqTeacherSubject.nextval, '4', '7');</v>
      </c>
    </row>
    <row r="129">
      <c r="A129" s="1" t="s">
        <v>428</v>
      </c>
      <c r="B129" s="1">
        <v>4.0</v>
      </c>
      <c r="C129" s="1">
        <v>8.0</v>
      </c>
      <c r="E129" s="1" t="str">
        <f t="shared" si="1"/>
        <v>INSERT INTO tblTeacherSubject VALUES (seqTeacherSubject.nextval, '4', '8');</v>
      </c>
    </row>
    <row r="130">
      <c r="A130" s="1" t="s">
        <v>428</v>
      </c>
      <c r="B130" s="1">
        <v>4.0</v>
      </c>
      <c r="C130" s="1">
        <v>9.0</v>
      </c>
      <c r="E130" s="1" t="str">
        <f t="shared" si="1"/>
        <v>INSERT INTO tblTeacherSubject VALUES (seqTeacherSubject.nextval, '4', '9');</v>
      </c>
    </row>
    <row r="131">
      <c r="A131" s="1" t="s">
        <v>428</v>
      </c>
      <c r="B131" s="1">
        <v>4.0</v>
      </c>
      <c r="C131" s="1">
        <v>10.0</v>
      </c>
      <c r="E131" s="1" t="str">
        <f t="shared" si="1"/>
        <v>INSERT INTO tblTeacherSubject VALUES (seqTeacherSubject.nextval, '4', '10');</v>
      </c>
    </row>
    <row r="132">
      <c r="A132" s="1" t="s">
        <v>428</v>
      </c>
      <c r="B132" s="1">
        <v>4.0</v>
      </c>
      <c r="C132" s="1">
        <v>11.0</v>
      </c>
      <c r="E132" s="1" t="str">
        <f t="shared" si="1"/>
        <v>INSERT INTO tblTeacherSubject VALUES (seqTeacherSubject.nextval, '4', '11');</v>
      </c>
    </row>
    <row r="133">
      <c r="A133" s="1" t="s">
        <v>428</v>
      </c>
      <c r="B133" s="1">
        <v>4.0</v>
      </c>
      <c r="C133" s="1">
        <v>12.0</v>
      </c>
      <c r="E133" s="1" t="str">
        <f t="shared" si="1"/>
        <v>INSERT INTO tblTeacherSubject VALUES (seqTeacherSubject.nextval, '4', '12');</v>
      </c>
    </row>
    <row r="134">
      <c r="A134" s="1" t="s">
        <v>428</v>
      </c>
      <c r="B134" s="1">
        <v>4.0</v>
      </c>
      <c r="C134" s="1">
        <v>13.0</v>
      </c>
      <c r="E134" s="1" t="str">
        <f t="shared" si="1"/>
        <v>INSERT INTO tblTeacherSubject VALUES (seqTeacherSubject.nextval, '4', '13');</v>
      </c>
    </row>
    <row r="135">
      <c r="A135" s="1" t="s">
        <v>428</v>
      </c>
      <c r="B135" s="1">
        <v>4.0</v>
      </c>
      <c r="C135" s="1">
        <v>14.0</v>
      </c>
      <c r="E135" s="1" t="str">
        <f t="shared" si="1"/>
        <v>INSERT INTO tblTeacherSubject VALUES (seqTeacherSubject.nextval, '4', '14');</v>
      </c>
    </row>
    <row r="136">
      <c r="A136" s="1" t="s">
        <v>428</v>
      </c>
      <c r="B136" s="1">
        <v>4.0</v>
      </c>
      <c r="C136" s="1">
        <v>15.0</v>
      </c>
      <c r="E136" s="1" t="str">
        <f t="shared" si="1"/>
        <v>INSERT INTO tblTeacherSubject VALUES (seqTeacherSubject.nextval, '4', '15');</v>
      </c>
    </row>
    <row r="137">
      <c r="A137" s="1" t="s">
        <v>428</v>
      </c>
      <c r="B137" s="1">
        <v>4.0</v>
      </c>
      <c r="C137" s="1">
        <v>16.0</v>
      </c>
      <c r="E137" s="1" t="str">
        <f t="shared" si="1"/>
        <v>INSERT INTO tblTeacherSubject VALUES (seqTeacherSubject.nextval, '4', '16');</v>
      </c>
    </row>
    <row r="138">
      <c r="A138" s="1" t="s">
        <v>428</v>
      </c>
      <c r="B138" s="1">
        <v>4.0</v>
      </c>
      <c r="C138" s="1">
        <v>17.0</v>
      </c>
      <c r="E138" s="1" t="str">
        <f t="shared" si="1"/>
        <v>INSERT INTO tblTeacherSubject VALUES (seqTeacherSubject.nextval, '4', '17');</v>
      </c>
    </row>
    <row r="139">
      <c r="A139" s="1" t="s">
        <v>428</v>
      </c>
      <c r="B139" s="1">
        <v>4.0</v>
      </c>
      <c r="C139" s="1">
        <v>18.0</v>
      </c>
      <c r="E139" s="1" t="str">
        <f t="shared" si="1"/>
        <v>INSERT INTO tblTeacherSubject VALUES (seqTeacherSubject.nextval, '4', '18');</v>
      </c>
    </row>
    <row r="140">
      <c r="A140" s="1" t="s">
        <v>428</v>
      </c>
      <c r="B140" s="1">
        <v>4.0</v>
      </c>
      <c r="C140" s="1">
        <v>19.0</v>
      </c>
      <c r="E140" s="1" t="str">
        <f t="shared" si="1"/>
        <v>INSERT INTO tblTeacherSubject VALUES (seqTeacherSubject.nextval, '4', '19');</v>
      </c>
    </row>
    <row r="141">
      <c r="A141" s="1" t="s">
        <v>428</v>
      </c>
      <c r="B141" s="1">
        <v>4.0</v>
      </c>
      <c r="C141" s="1">
        <v>20.0</v>
      </c>
      <c r="E141" s="1" t="str">
        <f t="shared" si="1"/>
        <v>INSERT INTO tblTeacherSubject VALUES (seqTeacherSubject.nextval, '4', '20');</v>
      </c>
    </row>
    <row r="142">
      <c r="A142" s="1" t="s">
        <v>428</v>
      </c>
      <c r="B142" s="1">
        <v>4.0</v>
      </c>
      <c r="C142" s="1">
        <v>21.0</v>
      </c>
      <c r="E142" s="1" t="str">
        <f t="shared" si="1"/>
        <v>INSERT INTO tblTeacherSubject VALUES (seqTeacherSubject.nextval, '4', '21');</v>
      </c>
    </row>
    <row r="143">
      <c r="A143" s="1" t="s">
        <v>428</v>
      </c>
      <c r="B143" s="1">
        <v>4.0</v>
      </c>
      <c r="C143" s="1">
        <v>22.0</v>
      </c>
      <c r="E143" s="1" t="str">
        <f t="shared" si="1"/>
        <v>INSERT INTO tblTeacherSubject VALUES (seqTeacherSubject.nextval, '4', '22');</v>
      </c>
    </row>
    <row r="144">
      <c r="A144" s="1" t="s">
        <v>428</v>
      </c>
      <c r="B144" s="1">
        <v>4.0</v>
      </c>
      <c r="C144" s="1">
        <v>23.0</v>
      </c>
      <c r="E144" s="1" t="str">
        <f t="shared" si="1"/>
        <v>INSERT INTO tblTeacherSubject VALUES (seqTeacherSubject.nextval, '4', '23');</v>
      </c>
    </row>
    <row r="145">
      <c r="A145" s="1" t="s">
        <v>428</v>
      </c>
      <c r="B145" s="1">
        <v>4.0</v>
      </c>
      <c r="C145" s="1">
        <v>24.0</v>
      </c>
      <c r="E145" s="1" t="str">
        <f t="shared" si="1"/>
        <v>INSERT INTO tblTeacherSubject VALUES (seqTeacherSubject.nextval, '4', '24');</v>
      </c>
    </row>
    <row r="146">
      <c r="A146" s="1" t="s">
        <v>428</v>
      </c>
      <c r="B146" s="1">
        <v>4.0</v>
      </c>
      <c r="C146" s="1">
        <v>25.0</v>
      </c>
      <c r="E146" s="1" t="str">
        <f t="shared" si="1"/>
        <v>INSERT INTO tblTeacherSubject VALUES (seqTeacherSubject.nextval, '4', '25');</v>
      </c>
    </row>
    <row r="147">
      <c r="A147" s="1" t="s">
        <v>428</v>
      </c>
      <c r="B147" s="1">
        <v>4.0</v>
      </c>
      <c r="C147" s="1">
        <v>26.0</v>
      </c>
      <c r="E147" s="1" t="str">
        <f t="shared" si="1"/>
        <v>INSERT INTO tblTeacherSubject VALUES (seqTeacherSubject.nextval, '4', '26');</v>
      </c>
    </row>
    <row r="148">
      <c r="A148" s="1" t="s">
        <v>428</v>
      </c>
      <c r="B148" s="1">
        <v>4.0</v>
      </c>
      <c r="C148" s="1">
        <v>27.0</v>
      </c>
      <c r="E148" s="1" t="str">
        <f t="shared" si="1"/>
        <v>INSERT INTO tblTeacherSubject VALUES (seqTeacherSubject.nextval, '4', '27');</v>
      </c>
    </row>
    <row r="149">
      <c r="A149" s="1" t="s">
        <v>428</v>
      </c>
      <c r="B149" s="1">
        <v>4.0</v>
      </c>
      <c r="C149" s="1">
        <v>28.0</v>
      </c>
      <c r="E149" s="1" t="str">
        <f t="shared" si="1"/>
        <v>INSERT INTO tblTeacherSubject VALUES (seqTeacherSubject.nextval, '4', '28');</v>
      </c>
    </row>
    <row r="150">
      <c r="A150" s="1" t="s">
        <v>428</v>
      </c>
      <c r="B150" s="1">
        <v>4.0</v>
      </c>
      <c r="C150" s="1">
        <v>29.0</v>
      </c>
      <c r="E150" s="1" t="str">
        <f t="shared" si="1"/>
        <v>INSERT INTO tblTeacherSubject VALUES (seqTeacherSubject.nextval, '4', '29');</v>
      </c>
    </row>
    <row r="151">
      <c r="A151" s="1" t="s">
        <v>428</v>
      </c>
      <c r="B151" s="1">
        <v>4.0</v>
      </c>
      <c r="C151" s="1">
        <v>30.0</v>
      </c>
      <c r="E151" s="1" t="str">
        <f t="shared" si="1"/>
        <v>INSERT INTO tblTeacherSubject VALUES (seqTeacherSubject.nextval, '4', '30');</v>
      </c>
    </row>
    <row r="152">
      <c r="A152" s="1" t="s">
        <v>428</v>
      </c>
      <c r="B152" s="1">
        <v>4.0</v>
      </c>
      <c r="C152" s="1">
        <v>31.0</v>
      </c>
      <c r="E152" s="1" t="str">
        <f t="shared" si="1"/>
        <v>INSERT INTO tblTeacherSubject VALUES (seqTeacherSubject.nextval, '4', '31');</v>
      </c>
    </row>
    <row r="153">
      <c r="A153" s="1" t="s">
        <v>428</v>
      </c>
      <c r="B153" s="1">
        <v>4.0</v>
      </c>
      <c r="C153" s="1">
        <v>32.0</v>
      </c>
      <c r="E153" s="1" t="str">
        <f t="shared" si="1"/>
        <v>INSERT INTO tblTeacherSubject VALUES (seqTeacherSubject.nextval, '4', '32');</v>
      </c>
    </row>
    <row r="154">
      <c r="A154" s="1" t="s">
        <v>428</v>
      </c>
      <c r="B154" s="1">
        <v>4.0</v>
      </c>
      <c r="C154" s="1">
        <v>33.0</v>
      </c>
      <c r="E154" s="1" t="str">
        <f t="shared" si="1"/>
        <v>INSERT INTO tblTeacherSubject VALUES (seqTeacherSubject.nextval, '4', '33');</v>
      </c>
    </row>
    <row r="155">
      <c r="A155" s="1" t="s">
        <v>428</v>
      </c>
      <c r="B155" s="1">
        <v>4.0</v>
      </c>
      <c r="C155" s="1">
        <v>34.0</v>
      </c>
      <c r="E155" s="1" t="str">
        <f t="shared" si="1"/>
        <v>INSERT INTO tblTeacherSubject VALUES (seqTeacherSubject.nextval, '4', '34');</v>
      </c>
    </row>
    <row r="156">
      <c r="A156" s="1" t="s">
        <v>428</v>
      </c>
      <c r="B156" s="1">
        <v>4.0</v>
      </c>
      <c r="C156" s="1">
        <v>35.0</v>
      </c>
      <c r="E156" s="1" t="str">
        <f t="shared" si="1"/>
        <v>INSERT INTO tblTeacherSubject VALUES (seqTeacherSubject.nextval, '4', '35');</v>
      </c>
    </row>
    <row r="157">
      <c r="A157" s="1" t="s">
        <v>428</v>
      </c>
      <c r="B157" s="1">
        <v>4.0</v>
      </c>
      <c r="C157" s="1">
        <v>36.0</v>
      </c>
      <c r="E157" s="1" t="str">
        <f t="shared" si="1"/>
        <v>INSERT INTO tblTeacherSubject VALUES (seqTeacherSubject.nextval, '4', '36');</v>
      </c>
    </row>
    <row r="158">
      <c r="A158" s="1" t="s">
        <v>428</v>
      </c>
      <c r="B158" s="1">
        <v>4.0</v>
      </c>
      <c r="C158" s="1">
        <v>37.0</v>
      </c>
      <c r="E158" s="1" t="str">
        <f t="shared" si="1"/>
        <v>INSERT INTO tblTeacherSubject VALUES (seqTeacherSubject.nextval, '4', '37');</v>
      </c>
    </row>
    <row r="159">
      <c r="A159" s="1" t="s">
        <v>428</v>
      </c>
      <c r="B159" s="1">
        <v>4.0</v>
      </c>
      <c r="C159" s="1">
        <v>38.0</v>
      </c>
      <c r="E159" s="1" t="str">
        <f t="shared" si="1"/>
        <v>INSERT INTO tblTeacherSubject VALUES (seqTeacherSubject.nextval, '4', '38');</v>
      </c>
    </row>
    <row r="160">
      <c r="A160" s="1" t="s">
        <v>428</v>
      </c>
      <c r="B160" s="1">
        <v>4.0</v>
      </c>
      <c r="C160" s="1">
        <v>39.0</v>
      </c>
      <c r="E160" s="1" t="str">
        <f t="shared" si="1"/>
        <v>INSERT INTO tblTeacherSubject VALUES (seqTeacherSubject.nextval, '4', '39');</v>
      </c>
    </row>
    <row r="161">
      <c r="A161" s="1" t="s">
        <v>428</v>
      </c>
      <c r="B161" s="1">
        <v>4.0</v>
      </c>
      <c r="C161" s="1">
        <v>40.0</v>
      </c>
      <c r="E161" s="1" t="str">
        <f t="shared" si="1"/>
        <v>INSERT INTO tblTeacherSubject VALUES (seqTeacherSubject.nextval, '4', '40');</v>
      </c>
    </row>
    <row r="162">
      <c r="A162" s="1" t="s">
        <v>428</v>
      </c>
      <c r="B162" s="1">
        <v>5.0</v>
      </c>
      <c r="C162" s="1">
        <v>1.0</v>
      </c>
      <c r="E162" s="1" t="str">
        <f t="shared" si="1"/>
        <v>INSERT INTO tblTeacherSubject VALUES (seqTeacherSubject.nextval, '5', '1');</v>
      </c>
    </row>
    <row r="163">
      <c r="A163" s="1" t="s">
        <v>428</v>
      </c>
      <c r="B163" s="1">
        <v>5.0</v>
      </c>
      <c r="C163" s="1">
        <v>2.0</v>
      </c>
      <c r="E163" s="1" t="str">
        <f t="shared" si="1"/>
        <v>INSERT INTO tblTeacherSubject VALUES (seqTeacherSubject.nextval, '5', '2');</v>
      </c>
    </row>
    <row r="164">
      <c r="A164" s="1" t="s">
        <v>428</v>
      </c>
      <c r="B164" s="1">
        <v>5.0</v>
      </c>
      <c r="C164" s="1">
        <v>3.0</v>
      </c>
      <c r="E164" s="1" t="str">
        <f t="shared" si="1"/>
        <v>INSERT INTO tblTeacherSubject VALUES (seqTeacherSubject.nextval, '5', '3');</v>
      </c>
    </row>
    <row r="165">
      <c r="A165" s="1" t="s">
        <v>428</v>
      </c>
      <c r="B165" s="1">
        <v>5.0</v>
      </c>
      <c r="C165" s="1">
        <v>4.0</v>
      </c>
      <c r="E165" s="1" t="str">
        <f t="shared" si="1"/>
        <v>INSERT INTO tblTeacherSubject VALUES (seqTeacherSubject.nextval, '5', '4');</v>
      </c>
    </row>
    <row r="166">
      <c r="A166" s="1" t="s">
        <v>428</v>
      </c>
      <c r="B166" s="1">
        <v>5.0</v>
      </c>
      <c r="C166" s="1">
        <v>5.0</v>
      </c>
      <c r="E166" s="1" t="str">
        <f t="shared" si="1"/>
        <v>INSERT INTO tblTeacherSubject VALUES (seqTeacherSubject.nextval, '5', '5');</v>
      </c>
    </row>
    <row r="167">
      <c r="A167" s="1" t="s">
        <v>428</v>
      </c>
      <c r="B167" s="1">
        <v>5.0</v>
      </c>
      <c r="C167" s="1">
        <v>6.0</v>
      </c>
      <c r="E167" s="1" t="str">
        <f t="shared" si="1"/>
        <v>INSERT INTO tblTeacherSubject VALUES (seqTeacherSubject.nextval, '5', '6');</v>
      </c>
    </row>
    <row r="168">
      <c r="A168" s="1" t="s">
        <v>428</v>
      </c>
      <c r="B168" s="1">
        <v>5.0</v>
      </c>
      <c r="C168" s="1">
        <v>7.0</v>
      </c>
      <c r="E168" s="1" t="str">
        <f t="shared" si="1"/>
        <v>INSERT INTO tblTeacherSubject VALUES (seqTeacherSubject.nextval, '5', '7');</v>
      </c>
    </row>
    <row r="169">
      <c r="A169" s="1" t="s">
        <v>428</v>
      </c>
      <c r="B169" s="1">
        <v>5.0</v>
      </c>
      <c r="C169" s="1">
        <v>8.0</v>
      </c>
      <c r="E169" s="1" t="str">
        <f t="shared" si="1"/>
        <v>INSERT INTO tblTeacherSubject VALUES (seqTeacherSubject.nextval, '5', '8');</v>
      </c>
    </row>
    <row r="170">
      <c r="A170" s="1" t="s">
        <v>428</v>
      </c>
      <c r="B170" s="1">
        <v>5.0</v>
      </c>
      <c r="C170" s="1">
        <v>9.0</v>
      </c>
      <c r="E170" s="1" t="str">
        <f t="shared" si="1"/>
        <v>INSERT INTO tblTeacherSubject VALUES (seqTeacherSubject.nextval, '5', '9');</v>
      </c>
    </row>
    <row r="171">
      <c r="A171" s="1" t="s">
        <v>428</v>
      </c>
      <c r="B171" s="1">
        <v>5.0</v>
      </c>
      <c r="C171" s="1">
        <v>10.0</v>
      </c>
      <c r="E171" s="1" t="str">
        <f t="shared" si="1"/>
        <v>INSERT INTO tblTeacherSubject VALUES (seqTeacherSubject.nextval, '5', '10');</v>
      </c>
    </row>
    <row r="172">
      <c r="A172" s="1" t="s">
        <v>428</v>
      </c>
      <c r="B172" s="1">
        <v>5.0</v>
      </c>
      <c r="C172" s="1">
        <v>11.0</v>
      </c>
      <c r="E172" s="1" t="str">
        <f t="shared" si="1"/>
        <v>INSERT INTO tblTeacherSubject VALUES (seqTeacherSubject.nextval, '5', '11');</v>
      </c>
    </row>
    <row r="173">
      <c r="A173" s="1" t="s">
        <v>428</v>
      </c>
      <c r="B173" s="1">
        <v>5.0</v>
      </c>
      <c r="C173" s="1">
        <v>12.0</v>
      </c>
      <c r="E173" s="1" t="str">
        <f t="shared" si="1"/>
        <v>INSERT INTO tblTeacherSubject VALUES (seqTeacherSubject.nextval, '5', '12');</v>
      </c>
    </row>
    <row r="174">
      <c r="A174" s="1" t="s">
        <v>428</v>
      </c>
      <c r="B174" s="1">
        <v>5.0</v>
      </c>
      <c r="C174" s="1">
        <v>13.0</v>
      </c>
      <c r="E174" s="1" t="str">
        <f t="shared" si="1"/>
        <v>INSERT INTO tblTeacherSubject VALUES (seqTeacherSubject.nextval, '5', '13');</v>
      </c>
    </row>
    <row r="175">
      <c r="A175" s="1" t="s">
        <v>428</v>
      </c>
      <c r="B175" s="1">
        <v>5.0</v>
      </c>
      <c r="C175" s="1">
        <v>14.0</v>
      </c>
      <c r="E175" s="1" t="str">
        <f t="shared" si="1"/>
        <v>INSERT INTO tblTeacherSubject VALUES (seqTeacherSubject.nextval, '5', '14');</v>
      </c>
    </row>
    <row r="176">
      <c r="A176" s="1" t="s">
        <v>428</v>
      </c>
      <c r="B176" s="1">
        <v>5.0</v>
      </c>
      <c r="C176" s="1">
        <v>15.0</v>
      </c>
      <c r="E176" s="1" t="str">
        <f t="shared" si="1"/>
        <v>INSERT INTO tblTeacherSubject VALUES (seqTeacherSubject.nextval, '5', '15');</v>
      </c>
    </row>
    <row r="177">
      <c r="A177" s="1" t="s">
        <v>428</v>
      </c>
      <c r="B177" s="1">
        <v>5.0</v>
      </c>
      <c r="C177" s="1">
        <v>16.0</v>
      </c>
      <c r="E177" s="1" t="str">
        <f t="shared" si="1"/>
        <v>INSERT INTO tblTeacherSubject VALUES (seqTeacherSubject.nextval, '5', '16');</v>
      </c>
    </row>
    <row r="178">
      <c r="A178" s="1" t="s">
        <v>428</v>
      </c>
      <c r="B178" s="1">
        <v>5.0</v>
      </c>
      <c r="C178" s="1">
        <v>17.0</v>
      </c>
      <c r="E178" s="1" t="str">
        <f t="shared" si="1"/>
        <v>INSERT INTO tblTeacherSubject VALUES (seqTeacherSubject.nextval, '5', '17');</v>
      </c>
    </row>
    <row r="179">
      <c r="A179" s="1" t="s">
        <v>428</v>
      </c>
      <c r="B179" s="1">
        <v>5.0</v>
      </c>
      <c r="C179" s="1">
        <v>18.0</v>
      </c>
      <c r="E179" s="1" t="str">
        <f t="shared" si="1"/>
        <v>INSERT INTO tblTeacherSubject VALUES (seqTeacherSubject.nextval, '5', '18');</v>
      </c>
    </row>
    <row r="180">
      <c r="A180" s="1" t="s">
        <v>428</v>
      </c>
      <c r="B180" s="1">
        <v>5.0</v>
      </c>
      <c r="C180" s="1">
        <v>19.0</v>
      </c>
      <c r="E180" s="1" t="str">
        <f t="shared" si="1"/>
        <v>INSERT INTO tblTeacherSubject VALUES (seqTeacherSubject.nextval, '5', '19');</v>
      </c>
    </row>
    <row r="181">
      <c r="A181" s="1" t="s">
        <v>428</v>
      </c>
      <c r="B181" s="1">
        <v>5.0</v>
      </c>
      <c r="C181" s="1">
        <v>20.0</v>
      </c>
      <c r="E181" s="1" t="str">
        <f t="shared" si="1"/>
        <v>INSERT INTO tblTeacherSubject VALUES (seqTeacherSubject.nextval, '5', '20');</v>
      </c>
    </row>
    <row r="182">
      <c r="A182" s="1" t="s">
        <v>428</v>
      </c>
      <c r="B182" s="1">
        <v>5.0</v>
      </c>
      <c r="C182" s="1">
        <v>21.0</v>
      </c>
      <c r="E182" s="1" t="str">
        <f t="shared" si="1"/>
        <v>INSERT INTO tblTeacherSubject VALUES (seqTeacherSubject.nextval, '5', '21');</v>
      </c>
    </row>
    <row r="183">
      <c r="A183" s="1" t="s">
        <v>428</v>
      </c>
      <c r="B183" s="1">
        <v>5.0</v>
      </c>
      <c r="C183" s="1">
        <v>22.0</v>
      </c>
      <c r="E183" s="1" t="str">
        <f t="shared" si="1"/>
        <v>INSERT INTO tblTeacherSubject VALUES (seqTeacherSubject.nextval, '5', '22');</v>
      </c>
    </row>
    <row r="184">
      <c r="A184" s="1" t="s">
        <v>428</v>
      </c>
      <c r="B184" s="1">
        <v>5.0</v>
      </c>
      <c r="C184" s="1">
        <v>23.0</v>
      </c>
      <c r="E184" s="1" t="str">
        <f t="shared" si="1"/>
        <v>INSERT INTO tblTeacherSubject VALUES (seqTeacherSubject.nextval, '5', '23');</v>
      </c>
    </row>
    <row r="185">
      <c r="A185" s="1" t="s">
        <v>428</v>
      </c>
      <c r="B185" s="1">
        <v>5.0</v>
      </c>
      <c r="C185" s="1">
        <v>24.0</v>
      </c>
      <c r="E185" s="1" t="str">
        <f t="shared" si="1"/>
        <v>INSERT INTO tblTeacherSubject VALUES (seqTeacherSubject.nextval, '5', '24');</v>
      </c>
    </row>
    <row r="186">
      <c r="A186" s="1" t="s">
        <v>428</v>
      </c>
      <c r="B186" s="1">
        <v>5.0</v>
      </c>
      <c r="C186" s="1">
        <v>25.0</v>
      </c>
      <c r="E186" s="1" t="str">
        <f t="shared" si="1"/>
        <v>INSERT INTO tblTeacherSubject VALUES (seqTeacherSubject.nextval, '5', '25');</v>
      </c>
    </row>
    <row r="187">
      <c r="A187" s="1" t="s">
        <v>428</v>
      </c>
      <c r="B187" s="1">
        <v>5.0</v>
      </c>
      <c r="C187" s="1">
        <v>26.0</v>
      </c>
      <c r="E187" s="1" t="str">
        <f t="shared" si="1"/>
        <v>INSERT INTO tblTeacherSubject VALUES (seqTeacherSubject.nextval, '5', '26');</v>
      </c>
    </row>
    <row r="188">
      <c r="A188" s="1" t="s">
        <v>428</v>
      </c>
      <c r="B188" s="1">
        <v>5.0</v>
      </c>
      <c r="C188" s="1">
        <v>27.0</v>
      </c>
      <c r="E188" s="1" t="str">
        <f t="shared" si="1"/>
        <v>INSERT INTO tblTeacherSubject VALUES (seqTeacherSubject.nextval, '5', '27');</v>
      </c>
    </row>
    <row r="189">
      <c r="A189" s="1" t="s">
        <v>428</v>
      </c>
      <c r="B189" s="1">
        <v>5.0</v>
      </c>
      <c r="C189" s="1">
        <v>28.0</v>
      </c>
      <c r="E189" s="1" t="str">
        <f t="shared" si="1"/>
        <v>INSERT INTO tblTeacherSubject VALUES (seqTeacherSubject.nextval, '5', '28');</v>
      </c>
    </row>
    <row r="190">
      <c r="A190" s="1" t="s">
        <v>428</v>
      </c>
      <c r="B190" s="1">
        <v>5.0</v>
      </c>
      <c r="C190" s="1">
        <v>29.0</v>
      </c>
      <c r="E190" s="1" t="str">
        <f t="shared" si="1"/>
        <v>INSERT INTO tblTeacherSubject VALUES (seqTeacherSubject.nextval, '5', '29');</v>
      </c>
    </row>
    <row r="191">
      <c r="A191" s="1" t="s">
        <v>428</v>
      </c>
      <c r="B191" s="1">
        <v>5.0</v>
      </c>
      <c r="C191" s="1">
        <v>30.0</v>
      </c>
      <c r="E191" s="1" t="str">
        <f t="shared" si="1"/>
        <v>INSERT INTO tblTeacherSubject VALUES (seqTeacherSubject.nextval, '5', '30');</v>
      </c>
    </row>
    <row r="192">
      <c r="A192" s="1" t="s">
        <v>428</v>
      </c>
      <c r="B192" s="1">
        <v>5.0</v>
      </c>
      <c r="C192" s="1">
        <v>31.0</v>
      </c>
      <c r="E192" s="1" t="str">
        <f t="shared" si="1"/>
        <v>INSERT INTO tblTeacherSubject VALUES (seqTeacherSubject.nextval, '5', '31');</v>
      </c>
    </row>
    <row r="193">
      <c r="A193" s="1" t="s">
        <v>428</v>
      </c>
      <c r="B193" s="1">
        <v>5.0</v>
      </c>
      <c r="C193" s="1">
        <v>32.0</v>
      </c>
      <c r="E193" s="1" t="str">
        <f t="shared" si="1"/>
        <v>INSERT INTO tblTeacherSubject VALUES (seqTeacherSubject.nextval, '5', '32');</v>
      </c>
    </row>
    <row r="194">
      <c r="A194" s="1" t="s">
        <v>428</v>
      </c>
      <c r="B194" s="1">
        <v>5.0</v>
      </c>
      <c r="C194" s="1">
        <v>33.0</v>
      </c>
      <c r="E194" s="1" t="str">
        <f t="shared" si="1"/>
        <v>INSERT INTO tblTeacherSubject VALUES (seqTeacherSubject.nextval, '5', '33');</v>
      </c>
    </row>
    <row r="195">
      <c r="A195" s="1" t="s">
        <v>428</v>
      </c>
      <c r="B195" s="1">
        <v>5.0</v>
      </c>
      <c r="C195" s="1">
        <v>34.0</v>
      </c>
      <c r="E195" s="1" t="str">
        <f t="shared" si="1"/>
        <v>INSERT INTO tblTeacherSubject VALUES (seqTeacherSubject.nextval, '5', '34');</v>
      </c>
    </row>
    <row r="196">
      <c r="A196" s="1" t="s">
        <v>428</v>
      </c>
      <c r="B196" s="1">
        <v>5.0</v>
      </c>
      <c r="C196" s="1">
        <v>35.0</v>
      </c>
      <c r="E196" s="1" t="str">
        <f t="shared" si="1"/>
        <v>INSERT INTO tblTeacherSubject VALUES (seqTeacherSubject.nextval, '5', '35');</v>
      </c>
    </row>
    <row r="197">
      <c r="A197" s="1" t="s">
        <v>428</v>
      </c>
      <c r="B197" s="1">
        <v>5.0</v>
      </c>
      <c r="C197" s="1">
        <v>36.0</v>
      </c>
      <c r="E197" s="1" t="str">
        <f t="shared" si="1"/>
        <v>INSERT INTO tblTeacherSubject VALUES (seqTeacherSubject.nextval, '5', '36');</v>
      </c>
    </row>
    <row r="198">
      <c r="A198" s="1" t="s">
        <v>428</v>
      </c>
      <c r="B198" s="1">
        <v>5.0</v>
      </c>
      <c r="C198" s="1">
        <v>37.0</v>
      </c>
      <c r="E198" s="1" t="str">
        <f t="shared" si="1"/>
        <v>INSERT INTO tblTeacherSubject VALUES (seqTeacherSubject.nextval, '5', '37');</v>
      </c>
    </row>
    <row r="199">
      <c r="A199" s="1" t="s">
        <v>428</v>
      </c>
      <c r="B199" s="1">
        <v>5.0</v>
      </c>
      <c r="C199" s="1">
        <v>38.0</v>
      </c>
      <c r="E199" s="1" t="str">
        <f t="shared" si="1"/>
        <v>INSERT INTO tblTeacherSubject VALUES (seqTeacherSubject.nextval, '5', '38');</v>
      </c>
    </row>
    <row r="200">
      <c r="A200" s="1" t="s">
        <v>428</v>
      </c>
      <c r="B200" s="1">
        <v>5.0</v>
      </c>
      <c r="C200" s="1">
        <v>39.0</v>
      </c>
      <c r="E200" s="1" t="str">
        <f t="shared" si="1"/>
        <v>INSERT INTO tblTeacherSubject VALUES (seqTeacherSubject.nextval, '5', '39');</v>
      </c>
    </row>
    <row r="201">
      <c r="A201" s="1" t="s">
        <v>428</v>
      </c>
      <c r="B201" s="1">
        <v>5.0</v>
      </c>
      <c r="C201" s="1">
        <v>40.0</v>
      </c>
      <c r="E201" s="1" t="str">
        <f t="shared" si="1"/>
        <v>INSERT INTO tblTeacherSubject VALUES (seqTeacherSubject.nextval, '5', '40');</v>
      </c>
    </row>
    <row r="202">
      <c r="A202" s="1" t="s">
        <v>428</v>
      </c>
      <c r="B202" s="1">
        <v>6.0</v>
      </c>
      <c r="C202" s="1">
        <v>1.0</v>
      </c>
      <c r="E202" s="1" t="str">
        <f t="shared" si="1"/>
        <v>INSERT INTO tblTeacherSubject VALUES (seqTeacherSubject.nextval, '6', '1');</v>
      </c>
    </row>
    <row r="203">
      <c r="A203" s="1" t="s">
        <v>428</v>
      </c>
      <c r="B203" s="1">
        <v>6.0</v>
      </c>
      <c r="C203" s="1">
        <v>2.0</v>
      </c>
      <c r="E203" s="1" t="str">
        <f t="shared" si="1"/>
        <v>INSERT INTO tblTeacherSubject VALUES (seqTeacherSubject.nextval, '6', '2');</v>
      </c>
    </row>
    <row r="204">
      <c r="A204" s="1" t="s">
        <v>428</v>
      </c>
      <c r="B204" s="1">
        <v>6.0</v>
      </c>
      <c r="C204" s="1">
        <v>3.0</v>
      </c>
      <c r="E204" s="1" t="str">
        <f t="shared" si="1"/>
        <v>INSERT INTO tblTeacherSubject VALUES (seqTeacherSubject.nextval, '6', '3');</v>
      </c>
    </row>
    <row r="205">
      <c r="A205" s="1" t="s">
        <v>428</v>
      </c>
      <c r="B205" s="1">
        <v>6.0</v>
      </c>
      <c r="C205" s="1">
        <v>4.0</v>
      </c>
      <c r="E205" s="1" t="str">
        <f t="shared" si="1"/>
        <v>INSERT INTO tblTeacherSubject VALUES (seqTeacherSubject.nextval, '6', '4');</v>
      </c>
    </row>
    <row r="206">
      <c r="A206" s="1" t="s">
        <v>428</v>
      </c>
      <c r="B206" s="1">
        <v>6.0</v>
      </c>
      <c r="C206" s="1">
        <v>5.0</v>
      </c>
      <c r="E206" s="1" t="str">
        <f t="shared" si="1"/>
        <v>INSERT INTO tblTeacherSubject VALUES (seqTeacherSubject.nextval, '6', '5');</v>
      </c>
    </row>
    <row r="207">
      <c r="A207" s="1" t="s">
        <v>428</v>
      </c>
      <c r="B207" s="1">
        <v>6.0</v>
      </c>
      <c r="C207" s="1">
        <v>6.0</v>
      </c>
      <c r="E207" s="1" t="str">
        <f t="shared" si="1"/>
        <v>INSERT INTO tblTeacherSubject VALUES (seqTeacherSubject.nextval, '6', '6');</v>
      </c>
    </row>
    <row r="208">
      <c r="A208" s="1" t="s">
        <v>428</v>
      </c>
      <c r="B208" s="1">
        <v>6.0</v>
      </c>
      <c r="C208" s="1">
        <v>7.0</v>
      </c>
      <c r="E208" s="1" t="str">
        <f t="shared" si="1"/>
        <v>INSERT INTO tblTeacherSubject VALUES (seqTeacherSubject.nextval, '6', '7');</v>
      </c>
    </row>
    <row r="209">
      <c r="A209" s="1" t="s">
        <v>428</v>
      </c>
      <c r="B209" s="1">
        <v>6.0</v>
      </c>
      <c r="C209" s="1">
        <v>8.0</v>
      </c>
      <c r="E209" s="1" t="str">
        <f t="shared" si="1"/>
        <v>INSERT INTO tblTeacherSubject VALUES (seqTeacherSubject.nextval, '6', '8');</v>
      </c>
    </row>
    <row r="210">
      <c r="A210" s="1" t="s">
        <v>428</v>
      </c>
      <c r="B210" s="1">
        <v>6.0</v>
      </c>
      <c r="C210" s="1">
        <v>9.0</v>
      </c>
      <c r="E210" s="1" t="str">
        <f t="shared" si="1"/>
        <v>INSERT INTO tblTeacherSubject VALUES (seqTeacherSubject.nextval, '6', '9');</v>
      </c>
    </row>
    <row r="211">
      <c r="A211" s="1" t="s">
        <v>428</v>
      </c>
      <c r="B211" s="1">
        <v>6.0</v>
      </c>
      <c r="C211" s="1">
        <v>10.0</v>
      </c>
      <c r="E211" s="1" t="str">
        <f t="shared" si="1"/>
        <v>INSERT INTO tblTeacherSubject VALUES (seqTeacherSubject.nextval, '6', '10');</v>
      </c>
    </row>
    <row r="212">
      <c r="A212" s="1" t="s">
        <v>428</v>
      </c>
      <c r="B212" s="1">
        <v>6.0</v>
      </c>
      <c r="C212" s="1">
        <v>11.0</v>
      </c>
      <c r="E212" s="1" t="str">
        <f t="shared" si="1"/>
        <v>INSERT INTO tblTeacherSubject VALUES (seqTeacherSubject.nextval, '6', '11');</v>
      </c>
    </row>
    <row r="213">
      <c r="A213" s="1" t="s">
        <v>428</v>
      </c>
      <c r="B213" s="1">
        <v>6.0</v>
      </c>
      <c r="C213" s="1">
        <v>12.0</v>
      </c>
      <c r="E213" s="1" t="str">
        <f t="shared" si="1"/>
        <v>INSERT INTO tblTeacherSubject VALUES (seqTeacherSubject.nextval, '6', '12');</v>
      </c>
    </row>
    <row r="214">
      <c r="A214" s="1" t="s">
        <v>428</v>
      </c>
      <c r="B214" s="1">
        <v>6.0</v>
      </c>
      <c r="C214" s="1">
        <v>13.0</v>
      </c>
      <c r="E214" s="1" t="str">
        <f t="shared" si="1"/>
        <v>INSERT INTO tblTeacherSubject VALUES (seqTeacherSubject.nextval, '6', '13');</v>
      </c>
    </row>
    <row r="215">
      <c r="A215" s="1" t="s">
        <v>428</v>
      </c>
      <c r="B215" s="1">
        <v>6.0</v>
      </c>
      <c r="C215" s="1">
        <v>14.0</v>
      </c>
      <c r="E215" s="1" t="str">
        <f t="shared" si="1"/>
        <v>INSERT INTO tblTeacherSubject VALUES (seqTeacherSubject.nextval, '6', '14');</v>
      </c>
    </row>
    <row r="216">
      <c r="A216" s="1" t="s">
        <v>428</v>
      </c>
      <c r="B216" s="1">
        <v>6.0</v>
      </c>
      <c r="C216" s="1">
        <v>15.0</v>
      </c>
      <c r="E216" s="1" t="str">
        <f t="shared" si="1"/>
        <v>INSERT INTO tblTeacherSubject VALUES (seqTeacherSubject.nextval, '6', '15');</v>
      </c>
    </row>
    <row r="217">
      <c r="A217" s="1" t="s">
        <v>428</v>
      </c>
      <c r="B217" s="1">
        <v>6.0</v>
      </c>
      <c r="C217" s="1">
        <v>16.0</v>
      </c>
      <c r="E217" s="1" t="str">
        <f t="shared" si="1"/>
        <v>INSERT INTO tblTeacherSubject VALUES (seqTeacherSubject.nextval, '6', '16');</v>
      </c>
    </row>
    <row r="218">
      <c r="A218" s="1" t="s">
        <v>428</v>
      </c>
      <c r="B218" s="1">
        <v>6.0</v>
      </c>
      <c r="C218" s="1">
        <v>17.0</v>
      </c>
      <c r="E218" s="1" t="str">
        <f t="shared" si="1"/>
        <v>INSERT INTO tblTeacherSubject VALUES (seqTeacherSubject.nextval, '6', '17');</v>
      </c>
    </row>
    <row r="219">
      <c r="A219" s="1" t="s">
        <v>428</v>
      </c>
      <c r="B219" s="1">
        <v>6.0</v>
      </c>
      <c r="C219" s="1">
        <v>18.0</v>
      </c>
      <c r="E219" s="1" t="str">
        <f t="shared" si="1"/>
        <v>INSERT INTO tblTeacherSubject VALUES (seqTeacherSubject.nextval, '6', '18');</v>
      </c>
    </row>
    <row r="220">
      <c r="A220" s="1" t="s">
        <v>428</v>
      </c>
      <c r="B220" s="1">
        <v>6.0</v>
      </c>
      <c r="C220" s="1">
        <v>19.0</v>
      </c>
      <c r="E220" s="1" t="str">
        <f t="shared" si="1"/>
        <v>INSERT INTO tblTeacherSubject VALUES (seqTeacherSubject.nextval, '6', '19');</v>
      </c>
    </row>
    <row r="221">
      <c r="A221" s="1" t="s">
        <v>428</v>
      </c>
      <c r="B221" s="1">
        <v>6.0</v>
      </c>
      <c r="C221" s="1">
        <v>20.0</v>
      </c>
      <c r="E221" s="1" t="str">
        <f t="shared" si="1"/>
        <v>INSERT INTO tblTeacherSubject VALUES (seqTeacherSubject.nextval, '6', '20');</v>
      </c>
    </row>
    <row r="222">
      <c r="A222" s="1" t="s">
        <v>428</v>
      </c>
      <c r="B222" s="1">
        <v>6.0</v>
      </c>
      <c r="C222" s="1">
        <v>21.0</v>
      </c>
      <c r="E222" s="1" t="str">
        <f t="shared" si="1"/>
        <v>INSERT INTO tblTeacherSubject VALUES (seqTeacherSubject.nextval, '6', '21');</v>
      </c>
    </row>
    <row r="223">
      <c r="A223" s="1" t="s">
        <v>428</v>
      </c>
      <c r="B223" s="1">
        <v>6.0</v>
      </c>
      <c r="C223" s="1">
        <v>22.0</v>
      </c>
      <c r="E223" s="1" t="str">
        <f t="shared" si="1"/>
        <v>INSERT INTO tblTeacherSubject VALUES (seqTeacherSubject.nextval, '6', '22');</v>
      </c>
    </row>
    <row r="224">
      <c r="A224" s="1" t="s">
        <v>428</v>
      </c>
      <c r="B224" s="1">
        <v>6.0</v>
      </c>
      <c r="C224" s="1">
        <v>23.0</v>
      </c>
      <c r="E224" s="1" t="str">
        <f t="shared" si="1"/>
        <v>INSERT INTO tblTeacherSubject VALUES (seqTeacherSubject.nextval, '6', '23');</v>
      </c>
    </row>
    <row r="225">
      <c r="A225" s="1" t="s">
        <v>428</v>
      </c>
      <c r="B225" s="1">
        <v>6.0</v>
      </c>
      <c r="C225" s="1">
        <v>24.0</v>
      </c>
      <c r="E225" s="1" t="str">
        <f t="shared" si="1"/>
        <v>INSERT INTO tblTeacherSubject VALUES (seqTeacherSubject.nextval, '6', '24');</v>
      </c>
    </row>
    <row r="226">
      <c r="A226" s="1" t="s">
        <v>428</v>
      </c>
      <c r="B226" s="1">
        <v>6.0</v>
      </c>
      <c r="C226" s="1">
        <v>25.0</v>
      </c>
      <c r="E226" s="1" t="str">
        <f t="shared" si="1"/>
        <v>INSERT INTO tblTeacherSubject VALUES (seqTeacherSubject.nextval, '6', '25');</v>
      </c>
    </row>
    <row r="227">
      <c r="A227" s="1" t="s">
        <v>428</v>
      </c>
      <c r="B227" s="1">
        <v>6.0</v>
      </c>
      <c r="C227" s="1">
        <v>26.0</v>
      </c>
      <c r="E227" s="1" t="str">
        <f t="shared" si="1"/>
        <v>INSERT INTO tblTeacherSubject VALUES (seqTeacherSubject.nextval, '6', '26');</v>
      </c>
    </row>
    <row r="228">
      <c r="A228" s="1" t="s">
        <v>428</v>
      </c>
      <c r="B228" s="1">
        <v>6.0</v>
      </c>
      <c r="C228" s="1">
        <v>27.0</v>
      </c>
      <c r="E228" s="1" t="str">
        <f t="shared" si="1"/>
        <v>INSERT INTO tblTeacherSubject VALUES (seqTeacherSubject.nextval, '6', '27');</v>
      </c>
    </row>
    <row r="229">
      <c r="A229" s="1" t="s">
        <v>428</v>
      </c>
      <c r="B229" s="1">
        <v>6.0</v>
      </c>
      <c r="C229" s="1">
        <v>28.0</v>
      </c>
      <c r="E229" s="1" t="str">
        <f t="shared" si="1"/>
        <v>INSERT INTO tblTeacherSubject VALUES (seqTeacherSubject.nextval, '6', '28');</v>
      </c>
    </row>
    <row r="230">
      <c r="A230" s="1" t="s">
        <v>428</v>
      </c>
      <c r="B230" s="1">
        <v>6.0</v>
      </c>
      <c r="C230" s="1">
        <v>29.0</v>
      </c>
      <c r="E230" s="1" t="str">
        <f t="shared" si="1"/>
        <v>INSERT INTO tblTeacherSubject VALUES (seqTeacherSubject.nextval, '6', '29');</v>
      </c>
    </row>
    <row r="231">
      <c r="A231" s="1" t="s">
        <v>428</v>
      </c>
      <c r="B231" s="1">
        <v>6.0</v>
      </c>
      <c r="C231" s="1">
        <v>30.0</v>
      </c>
      <c r="E231" s="1" t="str">
        <f t="shared" si="1"/>
        <v>INSERT INTO tblTeacherSubject VALUES (seqTeacherSubject.nextval, '6', '30');</v>
      </c>
    </row>
    <row r="232">
      <c r="A232" s="1" t="s">
        <v>428</v>
      </c>
      <c r="B232" s="1">
        <v>6.0</v>
      </c>
      <c r="C232" s="1">
        <v>31.0</v>
      </c>
      <c r="E232" s="1" t="str">
        <f t="shared" si="1"/>
        <v>INSERT INTO tblTeacherSubject VALUES (seqTeacherSubject.nextval, '6', '31');</v>
      </c>
    </row>
    <row r="233">
      <c r="A233" s="1" t="s">
        <v>428</v>
      </c>
      <c r="B233" s="1">
        <v>6.0</v>
      </c>
      <c r="C233" s="1">
        <v>32.0</v>
      </c>
      <c r="E233" s="1" t="str">
        <f t="shared" si="1"/>
        <v>INSERT INTO tblTeacherSubject VALUES (seqTeacherSubject.nextval, '6', '32');</v>
      </c>
    </row>
    <row r="234">
      <c r="A234" s="1" t="s">
        <v>428</v>
      </c>
      <c r="B234" s="1">
        <v>6.0</v>
      </c>
      <c r="C234" s="1">
        <v>33.0</v>
      </c>
      <c r="E234" s="1" t="str">
        <f t="shared" si="1"/>
        <v>INSERT INTO tblTeacherSubject VALUES (seqTeacherSubject.nextval, '6', '33');</v>
      </c>
    </row>
    <row r="235">
      <c r="A235" s="1" t="s">
        <v>428</v>
      </c>
      <c r="B235" s="1">
        <v>6.0</v>
      </c>
      <c r="C235" s="1">
        <v>34.0</v>
      </c>
      <c r="E235" s="1" t="str">
        <f t="shared" si="1"/>
        <v>INSERT INTO tblTeacherSubject VALUES (seqTeacherSubject.nextval, '6', '34');</v>
      </c>
    </row>
    <row r="236">
      <c r="A236" s="1" t="s">
        <v>428</v>
      </c>
      <c r="B236" s="1">
        <v>6.0</v>
      </c>
      <c r="C236" s="1">
        <v>35.0</v>
      </c>
      <c r="E236" s="1" t="str">
        <f t="shared" si="1"/>
        <v>INSERT INTO tblTeacherSubject VALUES (seqTeacherSubject.nextval, '6', '35');</v>
      </c>
    </row>
    <row r="237">
      <c r="A237" s="1" t="s">
        <v>428</v>
      </c>
      <c r="B237" s="1">
        <v>6.0</v>
      </c>
      <c r="C237" s="1">
        <v>36.0</v>
      </c>
      <c r="E237" s="1" t="str">
        <f t="shared" si="1"/>
        <v>INSERT INTO tblTeacherSubject VALUES (seqTeacherSubject.nextval, '6', '36');</v>
      </c>
    </row>
    <row r="238">
      <c r="A238" s="1" t="s">
        <v>428</v>
      </c>
      <c r="B238" s="1">
        <v>6.0</v>
      </c>
      <c r="C238" s="1">
        <v>37.0</v>
      </c>
      <c r="E238" s="1" t="str">
        <f t="shared" si="1"/>
        <v>INSERT INTO tblTeacherSubject VALUES (seqTeacherSubject.nextval, '6', '37');</v>
      </c>
    </row>
    <row r="239">
      <c r="A239" s="1" t="s">
        <v>428</v>
      </c>
      <c r="B239" s="1">
        <v>6.0</v>
      </c>
      <c r="C239" s="1">
        <v>38.0</v>
      </c>
      <c r="E239" s="1" t="str">
        <f t="shared" si="1"/>
        <v>INSERT INTO tblTeacherSubject VALUES (seqTeacherSubject.nextval, '6', '38');</v>
      </c>
    </row>
    <row r="240">
      <c r="A240" s="1" t="s">
        <v>428</v>
      </c>
      <c r="B240" s="1">
        <v>6.0</v>
      </c>
      <c r="C240" s="1">
        <v>39.0</v>
      </c>
      <c r="E240" s="1" t="str">
        <f t="shared" si="1"/>
        <v>INSERT INTO tblTeacherSubject VALUES (seqTeacherSubject.nextval, '6', '39');</v>
      </c>
    </row>
    <row r="241">
      <c r="A241" s="1" t="s">
        <v>428</v>
      </c>
      <c r="B241" s="1">
        <v>6.0</v>
      </c>
      <c r="C241" s="1">
        <v>40.0</v>
      </c>
      <c r="E241" s="1" t="str">
        <f t="shared" si="1"/>
        <v>INSERT INTO tblTeacherSubject VALUES (seqTeacherSubject.nextval, '6', '40');</v>
      </c>
    </row>
    <row r="242">
      <c r="A242" s="1" t="s">
        <v>428</v>
      </c>
      <c r="B242" s="1">
        <v>7.0</v>
      </c>
      <c r="C242" s="1">
        <v>1.0</v>
      </c>
      <c r="E242" s="1" t="str">
        <f t="shared" si="1"/>
        <v>INSERT INTO tblTeacherSubject VALUES (seqTeacherSubject.nextval, '7', '1');</v>
      </c>
    </row>
    <row r="243">
      <c r="A243" s="1" t="s">
        <v>428</v>
      </c>
      <c r="B243" s="1">
        <v>7.0</v>
      </c>
      <c r="C243" s="1">
        <v>2.0</v>
      </c>
      <c r="E243" s="1" t="str">
        <f t="shared" si="1"/>
        <v>INSERT INTO tblTeacherSubject VALUES (seqTeacherSubject.nextval, '7', '2');</v>
      </c>
    </row>
    <row r="244">
      <c r="A244" s="1" t="s">
        <v>428</v>
      </c>
      <c r="B244" s="1">
        <v>7.0</v>
      </c>
      <c r="C244" s="1">
        <v>3.0</v>
      </c>
      <c r="E244" s="1" t="str">
        <f t="shared" si="1"/>
        <v>INSERT INTO tblTeacherSubject VALUES (seqTeacherSubject.nextval, '7', '3');</v>
      </c>
    </row>
    <row r="245">
      <c r="A245" s="1" t="s">
        <v>428</v>
      </c>
      <c r="B245" s="1">
        <v>7.0</v>
      </c>
      <c r="C245" s="1">
        <v>4.0</v>
      </c>
      <c r="E245" s="1" t="str">
        <f t="shared" si="1"/>
        <v>INSERT INTO tblTeacherSubject VALUES (seqTeacherSubject.nextval, '7', '4');</v>
      </c>
    </row>
    <row r="246">
      <c r="A246" s="1" t="s">
        <v>428</v>
      </c>
      <c r="B246" s="1">
        <v>7.0</v>
      </c>
      <c r="C246" s="1">
        <v>5.0</v>
      </c>
      <c r="E246" s="1" t="str">
        <f t="shared" si="1"/>
        <v>INSERT INTO tblTeacherSubject VALUES (seqTeacherSubject.nextval, '7', '5');</v>
      </c>
    </row>
    <row r="247">
      <c r="A247" s="1" t="s">
        <v>428</v>
      </c>
      <c r="B247" s="1">
        <v>7.0</v>
      </c>
      <c r="C247" s="1">
        <v>6.0</v>
      </c>
      <c r="E247" s="1" t="str">
        <f t="shared" si="1"/>
        <v>INSERT INTO tblTeacherSubject VALUES (seqTeacherSubject.nextval, '7', '6');</v>
      </c>
    </row>
    <row r="248">
      <c r="A248" s="1" t="s">
        <v>428</v>
      </c>
      <c r="B248" s="1">
        <v>7.0</v>
      </c>
      <c r="C248" s="1">
        <v>7.0</v>
      </c>
      <c r="E248" s="1" t="str">
        <f t="shared" si="1"/>
        <v>INSERT INTO tblTeacherSubject VALUES (seqTeacherSubject.nextval, '7', '7');</v>
      </c>
    </row>
    <row r="249">
      <c r="A249" s="1" t="s">
        <v>428</v>
      </c>
      <c r="B249" s="1">
        <v>7.0</v>
      </c>
      <c r="C249" s="1">
        <v>8.0</v>
      </c>
      <c r="E249" s="1" t="str">
        <f t="shared" si="1"/>
        <v>INSERT INTO tblTeacherSubject VALUES (seqTeacherSubject.nextval, '7', '8');</v>
      </c>
    </row>
    <row r="250">
      <c r="A250" s="1" t="s">
        <v>428</v>
      </c>
      <c r="B250" s="1">
        <v>7.0</v>
      </c>
      <c r="C250" s="1">
        <v>9.0</v>
      </c>
      <c r="E250" s="1" t="str">
        <f t="shared" si="1"/>
        <v>INSERT INTO tblTeacherSubject VALUES (seqTeacherSubject.nextval, '7', '9');</v>
      </c>
    </row>
    <row r="251">
      <c r="A251" s="1" t="s">
        <v>428</v>
      </c>
      <c r="B251" s="1">
        <v>7.0</v>
      </c>
      <c r="C251" s="1">
        <v>10.0</v>
      </c>
      <c r="E251" s="1" t="str">
        <f t="shared" si="1"/>
        <v>INSERT INTO tblTeacherSubject VALUES (seqTeacherSubject.nextval, '7', '10');</v>
      </c>
    </row>
    <row r="252">
      <c r="A252" s="1" t="s">
        <v>428</v>
      </c>
      <c r="B252" s="1">
        <v>7.0</v>
      </c>
      <c r="C252" s="1">
        <v>11.0</v>
      </c>
      <c r="E252" s="1" t="str">
        <f t="shared" si="1"/>
        <v>INSERT INTO tblTeacherSubject VALUES (seqTeacherSubject.nextval, '7', '11');</v>
      </c>
    </row>
    <row r="253">
      <c r="A253" s="1" t="s">
        <v>428</v>
      </c>
      <c r="B253" s="1">
        <v>7.0</v>
      </c>
      <c r="C253" s="1">
        <v>12.0</v>
      </c>
      <c r="E253" s="1" t="str">
        <f t="shared" si="1"/>
        <v>INSERT INTO tblTeacherSubject VALUES (seqTeacherSubject.nextval, '7', '12');</v>
      </c>
    </row>
    <row r="254">
      <c r="A254" s="1" t="s">
        <v>428</v>
      </c>
      <c r="B254" s="1">
        <v>7.0</v>
      </c>
      <c r="C254" s="1">
        <v>13.0</v>
      </c>
      <c r="E254" s="1" t="str">
        <f t="shared" si="1"/>
        <v>INSERT INTO tblTeacherSubject VALUES (seqTeacherSubject.nextval, '7', '13');</v>
      </c>
    </row>
    <row r="255">
      <c r="A255" s="1" t="s">
        <v>428</v>
      </c>
      <c r="B255" s="1">
        <v>7.0</v>
      </c>
      <c r="C255" s="1">
        <v>14.0</v>
      </c>
      <c r="E255" s="1" t="str">
        <f t="shared" si="1"/>
        <v>INSERT INTO tblTeacherSubject VALUES (seqTeacherSubject.nextval, '7', '14');</v>
      </c>
    </row>
    <row r="256">
      <c r="A256" s="1" t="s">
        <v>428</v>
      </c>
      <c r="B256" s="1">
        <v>7.0</v>
      </c>
      <c r="C256" s="1">
        <v>15.0</v>
      </c>
      <c r="E256" s="1" t="str">
        <f t="shared" si="1"/>
        <v>INSERT INTO tblTeacherSubject VALUES (seqTeacherSubject.nextval, '7', '15');</v>
      </c>
    </row>
    <row r="257">
      <c r="A257" s="1" t="s">
        <v>428</v>
      </c>
      <c r="B257" s="1">
        <v>7.0</v>
      </c>
      <c r="C257" s="1">
        <v>16.0</v>
      </c>
      <c r="E257" s="1" t="str">
        <f t="shared" si="1"/>
        <v>INSERT INTO tblTeacherSubject VALUES (seqTeacherSubject.nextval, '7', '16');</v>
      </c>
    </row>
    <row r="258">
      <c r="A258" s="1" t="s">
        <v>428</v>
      </c>
      <c r="B258" s="1">
        <v>7.0</v>
      </c>
      <c r="C258" s="1">
        <v>17.0</v>
      </c>
      <c r="E258" s="1" t="str">
        <f t="shared" si="1"/>
        <v>INSERT INTO tblTeacherSubject VALUES (seqTeacherSubject.nextval, '7', '17');</v>
      </c>
    </row>
    <row r="259">
      <c r="A259" s="1" t="s">
        <v>428</v>
      </c>
      <c r="B259" s="1">
        <v>7.0</v>
      </c>
      <c r="C259" s="1">
        <v>18.0</v>
      </c>
      <c r="E259" s="1" t="str">
        <f t="shared" si="1"/>
        <v>INSERT INTO tblTeacherSubject VALUES (seqTeacherSubject.nextval, '7', '18');</v>
      </c>
    </row>
    <row r="260">
      <c r="A260" s="1" t="s">
        <v>428</v>
      </c>
      <c r="B260" s="1">
        <v>7.0</v>
      </c>
      <c r="C260" s="1">
        <v>19.0</v>
      </c>
      <c r="E260" s="1" t="str">
        <f t="shared" si="1"/>
        <v>INSERT INTO tblTeacherSubject VALUES (seqTeacherSubject.nextval, '7', '19');</v>
      </c>
    </row>
    <row r="261">
      <c r="A261" s="1" t="s">
        <v>428</v>
      </c>
      <c r="B261" s="1">
        <v>7.0</v>
      </c>
      <c r="C261" s="1">
        <v>20.0</v>
      </c>
      <c r="E261" s="1" t="str">
        <f t="shared" si="1"/>
        <v>INSERT INTO tblTeacherSubject VALUES (seqTeacherSubject.nextval, '7', '20');</v>
      </c>
    </row>
    <row r="262">
      <c r="A262" s="1" t="s">
        <v>428</v>
      </c>
      <c r="B262" s="1">
        <v>7.0</v>
      </c>
      <c r="C262" s="1">
        <v>21.0</v>
      </c>
      <c r="E262" s="1" t="str">
        <f t="shared" si="1"/>
        <v>INSERT INTO tblTeacherSubject VALUES (seqTeacherSubject.nextval, '7', '21');</v>
      </c>
    </row>
    <row r="263">
      <c r="A263" s="1" t="s">
        <v>428</v>
      </c>
      <c r="B263" s="1">
        <v>7.0</v>
      </c>
      <c r="C263" s="1">
        <v>22.0</v>
      </c>
      <c r="E263" s="1" t="str">
        <f t="shared" si="1"/>
        <v>INSERT INTO tblTeacherSubject VALUES (seqTeacherSubject.nextval, '7', '22');</v>
      </c>
    </row>
    <row r="264">
      <c r="A264" s="1" t="s">
        <v>428</v>
      </c>
      <c r="B264" s="1">
        <v>7.0</v>
      </c>
      <c r="C264" s="1">
        <v>23.0</v>
      </c>
      <c r="E264" s="1" t="str">
        <f t="shared" si="1"/>
        <v>INSERT INTO tblTeacherSubject VALUES (seqTeacherSubject.nextval, '7', '23');</v>
      </c>
    </row>
    <row r="265">
      <c r="A265" s="1" t="s">
        <v>428</v>
      </c>
      <c r="B265" s="1">
        <v>7.0</v>
      </c>
      <c r="C265" s="1">
        <v>24.0</v>
      </c>
      <c r="E265" s="1" t="str">
        <f t="shared" si="1"/>
        <v>INSERT INTO tblTeacherSubject VALUES (seqTeacherSubject.nextval, '7', '24');</v>
      </c>
    </row>
    <row r="266">
      <c r="A266" s="1" t="s">
        <v>428</v>
      </c>
      <c r="B266" s="1">
        <v>7.0</v>
      </c>
      <c r="C266" s="1">
        <v>25.0</v>
      </c>
      <c r="E266" s="1" t="str">
        <f t="shared" si="1"/>
        <v>INSERT INTO tblTeacherSubject VALUES (seqTeacherSubject.nextval, '7', '25');</v>
      </c>
    </row>
    <row r="267">
      <c r="A267" s="1" t="s">
        <v>428</v>
      </c>
      <c r="B267" s="1">
        <v>7.0</v>
      </c>
      <c r="C267" s="1">
        <v>26.0</v>
      </c>
      <c r="E267" s="1" t="str">
        <f t="shared" si="1"/>
        <v>INSERT INTO tblTeacherSubject VALUES (seqTeacherSubject.nextval, '7', '26');</v>
      </c>
    </row>
    <row r="268">
      <c r="A268" s="1" t="s">
        <v>428</v>
      </c>
      <c r="B268" s="1">
        <v>7.0</v>
      </c>
      <c r="C268" s="1">
        <v>27.0</v>
      </c>
      <c r="E268" s="1" t="str">
        <f t="shared" si="1"/>
        <v>INSERT INTO tblTeacherSubject VALUES (seqTeacherSubject.nextval, '7', '27');</v>
      </c>
    </row>
    <row r="269">
      <c r="A269" s="1" t="s">
        <v>428</v>
      </c>
      <c r="B269" s="1">
        <v>7.0</v>
      </c>
      <c r="C269" s="1">
        <v>28.0</v>
      </c>
      <c r="E269" s="1" t="str">
        <f t="shared" si="1"/>
        <v>INSERT INTO tblTeacherSubject VALUES (seqTeacherSubject.nextval, '7', '28');</v>
      </c>
    </row>
    <row r="270">
      <c r="A270" s="1" t="s">
        <v>428</v>
      </c>
      <c r="B270" s="1">
        <v>7.0</v>
      </c>
      <c r="C270" s="1">
        <v>29.0</v>
      </c>
      <c r="E270" s="1" t="str">
        <f t="shared" si="1"/>
        <v>INSERT INTO tblTeacherSubject VALUES (seqTeacherSubject.nextval, '7', '29');</v>
      </c>
    </row>
    <row r="271">
      <c r="A271" s="1" t="s">
        <v>428</v>
      </c>
      <c r="B271" s="1">
        <v>7.0</v>
      </c>
      <c r="C271" s="1">
        <v>30.0</v>
      </c>
      <c r="E271" s="1" t="str">
        <f t="shared" si="1"/>
        <v>INSERT INTO tblTeacherSubject VALUES (seqTeacherSubject.nextval, '7', '30');</v>
      </c>
    </row>
    <row r="272">
      <c r="A272" s="1" t="s">
        <v>428</v>
      </c>
      <c r="B272" s="1">
        <v>7.0</v>
      </c>
      <c r="C272" s="1">
        <v>31.0</v>
      </c>
      <c r="E272" s="1" t="str">
        <f t="shared" si="1"/>
        <v>INSERT INTO tblTeacherSubject VALUES (seqTeacherSubject.nextval, '7', '31');</v>
      </c>
    </row>
    <row r="273">
      <c r="A273" s="1" t="s">
        <v>428</v>
      </c>
      <c r="B273" s="1">
        <v>7.0</v>
      </c>
      <c r="C273" s="1">
        <v>32.0</v>
      </c>
      <c r="E273" s="1" t="str">
        <f t="shared" si="1"/>
        <v>INSERT INTO tblTeacherSubject VALUES (seqTeacherSubject.nextval, '7', '32');</v>
      </c>
    </row>
    <row r="274">
      <c r="A274" s="1" t="s">
        <v>428</v>
      </c>
      <c r="B274" s="1">
        <v>7.0</v>
      </c>
      <c r="C274" s="1">
        <v>33.0</v>
      </c>
      <c r="E274" s="1" t="str">
        <f t="shared" si="1"/>
        <v>INSERT INTO tblTeacherSubject VALUES (seqTeacherSubject.nextval, '7', '33');</v>
      </c>
    </row>
    <row r="275">
      <c r="A275" s="1" t="s">
        <v>428</v>
      </c>
      <c r="B275" s="1">
        <v>7.0</v>
      </c>
      <c r="C275" s="1">
        <v>34.0</v>
      </c>
      <c r="E275" s="1" t="str">
        <f t="shared" si="1"/>
        <v>INSERT INTO tblTeacherSubject VALUES (seqTeacherSubject.nextval, '7', '34');</v>
      </c>
    </row>
    <row r="276">
      <c r="A276" s="1" t="s">
        <v>428</v>
      </c>
      <c r="B276" s="1">
        <v>7.0</v>
      </c>
      <c r="C276" s="1">
        <v>35.0</v>
      </c>
      <c r="E276" s="1" t="str">
        <f t="shared" si="1"/>
        <v>INSERT INTO tblTeacherSubject VALUES (seqTeacherSubject.nextval, '7', '35');</v>
      </c>
    </row>
    <row r="277">
      <c r="A277" s="1" t="s">
        <v>428</v>
      </c>
      <c r="B277" s="1">
        <v>7.0</v>
      </c>
      <c r="C277" s="1">
        <v>36.0</v>
      </c>
      <c r="E277" s="1" t="str">
        <f t="shared" si="1"/>
        <v>INSERT INTO tblTeacherSubject VALUES (seqTeacherSubject.nextval, '7', '36');</v>
      </c>
    </row>
    <row r="278">
      <c r="A278" s="1" t="s">
        <v>428</v>
      </c>
      <c r="B278" s="1">
        <v>7.0</v>
      </c>
      <c r="C278" s="1">
        <v>37.0</v>
      </c>
      <c r="E278" s="1" t="str">
        <f t="shared" si="1"/>
        <v>INSERT INTO tblTeacherSubject VALUES (seqTeacherSubject.nextval, '7', '37');</v>
      </c>
    </row>
    <row r="279">
      <c r="A279" s="1" t="s">
        <v>428</v>
      </c>
      <c r="B279" s="1">
        <v>7.0</v>
      </c>
      <c r="C279" s="1">
        <v>38.0</v>
      </c>
      <c r="E279" s="1" t="str">
        <f t="shared" si="1"/>
        <v>INSERT INTO tblTeacherSubject VALUES (seqTeacherSubject.nextval, '7', '38');</v>
      </c>
    </row>
    <row r="280">
      <c r="A280" s="1" t="s">
        <v>428</v>
      </c>
      <c r="B280" s="1">
        <v>7.0</v>
      </c>
      <c r="C280" s="1">
        <v>39.0</v>
      </c>
      <c r="E280" s="1" t="str">
        <f t="shared" si="1"/>
        <v>INSERT INTO tblTeacherSubject VALUES (seqTeacherSubject.nextval, '7', '39');</v>
      </c>
    </row>
    <row r="281">
      <c r="A281" s="1" t="s">
        <v>428</v>
      </c>
      <c r="B281" s="1">
        <v>7.0</v>
      </c>
      <c r="C281" s="1">
        <v>40.0</v>
      </c>
      <c r="E281" s="1" t="str">
        <f t="shared" si="1"/>
        <v>INSERT INTO tblTeacherSubject VALUES (seqTeacherSubject.nextval, '7', '40');</v>
      </c>
    </row>
    <row r="282">
      <c r="A282" s="1" t="s">
        <v>428</v>
      </c>
      <c r="B282" s="1">
        <v>8.0</v>
      </c>
      <c r="C282" s="1">
        <v>1.0</v>
      </c>
      <c r="E282" s="1" t="str">
        <f t="shared" si="1"/>
        <v>INSERT INTO tblTeacherSubject VALUES (seqTeacherSubject.nextval, '8', '1');</v>
      </c>
    </row>
    <row r="283">
      <c r="A283" s="1" t="s">
        <v>428</v>
      </c>
      <c r="B283" s="1">
        <v>8.0</v>
      </c>
      <c r="C283" s="1">
        <v>2.0</v>
      </c>
      <c r="E283" s="1" t="str">
        <f t="shared" si="1"/>
        <v>INSERT INTO tblTeacherSubject VALUES (seqTeacherSubject.nextval, '8', '2');</v>
      </c>
    </row>
    <row r="284">
      <c r="A284" s="1" t="s">
        <v>428</v>
      </c>
      <c r="B284" s="1">
        <v>8.0</v>
      </c>
      <c r="C284" s="1">
        <v>3.0</v>
      </c>
      <c r="E284" s="1" t="str">
        <f t="shared" si="1"/>
        <v>INSERT INTO tblTeacherSubject VALUES (seqTeacherSubject.nextval, '8', '3');</v>
      </c>
    </row>
    <row r="285">
      <c r="A285" s="1" t="s">
        <v>428</v>
      </c>
      <c r="B285" s="1">
        <v>8.0</v>
      </c>
      <c r="C285" s="1">
        <v>4.0</v>
      </c>
      <c r="E285" s="1" t="str">
        <f t="shared" si="1"/>
        <v>INSERT INTO tblTeacherSubject VALUES (seqTeacherSubject.nextval, '8', '4');</v>
      </c>
    </row>
    <row r="286">
      <c r="A286" s="1" t="s">
        <v>428</v>
      </c>
      <c r="B286" s="1">
        <v>8.0</v>
      </c>
      <c r="C286" s="1">
        <v>5.0</v>
      </c>
      <c r="E286" s="1" t="str">
        <f t="shared" si="1"/>
        <v>INSERT INTO tblTeacherSubject VALUES (seqTeacherSubject.nextval, '8', '5');</v>
      </c>
    </row>
    <row r="287">
      <c r="A287" s="1" t="s">
        <v>428</v>
      </c>
      <c r="B287" s="1">
        <v>8.0</v>
      </c>
      <c r="C287" s="1">
        <v>6.0</v>
      </c>
      <c r="E287" s="1" t="str">
        <f t="shared" si="1"/>
        <v>INSERT INTO tblTeacherSubject VALUES (seqTeacherSubject.nextval, '8', '6');</v>
      </c>
    </row>
    <row r="288">
      <c r="A288" s="1" t="s">
        <v>428</v>
      </c>
      <c r="B288" s="1">
        <v>8.0</v>
      </c>
      <c r="C288" s="1">
        <v>7.0</v>
      </c>
      <c r="E288" s="1" t="str">
        <f t="shared" si="1"/>
        <v>INSERT INTO tblTeacherSubject VALUES (seqTeacherSubject.nextval, '8', '7');</v>
      </c>
    </row>
    <row r="289">
      <c r="A289" s="1" t="s">
        <v>428</v>
      </c>
      <c r="B289" s="1">
        <v>8.0</v>
      </c>
      <c r="C289" s="1">
        <v>8.0</v>
      </c>
      <c r="E289" s="1" t="str">
        <f t="shared" si="1"/>
        <v>INSERT INTO tblTeacherSubject VALUES (seqTeacherSubject.nextval, '8', '8');</v>
      </c>
    </row>
    <row r="290">
      <c r="A290" s="1" t="s">
        <v>428</v>
      </c>
      <c r="B290" s="1">
        <v>8.0</v>
      </c>
      <c r="C290" s="1">
        <v>9.0</v>
      </c>
      <c r="E290" s="1" t="str">
        <f t="shared" si="1"/>
        <v>INSERT INTO tblTeacherSubject VALUES (seqTeacherSubject.nextval, '8', '9');</v>
      </c>
    </row>
    <row r="291">
      <c r="A291" s="1" t="s">
        <v>428</v>
      </c>
      <c r="B291" s="1">
        <v>8.0</v>
      </c>
      <c r="C291" s="1">
        <v>10.0</v>
      </c>
      <c r="E291" s="1" t="str">
        <f t="shared" si="1"/>
        <v>INSERT INTO tblTeacherSubject VALUES (seqTeacherSubject.nextval, '8', '10');</v>
      </c>
    </row>
    <row r="292">
      <c r="A292" s="1" t="s">
        <v>428</v>
      </c>
      <c r="B292" s="1">
        <v>8.0</v>
      </c>
      <c r="C292" s="1">
        <v>11.0</v>
      </c>
      <c r="E292" s="1" t="str">
        <f t="shared" si="1"/>
        <v>INSERT INTO tblTeacherSubject VALUES (seqTeacherSubject.nextval, '8', '11');</v>
      </c>
    </row>
    <row r="293">
      <c r="A293" s="1" t="s">
        <v>428</v>
      </c>
      <c r="B293" s="1">
        <v>8.0</v>
      </c>
      <c r="C293" s="1">
        <v>12.0</v>
      </c>
      <c r="E293" s="1" t="str">
        <f t="shared" si="1"/>
        <v>INSERT INTO tblTeacherSubject VALUES (seqTeacherSubject.nextval, '8', '12');</v>
      </c>
    </row>
    <row r="294">
      <c r="A294" s="1" t="s">
        <v>428</v>
      </c>
      <c r="B294" s="1">
        <v>8.0</v>
      </c>
      <c r="C294" s="1">
        <v>13.0</v>
      </c>
      <c r="E294" s="1" t="str">
        <f t="shared" si="1"/>
        <v>INSERT INTO tblTeacherSubject VALUES (seqTeacherSubject.nextval, '8', '13');</v>
      </c>
    </row>
    <row r="295">
      <c r="A295" s="1" t="s">
        <v>428</v>
      </c>
      <c r="B295" s="1">
        <v>8.0</v>
      </c>
      <c r="C295" s="1">
        <v>14.0</v>
      </c>
      <c r="E295" s="1" t="str">
        <f t="shared" si="1"/>
        <v>INSERT INTO tblTeacherSubject VALUES (seqTeacherSubject.nextval, '8', '14');</v>
      </c>
    </row>
    <row r="296">
      <c r="A296" s="1" t="s">
        <v>428</v>
      </c>
      <c r="B296" s="1">
        <v>8.0</v>
      </c>
      <c r="C296" s="1">
        <v>15.0</v>
      </c>
      <c r="E296" s="1" t="str">
        <f t="shared" si="1"/>
        <v>INSERT INTO tblTeacherSubject VALUES (seqTeacherSubject.nextval, '8', '15');</v>
      </c>
    </row>
    <row r="297">
      <c r="A297" s="1" t="s">
        <v>428</v>
      </c>
      <c r="B297" s="1">
        <v>8.0</v>
      </c>
      <c r="C297" s="1">
        <v>16.0</v>
      </c>
      <c r="E297" s="1" t="str">
        <f t="shared" si="1"/>
        <v>INSERT INTO tblTeacherSubject VALUES (seqTeacherSubject.nextval, '8', '16');</v>
      </c>
    </row>
    <row r="298">
      <c r="A298" s="1" t="s">
        <v>428</v>
      </c>
      <c r="B298" s="1">
        <v>8.0</v>
      </c>
      <c r="C298" s="1">
        <v>17.0</v>
      </c>
      <c r="E298" s="1" t="str">
        <f t="shared" si="1"/>
        <v>INSERT INTO tblTeacherSubject VALUES (seqTeacherSubject.nextval, '8', '17');</v>
      </c>
    </row>
    <row r="299">
      <c r="A299" s="1" t="s">
        <v>428</v>
      </c>
      <c r="B299" s="1">
        <v>8.0</v>
      </c>
      <c r="C299" s="1">
        <v>18.0</v>
      </c>
      <c r="E299" s="1" t="str">
        <f t="shared" si="1"/>
        <v>INSERT INTO tblTeacherSubject VALUES (seqTeacherSubject.nextval, '8', '18');</v>
      </c>
    </row>
    <row r="300">
      <c r="A300" s="1" t="s">
        <v>428</v>
      </c>
      <c r="B300" s="1">
        <v>8.0</v>
      </c>
      <c r="C300" s="1">
        <v>19.0</v>
      </c>
      <c r="E300" s="1" t="str">
        <f t="shared" si="1"/>
        <v>INSERT INTO tblTeacherSubject VALUES (seqTeacherSubject.nextval, '8', '19');</v>
      </c>
    </row>
    <row r="301">
      <c r="A301" s="1" t="s">
        <v>428</v>
      </c>
      <c r="B301" s="1">
        <v>8.0</v>
      </c>
      <c r="C301" s="1">
        <v>20.0</v>
      </c>
      <c r="E301" s="1" t="str">
        <f t="shared" si="1"/>
        <v>INSERT INTO tblTeacherSubject VALUES (seqTeacherSubject.nextval, '8', '20');</v>
      </c>
    </row>
    <row r="302">
      <c r="A302" s="1" t="s">
        <v>428</v>
      </c>
      <c r="B302" s="1">
        <v>8.0</v>
      </c>
      <c r="C302" s="1">
        <v>21.0</v>
      </c>
      <c r="E302" s="1" t="str">
        <f t="shared" si="1"/>
        <v>INSERT INTO tblTeacherSubject VALUES (seqTeacherSubject.nextval, '8', '21');</v>
      </c>
    </row>
    <row r="303">
      <c r="A303" s="1" t="s">
        <v>428</v>
      </c>
      <c r="B303" s="1">
        <v>8.0</v>
      </c>
      <c r="C303" s="1">
        <v>22.0</v>
      </c>
      <c r="E303" s="1" t="str">
        <f t="shared" si="1"/>
        <v>INSERT INTO tblTeacherSubject VALUES (seqTeacherSubject.nextval, '8', '22');</v>
      </c>
    </row>
    <row r="304">
      <c r="A304" s="1" t="s">
        <v>428</v>
      </c>
      <c r="B304" s="1">
        <v>8.0</v>
      </c>
      <c r="C304" s="1">
        <v>23.0</v>
      </c>
      <c r="E304" s="1" t="str">
        <f t="shared" si="1"/>
        <v>INSERT INTO tblTeacherSubject VALUES (seqTeacherSubject.nextval, '8', '23');</v>
      </c>
    </row>
    <row r="305">
      <c r="A305" s="1" t="s">
        <v>428</v>
      </c>
      <c r="B305" s="1">
        <v>8.0</v>
      </c>
      <c r="C305" s="1">
        <v>24.0</v>
      </c>
      <c r="E305" s="1" t="str">
        <f t="shared" si="1"/>
        <v>INSERT INTO tblTeacherSubject VALUES (seqTeacherSubject.nextval, '8', '24');</v>
      </c>
    </row>
    <row r="306">
      <c r="A306" s="1" t="s">
        <v>428</v>
      </c>
      <c r="B306" s="1">
        <v>8.0</v>
      </c>
      <c r="C306" s="1">
        <v>25.0</v>
      </c>
      <c r="E306" s="1" t="str">
        <f t="shared" si="1"/>
        <v>INSERT INTO tblTeacherSubject VALUES (seqTeacherSubject.nextval, '8', '25');</v>
      </c>
    </row>
    <row r="307">
      <c r="A307" s="1" t="s">
        <v>428</v>
      </c>
      <c r="B307" s="1">
        <v>8.0</v>
      </c>
      <c r="C307" s="1">
        <v>26.0</v>
      </c>
      <c r="E307" s="1" t="str">
        <f t="shared" si="1"/>
        <v>INSERT INTO tblTeacherSubject VALUES (seqTeacherSubject.nextval, '8', '26');</v>
      </c>
    </row>
    <row r="308">
      <c r="A308" s="1" t="s">
        <v>428</v>
      </c>
      <c r="B308" s="1">
        <v>8.0</v>
      </c>
      <c r="C308" s="1">
        <v>27.0</v>
      </c>
      <c r="E308" s="1" t="str">
        <f t="shared" si="1"/>
        <v>INSERT INTO tblTeacherSubject VALUES (seqTeacherSubject.nextval, '8', '27');</v>
      </c>
    </row>
    <row r="309">
      <c r="A309" s="1" t="s">
        <v>428</v>
      </c>
      <c r="B309" s="1">
        <v>8.0</v>
      </c>
      <c r="C309" s="1">
        <v>28.0</v>
      </c>
      <c r="E309" s="1" t="str">
        <f t="shared" si="1"/>
        <v>INSERT INTO tblTeacherSubject VALUES (seqTeacherSubject.nextval, '8', '28');</v>
      </c>
    </row>
    <row r="310">
      <c r="A310" s="1" t="s">
        <v>428</v>
      </c>
      <c r="B310" s="1">
        <v>8.0</v>
      </c>
      <c r="C310" s="1">
        <v>29.0</v>
      </c>
      <c r="E310" s="1" t="str">
        <f t="shared" si="1"/>
        <v>INSERT INTO tblTeacherSubject VALUES (seqTeacherSubject.nextval, '8', '29');</v>
      </c>
    </row>
    <row r="311">
      <c r="A311" s="1" t="s">
        <v>428</v>
      </c>
      <c r="B311" s="1">
        <v>8.0</v>
      </c>
      <c r="C311" s="1">
        <v>30.0</v>
      </c>
      <c r="E311" s="1" t="str">
        <f t="shared" si="1"/>
        <v>INSERT INTO tblTeacherSubject VALUES (seqTeacherSubject.nextval, '8', '30');</v>
      </c>
    </row>
    <row r="312">
      <c r="A312" s="1" t="s">
        <v>428</v>
      </c>
      <c r="B312" s="1">
        <v>8.0</v>
      </c>
      <c r="C312" s="1">
        <v>31.0</v>
      </c>
      <c r="E312" s="1" t="str">
        <f t="shared" si="1"/>
        <v>INSERT INTO tblTeacherSubject VALUES (seqTeacherSubject.nextval, '8', '31');</v>
      </c>
    </row>
    <row r="313">
      <c r="A313" s="1" t="s">
        <v>428</v>
      </c>
      <c r="B313" s="1">
        <v>8.0</v>
      </c>
      <c r="C313" s="1">
        <v>32.0</v>
      </c>
      <c r="E313" s="1" t="str">
        <f t="shared" si="1"/>
        <v>INSERT INTO tblTeacherSubject VALUES (seqTeacherSubject.nextval, '8', '32');</v>
      </c>
    </row>
    <row r="314">
      <c r="A314" s="1" t="s">
        <v>428</v>
      </c>
      <c r="B314" s="1">
        <v>8.0</v>
      </c>
      <c r="C314" s="1">
        <v>33.0</v>
      </c>
      <c r="E314" s="1" t="str">
        <f t="shared" si="1"/>
        <v>INSERT INTO tblTeacherSubject VALUES (seqTeacherSubject.nextval, '8', '33');</v>
      </c>
    </row>
    <row r="315">
      <c r="A315" s="1" t="s">
        <v>428</v>
      </c>
      <c r="B315" s="1">
        <v>8.0</v>
      </c>
      <c r="C315" s="1">
        <v>34.0</v>
      </c>
      <c r="E315" s="1" t="str">
        <f t="shared" si="1"/>
        <v>INSERT INTO tblTeacherSubject VALUES (seqTeacherSubject.nextval, '8', '34');</v>
      </c>
    </row>
    <row r="316">
      <c r="A316" s="1" t="s">
        <v>428</v>
      </c>
      <c r="B316" s="1">
        <v>8.0</v>
      </c>
      <c r="C316" s="1">
        <v>35.0</v>
      </c>
      <c r="E316" s="1" t="str">
        <f t="shared" si="1"/>
        <v>INSERT INTO tblTeacherSubject VALUES (seqTeacherSubject.nextval, '8', '35');</v>
      </c>
    </row>
    <row r="317">
      <c r="A317" s="1" t="s">
        <v>428</v>
      </c>
      <c r="B317" s="1">
        <v>8.0</v>
      </c>
      <c r="C317" s="1">
        <v>36.0</v>
      </c>
      <c r="E317" s="1" t="str">
        <f t="shared" si="1"/>
        <v>INSERT INTO tblTeacherSubject VALUES (seqTeacherSubject.nextval, '8', '36');</v>
      </c>
    </row>
    <row r="318">
      <c r="A318" s="1" t="s">
        <v>428</v>
      </c>
      <c r="B318" s="1">
        <v>8.0</v>
      </c>
      <c r="C318" s="1">
        <v>37.0</v>
      </c>
      <c r="E318" s="1" t="str">
        <f t="shared" si="1"/>
        <v>INSERT INTO tblTeacherSubject VALUES (seqTeacherSubject.nextval, '8', '37');</v>
      </c>
    </row>
    <row r="319">
      <c r="A319" s="1" t="s">
        <v>428</v>
      </c>
      <c r="B319" s="1">
        <v>8.0</v>
      </c>
      <c r="C319" s="1">
        <v>38.0</v>
      </c>
      <c r="E319" s="1" t="str">
        <f t="shared" si="1"/>
        <v>INSERT INTO tblTeacherSubject VALUES (seqTeacherSubject.nextval, '8', '38');</v>
      </c>
    </row>
    <row r="320">
      <c r="A320" s="1" t="s">
        <v>428</v>
      </c>
      <c r="B320" s="1">
        <v>8.0</v>
      </c>
      <c r="C320" s="1">
        <v>39.0</v>
      </c>
      <c r="E320" s="1" t="str">
        <f t="shared" si="1"/>
        <v>INSERT INTO tblTeacherSubject VALUES (seqTeacherSubject.nextval, '8', '39');</v>
      </c>
    </row>
    <row r="321">
      <c r="A321" s="1" t="s">
        <v>428</v>
      </c>
      <c r="B321" s="1">
        <v>8.0</v>
      </c>
      <c r="C321" s="1">
        <v>40.0</v>
      </c>
      <c r="E321" s="1" t="str">
        <f t="shared" si="1"/>
        <v>INSERT INTO tblTeacherSubject VALUES (seqTeacherSubject.nextval, '8', '40');</v>
      </c>
    </row>
    <row r="322">
      <c r="A322" s="1" t="s">
        <v>428</v>
      </c>
      <c r="B322" s="1">
        <v>9.0</v>
      </c>
      <c r="C322" s="1">
        <v>1.0</v>
      </c>
      <c r="E322" s="1" t="str">
        <f t="shared" si="1"/>
        <v>INSERT INTO tblTeacherSubject VALUES (seqTeacherSubject.nextval, '9', '1');</v>
      </c>
    </row>
    <row r="323">
      <c r="A323" s="1" t="s">
        <v>428</v>
      </c>
      <c r="B323" s="1">
        <v>9.0</v>
      </c>
      <c r="C323" s="1">
        <v>2.0</v>
      </c>
      <c r="E323" s="1" t="str">
        <f t="shared" si="1"/>
        <v>INSERT INTO tblTeacherSubject VALUES (seqTeacherSubject.nextval, '9', '2');</v>
      </c>
    </row>
    <row r="324">
      <c r="A324" s="1" t="s">
        <v>428</v>
      </c>
      <c r="B324" s="1">
        <v>9.0</v>
      </c>
      <c r="C324" s="1">
        <v>3.0</v>
      </c>
      <c r="E324" s="1" t="str">
        <f t="shared" si="1"/>
        <v>INSERT INTO tblTeacherSubject VALUES (seqTeacherSubject.nextval, '9', '3');</v>
      </c>
    </row>
    <row r="325">
      <c r="A325" s="1" t="s">
        <v>428</v>
      </c>
      <c r="B325" s="1">
        <v>9.0</v>
      </c>
      <c r="C325" s="1">
        <v>4.0</v>
      </c>
      <c r="E325" s="1" t="str">
        <f t="shared" si="1"/>
        <v>INSERT INTO tblTeacherSubject VALUES (seqTeacherSubject.nextval, '9', '4');</v>
      </c>
    </row>
    <row r="326">
      <c r="A326" s="1" t="s">
        <v>428</v>
      </c>
      <c r="B326" s="1">
        <v>9.0</v>
      </c>
      <c r="C326" s="1">
        <v>5.0</v>
      </c>
      <c r="E326" s="1" t="str">
        <f t="shared" si="1"/>
        <v>INSERT INTO tblTeacherSubject VALUES (seqTeacherSubject.nextval, '9', '5');</v>
      </c>
    </row>
    <row r="327">
      <c r="A327" s="1" t="s">
        <v>428</v>
      </c>
      <c r="B327" s="1">
        <v>9.0</v>
      </c>
      <c r="C327" s="1">
        <v>6.0</v>
      </c>
      <c r="E327" s="1" t="str">
        <f t="shared" si="1"/>
        <v>INSERT INTO tblTeacherSubject VALUES (seqTeacherSubject.nextval, '9', '6');</v>
      </c>
    </row>
    <row r="328">
      <c r="A328" s="1" t="s">
        <v>428</v>
      </c>
      <c r="B328" s="1">
        <v>9.0</v>
      </c>
      <c r="C328" s="1">
        <v>7.0</v>
      </c>
      <c r="E328" s="1" t="str">
        <f t="shared" si="1"/>
        <v>INSERT INTO tblTeacherSubject VALUES (seqTeacherSubject.nextval, '9', '7');</v>
      </c>
    </row>
    <row r="329">
      <c r="A329" s="1" t="s">
        <v>428</v>
      </c>
      <c r="B329" s="1">
        <v>9.0</v>
      </c>
      <c r="C329" s="1">
        <v>8.0</v>
      </c>
      <c r="E329" s="1" t="str">
        <f t="shared" si="1"/>
        <v>INSERT INTO tblTeacherSubject VALUES (seqTeacherSubject.nextval, '9', '8');</v>
      </c>
    </row>
    <row r="330">
      <c r="A330" s="1" t="s">
        <v>428</v>
      </c>
      <c r="B330" s="1">
        <v>9.0</v>
      </c>
      <c r="C330" s="1">
        <v>9.0</v>
      </c>
      <c r="E330" s="1" t="str">
        <f t="shared" si="1"/>
        <v>INSERT INTO tblTeacherSubject VALUES (seqTeacherSubject.nextval, '9', '9');</v>
      </c>
    </row>
    <row r="331">
      <c r="A331" s="1" t="s">
        <v>428</v>
      </c>
      <c r="B331" s="1">
        <v>9.0</v>
      </c>
      <c r="C331" s="1">
        <v>10.0</v>
      </c>
      <c r="E331" s="1" t="str">
        <f t="shared" si="1"/>
        <v>INSERT INTO tblTeacherSubject VALUES (seqTeacherSubject.nextval, '9', '10');</v>
      </c>
    </row>
    <row r="332">
      <c r="A332" s="1" t="s">
        <v>428</v>
      </c>
      <c r="B332" s="1">
        <v>9.0</v>
      </c>
      <c r="C332" s="1">
        <v>11.0</v>
      </c>
      <c r="E332" s="1" t="str">
        <f t="shared" si="1"/>
        <v>INSERT INTO tblTeacherSubject VALUES (seqTeacherSubject.nextval, '9', '11');</v>
      </c>
    </row>
    <row r="333">
      <c r="A333" s="1" t="s">
        <v>428</v>
      </c>
      <c r="B333" s="1">
        <v>9.0</v>
      </c>
      <c r="C333" s="1">
        <v>12.0</v>
      </c>
      <c r="E333" s="1" t="str">
        <f t="shared" si="1"/>
        <v>INSERT INTO tblTeacherSubject VALUES (seqTeacherSubject.nextval, '9', '12');</v>
      </c>
    </row>
    <row r="334">
      <c r="A334" s="1" t="s">
        <v>428</v>
      </c>
      <c r="B334" s="1">
        <v>9.0</v>
      </c>
      <c r="C334" s="1">
        <v>13.0</v>
      </c>
      <c r="E334" s="1" t="str">
        <f t="shared" si="1"/>
        <v>INSERT INTO tblTeacherSubject VALUES (seqTeacherSubject.nextval, '9', '13');</v>
      </c>
    </row>
    <row r="335">
      <c r="A335" s="1" t="s">
        <v>428</v>
      </c>
      <c r="B335" s="1">
        <v>9.0</v>
      </c>
      <c r="C335" s="1">
        <v>14.0</v>
      </c>
      <c r="E335" s="1" t="str">
        <f t="shared" si="1"/>
        <v>INSERT INTO tblTeacherSubject VALUES (seqTeacherSubject.nextval, '9', '14');</v>
      </c>
    </row>
    <row r="336">
      <c r="A336" s="1" t="s">
        <v>428</v>
      </c>
      <c r="B336" s="1">
        <v>9.0</v>
      </c>
      <c r="C336" s="1">
        <v>15.0</v>
      </c>
      <c r="E336" s="1" t="str">
        <f t="shared" si="1"/>
        <v>INSERT INTO tblTeacherSubject VALUES (seqTeacherSubject.nextval, '9', '15');</v>
      </c>
    </row>
    <row r="337">
      <c r="A337" s="1" t="s">
        <v>428</v>
      </c>
      <c r="B337" s="1">
        <v>9.0</v>
      </c>
      <c r="C337" s="1">
        <v>16.0</v>
      </c>
      <c r="E337" s="1" t="str">
        <f t="shared" si="1"/>
        <v>INSERT INTO tblTeacherSubject VALUES (seqTeacherSubject.nextval, '9', '16');</v>
      </c>
    </row>
    <row r="338">
      <c r="A338" s="1" t="s">
        <v>428</v>
      </c>
      <c r="B338" s="1">
        <v>9.0</v>
      </c>
      <c r="C338" s="1">
        <v>17.0</v>
      </c>
      <c r="E338" s="1" t="str">
        <f t="shared" si="1"/>
        <v>INSERT INTO tblTeacherSubject VALUES (seqTeacherSubject.nextval, '9', '17');</v>
      </c>
    </row>
    <row r="339">
      <c r="A339" s="1" t="s">
        <v>428</v>
      </c>
      <c r="B339" s="1">
        <v>9.0</v>
      </c>
      <c r="C339" s="1">
        <v>18.0</v>
      </c>
      <c r="E339" s="1" t="str">
        <f t="shared" si="1"/>
        <v>INSERT INTO tblTeacherSubject VALUES (seqTeacherSubject.nextval, '9', '18');</v>
      </c>
    </row>
    <row r="340">
      <c r="A340" s="1" t="s">
        <v>428</v>
      </c>
      <c r="B340" s="1">
        <v>9.0</v>
      </c>
      <c r="C340" s="1">
        <v>19.0</v>
      </c>
      <c r="E340" s="1" t="str">
        <f t="shared" si="1"/>
        <v>INSERT INTO tblTeacherSubject VALUES (seqTeacherSubject.nextval, '9', '19');</v>
      </c>
    </row>
    <row r="341">
      <c r="A341" s="1" t="s">
        <v>428</v>
      </c>
      <c r="B341" s="1">
        <v>9.0</v>
      </c>
      <c r="C341" s="1">
        <v>20.0</v>
      </c>
      <c r="E341" s="1" t="str">
        <f t="shared" si="1"/>
        <v>INSERT INTO tblTeacherSubject VALUES (seqTeacherSubject.nextval, '9', '20');</v>
      </c>
    </row>
    <row r="342">
      <c r="A342" s="1" t="s">
        <v>428</v>
      </c>
      <c r="B342" s="1">
        <v>9.0</v>
      </c>
      <c r="C342" s="1">
        <v>21.0</v>
      </c>
      <c r="E342" s="1" t="str">
        <f t="shared" si="1"/>
        <v>INSERT INTO tblTeacherSubject VALUES (seqTeacherSubject.nextval, '9', '21');</v>
      </c>
    </row>
    <row r="343">
      <c r="A343" s="1" t="s">
        <v>428</v>
      </c>
      <c r="B343" s="1">
        <v>9.0</v>
      </c>
      <c r="C343" s="1">
        <v>22.0</v>
      </c>
      <c r="E343" s="1" t="str">
        <f t="shared" si="1"/>
        <v>INSERT INTO tblTeacherSubject VALUES (seqTeacherSubject.nextval, '9', '22');</v>
      </c>
    </row>
    <row r="344">
      <c r="A344" s="1" t="s">
        <v>428</v>
      </c>
      <c r="B344" s="1">
        <v>9.0</v>
      </c>
      <c r="C344" s="1">
        <v>23.0</v>
      </c>
      <c r="E344" s="1" t="str">
        <f t="shared" si="1"/>
        <v>INSERT INTO tblTeacherSubject VALUES (seqTeacherSubject.nextval, '9', '23');</v>
      </c>
    </row>
    <row r="345">
      <c r="A345" s="1" t="s">
        <v>428</v>
      </c>
      <c r="B345" s="1">
        <v>9.0</v>
      </c>
      <c r="C345" s="1">
        <v>24.0</v>
      </c>
      <c r="E345" s="1" t="str">
        <f t="shared" si="1"/>
        <v>INSERT INTO tblTeacherSubject VALUES (seqTeacherSubject.nextval, '9', '24');</v>
      </c>
    </row>
    <row r="346">
      <c r="A346" s="1" t="s">
        <v>428</v>
      </c>
      <c r="B346" s="1">
        <v>9.0</v>
      </c>
      <c r="C346" s="1">
        <v>25.0</v>
      </c>
      <c r="E346" s="1" t="str">
        <f t="shared" si="1"/>
        <v>INSERT INTO tblTeacherSubject VALUES (seqTeacherSubject.nextval, '9', '25');</v>
      </c>
    </row>
    <row r="347">
      <c r="A347" s="1" t="s">
        <v>428</v>
      </c>
      <c r="B347" s="1">
        <v>9.0</v>
      </c>
      <c r="C347" s="1">
        <v>26.0</v>
      </c>
      <c r="E347" s="1" t="str">
        <f t="shared" si="1"/>
        <v>INSERT INTO tblTeacherSubject VALUES (seqTeacherSubject.nextval, '9', '26');</v>
      </c>
    </row>
    <row r="348">
      <c r="A348" s="1" t="s">
        <v>428</v>
      </c>
      <c r="B348" s="1">
        <v>9.0</v>
      </c>
      <c r="C348" s="1">
        <v>27.0</v>
      </c>
      <c r="E348" s="1" t="str">
        <f t="shared" si="1"/>
        <v>INSERT INTO tblTeacherSubject VALUES (seqTeacherSubject.nextval, '9', '27');</v>
      </c>
    </row>
    <row r="349">
      <c r="A349" s="1" t="s">
        <v>428</v>
      </c>
      <c r="B349" s="1">
        <v>9.0</v>
      </c>
      <c r="C349" s="1">
        <v>28.0</v>
      </c>
      <c r="E349" s="1" t="str">
        <f t="shared" si="1"/>
        <v>INSERT INTO tblTeacherSubject VALUES (seqTeacherSubject.nextval, '9', '28');</v>
      </c>
    </row>
    <row r="350">
      <c r="A350" s="1" t="s">
        <v>428</v>
      </c>
      <c r="B350" s="1">
        <v>9.0</v>
      </c>
      <c r="C350" s="1">
        <v>29.0</v>
      </c>
      <c r="E350" s="1" t="str">
        <f t="shared" si="1"/>
        <v>INSERT INTO tblTeacherSubject VALUES (seqTeacherSubject.nextval, '9', '29');</v>
      </c>
    </row>
    <row r="351">
      <c r="A351" s="1" t="s">
        <v>428</v>
      </c>
      <c r="B351" s="1">
        <v>9.0</v>
      </c>
      <c r="C351" s="1">
        <v>30.0</v>
      </c>
      <c r="E351" s="1" t="str">
        <f t="shared" si="1"/>
        <v>INSERT INTO tblTeacherSubject VALUES (seqTeacherSubject.nextval, '9', '30');</v>
      </c>
    </row>
    <row r="352">
      <c r="A352" s="1" t="s">
        <v>428</v>
      </c>
      <c r="B352" s="1">
        <v>9.0</v>
      </c>
      <c r="C352" s="1">
        <v>31.0</v>
      </c>
      <c r="E352" s="1" t="str">
        <f t="shared" si="1"/>
        <v>INSERT INTO tblTeacherSubject VALUES (seqTeacherSubject.nextval, '9', '31');</v>
      </c>
    </row>
    <row r="353">
      <c r="A353" s="1" t="s">
        <v>428</v>
      </c>
      <c r="B353" s="1">
        <v>9.0</v>
      </c>
      <c r="C353" s="1">
        <v>32.0</v>
      </c>
      <c r="E353" s="1" t="str">
        <f t="shared" si="1"/>
        <v>INSERT INTO tblTeacherSubject VALUES (seqTeacherSubject.nextval, '9', '32');</v>
      </c>
    </row>
    <row r="354">
      <c r="A354" s="1" t="s">
        <v>428</v>
      </c>
      <c r="B354" s="1">
        <v>9.0</v>
      </c>
      <c r="C354" s="1">
        <v>33.0</v>
      </c>
      <c r="E354" s="1" t="str">
        <f t="shared" si="1"/>
        <v>INSERT INTO tblTeacherSubject VALUES (seqTeacherSubject.nextval, '9', '33');</v>
      </c>
    </row>
    <row r="355">
      <c r="A355" s="1" t="s">
        <v>428</v>
      </c>
      <c r="B355" s="1">
        <v>9.0</v>
      </c>
      <c r="C355" s="1">
        <v>34.0</v>
      </c>
      <c r="E355" s="1" t="str">
        <f t="shared" si="1"/>
        <v>INSERT INTO tblTeacherSubject VALUES (seqTeacherSubject.nextval, '9', '34');</v>
      </c>
    </row>
    <row r="356">
      <c r="A356" s="1" t="s">
        <v>428</v>
      </c>
      <c r="B356" s="1">
        <v>9.0</v>
      </c>
      <c r="C356" s="1">
        <v>35.0</v>
      </c>
      <c r="E356" s="1" t="str">
        <f t="shared" si="1"/>
        <v>INSERT INTO tblTeacherSubject VALUES (seqTeacherSubject.nextval, '9', '35');</v>
      </c>
    </row>
    <row r="357">
      <c r="A357" s="1" t="s">
        <v>428</v>
      </c>
      <c r="B357" s="1">
        <v>9.0</v>
      </c>
      <c r="C357" s="1">
        <v>36.0</v>
      </c>
      <c r="E357" s="1" t="str">
        <f t="shared" si="1"/>
        <v>INSERT INTO tblTeacherSubject VALUES (seqTeacherSubject.nextval, '9', '36');</v>
      </c>
    </row>
    <row r="358">
      <c r="A358" s="1" t="s">
        <v>428</v>
      </c>
      <c r="B358" s="1">
        <v>9.0</v>
      </c>
      <c r="C358" s="1">
        <v>37.0</v>
      </c>
      <c r="E358" s="1" t="str">
        <f t="shared" si="1"/>
        <v>INSERT INTO tblTeacherSubject VALUES (seqTeacherSubject.nextval, '9', '37');</v>
      </c>
    </row>
    <row r="359">
      <c r="A359" s="1" t="s">
        <v>428</v>
      </c>
      <c r="B359" s="1">
        <v>9.0</v>
      </c>
      <c r="C359" s="1">
        <v>38.0</v>
      </c>
      <c r="E359" s="1" t="str">
        <f t="shared" si="1"/>
        <v>INSERT INTO tblTeacherSubject VALUES (seqTeacherSubject.nextval, '9', '38');</v>
      </c>
    </row>
    <row r="360">
      <c r="A360" s="1" t="s">
        <v>428</v>
      </c>
      <c r="B360" s="1">
        <v>9.0</v>
      </c>
      <c r="C360" s="1">
        <v>39.0</v>
      </c>
      <c r="E360" s="1" t="str">
        <f t="shared" si="1"/>
        <v>INSERT INTO tblTeacherSubject VALUES (seqTeacherSubject.nextval, '9', '39');</v>
      </c>
    </row>
    <row r="361">
      <c r="A361" s="1" t="s">
        <v>428</v>
      </c>
      <c r="B361" s="1">
        <v>9.0</v>
      </c>
      <c r="C361" s="1">
        <v>40.0</v>
      </c>
      <c r="E361" s="1" t="str">
        <f t="shared" si="1"/>
        <v>INSERT INTO tblTeacherSubject VALUES (seqTeacherSubject.nextval, '9', '40');</v>
      </c>
    </row>
    <row r="362">
      <c r="A362" s="1" t="s">
        <v>428</v>
      </c>
      <c r="B362" s="1">
        <v>10.0</v>
      </c>
      <c r="C362" s="1">
        <v>1.0</v>
      </c>
      <c r="E362" s="1" t="str">
        <f t="shared" si="1"/>
        <v>INSERT INTO tblTeacherSubject VALUES (seqTeacherSubject.nextval, '10', '1');</v>
      </c>
    </row>
    <row r="363">
      <c r="A363" s="1" t="s">
        <v>428</v>
      </c>
      <c r="B363" s="1">
        <v>10.0</v>
      </c>
      <c r="C363" s="1">
        <v>2.0</v>
      </c>
      <c r="E363" s="1" t="str">
        <f t="shared" si="1"/>
        <v>INSERT INTO tblTeacherSubject VALUES (seqTeacherSubject.nextval, '10', '2');</v>
      </c>
    </row>
    <row r="364">
      <c r="A364" s="1" t="s">
        <v>428</v>
      </c>
      <c r="B364" s="1">
        <v>10.0</v>
      </c>
      <c r="C364" s="1">
        <v>3.0</v>
      </c>
      <c r="E364" s="1" t="str">
        <f t="shared" si="1"/>
        <v>INSERT INTO tblTeacherSubject VALUES (seqTeacherSubject.nextval, '10', '3');</v>
      </c>
    </row>
    <row r="365">
      <c r="A365" s="1" t="s">
        <v>428</v>
      </c>
      <c r="B365" s="1">
        <v>10.0</v>
      </c>
      <c r="C365" s="1">
        <v>4.0</v>
      </c>
      <c r="E365" s="1" t="str">
        <f t="shared" si="1"/>
        <v>INSERT INTO tblTeacherSubject VALUES (seqTeacherSubject.nextval, '10', '4');</v>
      </c>
    </row>
    <row r="366">
      <c r="A366" s="1" t="s">
        <v>428</v>
      </c>
      <c r="B366" s="1">
        <v>10.0</v>
      </c>
      <c r="C366" s="1">
        <v>5.0</v>
      </c>
      <c r="E366" s="1" t="str">
        <f t="shared" si="1"/>
        <v>INSERT INTO tblTeacherSubject VALUES (seqTeacherSubject.nextval, '10', '5');</v>
      </c>
    </row>
    <row r="367">
      <c r="A367" s="1" t="s">
        <v>428</v>
      </c>
      <c r="B367" s="1">
        <v>10.0</v>
      </c>
      <c r="C367" s="1">
        <v>6.0</v>
      </c>
      <c r="E367" s="1" t="str">
        <f t="shared" si="1"/>
        <v>INSERT INTO tblTeacherSubject VALUES (seqTeacherSubject.nextval, '10', '6');</v>
      </c>
    </row>
    <row r="368">
      <c r="A368" s="1" t="s">
        <v>428</v>
      </c>
      <c r="B368" s="1">
        <v>10.0</v>
      </c>
      <c r="C368" s="1">
        <v>7.0</v>
      </c>
      <c r="E368" s="1" t="str">
        <f t="shared" si="1"/>
        <v>INSERT INTO tblTeacherSubject VALUES (seqTeacherSubject.nextval, '10', '7');</v>
      </c>
    </row>
    <row r="369">
      <c r="A369" s="1" t="s">
        <v>428</v>
      </c>
      <c r="B369" s="1">
        <v>10.0</v>
      </c>
      <c r="C369" s="1">
        <v>8.0</v>
      </c>
      <c r="E369" s="1" t="str">
        <f t="shared" si="1"/>
        <v>INSERT INTO tblTeacherSubject VALUES (seqTeacherSubject.nextval, '10', '8');</v>
      </c>
    </row>
    <row r="370">
      <c r="A370" s="1" t="s">
        <v>428</v>
      </c>
      <c r="B370" s="1">
        <v>10.0</v>
      </c>
      <c r="C370" s="1">
        <v>9.0</v>
      </c>
      <c r="E370" s="1" t="str">
        <f t="shared" si="1"/>
        <v>INSERT INTO tblTeacherSubject VALUES (seqTeacherSubject.nextval, '10', '9');</v>
      </c>
    </row>
    <row r="371">
      <c r="A371" s="1" t="s">
        <v>428</v>
      </c>
      <c r="B371" s="1">
        <v>10.0</v>
      </c>
      <c r="C371" s="1">
        <v>10.0</v>
      </c>
      <c r="E371" s="1" t="str">
        <f t="shared" si="1"/>
        <v>INSERT INTO tblTeacherSubject VALUES (seqTeacherSubject.nextval, '10', '10');</v>
      </c>
    </row>
    <row r="372">
      <c r="A372" s="1" t="s">
        <v>428</v>
      </c>
      <c r="B372" s="1">
        <v>10.0</v>
      </c>
      <c r="C372" s="1">
        <v>11.0</v>
      </c>
      <c r="E372" s="1" t="str">
        <f t="shared" si="1"/>
        <v>INSERT INTO tblTeacherSubject VALUES (seqTeacherSubject.nextval, '10', '11');</v>
      </c>
    </row>
    <row r="373">
      <c r="A373" s="1" t="s">
        <v>428</v>
      </c>
      <c r="B373" s="1">
        <v>10.0</v>
      </c>
      <c r="C373" s="1">
        <v>12.0</v>
      </c>
      <c r="E373" s="1" t="str">
        <f t="shared" si="1"/>
        <v>INSERT INTO tblTeacherSubject VALUES (seqTeacherSubject.nextval, '10', '12');</v>
      </c>
    </row>
    <row r="374">
      <c r="A374" s="1" t="s">
        <v>428</v>
      </c>
      <c r="B374" s="1">
        <v>10.0</v>
      </c>
      <c r="C374" s="1">
        <v>13.0</v>
      </c>
      <c r="E374" s="1" t="str">
        <f t="shared" si="1"/>
        <v>INSERT INTO tblTeacherSubject VALUES (seqTeacherSubject.nextval, '10', '13');</v>
      </c>
    </row>
    <row r="375">
      <c r="A375" s="1" t="s">
        <v>428</v>
      </c>
      <c r="B375" s="1">
        <v>10.0</v>
      </c>
      <c r="C375" s="1">
        <v>14.0</v>
      </c>
      <c r="E375" s="1" t="str">
        <f t="shared" si="1"/>
        <v>INSERT INTO tblTeacherSubject VALUES (seqTeacherSubject.nextval, '10', '14');</v>
      </c>
    </row>
    <row r="376">
      <c r="A376" s="1" t="s">
        <v>428</v>
      </c>
      <c r="B376" s="1">
        <v>10.0</v>
      </c>
      <c r="C376" s="1">
        <v>15.0</v>
      </c>
      <c r="E376" s="1" t="str">
        <f t="shared" si="1"/>
        <v>INSERT INTO tblTeacherSubject VALUES (seqTeacherSubject.nextval, '10', '15');</v>
      </c>
    </row>
    <row r="377">
      <c r="A377" s="1" t="s">
        <v>428</v>
      </c>
      <c r="B377" s="1">
        <v>10.0</v>
      </c>
      <c r="C377" s="1">
        <v>16.0</v>
      </c>
      <c r="E377" s="1" t="str">
        <f t="shared" si="1"/>
        <v>INSERT INTO tblTeacherSubject VALUES (seqTeacherSubject.nextval, '10', '16');</v>
      </c>
    </row>
    <row r="378">
      <c r="A378" s="1" t="s">
        <v>428</v>
      </c>
      <c r="B378" s="1">
        <v>10.0</v>
      </c>
      <c r="C378" s="1">
        <v>17.0</v>
      </c>
      <c r="E378" s="1" t="str">
        <f t="shared" si="1"/>
        <v>INSERT INTO tblTeacherSubject VALUES (seqTeacherSubject.nextval, '10', '17');</v>
      </c>
    </row>
    <row r="379">
      <c r="A379" s="1" t="s">
        <v>428</v>
      </c>
      <c r="B379" s="1">
        <v>10.0</v>
      </c>
      <c r="C379" s="1">
        <v>18.0</v>
      </c>
      <c r="E379" s="1" t="str">
        <f t="shared" si="1"/>
        <v>INSERT INTO tblTeacherSubject VALUES (seqTeacherSubject.nextval, '10', '18');</v>
      </c>
    </row>
    <row r="380">
      <c r="A380" s="1" t="s">
        <v>428</v>
      </c>
      <c r="B380" s="1">
        <v>10.0</v>
      </c>
      <c r="C380" s="1">
        <v>19.0</v>
      </c>
      <c r="E380" s="1" t="str">
        <f t="shared" si="1"/>
        <v>INSERT INTO tblTeacherSubject VALUES (seqTeacherSubject.nextval, '10', '19');</v>
      </c>
    </row>
    <row r="381">
      <c r="A381" s="1" t="s">
        <v>428</v>
      </c>
      <c r="B381" s="1">
        <v>10.0</v>
      </c>
      <c r="C381" s="1">
        <v>20.0</v>
      </c>
      <c r="E381" s="1" t="str">
        <f t="shared" si="1"/>
        <v>INSERT INTO tblTeacherSubject VALUES (seqTeacherSubject.nextval, '10', '20');</v>
      </c>
    </row>
    <row r="382">
      <c r="A382" s="1" t="s">
        <v>428</v>
      </c>
      <c r="B382" s="1">
        <v>10.0</v>
      </c>
      <c r="C382" s="1">
        <v>21.0</v>
      </c>
      <c r="E382" s="1" t="str">
        <f t="shared" si="1"/>
        <v>INSERT INTO tblTeacherSubject VALUES (seqTeacherSubject.nextval, '10', '21');</v>
      </c>
    </row>
    <row r="383">
      <c r="A383" s="1" t="s">
        <v>428</v>
      </c>
      <c r="B383" s="1">
        <v>10.0</v>
      </c>
      <c r="C383" s="1">
        <v>22.0</v>
      </c>
      <c r="E383" s="1" t="str">
        <f t="shared" si="1"/>
        <v>INSERT INTO tblTeacherSubject VALUES (seqTeacherSubject.nextval, '10', '22');</v>
      </c>
    </row>
    <row r="384">
      <c r="A384" s="1" t="s">
        <v>428</v>
      </c>
      <c r="B384" s="1">
        <v>10.0</v>
      </c>
      <c r="C384" s="1">
        <v>23.0</v>
      </c>
      <c r="E384" s="1" t="str">
        <f t="shared" si="1"/>
        <v>INSERT INTO tblTeacherSubject VALUES (seqTeacherSubject.nextval, '10', '23');</v>
      </c>
    </row>
    <row r="385">
      <c r="A385" s="1" t="s">
        <v>428</v>
      </c>
      <c r="B385" s="1">
        <v>10.0</v>
      </c>
      <c r="C385" s="1">
        <v>24.0</v>
      </c>
      <c r="E385" s="1" t="str">
        <f t="shared" si="1"/>
        <v>INSERT INTO tblTeacherSubject VALUES (seqTeacherSubject.nextval, '10', '24');</v>
      </c>
    </row>
    <row r="386">
      <c r="A386" s="1" t="s">
        <v>428</v>
      </c>
      <c r="B386" s="1">
        <v>10.0</v>
      </c>
      <c r="C386" s="1">
        <v>25.0</v>
      </c>
      <c r="E386" s="1" t="str">
        <f t="shared" si="1"/>
        <v>INSERT INTO tblTeacherSubject VALUES (seqTeacherSubject.nextval, '10', '25');</v>
      </c>
    </row>
    <row r="387">
      <c r="A387" s="1" t="s">
        <v>428</v>
      </c>
      <c r="B387" s="1">
        <v>10.0</v>
      </c>
      <c r="C387" s="1">
        <v>26.0</v>
      </c>
      <c r="E387" s="1" t="str">
        <f t="shared" si="1"/>
        <v>INSERT INTO tblTeacherSubject VALUES (seqTeacherSubject.nextval, '10', '26');</v>
      </c>
    </row>
    <row r="388">
      <c r="A388" s="1" t="s">
        <v>428</v>
      </c>
      <c r="B388" s="1">
        <v>10.0</v>
      </c>
      <c r="C388" s="1">
        <v>27.0</v>
      </c>
      <c r="E388" s="1" t="str">
        <f t="shared" si="1"/>
        <v>INSERT INTO tblTeacherSubject VALUES (seqTeacherSubject.nextval, '10', '27');</v>
      </c>
    </row>
    <row r="389">
      <c r="A389" s="1" t="s">
        <v>428</v>
      </c>
      <c r="B389" s="1">
        <v>10.0</v>
      </c>
      <c r="C389" s="1">
        <v>28.0</v>
      </c>
      <c r="E389" s="1" t="str">
        <f t="shared" si="1"/>
        <v>INSERT INTO tblTeacherSubject VALUES (seqTeacherSubject.nextval, '10', '28');</v>
      </c>
    </row>
    <row r="390">
      <c r="A390" s="1" t="s">
        <v>428</v>
      </c>
      <c r="B390" s="1">
        <v>10.0</v>
      </c>
      <c r="C390" s="1">
        <v>29.0</v>
      </c>
      <c r="E390" s="1" t="str">
        <f t="shared" si="1"/>
        <v>INSERT INTO tblTeacherSubject VALUES (seqTeacherSubject.nextval, '10', '29');</v>
      </c>
    </row>
    <row r="391">
      <c r="A391" s="1" t="s">
        <v>428</v>
      </c>
      <c r="B391" s="1">
        <v>10.0</v>
      </c>
      <c r="C391" s="1">
        <v>30.0</v>
      </c>
      <c r="E391" s="1" t="str">
        <f t="shared" si="1"/>
        <v>INSERT INTO tblTeacherSubject VALUES (seqTeacherSubject.nextval, '10', '30');</v>
      </c>
    </row>
    <row r="392">
      <c r="A392" s="1" t="s">
        <v>428</v>
      </c>
      <c r="B392" s="1">
        <v>10.0</v>
      </c>
      <c r="C392" s="1">
        <v>31.0</v>
      </c>
      <c r="E392" s="1" t="str">
        <f t="shared" si="1"/>
        <v>INSERT INTO tblTeacherSubject VALUES (seqTeacherSubject.nextval, '10', '31');</v>
      </c>
    </row>
    <row r="393">
      <c r="A393" s="1" t="s">
        <v>428</v>
      </c>
      <c r="B393" s="1">
        <v>10.0</v>
      </c>
      <c r="C393" s="1">
        <v>32.0</v>
      </c>
      <c r="E393" s="1" t="str">
        <f t="shared" si="1"/>
        <v>INSERT INTO tblTeacherSubject VALUES (seqTeacherSubject.nextval, '10', '32');</v>
      </c>
    </row>
    <row r="394">
      <c r="A394" s="1" t="s">
        <v>428</v>
      </c>
      <c r="B394" s="1">
        <v>10.0</v>
      </c>
      <c r="C394" s="1">
        <v>33.0</v>
      </c>
      <c r="E394" s="1" t="str">
        <f t="shared" si="1"/>
        <v>INSERT INTO tblTeacherSubject VALUES (seqTeacherSubject.nextval, '10', '33');</v>
      </c>
    </row>
    <row r="395">
      <c r="A395" s="1" t="s">
        <v>428</v>
      </c>
      <c r="B395" s="1">
        <v>10.0</v>
      </c>
      <c r="C395" s="1">
        <v>34.0</v>
      </c>
      <c r="E395" s="1" t="str">
        <f t="shared" si="1"/>
        <v>INSERT INTO tblTeacherSubject VALUES (seqTeacherSubject.nextval, '10', '34');</v>
      </c>
    </row>
    <row r="396">
      <c r="A396" s="1" t="s">
        <v>428</v>
      </c>
      <c r="B396" s="1">
        <v>10.0</v>
      </c>
      <c r="C396" s="1">
        <v>35.0</v>
      </c>
      <c r="E396" s="1" t="str">
        <f t="shared" si="1"/>
        <v>INSERT INTO tblTeacherSubject VALUES (seqTeacherSubject.nextval, '10', '35');</v>
      </c>
    </row>
    <row r="397">
      <c r="A397" s="1" t="s">
        <v>428</v>
      </c>
      <c r="B397" s="1">
        <v>10.0</v>
      </c>
      <c r="C397" s="1">
        <v>36.0</v>
      </c>
      <c r="E397" s="1" t="str">
        <f t="shared" si="1"/>
        <v>INSERT INTO tblTeacherSubject VALUES (seqTeacherSubject.nextval, '10', '36');</v>
      </c>
    </row>
    <row r="398">
      <c r="A398" s="1" t="s">
        <v>428</v>
      </c>
      <c r="B398" s="1">
        <v>10.0</v>
      </c>
      <c r="C398" s="1">
        <v>37.0</v>
      </c>
      <c r="E398" s="1" t="str">
        <f t="shared" si="1"/>
        <v>INSERT INTO tblTeacherSubject VALUES (seqTeacherSubject.nextval, '10', '37');</v>
      </c>
    </row>
    <row r="399">
      <c r="A399" s="1" t="s">
        <v>428</v>
      </c>
      <c r="B399" s="1">
        <v>10.0</v>
      </c>
      <c r="C399" s="1">
        <v>38.0</v>
      </c>
      <c r="E399" s="1" t="str">
        <f t="shared" si="1"/>
        <v>INSERT INTO tblTeacherSubject VALUES (seqTeacherSubject.nextval, '10', '38');</v>
      </c>
    </row>
    <row r="400">
      <c r="A400" s="1" t="s">
        <v>428</v>
      </c>
      <c r="B400" s="1">
        <v>10.0</v>
      </c>
      <c r="C400" s="1">
        <v>39.0</v>
      </c>
      <c r="E400" s="1" t="str">
        <f t="shared" si="1"/>
        <v>INSERT INTO tblTeacherSubject VALUES (seqTeacherSubject.nextval, '10', '39');</v>
      </c>
    </row>
    <row r="401">
      <c r="A401" s="1" t="s">
        <v>428</v>
      </c>
      <c r="B401" s="1">
        <v>10.0</v>
      </c>
      <c r="C401" s="1">
        <v>40.0</v>
      </c>
      <c r="E401" s="1" t="str">
        <f t="shared" si="1"/>
        <v>INSERT INTO tblTeacherSubject VALUES (seqTeacherSubject.nextval, '10', '40');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13.63"/>
    <col customWidth="1" min="9" max="9" width="94.5"/>
  </cols>
  <sheetData>
    <row r="1">
      <c r="A1" s="1" t="s">
        <v>429</v>
      </c>
      <c r="B1" s="1" t="s">
        <v>430</v>
      </c>
      <c r="C1" s="1" t="s">
        <v>431</v>
      </c>
      <c r="D1" s="1" t="s">
        <v>432</v>
      </c>
      <c r="E1" s="1" t="s">
        <v>433</v>
      </c>
      <c r="F1" s="1" t="s">
        <v>434</v>
      </c>
      <c r="G1" s="1" t="s">
        <v>435</v>
      </c>
    </row>
    <row r="2">
      <c r="A2" s="1" t="s">
        <v>436</v>
      </c>
      <c r="B2" s="1" t="s">
        <v>437</v>
      </c>
      <c r="C2" s="1" t="s">
        <v>438</v>
      </c>
      <c r="D2" s="1" t="s">
        <v>439</v>
      </c>
      <c r="E2" s="1" t="s">
        <v>440</v>
      </c>
      <c r="F2" s="1">
        <v>840705.0</v>
      </c>
      <c r="G2" s="1">
        <v>1.0E7</v>
      </c>
      <c r="I2" s="8" t="str">
        <f t="shared" ref="I2:I11" si="1">"INSERT INTO tblTeacher VALUES (" &amp; A2 &amp; ", '" &amp; B2 &amp; "', '" &amp; C2 &amp; "', '" &amp; D2 &amp; "', '" &amp; E2 &amp; "', " &amp; F2 &amp; ", " &amp; G2 &amp; ");"</f>
        <v>INSERT INTO tblTeacher VALUES (seqTeacher.nextval, '박세인', '900705-1220246', '010-3273-1163', 't001', 840705, 10000000);</v>
      </c>
    </row>
    <row r="3">
      <c r="A3" s="1" t="s">
        <v>436</v>
      </c>
      <c r="B3" s="1" t="s">
        <v>441</v>
      </c>
      <c r="C3" s="1" t="s">
        <v>442</v>
      </c>
      <c r="D3" s="1" t="s">
        <v>443</v>
      </c>
      <c r="E3" s="1" t="s">
        <v>444</v>
      </c>
      <c r="F3" s="1">
        <v>821204.0</v>
      </c>
      <c r="G3" s="1">
        <v>5000000.0</v>
      </c>
      <c r="I3" s="8" t="str">
        <f t="shared" si="1"/>
        <v>INSERT INTO tblTeacher VALUES (seqTeacher.nextval, '차은우', '821204-1397732', '010-3407-6060', 't002', 821204, 5000000);</v>
      </c>
    </row>
    <row r="4">
      <c r="A4" s="1" t="s">
        <v>436</v>
      </c>
      <c r="B4" s="1" t="s">
        <v>445</v>
      </c>
      <c r="C4" s="1" t="s">
        <v>446</v>
      </c>
      <c r="D4" s="1" t="s">
        <v>447</v>
      </c>
      <c r="E4" s="1" t="s">
        <v>448</v>
      </c>
      <c r="F4" s="1">
        <v>870912.0</v>
      </c>
      <c r="G4" s="1">
        <v>3200000.0</v>
      </c>
      <c r="I4" s="8" t="str">
        <f t="shared" si="1"/>
        <v>INSERT INTO tblTeacher VALUES (seqTeacher.nextval, '서강준', '870912-1792930', '010-2219-2496', 't003', 870912, 3200000);</v>
      </c>
    </row>
    <row r="5">
      <c r="A5" s="1" t="s">
        <v>436</v>
      </c>
      <c r="B5" s="1" t="s">
        <v>449</v>
      </c>
      <c r="C5" s="1" t="s">
        <v>450</v>
      </c>
      <c r="D5" s="1" t="s">
        <v>451</v>
      </c>
      <c r="E5" s="1" t="s">
        <v>452</v>
      </c>
      <c r="F5" s="1">
        <v>810120.0</v>
      </c>
      <c r="G5" s="1">
        <v>3400000.0</v>
      </c>
      <c r="I5" s="8" t="str">
        <f t="shared" si="1"/>
        <v>INSERT INTO tblTeacher VALUES (seqTeacher.nextval, '정예린', '810120-2176438', '010-1936-9362', 't004', 810120, 3400000);</v>
      </c>
    </row>
    <row r="6">
      <c r="A6" s="1" t="s">
        <v>436</v>
      </c>
      <c r="B6" s="1" t="s">
        <v>453</v>
      </c>
      <c r="C6" s="1" t="s">
        <v>454</v>
      </c>
      <c r="D6" s="1" t="s">
        <v>455</v>
      </c>
      <c r="E6" s="1" t="s">
        <v>456</v>
      </c>
      <c r="F6" s="1">
        <v>940514.0</v>
      </c>
      <c r="G6" s="1">
        <v>3600000.0</v>
      </c>
      <c r="I6" s="8" t="str">
        <f t="shared" si="1"/>
        <v>INSERT INTO tblTeacher VALUES (seqTeacher.nextval, '한예진', '890514-2693665', '010-4560-3969', 't005', 940514, 3600000);</v>
      </c>
    </row>
    <row r="7">
      <c r="A7" s="1" t="s">
        <v>436</v>
      </c>
      <c r="B7" s="1" t="s">
        <v>457</v>
      </c>
      <c r="C7" s="1" t="s">
        <v>458</v>
      </c>
      <c r="D7" s="1" t="s">
        <v>459</v>
      </c>
      <c r="E7" s="1" t="s">
        <v>460</v>
      </c>
      <c r="F7" s="1">
        <v>830605.0</v>
      </c>
      <c r="G7" s="1">
        <v>3800000.0</v>
      </c>
      <c r="I7" s="8" t="str">
        <f t="shared" si="1"/>
        <v>INSERT INTO tblTeacher VALUES (seqTeacher.nextval, '최현우', '830605-1108597', '010-2975-2349', 't006', 830605, 3800000);</v>
      </c>
    </row>
    <row r="8">
      <c r="A8" s="1" t="s">
        <v>436</v>
      </c>
      <c r="B8" s="1" t="s">
        <v>461</v>
      </c>
      <c r="C8" s="1" t="s">
        <v>462</v>
      </c>
      <c r="D8" s="1" t="s">
        <v>463</v>
      </c>
      <c r="E8" s="1" t="s">
        <v>464</v>
      </c>
      <c r="F8" s="1">
        <v>871014.0</v>
      </c>
      <c r="G8" s="1">
        <v>4000000.0</v>
      </c>
      <c r="I8" s="8" t="str">
        <f t="shared" si="1"/>
        <v>INSERT INTO tblTeacher VALUES (seqTeacher.nextval, '유재석', '871014-1287583', '010-9241-8139', 't007', 871014, 4000000);</v>
      </c>
    </row>
    <row r="9">
      <c r="A9" s="1" t="s">
        <v>436</v>
      </c>
      <c r="B9" s="1" t="s">
        <v>465</v>
      </c>
      <c r="C9" s="1" t="s">
        <v>466</v>
      </c>
      <c r="D9" s="1" t="s">
        <v>467</v>
      </c>
      <c r="E9" s="1" t="s">
        <v>468</v>
      </c>
      <c r="F9" s="1">
        <v>751112.0</v>
      </c>
      <c r="G9" s="1">
        <v>4200000.0</v>
      </c>
      <c r="I9" s="8" t="str">
        <f t="shared" si="1"/>
        <v>INSERT INTO tblTeacher VALUES (seqTeacher.nextval, '강하늘', '751112-2653863', '010-1386-5611', 't008', 751112, 4200000);</v>
      </c>
    </row>
    <row r="10">
      <c r="A10" s="1" t="s">
        <v>436</v>
      </c>
      <c r="B10" s="1" t="s">
        <v>469</v>
      </c>
      <c r="C10" s="1" t="s">
        <v>470</v>
      </c>
      <c r="D10" s="1" t="s">
        <v>471</v>
      </c>
      <c r="E10" s="1" t="s">
        <v>472</v>
      </c>
      <c r="F10" s="1">
        <v>980114.0</v>
      </c>
      <c r="G10" s="1">
        <v>4500000.0</v>
      </c>
      <c r="I10" s="8" t="str">
        <f t="shared" si="1"/>
        <v>INSERT INTO tblTeacher VALUES (seqTeacher.nextval, '이보영', '780114-2135114', '010-5540-6848', 't009', 980114, 4500000);</v>
      </c>
    </row>
    <row r="11">
      <c r="A11" s="1" t="s">
        <v>436</v>
      </c>
      <c r="B11" s="1" t="s">
        <v>473</v>
      </c>
      <c r="C11" s="1" t="s">
        <v>474</v>
      </c>
      <c r="D11" s="1" t="s">
        <v>475</v>
      </c>
      <c r="E11" s="1" t="s">
        <v>476</v>
      </c>
      <c r="F11" s="1">
        <v>700410.0</v>
      </c>
      <c r="G11" s="1">
        <v>2000000.0</v>
      </c>
      <c r="I11" s="8" t="str">
        <f t="shared" si="1"/>
        <v>INSERT INTO tblTeacher VALUES (seqTeacher.nextval, '문채원', '700410-2636959', '010-3850-1873', 't010', 700410, 2000000);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7.38"/>
  </cols>
  <sheetData>
    <row r="1">
      <c r="A1" s="1" t="s">
        <v>477</v>
      </c>
      <c r="B1" s="1" t="s">
        <v>478</v>
      </c>
      <c r="C1" s="1" t="s">
        <v>479</v>
      </c>
      <c r="D1" s="1" t="s">
        <v>480</v>
      </c>
    </row>
    <row r="2">
      <c r="A2" s="1" t="s">
        <v>481</v>
      </c>
      <c r="B2" s="1" t="s">
        <v>482</v>
      </c>
      <c r="C2" s="1" t="s">
        <v>483</v>
      </c>
      <c r="D2" s="1">
        <v>22000.0</v>
      </c>
      <c r="F2" s="2" t="str">
        <f t="shared" ref="F2:F41" si="1"> "INSERT INTO tblTextBook VALUES (" &amp; A2 &amp; ", '" &amp; B2 &amp; "', '" &amp; C2 &amp; "', " &amp; D2 &amp; ");"</f>
        <v>INSERT INTO tblTextBook VALUES (seqTextBook.nextval, 'Java 완전정복 (2019)', '한빛미디어', 22000);</v>
      </c>
    </row>
    <row r="3">
      <c r="A3" s="1" t="s">
        <v>481</v>
      </c>
      <c r="B3" s="1" t="s">
        <v>484</v>
      </c>
      <c r="C3" s="1" t="s">
        <v>485</v>
      </c>
      <c r="D3" s="1">
        <v>30000.0</v>
      </c>
      <c r="F3" s="2" t="str">
        <f t="shared" si="1"/>
        <v>INSERT INTO tblTextBook VALUES (seqTextBook.nextval, 'Oracle 완전정복 (2022)', '이지스퍼블리싱', 30000);</v>
      </c>
    </row>
    <row r="4">
      <c r="A4" s="1" t="s">
        <v>481</v>
      </c>
      <c r="B4" s="1" t="s">
        <v>486</v>
      </c>
      <c r="C4" s="1" t="s">
        <v>487</v>
      </c>
      <c r="D4" s="1">
        <v>22000.0</v>
      </c>
      <c r="F4" s="2" t="str">
        <f t="shared" si="1"/>
        <v>INSERT INTO tblTextBook VALUES (seqTextBook.nextval, 'JDBC 완전정복 (2023)', '인사이트', 22000);</v>
      </c>
    </row>
    <row r="5">
      <c r="A5" s="1" t="s">
        <v>481</v>
      </c>
      <c r="B5" s="1" t="s">
        <v>488</v>
      </c>
      <c r="C5" s="1" t="s">
        <v>487</v>
      </c>
      <c r="D5" s="1">
        <v>22000.0</v>
      </c>
      <c r="F5" s="2" t="str">
        <f t="shared" si="1"/>
        <v>INSERT INTO tblTextBook VALUES (seqTextBook.nextval, 'HTML 완전정복 (2019)', '인사이트', 22000);</v>
      </c>
    </row>
    <row r="6">
      <c r="A6" s="1" t="s">
        <v>481</v>
      </c>
      <c r="B6" s="1" t="s">
        <v>489</v>
      </c>
      <c r="C6" s="1" t="s">
        <v>490</v>
      </c>
      <c r="D6" s="1">
        <v>28000.0</v>
      </c>
      <c r="F6" s="2" t="str">
        <f t="shared" si="1"/>
        <v>INSERT INTO tblTextBook VALUES (seqTextBook.nextval, 'CSS 완전정복 (2020)', '에이콘', 28000);</v>
      </c>
    </row>
    <row r="7">
      <c r="A7" s="1" t="s">
        <v>481</v>
      </c>
      <c r="B7" s="1" t="s">
        <v>491</v>
      </c>
      <c r="C7" s="1" t="s">
        <v>490</v>
      </c>
      <c r="D7" s="1">
        <v>28000.0</v>
      </c>
      <c r="F7" s="2" t="str">
        <f t="shared" si="1"/>
        <v>INSERT INTO tblTextBook VALUES (seqTextBook.nextval, 'JavaScript 완전정복 (2024)', '에이콘', 28000);</v>
      </c>
    </row>
    <row r="8">
      <c r="A8" s="1" t="s">
        <v>481</v>
      </c>
      <c r="B8" s="1" t="s">
        <v>492</v>
      </c>
      <c r="C8" s="1" t="s">
        <v>493</v>
      </c>
      <c r="D8" s="1">
        <v>35000.0</v>
      </c>
      <c r="F8" s="2" t="str">
        <f t="shared" si="1"/>
        <v>INSERT INTO tblTextBook VALUES (seqTextBook.nextval, 'SQL 기초 완전정복 (2021)', '길벗', 35000);</v>
      </c>
    </row>
    <row r="9">
      <c r="A9" s="1" t="s">
        <v>481</v>
      </c>
      <c r="B9" s="1" t="s">
        <v>494</v>
      </c>
      <c r="C9" s="1" t="s">
        <v>483</v>
      </c>
      <c r="D9" s="1">
        <v>30000.0</v>
      </c>
      <c r="F9" s="2" t="str">
        <f t="shared" si="1"/>
        <v>INSERT INTO tblTextBook VALUES (seqTextBook.nextval, '자료구조 완전정복 (2024)', '한빛미디어', 30000);</v>
      </c>
    </row>
    <row r="10">
      <c r="A10" s="1" t="s">
        <v>481</v>
      </c>
      <c r="B10" s="1" t="s">
        <v>495</v>
      </c>
      <c r="C10" s="1" t="s">
        <v>496</v>
      </c>
      <c r="D10" s="1">
        <v>25000.0</v>
      </c>
      <c r="F10" s="2" t="str">
        <f t="shared" si="1"/>
        <v>INSERT INTO tblTextBook VALUES (seqTextBook.nextval, '운영체제 완전정복 (2024)', 'BJPublic', 25000);</v>
      </c>
    </row>
    <row r="11">
      <c r="A11" s="1" t="s">
        <v>481</v>
      </c>
      <c r="B11" s="1" t="s">
        <v>497</v>
      </c>
      <c r="C11" s="1" t="s">
        <v>498</v>
      </c>
      <c r="D11" s="1">
        <v>28000.0</v>
      </c>
      <c r="F11" s="2" t="str">
        <f t="shared" si="1"/>
        <v>INSERT INTO tblTextBook VALUES (seqTextBook.nextval, '네트워크 완전정복 (2022)', 'T아카데미', 28000);</v>
      </c>
    </row>
    <row r="12">
      <c r="A12" s="1" t="s">
        <v>481</v>
      </c>
      <c r="B12" s="1" t="s">
        <v>499</v>
      </c>
      <c r="C12" s="1" t="s">
        <v>500</v>
      </c>
      <c r="D12" s="1">
        <v>30000.0</v>
      </c>
      <c r="F12" s="2" t="str">
        <f t="shared" si="1"/>
        <v>INSERT INTO tblTextBook VALUES (seqTextBook.nextval, 'Git/GitHub 완전정복 (2019)', '제이펍', 30000);</v>
      </c>
    </row>
    <row r="13">
      <c r="A13" s="1" t="s">
        <v>481</v>
      </c>
      <c r="B13" s="1" t="s">
        <v>501</v>
      </c>
      <c r="C13" s="1" t="s">
        <v>487</v>
      </c>
      <c r="D13" s="1">
        <v>22000.0</v>
      </c>
      <c r="F13" s="2" t="str">
        <f t="shared" si="1"/>
        <v>INSERT INTO tblTextBook VALUES (seqTextBook.nextval, 'UML 완전정복 (2021)', '인사이트', 22000);</v>
      </c>
    </row>
    <row r="14">
      <c r="A14" s="1" t="s">
        <v>481</v>
      </c>
      <c r="B14" s="1" t="s">
        <v>502</v>
      </c>
      <c r="C14" s="1" t="s">
        <v>496</v>
      </c>
      <c r="D14" s="1">
        <v>33000.0</v>
      </c>
      <c r="F14" s="2" t="str">
        <f t="shared" si="1"/>
        <v>INSERT INTO tblTextBook VALUES (seqTextBook.nextval, '소프트웨어 공학 완전정복 (2020)', 'BJPublic', 33000);</v>
      </c>
    </row>
    <row r="15">
      <c r="A15" s="1" t="s">
        <v>481</v>
      </c>
      <c r="B15" s="1" t="s">
        <v>503</v>
      </c>
      <c r="C15" s="1" t="s">
        <v>496</v>
      </c>
      <c r="D15" s="1">
        <v>33000.0</v>
      </c>
      <c r="F15" s="2" t="str">
        <f t="shared" si="1"/>
        <v>INSERT INTO tblTextBook VALUES (seqTextBook.nextval, '디자인 패턴 완전정복 (2021)', 'BJPublic', 33000);</v>
      </c>
    </row>
    <row r="16">
      <c r="A16" s="1" t="s">
        <v>481</v>
      </c>
      <c r="B16" s="1" t="s">
        <v>504</v>
      </c>
      <c r="C16" s="1" t="s">
        <v>485</v>
      </c>
      <c r="D16" s="1">
        <v>28000.0</v>
      </c>
      <c r="F16" s="2" t="str">
        <f t="shared" si="1"/>
        <v>INSERT INTO tblTextBook VALUES (seqTextBook.nextval, '팀 프로젝트 완전정복 (2021)', '이지스퍼블리싱', 28000);</v>
      </c>
    </row>
    <row r="17">
      <c r="A17" s="1" t="s">
        <v>481</v>
      </c>
      <c r="B17" s="1" t="s">
        <v>505</v>
      </c>
      <c r="C17" s="1" t="s">
        <v>485</v>
      </c>
      <c r="D17" s="1">
        <v>33000.0</v>
      </c>
      <c r="F17" s="2" t="str">
        <f t="shared" si="1"/>
        <v>INSERT INTO tblTextBook VALUES (seqTextBook.nextval, 'Spring Framework 완전정복 (2021)', '이지스퍼블리싱', 33000);</v>
      </c>
    </row>
    <row r="18">
      <c r="A18" s="1" t="s">
        <v>481</v>
      </c>
      <c r="B18" s="1" t="s">
        <v>506</v>
      </c>
      <c r="C18" s="1" t="s">
        <v>483</v>
      </c>
      <c r="D18" s="1">
        <v>25000.0</v>
      </c>
      <c r="F18" s="2" t="str">
        <f t="shared" si="1"/>
        <v>INSERT INTO tblTextBook VALUES (seqTextBook.nextval, 'Spring Boot 완전정복 (2021)', '한빛미디어', 25000);</v>
      </c>
    </row>
    <row r="19">
      <c r="A19" s="1" t="s">
        <v>481</v>
      </c>
      <c r="B19" s="1" t="s">
        <v>507</v>
      </c>
      <c r="C19" s="1" t="s">
        <v>485</v>
      </c>
      <c r="D19" s="1">
        <v>35000.0</v>
      </c>
      <c r="F19" s="2" t="str">
        <f t="shared" si="1"/>
        <v>INSERT INTO tblTextBook VALUES (seqTextBook.nextval, 'JSP/Servlet 완전정복 (2021)', '이지스퍼블리싱', 35000);</v>
      </c>
    </row>
    <row r="20">
      <c r="A20" s="1" t="s">
        <v>481</v>
      </c>
      <c r="B20" s="1" t="s">
        <v>508</v>
      </c>
      <c r="C20" s="1" t="s">
        <v>487</v>
      </c>
      <c r="D20" s="1">
        <v>35000.0</v>
      </c>
      <c r="F20" s="2" t="str">
        <f t="shared" si="1"/>
        <v>INSERT INTO tblTextBook VALUES (seqTextBook.nextval, 'Thymeleaf 완전정복 (2023)', '인사이트', 35000);</v>
      </c>
    </row>
    <row r="21">
      <c r="A21" s="1" t="s">
        <v>481</v>
      </c>
      <c r="B21" s="1" t="s">
        <v>509</v>
      </c>
      <c r="C21" s="1" t="s">
        <v>510</v>
      </c>
      <c r="D21" s="1">
        <v>33000.0</v>
      </c>
      <c r="F21" s="2" t="str">
        <f t="shared" si="1"/>
        <v>INSERT INTO tblTextBook VALUES (seqTextBook.nextval, 'MVC 아키텍처 완전정복 (2020)', '프리렉', 33000);</v>
      </c>
    </row>
    <row r="22">
      <c r="A22" s="1" t="s">
        <v>481</v>
      </c>
      <c r="B22" s="1" t="s">
        <v>511</v>
      </c>
      <c r="C22" s="1" t="s">
        <v>490</v>
      </c>
      <c r="D22" s="1">
        <v>28000.0</v>
      </c>
      <c r="F22" s="2" t="str">
        <f t="shared" si="1"/>
        <v>INSERT INTO tblTextBook VALUES (seqTextBook.nextval, 'REST API 설계 완전정복 (2024)', '에이콘', 28000);</v>
      </c>
    </row>
    <row r="23">
      <c r="A23" s="1" t="s">
        <v>481</v>
      </c>
      <c r="B23" s="1" t="s">
        <v>512</v>
      </c>
      <c r="C23" s="1" t="s">
        <v>496</v>
      </c>
      <c r="D23" s="1">
        <v>30000.0</v>
      </c>
      <c r="F23" s="2" t="str">
        <f t="shared" si="1"/>
        <v>INSERT INTO tblTextBook VALUES (seqTextBook.nextval, 'Frontend 연동 완전정복 (2024)', 'BJPublic', 30000);</v>
      </c>
    </row>
    <row r="24">
      <c r="A24" s="1" t="s">
        <v>481</v>
      </c>
      <c r="B24" s="1" t="s">
        <v>513</v>
      </c>
      <c r="C24" s="1" t="s">
        <v>514</v>
      </c>
      <c r="D24" s="1">
        <v>22000.0</v>
      </c>
      <c r="F24" s="2" t="str">
        <f t="shared" si="1"/>
        <v>INSERT INTO tblTextBook VALUES (seqTextBook.nextval, 'MyBatis 완전정복 (2023)', '위키북스', 22000);</v>
      </c>
    </row>
    <row r="25">
      <c r="A25" s="1" t="s">
        <v>481</v>
      </c>
      <c r="B25" s="1" t="s">
        <v>515</v>
      </c>
      <c r="C25" s="1" t="s">
        <v>510</v>
      </c>
      <c r="D25" s="1">
        <v>28000.0</v>
      </c>
      <c r="F25" s="2" t="str">
        <f t="shared" si="1"/>
        <v>INSERT INTO tblTextBook VALUES (seqTextBook.nextval, 'Linux 기본 완전정복 (2019)', '프리렉', 28000);</v>
      </c>
    </row>
    <row r="26">
      <c r="A26" s="1" t="s">
        <v>481</v>
      </c>
      <c r="B26" s="1" t="s">
        <v>516</v>
      </c>
      <c r="C26" s="1" t="s">
        <v>493</v>
      </c>
      <c r="D26" s="1">
        <v>35000.0</v>
      </c>
      <c r="F26" s="2" t="str">
        <f t="shared" si="1"/>
        <v>INSERT INTO tblTextBook VALUES (seqTextBook.nextval, '프로젝트 발표 완전정복 (2021)', '길벗', 35000);</v>
      </c>
    </row>
    <row r="27">
      <c r="A27" s="1" t="s">
        <v>481</v>
      </c>
      <c r="B27" s="1" t="s">
        <v>517</v>
      </c>
      <c r="C27" s="1" t="s">
        <v>514</v>
      </c>
      <c r="D27" s="1">
        <v>33000.0</v>
      </c>
      <c r="F27" s="2" t="str">
        <f t="shared" si="1"/>
        <v>INSERT INTO tblTextBook VALUES (seqTextBook.nextval, 'Python 완전정복 (2022)', '위키북스', 33000);</v>
      </c>
    </row>
    <row r="28">
      <c r="A28" s="1" t="s">
        <v>481</v>
      </c>
      <c r="B28" s="1" t="s">
        <v>518</v>
      </c>
      <c r="C28" s="1" t="s">
        <v>496</v>
      </c>
      <c r="D28" s="1">
        <v>28000.0</v>
      </c>
      <c r="F28" s="2" t="str">
        <f t="shared" si="1"/>
        <v>INSERT INTO tblTextBook VALUES (seqTextBook.nextval, 'Pandas 완전정복 (2021)', 'BJPublic', 28000);</v>
      </c>
    </row>
    <row r="29">
      <c r="A29" s="1" t="s">
        <v>481</v>
      </c>
      <c r="B29" s="1" t="s">
        <v>519</v>
      </c>
      <c r="C29" s="1" t="s">
        <v>490</v>
      </c>
      <c r="D29" s="1">
        <v>22000.0</v>
      </c>
      <c r="F29" s="2" t="str">
        <f t="shared" si="1"/>
        <v>INSERT INTO tblTextBook VALUES (seqTextBook.nextval, 'Numpy 완전정복 (2024)', '에이콘', 22000);</v>
      </c>
    </row>
    <row r="30">
      <c r="A30" s="1" t="s">
        <v>481</v>
      </c>
      <c r="B30" s="1" t="s">
        <v>520</v>
      </c>
      <c r="C30" s="1" t="s">
        <v>485</v>
      </c>
      <c r="D30" s="1">
        <v>28000.0</v>
      </c>
      <c r="F30" s="2" t="str">
        <f t="shared" si="1"/>
        <v>INSERT INTO tblTextBook VALUES (seqTextBook.nextval, '데이터 시각화 완전정복 (2023)', '이지스퍼블리싱', 28000);</v>
      </c>
    </row>
    <row r="31">
      <c r="A31" s="1" t="s">
        <v>481</v>
      </c>
      <c r="B31" s="1" t="s">
        <v>521</v>
      </c>
      <c r="C31" s="1" t="s">
        <v>487</v>
      </c>
      <c r="D31" s="1">
        <v>25000.0</v>
      </c>
      <c r="F31" s="2" t="str">
        <f t="shared" si="1"/>
        <v>INSERT INTO tblTextBook VALUES (seqTextBook.nextval, '머신러닝 개요 완전정복 (2019)', '인사이트', 25000);</v>
      </c>
    </row>
    <row r="32">
      <c r="A32" s="1" t="s">
        <v>481</v>
      </c>
      <c r="B32" s="1" t="s">
        <v>522</v>
      </c>
      <c r="C32" s="1" t="s">
        <v>510</v>
      </c>
      <c r="D32" s="1">
        <v>25000.0</v>
      </c>
      <c r="F32" s="2" t="str">
        <f t="shared" si="1"/>
        <v>INSERT INTO tblTextBook VALUES (seqTextBook.nextval, '딥러닝 기초 완전정복 (2022)', '프리렉', 25000);</v>
      </c>
    </row>
    <row r="33">
      <c r="A33" s="1" t="s">
        <v>481</v>
      </c>
      <c r="B33" s="1" t="s">
        <v>523</v>
      </c>
      <c r="C33" s="1" t="s">
        <v>514</v>
      </c>
      <c r="D33" s="1">
        <v>28000.0</v>
      </c>
      <c r="F33" s="2" t="str">
        <f t="shared" si="1"/>
        <v>INSERT INTO tblTextBook VALUES (seqTextBook.nextval, 'TensorFlow 완전정복 (2019)', '위키북스', 28000);</v>
      </c>
    </row>
    <row r="34">
      <c r="A34" s="1" t="s">
        <v>481</v>
      </c>
      <c r="B34" s="1" t="s">
        <v>524</v>
      </c>
      <c r="C34" s="1" t="s">
        <v>500</v>
      </c>
      <c r="D34" s="1">
        <v>35000.0</v>
      </c>
      <c r="F34" s="2" t="str">
        <f t="shared" si="1"/>
        <v>INSERT INTO tblTextBook VALUES (seqTextBook.nextval, '자연어 처리 완전정복 (2024)', '제이펍', 35000);</v>
      </c>
    </row>
    <row r="35">
      <c r="A35" s="1" t="s">
        <v>481</v>
      </c>
      <c r="B35" s="1" t="s">
        <v>525</v>
      </c>
      <c r="C35" s="1" t="s">
        <v>510</v>
      </c>
      <c r="D35" s="1">
        <v>35000.0</v>
      </c>
      <c r="F35" s="2" t="str">
        <f t="shared" si="1"/>
        <v>INSERT INTO tblTextBook VALUES (seqTextBook.nextval, 'AI 윤리 완전정복 (2023)', '프리렉', 35000);</v>
      </c>
    </row>
    <row r="36">
      <c r="A36" s="1" t="s">
        <v>481</v>
      </c>
      <c r="B36" s="1" t="s">
        <v>526</v>
      </c>
      <c r="C36" s="1" t="s">
        <v>485</v>
      </c>
      <c r="D36" s="1">
        <v>33000.0</v>
      </c>
      <c r="F36" s="2" t="str">
        <f t="shared" si="1"/>
        <v>INSERT INTO tblTextBook VALUES (seqTextBook.nextval, 'Hadoop 완전정복 (2020)', '이지스퍼블리싱', 33000);</v>
      </c>
    </row>
    <row r="37">
      <c r="A37" s="1" t="s">
        <v>481</v>
      </c>
      <c r="B37" s="1" t="s">
        <v>527</v>
      </c>
      <c r="C37" s="1" t="s">
        <v>483</v>
      </c>
      <c r="D37" s="1">
        <v>30000.0</v>
      </c>
      <c r="F37" s="2" t="str">
        <f t="shared" si="1"/>
        <v>INSERT INTO tblTextBook VALUES (seqTextBook.nextval, 'Spark 완전정복 (2021)', '한빛미디어', 30000);</v>
      </c>
    </row>
    <row r="38">
      <c r="A38" s="1" t="s">
        <v>481</v>
      </c>
      <c r="B38" s="1" t="s">
        <v>528</v>
      </c>
      <c r="C38" s="1" t="s">
        <v>510</v>
      </c>
      <c r="D38" s="1">
        <v>33000.0</v>
      </c>
      <c r="F38" s="2" t="str">
        <f t="shared" si="1"/>
        <v>INSERT INTO tblTextBook VALUES (seqTextBook.nextval, 'Tableau 완전정복 (2022)', '프리렉', 33000);</v>
      </c>
    </row>
    <row r="39">
      <c r="A39" s="1" t="s">
        <v>481</v>
      </c>
      <c r="B39" s="1" t="s">
        <v>529</v>
      </c>
      <c r="C39" s="1" t="s">
        <v>496</v>
      </c>
      <c r="D39" s="1">
        <v>25000.0</v>
      </c>
      <c r="F39" s="2" t="str">
        <f t="shared" si="1"/>
        <v>INSERT INTO tblTextBook VALUES (seqTextBook.nextval, '데이터 분석 실무 완전정복 (2024)', 'BJPublic', 25000);</v>
      </c>
    </row>
    <row r="40">
      <c r="A40" s="1" t="s">
        <v>481</v>
      </c>
      <c r="B40" s="1" t="s">
        <v>530</v>
      </c>
      <c r="C40" s="1" t="s">
        <v>483</v>
      </c>
      <c r="D40" s="1">
        <v>33000.0</v>
      </c>
      <c r="F40" s="2" t="str">
        <f t="shared" si="1"/>
        <v>INSERT INTO tblTextBook VALUES (seqTextBook.nextval, 'R 프로그래밍 완전정복 (2019)', '한빛미디어', 33000);</v>
      </c>
    </row>
    <row r="41">
      <c r="A41" s="1" t="s">
        <v>481</v>
      </c>
      <c r="B41" s="1" t="s">
        <v>531</v>
      </c>
      <c r="C41" s="1" t="s">
        <v>485</v>
      </c>
      <c r="D41" s="1">
        <v>22000.0</v>
      </c>
      <c r="F41" s="2" t="str">
        <f t="shared" si="1"/>
        <v>INSERT INTO tblTextBook VALUES (seqTextBook.nextval, '통계 기초 완전정복 (2024)', '이지스퍼블리싱', 22000);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25"/>
    <col customWidth="1" min="7" max="7" width="138.63"/>
    <col customWidth="1" min="9" max="9" width="46.13"/>
  </cols>
  <sheetData>
    <row r="1">
      <c r="A1" s="1" t="s">
        <v>532</v>
      </c>
      <c r="B1" s="1" t="s">
        <v>533</v>
      </c>
      <c r="C1" s="1" t="s">
        <v>534</v>
      </c>
      <c r="D1" s="1" t="s">
        <v>535</v>
      </c>
      <c r="E1" s="1" t="s">
        <v>536</v>
      </c>
      <c r="F1" s="1" t="s">
        <v>537</v>
      </c>
      <c r="G1" s="1" t="s">
        <v>538</v>
      </c>
      <c r="I1" s="1" t="s">
        <v>307</v>
      </c>
      <c r="J1" s="48" t="s">
        <v>539</v>
      </c>
    </row>
    <row r="2">
      <c r="A2" s="1" t="s">
        <v>540</v>
      </c>
      <c r="B2" s="1">
        <v>1.0</v>
      </c>
      <c r="C2" s="1">
        <v>1.0</v>
      </c>
      <c r="D2" s="1" t="s">
        <v>541</v>
      </c>
      <c r="E2" s="44">
        <v>45870.0</v>
      </c>
      <c r="G2" s="1" t="str">
        <f t="shared" ref="G2:G7" si="1">"INSERT INTO tblOpenCourse VALUES (" &amp; A2 &amp; ", " &amp; B2 &amp; ", " &amp; C2 &amp; ", '" &amp; D2 &amp; "', TO_DATE('" &amp; TEXT(E2,"yyyy-mm-dd") &amp; "', 'YYYY-MM-DD') ,NULL);"</f>
        <v>INSERT INTO tblOpenCourse VALUES (seqopencourse.nextval, 1, 1, 'Java &amp; Spring 기반 백엔드 개발자 양성과정', TO_DATE('2025-08-01', 'YYYY-MM-DD') ,NULL);</v>
      </c>
      <c r="H2" s="1" t="s">
        <v>542</v>
      </c>
      <c r="I2" s="1" t="s">
        <v>543</v>
      </c>
      <c r="J2" s="48" t="s">
        <v>544</v>
      </c>
    </row>
    <row r="3">
      <c r="A3" s="1" t="s">
        <v>540</v>
      </c>
      <c r="B3" s="1">
        <v>2.0</v>
      </c>
      <c r="C3" s="1">
        <v>2.0</v>
      </c>
      <c r="D3" s="1" t="s">
        <v>541</v>
      </c>
      <c r="E3" s="44">
        <v>45870.0</v>
      </c>
      <c r="G3" s="1" t="str">
        <f t="shared" si="1"/>
        <v>INSERT INTO tblOpenCourse VALUES (seqopencourse.nextval, 2, 2, 'Java &amp; Spring 기반 백엔드 개발자 양성과정', TO_DATE('2025-08-01', 'YYYY-MM-DD') ,NULL);</v>
      </c>
      <c r="H3" s="1" t="s">
        <v>542</v>
      </c>
      <c r="I3" s="1" t="s">
        <v>543</v>
      </c>
      <c r="J3" s="48" t="s">
        <v>545</v>
      </c>
    </row>
    <row r="4">
      <c r="A4" s="1" t="s">
        <v>540</v>
      </c>
      <c r="B4" s="1">
        <v>3.0</v>
      </c>
      <c r="C4" s="1">
        <v>3.0</v>
      </c>
      <c r="D4" s="1" t="s">
        <v>546</v>
      </c>
      <c r="E4" s="44">
        <v>45870.0</v>
      </c>
      <c r="G4" s="1" t="str">
        <f t="shared" si="1"/>
        <v>INSERT INTO tblOpenCourse VALUES (seqopencourse.nextval, 3, 3, 'Python 기반 AI 데이터 분석 전문가 과정', TO_DATE('2025-08-01', 'YYYY-MM-DD') ,NULL);</v>
      </c>
      <c r="H4" s="1" t="s">
        <v>547</v>
      </c>
      <c r="I4" s="1" t="s">
        <v>548</v>
      </c>
      <c r="J4" s="48" t="s">
        <v>549</v>
      </c>
    </row>
    <row r="5">
      <c r="A5" s="1" t="s">
        <v>540</v>
      </c>
      <c r="B5" s="1">
        <v>4.0</v>
      </c>
      <c r="C5" s="1">
        <v>4.0</v>
      </c>
      <c r="D5" s="1" t="s">
        <v>550</v>
      </c>
      <c r="E5" s="44">
        <v>45870.0</v>
      </c>
      <c r="G5" s="1" t="str">
        <f t="shared" si="1"/>
        <v>INSERT INTO tblOpenCourse VALUES (seqopencourse.nextval, 4, 4, 'React &amp; Node.js 풀스택 웹개발 마스터 과정', TO_DATE('2025-08-01', 'YYYY-MM-DD') ,NULL);</v>
      </c>
      <c r="H5" s="1" t="s">
        <v>547</v>
      </c>
      <c r="I5" s="1" t="s">
        <v>551</v>
      </c>
      <c r="J5" s="48" t="s">
        <v>552</v>
      </c>
    </row>
    <row r="6">
      <c r="A6" s="1" t="s">
        <v>540</v>
      </c>
      <c r="B6" s="1">
        <v>5.0</v>
      </c>
      <c r="C6" s="1">
        <v>5.0</v>
      </c>
      <c r="D6" s="1" t="s">
        <v>553</v>
      </c>
      <c r="E6" s="44">
        <v>45870.0</v>
      </c>
      <c r="G6" s="1" t="str">
        <f t="shared" si="1"/>
        <v>INSERT INTO tblOpenCourse VALUES (seqopencourse.nextval, 5, 5, 'Docker &amp; AWS 클라우드 DevOps 엔지니어 과정', TO_DATE('2025-08-01', 'YYYY-MM-DD') ,NULL);</v>
      </c>
      <c r="H6" s="1" t="s">
        <v>554</v>
      </c>
      <c r="I6" s="1" t="s">
        <v>555</v>
      </c>
      <c r="J6" s="48" t="s">
        <v>556</v>
      </c>
    </row>
    <row r="7">
      <c r="A7" s="1" t="s">
        <v>540</v>
      </c>
      <c r="B7" s="1">
        <v>6.0</v>
      </c>
      <c r="C7" s="1">
        <v>6.0</v>
      </c>
      <c r="D7" s="1" t="s">
        <v>553</v>
      </c>
      <c r="E7" s="44">
        <v>45870.0</v>
      </c>
      <c r="G7" s="1" t="str">
        <f t="shared" si="1"/>
        <v>INSERT INTO tblOpenCourse VALUES (seqopencourse.nextval, 6, 6, 'Docker &amp; AWS 클라우드 DevOps 엔지니어 과정', TO_DATE('2025-08-01', 'YYYY-MM-DD') ,NULL);</v>
      </c>
      <c r="H7" s="1" t="s">
        <v>554</v>
      </c>
      <c r="I7" s="1" t="s">
        <v>555</v>
      </c>
      <c r="J7" s="48" t="s">
        <v>557</v>
      </c>
    </row>
    <row r="8">
      <c r="J8" s="48" t="s">
        <v>558</v>
      </c>
    </row>
    <row r="9">
      <c r="J9" s="48" t="s">
        <v>559</v>
      </c>
    </row>
    <row r="10">
      <c r="J10" s="49"/>
    </row>
    <row r="15">
      <c r="A15" s="1">
        <v>1.0</v>
      </c>
      <c r="D15" s="50"/>
      <c r="F15" s="51"/>
    </row>
    <row r="16">
      <c r="D16" s="50"/>
      <c r="F16" s="51"/>
    </row>
    <row r="17">
      <c r="D17" s="50" t="s">
        <v>560</v>
      </c>
      <c r="F17" s="51"/>
    </row>
    <row r="18">
      <c r="D18" s="50" t="s">
        <v>561</v>
      </c>
      <c r="F18" s="1" t="s">
        <v>562</v>
      </c>
      <c r="G18" s="2" t="str">
        <f>"INSERT INTO tblOpenCourse (openCourseStartDate) VALUES (" &amp; A2 &amp; ", " &amp; B2 &amp; ", " &amp; C2 &amp; ", '" &amp; D2 &amp; "');"</f>
        <v>INSERT INTO tblOpenCourse (openCourseStartDate) VALUES (seqopencourse.nextval, 1, 1, 'Java &amp; Spring 기반 백엔드 개발자 양성과정');</v>
      </c>
    </row>
    <row r="19">
      <c r="D19" s="50"/>
      <c r="F19" s="51"/>
    </row>
    <row r="20">
      <c r="D20" s="50" t="s">
        <v>563</v>
      </c>
      <c r="F20" s="51"/>
    </row>
    <row r="21">
      <c r="D21" s="50" t="s">
        <v>564</v>
      </c>
      <c r="G21" s="2" t="str">
        <f> "UPDATE tblOpenCourse SET openCourseStartDate = TO_DATE('" &amp; TEXT(E2,"yyyy-mm-dd") &amp; "', 'YYYY-MM-DD') WHERE openCourseNum = " &amp; 1 &amp; ";"</f>
        <v>UPDATE tblOpenCourse SET openCourseStartDate = TO_DATE('2025-08-01', 'YYYY-MM-DD') WHERE openCourseNum = 1;</v>
      </c>
    </row>
    <row r="22">
      <c r="D22" s="50"/>
      <c r="G22" s="2" t="str">
        <f> "UPDATE tblOpenCourse SET openCourseStartDate = TO_DATE('" &amp; TEXT(E3,"yyyy-mm-dd") &amp; "', 'YYYY-MM-DD') WHERE openCourseNum = " &amp; 2 &amp; ";"</f>
        <v>UPDATE tblOpenCourse SET openCourseStartDate = TO_DATE('2025-08-01', 'YYYY-MM-DD') WHERE openCourseNum = 2;</v>
      </c>
    </row>
    <row r="23">
      <c r="D23" s="50" t="s">
        <v>565</v>
      </c>
      <c r="G23" s="2" t="str">
        <f> "UPDATE tblOpenCourse SET openCourseStartDate = TO_DATE('" &amp; TEXT(E4,"yyyy-mm-dd") &amp; "', 'YYYY-MM-DD') WHERE openCourseNum = " &amp; 3 &amp; ";"</f>
        <v>UPDATE tblOpenCourse SET openCourseStartDate = TO_DATE('2025-08-01', 'YYYY-MM-DD') WHERE openCourseNum = 3;</v>
      </c>
    </row>
    <row r="24">
      <c r="D24" s="50" t="s">
        <v>566</v>
      </c>
      <c r="G24" s="2" t="str">
        <f> "UPDATE tblOpenCourse SET openCourseStartDate = TO_DATE('" &amp; TEXT(E5,"yyyy-mm-dd") &amp; "', 'YYYY-MM-DD') WHERE openCourseNum = " &amp; 4 &amp; ";"</f>
        <v>UPDATE tblOpenCourse SET openCourseStartDate = TO_DATE('2025-08-01', 'YYYY-MM-DD') WHERE openCourseNum = 4;</v>
      </c>
    </row>
    <row r="25">
      <c r="D25" s="50"/>
      <c r="G25" s="2" t="str">
        <f> "UPDATE tblOpenCourse SET openCourseStartDate = TO_DATE('" &amp; TEXT(E6,"yyyy-mm-dd") &amp; "', 'YYYY-MM-DD') WHERE openCourseNum = " &amp; 5 &amp; ";"</f>
        <v>UPDATE tblOpenCourse SET openCourseStartDate = TO_DATE('2025-08-01', 'YYYY-MM-DD') WHERE openCourseNum = 5;</v>
      </c>
    </row>
    <row r="26">
      <c r="D26" s="50" t="s">
        <v>567</v>
      </c>
      <c r="G26" s="2" t="str">
        <f> "UPDATE tblOpenCourse SET openCourseStartDate = TO_DATE('" &amp; TEXT(E7,"yyyy-mm-dd") &amp; "', 'YYYY-MM-DD') WHERE openCourseNum = " &amp; 6 &amp; ";"</f>
        <v>UPDATE tblOpenCourse SET openCourseStartDate = TO_DATE('2025-08-01', 'YYYY-MM-DD') WHERE openCourseNum = 6;</v>
      </c>
    </row>
    <row r="27">
      <c r="D27" s="50" t="s">
        <v>568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8" max="8" width="188.75"/>
  </cols>
  <sheetData>
    <row r="1">
      <c r="A1" s="1" t="s">
        <v>569</v>
      </c>
      <c r="B1" s="1" t="s">
        <v>570</v>
      </c>
      <c r="C1" s="1" t="s">
        <v>571</v>
      </c>
      <c r="D1" s="1" t="s">
        <v>307</v>
      </c>
      <c r="E1" s="1" t="s">
        <v>572</v>
      </c>
      <c r="F1" s="1" t="s">
        <v>573</v>
      </c>
      <c r="G1" s="1" t="s">
        <v>574</v>
      </c>
    </row>
    <row r="2">
      <c r="A2" s="1" t="s">
        <v>575</v>
      </c>
      <c r="B2" s="1">
        <v>1.0</v>
      </c>
      <c r="C2" s="2">
        <f t="shared" ref="C2:C61" si="1">D2</f>
        <v>1</v>
      </c>
      <c r="D2" s="1">
        <v>1.0</v>
      </c>
      <c r="E2" s="1">
        <v>1.0</v>
      </c>
      <c r="F2" s="44"/>
      <c r="H2" s="2" t="str">
        <f t="shared" ref="H2:H61" si="2"> "INSERT INTO tblCourseSubjectMapping VALUES (seqCourseSubjectMapping.NEXTVAL, " &amp; B2 &amp; ", " &amp; C2 &amp; ", " &amp; D2 &amp; ", " &amp; E2 &amp; ", NULL, NULL);"</f>
        <v>INSERT INTO tblCourseSubjectMapping VALUES (seqCourseSubjectMapping.NEXTVAL, 1, 1, 1, 1, NULL, NULL);</v>
      </c>
      <c r="I2" s="32" t="s">
        <v>560</v>
      </c>
    </row>
    <row r="3">
      <c r="A3" s="1" t="s">
        <v>575</v>
      </c>
      <c r="B3" s="1">
        <v>1.0</v>
      </c>
      <c r="C3" s="2">
        <f t="shared" si="1"/>
        <v>2</v>
      </c>
      <c r="D3" s="1">
        <v>2.0</v>
      </c>
      <c r="E3" s="1">
        <v>2.0</v>
      </c>
      <c r="H3" s="2" t="str">
        <f t="shared" si="2"/>
        <v>INSERT INTO tblCourseSubjectMapping VALUES (seqCourseSubjectMapping.NEXTVAL, 1, 2, 2, 2, NULL, NULL);</v>
      </c>
      <c r="I3" s="32" t="s">
        <v>561</v>
      </c>
    </row>
    <row r="4">
      <c r="A4" s="1" t="s">
        <v>575</v>
      </c>
      <c r="B4" s="1">
        <v>1.0</v>
      </c>
      <c r="C4" s="2">
        <f t="shared" si="1"/>
        <v>6</v>
      </c>
      <c r="D4" s="1">
        <v>6.0</v>
      </c>
      <c r="E4" s="1">
        <v>3.0</v>
      </c>
      <c r="H4" s="2" t="str">
        <f t="shared" si="2"/>
        <v>INSERT INTO tblCourseSubjectMapping VALUES (seqCourseSubjectMapping.NEXTVAL, 1, 6, 6, 3, NULL, NULL);</v>
      </c>
      <c r="I4" s="32"/>
    </row>
    <row r="5">
      <c r="A5" s="1" t="s">
        <v>575</v>
      </c>
      <c r="B5" s="1">
        <v>1.0</v>
      </c>
      <c r="C5" s="2">
        <f t="shared" si="1"/>
        <v>16</v>
      </c>
      <c r="D5" s="1">
        <v>16.0</v>
      </c>
      <c r="E5" s="1">
        <v>4.0</v>
      </c>
      <c r="H5" s="2" t="str">
        <f t="shared" si="2"/>
        <v>INSERT INTO tblCourseSubjectMapping VALUES (seqCourseSubjectMapping.NEXTVAL, 1, 16, 16, 4, NULL, NULL);</v>
      </c>
      <c r="I5" s="32" t="s">
        <v>563</v>
      </c>
    </row>
    <row r="6">
      <c r="A6" s="1" t="s">
        <v>575</v>
      </c>
      <c r="B6" s="1">
        <v>1.0</v>
      </c>
      <c r="C6" s="2">
        <f t="shared" si="1"/>
        <v>12</v>
      </c>
      <c r="D6" s="1">
        <v>12.0</v>
      </c>
      <c r="E6" s="1">
        <v>5.0</v>
      </c>
      <c r="H6" s="2" t="str">
        <f t="shared" si="2"/>
        <v>INSERT INTO tblCourseSubjectMapping VALUES (seqCourseSubjectMapping.NEXTVAL, 1, 12, 12, 5, NULL, NULL);</v>
      </c>
      <c r="I6" s="32" t="s">
        <v>564</v>
      </c>
    </row>
    <row r="7">
      <c r="A7" s="1" t="s">
        <v>575</v>
      </c>
      <c r="B7" s="1">
        <v>1.0</v>
      </c>
      <c r="C7" s="2">
        <f t="shared" si="1"/>
        <v>3</v>
      </c>
      <c r="D7" s="1">
        <v>3.0</v>
      </c>
      <c r="E7" s="1">
        <v>6.0</v>
      </c>
      <c r="H7" s="2" t="str">
        <f t="shared" si="2"/>
        <v>INSERT INTO tblCourseSubjectMapping VALUES (seqCourseSubjectMapping.NEXTVAL, 1, 3, 3, 6, NULL, NULL);</v>
      </c>
      <c r="I7" s="32"/>
    </row>
    <row r="8">
      <c r="A8" s="1" t="s">
        <v>575</v>
      </c>
      <c r="B8" s="1">
        <v>1.0</v>
      </c>
      <c r="C8" s="2">
        <f t="shared" si="1"/>
        <v>4</v>
      </c>
      <c r="D8" s="1">
        <v>4.0</v>
      </c>
      <c r="E8" s="1">
        <v>7.0</v>
      </c>
      <c r="H8" s="2" t="str">
        <f t="shared" si="2"/>
        <v>INSERT INTO tblCourseSubjectMapping VALUES (seqCourseSubjectMapping.NEXTVAL, 1, 4, 4, 7, NULL, NULL);</v>
      </c>
      <c r="I8" s="32" t="s">
        <v>565</v>
      </c>
    </row>
    <row r="9">
      <c r="A9" s="1" t="s">
        <v>575</v>
      </c>
      <c r="B9" s="1">
        <v>1.0</v>
      </c>
      <c r="C9" s="2">
        <f t="shared" si="1"/>
        <v>9</v>
      </c>
      <c r="D9" s="1">
        <v>9.0</v>
      </c>
      <c r="E9" s="1">
        <v>8.0</v>
      </c>
      <c r="H9" s="2" t="str">
        <f t="shared" si="2"/>
        <v>INSERT INTO tblCourseSubjectMapping VALUES (seqCourseSubjectMapping.NEXTVAL, 1, 9, 9, 8, NULL, NULL);</v>
      </c>
      <c r="I9" s="32" t="s">
        <v>566</v>
      </c>
    </row>
    <row r="10">
      <c r="A10" s="1" t="s">
        <v>575</v>
      </c>
      <c r="B10" s="1">
        <v>1.0</v>
      </c>
      <c r="C10" s="2">
        <f t="shared" si="1"/>
        <v>19</v>
      </c>
      <c r="D10" s="1">
        <v>19.0</v>
      </c>
      <c r="E10" s="1">
        <v>9.0</v>
      </c>
      <c r="H10" s="2" t="str">
        <f t="shared" si="2"/>
        <v>INSERT INTO tblCourseSubjectMapping VALUES (seqCourseSubjectMapping.NEXTVAL, 1, 19, 19, 9, NULL, NULL);</v>
      </c>
      <c r="I10" s="32"/>
    </row>
    <row r="11">
      <c r="A11" s="1" t="s">
        <v>575</v>
      </c>
      <c r="B11" s="1">
        <v>1.0</v>
      </c>
      <c r="C11" s="2">
        <f t="shared" si="1"/>
        <v>5</v>
      </c>
      <c r="D11" s="1">
        <v>5.0</v>
      </c>
      <c r="E11" s="1">
        <v>10.0</v>
      </c>
      <c r="H11" s="2" t="str">
        <f t="shared" si="2"/>
        <v>INSERT INTO tblCourseSubjectMapping VALUES (seqCourseSubjectMapping.NEXTVAL, 1, 5, 5, 10, NULL, NULL);</v>
      </c>
      <c r="I11" s="32" t="s">
        <v>567</v>
      </c>
    </row>
    <row r="12">
      <c r="A12" s="1" t="s">
        <v>575</v>
      </c>
      <c r="B12" s="1">
        <v>2.0</v>
      </c>
      <c r="C12" s="2">
        <f t="shared" si="1"/>
        <v>1</v>
      </c>
      <c r="D12" s="1">
        <v>1.0</v>
      </c>
      <c r="E12" s="1">
        <v>1.0</v>
      </c>
      <c r="F12" s="44"/>
      <c r="H12" s="2" t="str">
        <f t="shared" si="2"/>
        <v>INSERT INTO tblCourseSubjectMapping VALUES (seqCourseSubjectMapping.NEXTVAL, 2, 1, 1, 1, NULL, NULL);</v>
      </c>
      <c r="I12" s="32" t="s">
        <v>568</v>
      </c>
    </row>
    <row r="13">
      <c r="A13" s="1" t="s">
        <v>575</v>
      </c>
      <c r="B13" s="1">
        <v>2.0</v>
      </c>
      <c r="C13" s="2">
        <f t="shared" si="1"/>
        <v>2</v>
      </c>
      <c r="D13" s="1">
        <v>2.0</v>
      </c>
      <c r="E13" s="1">
        <v>2.0</v>
      </c>
      <c r="H13" s="2" t="str">
        <f t="shared" si="2"/>
        <v>INSERT INTO tblCourseSubjectMapping VALUES (seqCourseSubjectMapping.NEXTVAL, 2, 2, 2, 2, NULL, NULL);</v>
      </c>
    </row>
    <row r="14">
      <c r="A14" s="1" t="s">
        <v>575</v>
      </c>
      <c r="B14" s="1">
        <v>2.0</v>
      </c>
      <c r="C14" s="2">
        <f t="shared" si="1"/>
        <v>6</v>
      </c>
      <c r="D14" s="1">
        <v>6.0</v>
      </c>
      <c r="E14" s="1">
        <v>3.0</v>
      </c>
      <c r="H14" s="2" t="str">
        <f t="shared" si="2"/>
        <v>INSERT INTO tblCourseSubjectMapping VALUES (seqCourseSubjectMapping.NEXTVAL, 2, 6, 6, 3, NULL, NULL);</v>
      </c>
    </row>
    <row r="15">
      <c r="A15" s="1" t="s">
        <v>575</v>
      </c>
      <c r="B15" s="1">
        <v>2.0</v>
      </c>
      <c r="C15" s="2">
        <f t="shared" si="1"/>
        <v>16</v>
      </c>
      <c r="D15" s="1">
        <v>16.0</v>
      </c>
      <c r="E15" s="1">
        <v>4.0</v>
      </c>
      <c r="H15" s="2" t="str">
        <f t="shared" si="2"/>
        <v>INSERT INTO tblCourseSubjectMapping VALUES (seqCourseSubjectMapping.NEXTVAL, 2, 16, 16, 4, NULL, NULL);</v>
      </c>
    </row>
    <row r="16">
      <c r="A16" s="1" t="s">
        <v>575</v>
      </c>
      <c r="B16" s="1">
        <v>2.0</v>
      </c>
      <c r="C16" s="2">
        <f t="shared" si="1"/>
        <v>12</v>
      </c>
      <c r="D16" s="1">
        <v>12.0</v>
      </c>
      <c r="E16" s="1">
        <v>5.0</v>
      </c>
      <c r="H16" s="2" t="str">
        <f t="shared" si="2"/>
        <v>INSERT INTO tblCourseSubjectMapping VALUES (seqCourseSubjectMapping.NEXTVAL, 2, 12, 12, 5, NULL, NULL);</v>
      </c>
    </row>
    <row r="17">
      <c r="A17" s="1" t="s">
        <v>575</v>
      </c>
      <c r="B17" s="1">
        <v>2.0</v>
      </c>
      <c r="C17" s="2">
        <f t="shared" si="1"/>
        <v>3</v>
      </c>
      <c r="D17" s="1">
        <v>3.0</v>
      </c>
      <c r="E17" s="1">
        <v>6.0</v>
      </c>
      <c r="H17" s="2" t="str">
        <f t="shared" si="2"/>
        <v>INSERT INTO tblCourseSubjectMapping VALUES (seqCourseSubjectMapping.NEXTVAL, 2, 3, 3, 6, NULL, NULL);</v>
      </c>
    </row>
    <row r="18">
      <c r="A18" s="1" t="s">
        <v>575</v>
      </c>
      <c r="B18" s="1">
        <v>2.0</v>
      </c>
      <c r="C18" s="2">
        <f t="shared" si="1"/>
        <v>4</v>
      </c>
      <c r="D18" s="1">
        <v>4.0</v>
      </c>
      <c r="E18" s="1">
        <v>7.0</v>
      </c>
      <c r="H18" s="2" t="str">
        <f t="shared" si="2"/>
        <v>INSERT INTO tblCourseSubjectMapping VALUES (seqCourseSubjectMapping.NEXTVAL, 2, 4, 4, 7, NULL, NULL);</v>
      </c>
    </row>
    <row r="19">
      <c r="A19" s="1" t="s">
        <v>575</v>
      </c>
      <c r="B19" s="1">
        <v>2.0</v>
      </c>
      <c r="C19" s="2">
        <f t="shared" si="1"/>
        <v>9</v>
      </c>
      <c r="D19" s="1">
        <v>9.0</v>
      </c>
      <c r="E19" s="1">
        <v>8.0</v>
      </c>
      <c r="H19" s="2" t="str">
        <f t="shared" si="2"/>
        <v>INSERT INTO tblCourseSubjectMapping VALUES (seqCourseSubjectMapping.NEXTVAL, 2, 9, 9, 8, NULL, NULL);</v>
      </c>
    </row>
    <row r="20">
      <c r="A20" s="1" t="s">
        <v>575</v>
      </c>
      <c r="B20" s="1">
        <v>2.0</v>
      </c>
      <c r="C20" s="2">
        <f t="shared" si="1"/>
        <v>19</v>
      </c>
      <c r="D20" s="1">
        <v>19.0</v>
      </c>
      <c r="E20" s="1">
        <v>9.0</v>
      </c>
      <c r="H20" s="2" t="str">
        <f t="shared" si="2"/>
        <v>INSERT INTO tblCourseSubjectMapping VALUES (seqCourseSubjectMapping.NEXTVAL, 2, 19, 19, 9, NULL, NULL);</v>
      </c>
    </row>
    <row r="21">
      <c r="A21" s="1" t="s">
        <v>575</v>
      </c>
      <c r="B21" s="1">
        <v>2.0</v>
      </c>
      <c r="C21" s="2">
        <f t="shared" si="1"/>
        <v>5</v>
      </c>
      <c r="D21" s="1">
        <v>5.0</v>
      </c>
      <c r="E21" s="1">
        <v>10.0</v>
      </c>
      <c r="H21" s="2" t="str">
        <f t="shared" si="2"/>
        <v>INSERT INTO tblCourseSubjectMapping VALUES (seqCourseSubjectMapping.NEXTVAL, 2, 5, 5, 10, NULL, NULL);</v>
      </c>
    </row>
    <row r="22">
      <c r="A22" s="1" t="s">
        <v>575</v>
      </c>
      <c r="B22" s="1">
        <v>3.0</v>
      </c>
      <c r="C22" s="2">
        <f t="shared" si="1"/>
        <v>15</v>
      </c>
      <c r="D22" s="1">
        <v>15.0</v>
      </c>
      <c r="E22" s="1">
        <v>1.0</v>
      </c>
      <c r="F22" s="44"/>
      <c r="H22" s="2" t="str">
        <f t="shared" si="2"/>
        <v>INSERT INTO tblCourseSubjectMapping VALUES (seqCourseSubjectMapping.NEXTVAL, 3, 15, 15, 1, NULL, NULL);</v>
      </c>
    </row>
    <row r="23">
      <c r="A23" s="1" t="s">
        <v>575</v>
      </c>
      <c r="B23" s="1">
        <v>3.0</v>
      </c>
      <c r="C23" s="2">
        <f t="shared" si="1"/>
        <v>16</v>
      </c>
      <c r="D23" s="1">
        <v>16.0</v>
      </c>
      <c r="E23" s="1">
        <v>2.0</v>
      </c>
      <c r="H23" s="2" t="str">
        <f t="shared" si="2"/>
        <v>INSERT INTO tblCourseSubjectMapping VALUES (seqCourseSubjectMapping.NEXTVAL, 3, 16, 16, 2, NULL, NULL);</v>
      </c>
    </row>
    <row r="24">
      <c r="A24" s="1" t="s">
        <v>575</v>
      </c>
      <c r="B24" s="1">
        <v>3.0</v>
      </c>
      <c r="C24" s="2">
        <f t="shared" si="1"/>
        <v>10</v>
      </c>
      <c r="D24" s="1">
        <v>10.0</v>
      </c>
      <c r="E24" s="1">
        <v>3.0</v>
      </c>
      <c r="H24" s="2" t="str">
        <f t="shared" si="2"/>
        <v>INSERT INTO tblCourseSubjectMapping VALUES (seqCourseSubjectMapping.NEXTVAL, 3, 10, 10, 3, NULL, NULL);</v>
      </c>
    </row>
    <row r="25">
      <c r="A25" s="1" t="s">
        <v>575</v>
      </c>
      <c r="B25" s="1">
        <v>3.0</v>
      </c>
      <c r="C25" s="2">
        <f t="shared" si="1"/>
        <v>12</v>
      </c>
      <c r="D25" s="1">
        <v>12.0</v>
      </c>
      <c r="E25" s="1">
        <v>4.0</v>
      </c>
      <c r="H25" s="2" t="str">
        <f t="shared" si="2"/>
        <v>INSERT INTO tblCourseSubjectMapping VALUES (seqCourseSubjectMapping.NEXTVAL, 3, 12, 12, 4, NULL, NULL);</v>
      </c>
    </row>
    <row r="26">
      <c r="A26" s="1" t="s">
        <v>575</v>
      </c>
      <c r="B26" s="1">
        <v>3.0</v>
      </c>
      <c r="C26" s="2">
        <f t="shared" si="1"/>
        <v>3</v>
      </c>
      <c r="D26" s="1">
        <v>3.0</v>
      </c>
      <c r="E26" s="1">
        <v>5.0</v>
      </c>
      <c r="H26" s="2" t="str">
        <f t="shared" si="2"/>
        <v>INSERT INTO tblCourseSubjectMapping VALUES (seqCourseSubjectMapping.NEXTVAL, 3, 3, 3, 5, NULL, NULL);</v>
      </c>
    </row>
    <row r="27">
      <c r="A27" s="1" t="s">
        <v>575</v>
      </c>
      <c r="B27" s="1">
        <v>3.0</v>
      </c>
      <c r="C27" s="2">
        <f t="shared" si="1"/>
        <v>4</v>
      </c>
      <c r="D27" s="1">
        <v>4.0</v>
      </c>
      <c r="E27" s="1">
        <v>6.0</v>
      </c>
      <c r="H27" s="2" t="str">
        <f t="shared" si="2"/>
        <v>INSERT INTO tblCourseSubjectMapping VALUES (seqCourseSubjectMapping.NEXTVAL, 3, 4, 4, 6, NULL, NULL);</v>
      </c>
    </row>
    <row r="28">
      <c r="A28" s="1" t="s">
        <v>575</v>
      </c>
      <c r="B28" s="1">
        <v>3.0</v>
      </c>
      <c r="C28" s="2">
        <f t="shared" si="1"/>
        <v>17</v>
      </c>
      <c r="D28" s="1">
        <v>17.0</v>
      </c>
      <c r="E28" s="1">
        <v>7.0</v>
      </c>
      <c r="H28" s="2" t="str">
        <f t="shared" si="2"/>
        <v>INSERT INTO tblCourseSubjectMapping VALUES (seqCourseSubjectMapping.NEXTVAL, 3, 17, 17, 7, NULL, NULL);</v>
      </c>
    </row>
    <row r="29">
      <c r="A29" s="1" t="s">
        <v>575</v>
      </c>
      <c r="B29" s="1">
        <v>3.0</v>
      </c>
      <c r="C29" s="2">
        <f t="shared" si="1"/>
        <v>18</v>
      </c>
      <c r="D29" s="1">
        <v>18.0</v>
      </c>
      <c r="E29" s="1">
        <v>8.0</v>
      </c>
      <c r="H29" s="2" t="str">
        <f t="shared" si="2"/>
        <v>INSERT INTO tblCourseSubjectMapping VALUES (seqCourseSubjectMapping.NEXTVAL, 3, 18, 18, 8, NULL, NULL);</v>
      </c>
    </row>
    <row r="30">
      <c r="A30" s="1" t="s">
        <v>575</v>
      </c>
      <c r="B30" s="1">
        <v>3.0</v>
      </c>
      <c r="C30" s="2">
        <f t="shared" si="1"/>
        <v>5</v>
      </c>
      <c r="D30" s="1">
        <v>5.0</v>
      </c>
      <c r="E30" s="1">
        <v>9.0</v>
      </c>
      <c r="H30" s="2" t="str">
        <f t="shared" si="2"/>
        <v>INSERT INTO tblCourseSubjectMapping VALUES (seqCourseSubjectMapping.NEXTVAL, 3, 5, 5, 9, NULL, NULL);</v>
      </c>
    </row>
    <row r="31">
      <c r="A31" s="1" t="s">
        <v>575</v>
      </c>
      <c r="B31" s="1">
        <v>3.0</v>
      </c>
      <c r="C31" s="2">
        <f t="shared" si="1"/>
        <v>9</v>
      </c>
      <c r="D31" s="1">
        <v>9.0</v>
      </c>
      <c r="E31" s="1">
        <v>10.0</v>
      </c>
      <c r="H31" s="2" t="str">
        <f t="shared" si="2"/>
        <v>INSERT INTO tblCourseSubjectMapping VALUES (seqCourseSubjectMapping.NEXTVAL, 3, 9, 9, 10, NULL, NULL);</v>
      </c>
    </row>
    <row r="32">
      <c r="A32" s="1" t="s">
        <v>575</v>
      </c>
      <c r="B32" s="1">
        <v>4.0</v>
      </c>
      <c r="C32" s="2">
        <f t="shared" si="1"/>
        <v>6</v>
      </c>
      <c r="D32" s="1">
        <v>6.0</v>
      </c>
      <c r="E32" s="1">
        <v>1.0</v>
      </c>
      <c r="F32" s="44"/>
      <c r="H32" s="2" t="str">
        <f t="shared" si="2"/>
        <v>INSERT INTO tblCourseSubjectMapping VALUES (seqCourseSubjectMapping.NEXTVAL, 4, 6, 6, 1, NULL, NULL);</v>
      </c>
    </row>
    <row r="33">
      <c r="A33" s="1" t="s">
        <v>575</v>
      </c>
      <c r="B33" s="1">
        <v>4.0</v>
      </c>
      <c r="C33" s="2">
        <f t="shared" si="1"/>
        <v>8</v>
      </c>
      <c r="D33" s="1">
        <v>8.0</v>
      </c>
      <c r="E33" s="1">
        <v>2.0</v>
      </c>
      <c r="H33" s="2" t="str">
        <f t="shared" si="2"/>
        <v>INSERT INTO tblCourseSubjectMapping VALUES (seqCourseSubjectMapping.NEXTVAL, 4, 8, 8, 2, NULL, NULL);</v>
      </c>
    </row>
    <row r="34">
      <c r="A34" s="1" t="s">
        <v>575</v>
      </c>
      <c r="B34" s="1">
        <v>4.0</v>
      </c>
      <c r="C34" s="2">
        <f t="shared" si="1"/>
        <v>3</v>
      </c>
      <c r="D34" s="1">
        <v>3.0</v>
      </c>
      <c r="E34" s="1">
        <v>3.0</v>
      </c>
      <c r="H34" s="2" t="str">
        <f t="shared" si="2"/>
        <v>INSERT INTO tblCourseSubjectMapping VALUES (seqCourseSubjectMapping.NEXTVAL, 4, 3, 3, 3, NULL, NULL);</v>
      </c>
    </row>
    <row r="35">
      <c r="A35" s="1" t="s">
        <v>575</v>
      </c>
      <c r="B35" s="1">
        <v>4.0</v>
      </c>
      <c r="C35" s="2">
        <f t="shared" si="1"/>
        <v>4</v>
      </c>
      <c r="D35" s="1">
        <v>4.0</v>
      </c>
      <c r="E35" s="1">
        <v>4.0</v>
      </c>
      <c r="H35" s="2" t="str">
        <f t="shared" si="2"/>
        <v>INSERT INTO tblCourseSubjectMapping VALUES (seqCourseSubjectMapping.NEXTVAL, 4, 4, 4, 4, NULL, NULL);</v>
      </c>
    </row>
    <row r="36">
      <c r="A36" s="1" t="s">
        <v>575</v>
      </c>
      <c r="B36" s="1">
        <v>4.0</v>
      </c>
      <c r="C36" s="2">
        <f t="shared" si="1"/>
        <v>1</v>
      </c>
      <c r="D36" s="1">
        <v>1.0</v>
      </c>
      <c r="E36" s="1">
        <v>5.0</v>
      </c>
      <c r="H36" s="2" t="str">
        <f t="shared" si="2"/>
        <v>INSERT INTO tblCourseSubjectMapping VALUES (seqCourseSubjectMapping.NEXTVAL, 4, 1, 1, 5, NULL, NULL);</v>
      </c>
    </row>
    <row r="37">
      <c r="A37" s="1" t="s">
        <v>575</v>
      </c>
      <c r="B37" s="1">
        <v>4.0</v>
      </c>
      <c r="C37" s="2">
        <f t="shared" si="1"/>
        <v>19</v>
      </c>
      <c r="D37" s="1">
        <v>19.0</v>
      </c>
      <c r="E37" s="1">
        <v>6.0</v>
      </c>
      <c r="H37" s="2" t="str">
        <f t="shared" si="2"/>
        <v>INSERT INTO tblCourseSubjectMapping VALUES (seqCourseSubjectMapping.NEXTVAL, 4, 19, 19, 6, NULL, NULL);</v>
      </c>
    </row>
    <row r="38">
      <c r="A38" s="1" t="s">
        <v>575</v>
      </c>
      <c r="B38" s="1">
        <v>4.0</v>
      </c>
      <c r="C38" s="2">
        <f t="shared" si="1"/>
        <v>2</v>
      </c>
      <c r="D38" s="1">
        <v>2.0</v>
      </c>
      <c r="E38" s="1">
        <v>7.0</v>
      </c>
      <c r="H38" s="2" t="str">
        <f t="shared" si="2"/>
        <v>INSERT INTO tblCourseSubjectMapping VALUES (seqCourseSubjectMapping.NEXTVAL, 4, 2, 2, 7, NULL, NULL);</v>
      </c>
    </row>
    <row r="39">
      <c r="A39" s="1" t="s">
        <v>575</v>
      </c>
      <c r="B39" s="1">
        <v>4.0</v>
      </c>
      <c r="C39" s="2">
        <f t="shared" si="1"/>
        <v>5</v>
      </c>
      <c r="D39" s="1">
        <v>5.0</v>
      </c>
      <c r="E39" s="1">
        <v>8.0</v>
      </c>
      <c r="H39" s="2" t="str">
        <f t="shared" si="2"/>
        <v>INSERT INTO tblCourseSubjectMapping VALUES (seqCourseSubjectMapping.NEXTVAL, 4, 5, 5, 8, NULL, NULL);</v>
      </c>
    </row>
    <row r="40">
      <c r="A40" s="1" t="s">
        <v>575</v>
      </c>
      <c r="B40" s="1">
        <v>4.0</v>
      </c>
      <c r="C40" s="2">
        <f t="shared" si="1"/>
        <v>18</v>
      </c>
      <c r="D40" s="1">
        <v>18.0</v>
      </c>
      <c r="E40" s="1">
        <v>9.0</v>
      </c>
      <c r="H40" s="2" t="str">
        <f t="shared" si="2"/>
        <v>INSERT INTO tblCourseSubjectMapping VALUES (seqCourseSubjectMapping.NEXTVAL, 4, 18, 18, 9, NULL, NULL);</v>
      </c>
    </row>
    <row r="41">
      <c r="A41" s="1" t="s">
        <v>575</v>
      </c>
      <c r="B41" s="1">
        <v>4.0</v>
      </c>
      <c r="C41" s="2">
        <f t="shared" si="1"/>
        <v>10</v>
      </c>
      <c r="D41" s="1">
        <v>10.0</v>
      </c>
      <c r="E41" s="1">
        <v>10.0</v>
      </c>
      <c r="H41" s="2" t="str">
        <f t="shared" si="2"/>
        <v>INSERT INTO tblCourseSubjectMapping VALUES (seqCourseSubjectMapping.NEXTVAL, 4, 10, 10, 10, NULL, NULL);</v>
      </c>
    </row>
    <row r="42">
      <c r="A42" s="1" t="s">
        <v>575</v>
      </c>
      <c r="B42" s="1">
        <v>5.0</v>
      </c>
      <c r="C42" s="2">
        <f t="shared" si="1"/>
        <v>7</v>
      </c>
      <c r="D42" s="1">
        <v>7.0</v>
      </c>
      <c r="E42" s="1">
        <v>1.0</v>
      </c>
      <c r="F42" s="44"/>
      <c r="H42" s="2" t="str">
        <f t="shared" si="2"/>
        <v>INSERT INTO tblCourseSubjectMapping VALUES (seqCourseSubjectMapping.NEXTVAL, 5, 7, 7, 1, NULL, NULL);</v>
      </c>
    </row>
    <row r="43">
      <c r="A43" s="1" t="s">
        <v>575</v>
      </c>
      <c r="B43" s="1">
        <v>5.0</v>
      </c>
      <c r="C43" s="2">
        <f t="shared" si="1"/>
        <v>13</v>
      </c>
      <c r="D43" s="1">
        <v>13.0</v>
      </c>
      <c r="E43" s="1">
        <v>2.0</v>
      </c>
      <c r="H43" s="2" t="str">
        <f t="shared" si="2"/>
        <v>INSERT INTO tblCourseSubjectMapping VALUES (seqCourseSubjectMapping.NEXTVAL, 5, 13, 13, 2, NULL, NULL);</v>
      </c>
    </row>
    <row r="44">
      <c r="A44" s="1" t="s">
        <v>575</v>
      </c>
      <c r="B44" s="1">
        <v>5.0</v>
      </c>
      <c r="C44" s="2">
        <f t="shared" si="1"/>
        <v>14</v>
      </c>
      <c r="D44" s="1">
        <v>14.0</v>
      </c>
      <c r="E44" s="1">
        <v>3.0</v>
      </c>
      <c r="H44" s="2" t="str">
        <f t="shared" si="2"/>
        <v>INSERT INTO tblCourseSubjectMapping VALUES (seqCourseSubjectMapping.NEXTVAL, 5, 14, 14, 3, NULL, NULL);</v>
      </c>
    </row>
    <row r="45">
      <c r="A45" s="1" t="s">
        <v>575</v>
      </c>
      <c r="B45" s="1">
        <v>5.0</v>
      </c>
      <c r="C45" s="2">
        <f t="shared" si="1"/>
        <v>20</v>
      </c>
      <c r="D45" s="1">
        <v>20.0</v>
      </c>
      <c r="E45" s="1">
        <v>4.0</v>
      </c>
      <c r="H45" s="2" t="str">
        <f t="shared" si="2"/>
        <v>INSERT INTO tblCourseSubjectMapping VALUES (seqCourseSubjectMapping.NEXTVAL, 5, 20, 20, 4, NULL, NULL);</v>
      </c>
    </row>
    <row r="46">
      <c r="A46" s="1" t="s">
        <v>575</v>
      </c>
      <c r="B46" s="1">
        <v>5.0</v>
      </c>
      <c r="C46" s="2">
        <f t="shared" si="1"/>
        <v>6</v>
      </c>
      <c r="D46" s="1">
        <v>6.0</v>
      </c>
      <c r="E46" s="1">
        <v>5.0</v>
      </c>
      <c r="H46" s="2" t="str">
        <f t="shared" si="2"/>
        <v>INSERT INTO tblCourseSubjectMapping VALUES (seqCourseSubjectMapping.NEXTVAL, 5, 6, 6, 5, NULL, NULL);</v>
      </c>
    </row>
    <row r="47">
      <c r="A47" s="1" t="s">
        <v>575</v>
      </c>
      <c r="B47" s="1">
        <v>5.0</v>
      </c>
      <c r="C47" s="2">
        <f t="shared" si="1"/>
        <v>8</v>
      </c>
      <c r="D47" s="1">
        <v>8.0</v>
      </c>
      <c r="E47" s="1">
        <v>6.0</v>
      </c>
      <c r="H47" s="2" t="str">
        <f t="shared" si="2"/>
        <v>INSERT INTO tblCourseSubjectMapping VALUES (seqCourseSubjectMapping.NEXTVAL, 5, 8, 8, 6, NULL, NULL);</v>
      </c>
    </row>
    <row r="48">
      <c r="A48" s="1" t="s">
        <v>575</v>
      </c>
      <c r="B48" s="1">
        <v>5.0</v>
      </c>
      <c r="C48" s="2">
        <f t="shared" si="1"/>
        <v>1</v>
      </c>
      <c r="D48" s="1">
        <v>1.0</v>
      </c>
      <c r="E48" s="1">
        <v>7.0</v>
      </c>
      <c r="H48" s="2" t="str">
        <f t="shared" si="2"/>
        <v>INSERT INTO tblCourseSubjectMapping VALUES (seqCourseSubjectMapping.NEXTVAL, 5, 1, 1, 7, NULL, NULL);</v>
      </c>
    </row>
    <row r="49">
      <c r="A49" s="1" t="s">
        <v>575</v>
      </c>
      <c r="B49" s="1">
        <v>5.0</v>
      </c>
      <c r="C49" s="2">
        <f t="shared" si="1"/>
        <v>2</v>
      </c>
      <c r="D49" s="1">
        <v>2.0</v>
      </c>
      <c r="E49" s="1">
        <v>8.0</v>
      </c>
      <c r="H49" s="2" t="str">
        <f t="shared" si="2"/>
        <v>INSERT INTO tblCourseSubjectMapping VALUES (seqCourseSubjectMapping.NEXTVAL, 5, 2, 2, 8, NULL, NULL);</v>
      </c>
    </row>
    <row r="50">
      <c r="A50" s="1" t="s">
        <v>575</v>
      </c>
      <c r="B50" s="1">
        <v>5.0</v>
      </c>
      <c r="C50" s="2">
        <f t="shared" si="1"/>
        <v>12</v>
      </c>
      <c r="D50" s="1">
        <v>12.0</v>
      </c>
      <c r="E50" s="1">
        <v>9.0</v>
      </c>
      <c r="H50" s="2" t="str">
        <f t="shared" si="2"/>
        <v>INSERT INTO tblCourseSubjectMapping VALUES (seqCourseSubjectMapping.NEXTVAL, 5, 12, 12, 9, NULL, NULL);</v>
      </c>
    </row>
    <row r="51">
      <c r="A51" s="1" t="s">
        <v>575</v>
      </c>
      <c r="B51" s="1">
        <v>5.0</v>
      </c>
      <c r="C51" s="2">
        <f t="shared" si="1"/>
        <v>3</v>
      </c>
      <c r="D51" s="1">
        <v>3.0</v>
      </c>
      <c r="E51" s="1">
        <v>10.0</v>
      </c>
      <c r="H51" s="2" t="str">
        <f t="shared" si="2"/>
        <v>INSERT INTO tblCourseSubjectMapping VALUES (seqCourseSubjectMapping.NEXTVAL, 5, 3, 3, 10, NULL, NULL);</v>
      </c>
    </row>
    <row r="52">
      <c r="A52" s="1" t="s">
        <v>575</v>
      </c>
      <c r="B52" s="1">
        <v>6.0</v>
      </c>
      <c r="C52" s="2">
        <f t="shared" si="1"/>
        <v>7</v>
      </c>
      <c r="D52" s="1">
        <v>7.0</v>
      </c>
      <c r="E52" s="1">
        <v>1.0</v>
      </c>
      <c r="H52" s="2" t="str">
        <f t="shared" si="2"/>
        <v>INSERT INTO tblCourseSubjectMapping VALUES (seqCourseSubjectMapping.NEXTVAL, 6, 7, 7, 1, NULL, NULL);</v>
      </c>
    </row>
    <row r="53">
      <c r="A53" s="1" t="s">
        <v>575</v>
      </c>
      <c r="B53" s="1">
        <v>6.0</v>
      </c>
      <c r="C53" s="2">
        <f t="shared" si="1"/>
        <v>13</v>
      </c>
      <c r="D53" s="1">
        <v>13.0</v>
      </c>
      <c r="E53" s="1">
        <v>2.0</v>
      </c>
      <c r="H53" s="2" t="str">
        <f t="shared" si="2"/>
        <v>INSERT INTO tblCourseSubjectMapping VALUES (seqCourseSubjectMapping.NEXTVAL, 6, 13, 13, 2, NULL, NULL);</v>
      </c>
    </row>
    <row r="54">
      <c r="A54" s="1" t="s">
        <v>575</v>
      </c>
      <c r="B54" s="1">
        <v>6.0</v>
      </c>
      <c r="C54" s="2">
        <f t="shared" si="1"/>
        <v>14</v>
      </c>
      <c r="D54" s="1">
        <v>14.0</v>
      </c>
      <c r="E54" s="1">
        <v>3.0</v>
      </c>
      <c r="H54" s="2" t="str">
        <f t="shared" si="2"/>
        <v>INSERT INTO tblCourseSubjectMapping VALUES (seqCourseSubjectMapping.NEXTVAL, 6, 14, 14, 3, NULL, NULL);</v>
      </c>
    </row>
    <row r="55">
      <c r="A55" s="1" t="s">
        <v>575</v>
      </c>
      <c r="B55" s="1">
        <v>6.0</v>
      </c>
      <c r="C55" s="2">
        <f t="shared" si="1"/>
        <v>20</v>
      </c>
      <c r="D55" s="1">
        <v>20.0</v>
      </c>
      <c r="E55" s="1">
        <v>4.0</v>
      </c>
      <c r="H55" s="2" t="str">
        <f t="shared" si="2"/>
        <v>INSERT INTO tblCourseSubjectMapping VALUES (seqCourseSubjectMapping.NEXTVAL, 6, 20, 20, 4, NULL, NULL);</v>
      </c>
    </row>
    <row r="56">
      <c r="A56" s="1" t="s">
        <v>575</v>
      </c>
      <c r="B56" s="1">
        <v>6.0</v>
      </c>
      <c r="C56" s="2">
        <f t="shared" si="1"/>
        <v>6</v>
      </c>
      <c r="D56" s="1">
        <v>6.0</v>
      </c>
      <c r="E56" s="1">
        <v>5.0</v>
      </c>
      <c r="H56" s="2" t="str">
        <f t="shared" si="2"/>
        <v>INSERT INTO tblCourseSubjectMapping VALUES (seqCourseSubjectMapping.NEXTVAL, 6, 6, 6, 5, NULL, NULL);</v>
      </c>
    </row>
    <row r="57">
      <c r="A57" s="1" t="s">
        <v>575</v>
      </c>
      <c r="B57" s="1">
        <v>6.0</v>
      </c>
      <c r="C57" s="2">
        <f t="shared" si="1"/>
        <v>8</v>
      </c>
      <c r="D57" s="1">
        <v>8.0</v>
      </c>
      <c r="E57" s="1">
        <v>6.0</v>
      </c>
      <c r="H57" s="2" t="str">
        <f t="shared" si="2"/>
        <v>INSERT INTO tblCourseSubjectMapping VALUES (seqCourseSubjectMapping.NEXTVAL, 6, 8, 8, 6, NULL, NULL);</v>
      </c>
    </row>
    <row r="58">
      <c r="A58" s="1" t="s">
        <v>575</v>
      </c>
      <c r="B58" s="1">
        <v>6.0</v>
      </c>
      <c r="C58" s="2">
        <f t="shared" si="1"/>
        <v>1</v>
      </c>
      <c r="D58" s="1">
        <v>1.0</v>
      </c>
      <c r="E58" s="1">
        <v>7.0</v>
      </c>
      <c r="H58" s="2" t="str">
        <f t="shared" si="2"/>
        <v>INSERT INTO tblCourseSubjectMapping VALUES (seqCourseSubjectMapping.NEXTVAL, 6, 1, 1, 7, NULL, NULL);</v>
      </c>
    </row>
    <row r="59">
      <c r="A59" s="1" t="s">
        <v>575</v>
      </c>
      <c r="B59" s="1">
        <v>6.0</v>
      </c>
      <c r="C59" s="2">
        <f t="shared" si="1"/>
        <v>2</v>
      </c>
      <c r="D59" s="1">
        <v>2.0</v>
      </c>
      <c r="E59" s="1">
        <v>8.0</v>
      </c>
      <c r="H59" s="2" t="str">
        <f t="shared" si="2"/>
        <v>INSERT INTO tblCourseSubjectMapping VALUES (seqCourseSubjectMapping.NEXTVAL, 6, 2, 2, 8, NULL, NULL);</v>
      </c>
    </row>
    <row r="60">
      <c r="A60" s="1" t="s">
        <v>575</v>
      </c>
      <c r="B60" s="1">
        <v>6.0</v>
      </c>
      <c r="C60" s="2">
        <f t="shared" si="1"/>
        <v>12</v>
      </c>
      <c r="D60" s="1">
        <v>12.0</v>
      </c>
      <c r="E60" s="1">
        <v>9.0</v>
      </c>
      <c r="H60" s="2" t="str">
        <f t="shared" si="2"/>
        <v>INSERT INTO tblCourseSubjectMapping VALUES (seqCourseSubjectMapping.NEXTVAL, 6, 12, 12, 9, NULL, NULL);</v>
      </c>
    </row>
    <row r="61">
      <c r="A61" s="1" t="s">
        <v>575</v>
      </c>
      <c r="B61" s="1">
        <v>6.0</v>
      </c>
      <c r="C61" s="2">
        <f t="shared" si="1"/>
        <v>3</v>
      </c>
      <c r="D61" s="1">
        <v>3.0</v>
      </c>
      <c r="E61" s="1">
        <v>10.0</v>
      </c>
      <c r="H61" s="2" t="str">
        <f t="shared" si="2"/>
        <v>INSERT INTO tblCourseSubjectMapping VALUES (seqCourseSubjectMapping.NEXTVAL, 6, 3, 3, 10, NULL, NULL);</v>
      </c>
    </row>
    <row r="62">
      <c r="H62" s="2" t="str">
        <f t="shared" ref="H62:H353" si="3"> "INSERT INTO tblCourseSubjectMapping (courseSubjectMappingNum, openCourseNum, textBookNum, subjectNum, subjectOrder, courseSubjectStartDate, courseSubjectEndDate) VALUES (seqCourseSubjectMapping.NEXTVAL, " &amp; B62 &amp; ", " &amp; C62 &amp; ", " &amp; D62 &amp; ", " &amp; E62 &amp; ", NULL, NULL);"</f>
        <v>INSERT INTO tblCourseSubjectMapping (courseSubjectMappingNum, openCourseNum, textBookNum, subjectNum, subjectOrder, courseSubjectStartDate, courseSubjectEndDate) VALUES (seqCourseSubjectMapping.NEXTVAL, , , , , NULL, NULL);</v>
      </c>
    </row>
    <row r="63">
      <c r="H6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4">
      <c r="H6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5">
      <c r="H6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6">
      <c r="H6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7">
      <c r="H6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8">
      <c r="H6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69">
      <c r="H6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0">
      <c r="H7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1">
      <c r="H7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2">
      <c r="H7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3">
      <c r="H7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4">
      <c r="H7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5">
      <c r="H7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6">
      <c r="H7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7">
      <c r="H7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8">
      <c r="H7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79">
      <c r="H7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0">
      <c r="H8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1">
      <c r="H8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2">
      <c r="H8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3">
      <c r="H8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4">
      <c r="H8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5">
      <c r="H8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6">
      <c r="H8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7">
      <c r="H8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8">
      <c r="H8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89">
      <c r="H8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0">
      <c r="H9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1">
      <c r="H9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2">
      <c r="H9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3">
      <c r="H9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4">
      <c r="H9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5">
      <c r="H9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6">
      <c r="H9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7">
      <c r="H9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8">
      <c r="H9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99">
      <c r="H9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0">
      <c r="H10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1">
      <c r="H10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2">
      <c r="H10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3">
      <c r="H10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4">
      <c r="H10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5">
      <c r="H10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6">
      <c r="H10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7">
      <c r="H10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8">
      <c r="H10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09">
      <c r="H10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0">
      <c r="H11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1">
      <c r="H11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2">
      <c r="H11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3">
      <c r="H11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4">
      <c r="H11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5">
      <c r="H11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6">
      <c r="H11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7">
      <c r="H11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8">
      <c r="H11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19">
      <c r="H11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0">
      <c r="H12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1">
      <c r="H12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2">
      <c r="H12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3">
      <c r="H12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4">
      <c r="H12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5">
      <c r="H12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6">
      <c r="H12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7">
      <c r="H12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8">
      <c r="H12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29">
      <c r="H12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0">
      <c r="H13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1">
      <c r="H13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2">
      <c r="H13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3">
      <c r="H13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4">
      <c r="H13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5">
      <c r="H13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6">
      <c r="H13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7">
      <c r="H13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8">
      <c r="H13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39">
      <c r="H13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0">
      <c r="H14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1">
      <c r="H14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2">
      <c r="H14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3">
      <c r="H14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4">
      <c r="H14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5">
      <c r="H14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6">
      <c r="H14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7">
      <c r="H14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8">
      <c r="H14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49">
      <c r="H14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0">
      <c r="H15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1">
      <c r="H15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2">
      <c r="H15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3">
      <c r="H15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4">
      <c r="H15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5">
      <c r="H15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6">
      <c r="H15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7">
      <c r="H15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8">
      <c r="H15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59">
      <c r="H15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0">
      <c r="H16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1">
      <c r="H16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2">
      <c r="H16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3">
      <c r="H16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4">
      <c r="H16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5">
      <c r="H16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6">
      <c r="H16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7">
      <c r="H16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8">
      <c r="H16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69">
      <c r="H16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0">
      <c r="H17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1">
      <c r="H17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2">
      <c r="H17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3">
      <c r="H17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4">
      <c r="H17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5">
      <c r="H17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6">
      <c r="H17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7">
      <c r="H17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8">
      <c r="H17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79">
      <c r="H17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0">
      <c r="H18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1">
      <c r="H18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2">
      <c r="H18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3">
      <c r="H18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4">
      <c r="H18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5">
      <c r="H18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6">
      <c r="H18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7">
      <c r="H18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8">
      <c r="H18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89">
      <c r="H18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0">
      <c r="H19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1">
      <c r="H19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2">
      <c r="H19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3">
      <c r="H19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4">
      <c r="H19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5">
      <c r="H19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6">
      <c r="H19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7">
      <c r="H19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8">
      <c r="H19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199">
      <c r="H19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0">
      <c r="H20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1">
      <c r="H20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2">
      <c r="H20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3">
      <c r="H20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4">
      <c r="H20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5">
      <c r="H20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6">
      <c r="H20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7">
      <c r="H20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8">
      <c r="H20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09">
      <c r="H20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0">
      <c r="H21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1">
      <c r="H21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2">
      <c r="H21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3">
      <c r="H21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4">
      <c r="H21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5">
      <c r="H21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6">
      <c r="H21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7">
      <c r="H21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8">
      <c r="H21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19">
      <c r="H21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0">
      <c r="H22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1">
      <c r="H22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2">
      <c r="H22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3">
      <c r="H22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4">
      <c r="H22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5">
      <c r="H22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6">
      <c r="H22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7">
      <c r="H22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8">
      <c r="H22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29">
      <c r="H22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0">
      <c r="H23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1">
      <c r="H23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2">
      <c r="H23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3">
      <c r="H23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4">
      <c r="H23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5">
      <c r="H23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6">
      <c r="H23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7">
      <c r="H23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8">
      <c r="H23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39">
      <c r="H23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0">
      <c r="H24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1">
      <c r="H24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2">
      <c r="H24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3">
      <c r="H24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4">
      <c r="H24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5">
      <c r="H24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6">
      <c r="H24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7">
      <c r="H24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8">
      <c r="H24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49">
      <c r="H24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0">
      <c r="H25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1">
      <c r="H25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2">
      <c r="H25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3">
      <c r="H25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4">
      <c r="H25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5">
      <c r="H25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6">
      <c r="H25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7">
      <c r="H25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8">
      <c r="H25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59">
      <c r="H25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0">
      <c r="H26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1">
      <c r="H26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2">
      <c r="H26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3">
      <c r="H26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4">
      <c r="H26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5">
      <c r="H26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6">
      <c r="H26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7">
      <c r="H26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8">
      <c r="H26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69">
      <c r="H26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0">
      <c r="H27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1">
      <c r="H27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2">
      <c r="H27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3">
      <c r="H27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4">
      <c r="H27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5">
      <c r="H27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6">
      <c r="H27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7">
      <c r="H27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8">
      <c r="H27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79">
      <c r="H27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0">
      <c r="H28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1">
      <c r="H28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2">
      <c r="H28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3">
      <c r="H28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4">
      <c r="H28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5">
      <c r="H28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6">
      <c r="H28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7">
      <c r="H28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8">
      <c r="H28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89">
      <c r="H28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0">
      <c r="H29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1">
      <c r="H29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2">
      <c r="H29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3">
      <c r="H29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4">
      <c r="H29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5">
      <c r="H29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6">
      <c r="H29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7">
      <c r="H29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8">
      <c r="H29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299">
      <c r="H29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0">
      <c r="H30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1">
      <c r="H30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2">
      <c r="H30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3">
      <c r="H30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4">
      <c r="H30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5">
      <c r="H30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6">
      <c r="H30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7">
      <c r="H30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8">
      <c r="H30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09">
      <c r="H30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0">
      <c r="H31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1">
      <c r="H31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2">
      <c r="H31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3">
      <c r="H31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4">
      <c r="H31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5">
      <c r="H31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6">
      <c r="H31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7">
      <c r="H31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8">
      <c r="H31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19">
      <c r="H31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0">
      <c r="H32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1">
      <c r="H32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2">
      <c r="H32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3">
      <c r="H32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4">
      <c r="H32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5">
      <c r="H32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6">
      <c r="H32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7">
      <c r="H32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8">
      <c r="H32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29">
      <c r="H32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0">
      <c r="H33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1">
      <c r="H33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2">
      <c r="H33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3">
      <c r="H33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4">
      <c r="H33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5">
      <c r="H33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6">
      <c r="H33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7">
      <c r="H33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8">
      <c r="H33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39">
      <c r="H33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0">
      <c r="H34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1">
      <c r="H34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2">
      <c r="H34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3">
      <c r="H34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4">
      <c r="H344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5">
      <c r="H345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6">
      <c r="H346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7">
      <c r="H347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8">
      <c r="H348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49">
      <c r="H349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50">
      <c r="H350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51">
      <c r="H351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52">
      <c r="H352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  <row r="353">
      <c r="H353" s="2" t="str">
        <f t="shared" si="3"/>
        <v>INSERT INTO tblCourseSubjectMapping (courseSubjectMappingNum, openCourseNum, textBookNum, subjectNum, subjectOrder, courseSubjectStartDate, courseSubjectEndDate) VALUES (seqCourseSubjectMapping.NEXTVAL, , , , , NULL, NULL);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5.75"/>
    <col customWidth="1" min="5" max="5" width="17.63"/>
    <col customWidth="1" min="9" max="9" width="43.0"/>
    <col customWidth="1" min="10" max="10" width="20.75"/>
    <col customWidth="1" min="12" max="12" width="13.75"/>
  </cols>
  <sheetData>
    <row r="1">
      <c r="A1" s="20" t="s">
        <v>199</v>
      </c>
      <c r="B1" s="20" t="s">
        <v>202</v>
      </c>
      <c r="C1" s="20" t="s">
        <v>203</v>
      </c>
      <c r="D1" s="20" t="s">
        <v>204</v>
      </c>
      <c r="E1" s="20" t="s">
        <v>205</v>
      </c>
      <c r="F1" s="20" t="s">
        <v>191</v>
      </c>
      <c r="G1" s="23"/>
      <c r="H1" s="23"/>
      <c r="I1" s="23"/>
      <c r="J1" s="23"/>
      <c r="K1" s="24"/>
      <c r="L1" s="23"/>
      <c r="M1" s="23"/>
      <c r="N1" s="23"/>
      <c r="O1" s="23"/>
      <c r="P1" s="23"/>
      <c r="Q1" s="23"/>
      <c r="R1" s="23"/>
      <c r="S1" s="23"/>
      <c r="T1" s="23"/>
      <c r="U1" s="23"/>
    </row>
    <row r="2">
      <c r="A2" s="25" t="s">
        <v>206</v>
      </c>
      <c r="B2" s="25">
        <v>311.0</v>
      </c>
      <c r="C2" s="27">
        <v>45870.0</v>
      </c>
      <c r="D2" s="28">
        <v>45870.37986111111</v>
      </c>
      <c r="E2" s="28">
        <v>45870.74513888889</v>
      </c>
      <c r="F2" s="21" t="s">
        <v>189</v>
      </c>
      <c r="G2" s="23"/>
      <c r="H2" s="23" t="str">
        <f t="shared" ref="H2:H841" si="1"> "INSERT INTO tblDayAttendanceLog VALUES (" &amp; 
  A2 &amp; ", " &amp; 
  B2 &amp; ", " &amp; 
  "TO_DATE('" &amp; TEXT(C2, "yyyy-mm-dd") &amp; "', 'YYYY-MM-DD'), " &amp; 
  IF(D2="", "NULL", "TO_DATE('" &amp; TEXT(C2, "yyyy-mm-dd") &amp; " " &amp; TEXT(D2, "hh:mm:ss") &amp; "', 'YYYY-MM-DD HH24:MI:SS')") &amp; ", " &amp; 
  IF(E2="", "NULL", "TO_DATE('" &amp; TEXT(C2, "yyyy-mm-dd") &amp; " " &amp; TEXT(E2, "hh:mm:ss") &amp; "', 'YYYY-MM-DD HH24:MI:SS')") &amp; 
  ");"</f>
        <v>INSERT INTO tblDayAttendanceLog VALUES (seqDayAttendanceLog.nextval, 311, TO_DATE('2025-08-01', 'YYYY-MM-DD'), TO_DATE('2025-08-01 09:07:00', 'YYYY-MM-DD HH24:MI:SS'), TO_DATE('2025-08-01 17:53:00', 'YYYY-MM-DD HH24:MI:SS'));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>
      <c r="A3" s="25" t="s">
        <v>206</v>
      </c>
      <c r="B3" s="25">
        <v>312.0</v>
      </c>
      <c r="C3" s="27">
        <v>45870.0</v>
      </c>
      <c r="D3" s="28">
        <v>45870.35138888889</v>
      </c>
      <c r="E3" s="28">
        <v>45870.74652777778</v>
      </c>
      <c r="F3" s="21" t="s">
        <v>184</v>
      </c>
      <c r="G3" s="23"/>
      <c r="H3" s="23" t="str">
        <f t="shared" si="1"/>
        <v>INSERT INTO tblDayAttendanceLog VALUES (seqDayAttendanceLog.nextval, 312, TO_DATE('2025-08-01', 'YYYY-MM-DD'), TO_DATE('2025-08-01 08:26:00', 'YYYY-MM-DD HH24:MI:SS'), TO_DATE('2025-08-01 17:55:00', 'YYYY-MM-DD HH24:MI:SS'));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>
      <c r="A4" s="25" t="s">
        <v>206</v>
      </c>
      <c r="B4" s="25">
        <v>313.0</v>
      </c>
      <c r="C4" s="27">
        <v>45870.0</v>
      </c>
      <c r="D4" s="28">
        <v>45870.38402777778</v>
      </c>
      <c r="E4" s="28">
        <v>45870.748611111114</v>
      </c>
      <c r="F4" s="21" t="s">
        <v>189</v>
      </c>
      <c r="G4" s="23"/>
      <c r="H4" s="23" t="str">
        <f t="shared" si="1"/>
        <v>INSERT INTO tblDayAttendanceLog VALUES (seqDayAttendanceLog.nextval, 313, TO_DATE('2025-08-01', 'YYYY-MM-DD'), TO_DATE('2025-08-01 09:13:00', 'YYYY-MM-DD HH24:MI:SS'), TO_DATE('2025-08-01 17:58:00', 'YYYY-MM-DD HH24:MI:SS'));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</row>
    <row r="5">
      <c r="A5" s="25" t="s">
        <v>206</v>
      </c>
      <c r="B5" s="25">
        <v>314.0</v>
      </c>
      <c r="C5" s="27">
        <v>45870.0</v>
      </c>
      <c r="D5" s="28">
        <v>45870.33472222222</v>
      </c>
      <c r="E5" s="28">
        <v>45870.74513888889</v>
      </c>
      <c r="F5" s="21" t="s">
        <v>184</v>
      </c>
      <c r="G5" s="23"/>
      <c r="H5" s="23" t="str">
        <f t="shared" si="1"/>
        <v>INSERT INTO tblDayAttendanceLog VALUES (seqDayAttendanceLog.nextval, 314, TO_DATE('2025-08-01', 'YYYY-MM-DD'), TO_DATE('2025-08-01 08:02:00', 'YYYY-MM-DD HH24:MI:SS'), TO_DATE('2025-08-01 17:53:00', 'YYYY-MM-DD HH24:MI:SS'));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</row>
    <row r="6">
      <c r="A6" s="25" t="s">
        <v>206</v>
      </c>
      <c r="B6" s="25">
        <v>315.0</v>
      </c>
      <c r="C6" s="27">
        <v>45870.0</v>
      </c>
      <c r="D6" s="28">
        <v>45870.37013888889</v>
      </c>
      <c r="E6" s="28">
        <v>45870.74444444444</v>
      </c>
      <c r="F6" s="21" t="s">
        <v>184</v>
      </c>
      <c r="G6" s="23"/>
      <c r="H6" s="23" t="str">
        <f t="shared" si="1"/>
        <v>INSERT INTO tblDayAttendanceLog VALUES (seqDayAttendanceLog.nextval, 315, TO_DATE('2025-08-01', 'YYYY-MM-DD'), TO_DATE('2025-08-01 08:53:00', 'YYYY-MM-DD HH24:MI:SS'), TO_DATE('2025-08-01 17:52:00', 'YYYY-MM-DD HH24:MI:SS'));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</row>
    <row r="7">
      <c r="A7" s="25" t="s">
        <v>206</v>
      </c>
      <c r="B7" s="25">
        <v>316.0</v>
      </c>
      <c r="C7" s="27">
        <v>45870.0</v>
      </c>
      <c r="D7" s="28">
        <v>45870.35763888889</v>
      </c>
      <c r="E7" s="28">
        <v>45870.74791666667</v>
      </c>
      <c r="F7" s="21" t="s">
        <v>184</v>
      </c>
      <c r="G7" s="23"/>
      <c r="H7" s="23" t="str">
        <f t="shared" si="1"/>
        <v>INSERT INTO tblDayAttendanceLog VALUES (seqDayAttendanceLog.nextval, 316, TO_DATE('2025-08-01', 'YYYY-MM-DD'), TO_DATE('2025-08-01 08:35:00', 'YYYY-MM-DD HH24:MI:SS'), TO_DATE('2025-08-01 17:57:00', 'YYYY-MM-DD HH24:MI:SS'));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</row>
    <row r="8">
      <c r="A8" s="25" t="s">
        <v>206</v>
      </c>
      <c r="B8" s="25">
        <v>317.0</v>
      </c>
      <c r="C8" s="27">
        <v>45870.0</v>
      </c>
      <c r="D8" s="28">
        <v>45870.36388888889</v>
      </c>
      <c r="E8" s="28">
        <v>45870.74375</v>
      </c>
      <c r="F8" s="21" t="s">
        <v>184</v>
      </c>
      <c r="G8" s="23"/>
      <c r="H8" s="23" t="str">
        <f t="shared" si="1"/>
        <v>INSERT INTO tblDayAttendanceLog VALUES (seqDayAttendanceLog.nextval, 317, TO_DATE('2025-08-01', 'YYYY-MM-DD'), TO_DATE('2025-08-01 08:44:00', 'YYYY-MM-DD HH24:MI:SS'), TO_DATE('2025-08-01 17:51:00', 'YYYY-MM-DD HH24:MI:SS'));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</row>
    <row r="9">
      <c r="A9" s="25" t="s">
        <v>206</v>
      </c>
      <c r="B9" s="25">
        <v>318.0</v>
      </c>
      <c r="C9" s="27">
        <v>45870.0</v>
      </c>
      <c r="D9" s="28">
        <v>45870.375</v>
      </c>
      <c r="E9" s="28">
        <v>45870.74513888889</v>
      </c>
      <c r="F9" s="21" t="s">
        <v>189</v>
      </c>
      <c r="G9" s="23"/>
      <c r="H9" s="23" t="str">
        <f t="shared" si="1"/>
        <v>INSERT INTO tblDayAttendanceLog VALUES (seqDayAttendanceLog.nextval, 318, TO_DATE('2025-08-01', 'YYYY-MM-DD'), TO_DATE('2025-08-01 09:00:00', 'YYYY-MM-DD HH24:MI:SS'), TO_DATE('2025-08-01 17:53:00', 'YYYY-MM-DD HH24:MI:SS'));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</row>
    <row r="10">
      <c r="A10" s="25" t="s">
        <v>206</v>
      </c>
      <c r="B10" s="25">
        <v>319.0</v>
      </c>
      <c r="C10" s="27">
        <v>45870.0</v>
      </c>
      <c r="D10" s="28">
        <v>45870.364583333336</v>
      </c>
      <c r="E10" s="28">
        <v>45870.74791666667</v>
      </c>
      <c r="F10" s="21" t="s">
        <v>184</v>
      </c>
      <c r="G10" s="23"/>
      <c r="H10" s="23" t="str">
        <f t="shared" si="1"/>
        <v>INSERT INTO tblDayAttendanceLog VALUES (seqDayAttendanceLog.nextval, 319, TO_DATE('2025-08-01', 'YYYY-MM-DD'), TO_DATE('2025-08-01 08:45:00', 'YYYY-MM-DD HH24:MI:SS'), TO_DATE('2025-08-01 17:57:00', 'YYYY-MM-DD HH24:MI:SS'));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</row>
    <row r="11">
      <c r="A11" s="25" t="s">
        <v>206</v>
      </c>
      <c r="B11" s="25">
        <v>320.0</v>
      </c>
      <c r="C11" s="27">
        <v>45870.0</v>
      </c>
      <c r="D11" s="28">
        <v>45870.35138888889</v>
      </c>
      <c r="E11" s="28">
        <v>45870.74722222222</v>
      </c>
      <c r="F11" s="21" t="s">
        <v>184</v>
      </c>
      <c r="G11" s="23"/>
      <c r="H11" s="23" t="str">
        <f t="shared" si="1"/>
        <v>INSERT INTO tblDayAttendanceLog VALUES (seqDayAttendanceLog.nextval, 320, TO_DATE('2025-08-01', 'YYYY-MM-DD'), TO_DATE('2025-08-01 08:26:00', 'YYYY-MM-DD HH24:MI:SS'), TO_DATE('2025-08-01 17:56:00', 'YYYY-MM-DD HH24:MI:SS'));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</row>
    <row r="12">
      <c r="A12" s="25" t="s">
        <v>206</v>
      </c>
      <c r="B12" s="25">
        <v>321.0</v>
      </c>
      <c r="C12" s="27">
        <v>45870.0</v>
      </c>
      <c r="D12" s="28">
        <v>45870.40347222222</v>
      </c>
      <c r="E12" s="28">
        <v>45870.748611111114</v>
      </c>
      <c r="F12" s="21" t="s">
        <v>189</v>
      </c>
      <c r="G12" s="23"/>
      <c r="H12" s="23" t="str">
        <f t="shared" si="1"/>
        <v>INSERT INTO tblDayAttendanceLog VALUES (seqDayAttendanceLog.nextval, 321, TO_DATE('2025-08-01', 'YYYY-MM-DD'), TO_DATE('2025-08-01 09:41:00', 'YYYY-MM-DD HH24:MI:SS'), TO_DATE('2025-08-01 17:58:00', 'YYYY-MM-DD HH24:MI:SS'));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</row>
    <row r="13">
      <c r="A13" s="25" t="s">
        <v>206</v>
      </c>
      <c r="B13" s="25">
        <v>322.0</v>
      </c>
      <c r="C13" s="27">
        <v>45870.0</v>
      </c>
      <c r="D13" s="28">
        <v>45870.40069444444</v>
      </c>
      <c r="E13" s="28">
        <v>45870.743055555555</v>
      </c>
      <c r="F13" s="21" t="s">
        <v>189</v>
      </c>
      <c r="G13" s="23"/>
      <c r="H13" s="23" t="str">
        <f t="shared" si="1"/>
        <v>INSERT INTO tblDayAttendanceLog VALUES (seqDayAttendanceLog.nextval, 322, TO_DATE('2025-08-01', 'YYYY-MM-DD'), TO_DATE('2025-08-01 09:37:00', 'YYYY-MM-DD HH24:MI:SS'), TO_DATE('2025-08-01 17:50:00', 'YYYY-MM-DD HH24:MI:SS'));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</row>
    <row r="14">
      <c r="A14" s="25" t="s">
        <v>206</v>
      </c>
      <c r="B14" s="25">
        <v>323.0</v>
      </c>
      <c r="C14" s="27">
        <v>45870.0</v>
      </c>
      <c r="D14" s="28">
        <v>45870.35138888889</v>
      </c>
      <c r="E14" s="28">
        <v>45870.74652777778</v>
      </c>
      <c r="F14" s="21" t="s">
        <v>184</v>
      </c>
      <c r="G14" s="23"/>
      <c r="H14" s="23" t="str">
        <f t="shared" si="1"/>
        <v>INSERT INTO tblDayAttendanceLog VALUES (seqDayAttendanceLog.nextval, 323, TO_DATE('2025-08-01', 'YYYY-MM-DD'), TO_DATE('2025-08-01 08:26:00', 'YYYY-MM-DD HH24:MI:SS'), TO_DATE('2025-08-01 17:55:00', 'YYYY-MM-DD HH24:MI:SS'));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</row>
    <row r="15">
      <c r="A15" s="25" t="s">
        <v>206</v>
      </c>
      <c r="B15" s="25">
        <v>324.0</v>
      </c>
      <c r="C15" s="27">
        <v>45870.0</v>
      </c>
      <c r="D15" s="28">
        <v>45870.38055555556</v>
      </c>
      <c r="E15" s="28">
        <v>45870.74444444444</v>
      </c>
      <c r="F15" s="21" t="s">
        <v>189</v>
      </c>
      <c r="G15" s="23"/>
      <c r="H15" s="23" t="str">
        <f t="shared" si="1"/>
        <v>INSERT INTO tblDayAttendanceLog VALUES (seqDayAttendanceLog.nextval, 324, TO_DATE('2025-08-01', 'YYYY-MM-DD'), TO_DATE('2025-08-01 09:08:00', 'YYYY-MM-DD HH24:MI:SS'), TO_DATE('2025-08-01 17:52:00', 'YYYY-MM-DD HH24:MI:SS'));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</row>
    <row r="16">
      <c r="A16" s="25" t="s">
        <v>206</v>
      </c>
      <c r="B16" s="25">
        <v>325.0</v>
      </c>
      <c r="C16" s="27">
        <v>45870.0</v>
      </c>
      <c r="D16" s="28">
        <v>45870.40625</v>
      </c>
      <c r="E16" s="28">
        <v>45870.748611111114</v>
      </c>
      <c r="F16" s="21" t="s">
        <v>189</v>
      </c>
      <c r="G16" s="23"/>
      <c r="H16" s="23" t="str">
        <f t="shared" si="1"/>
        <v>INSERT INTO tblDayAttendanceLog VALUES (seqDayAttendanceLog.nextval, 325, TO_DATE('2025-08-01', 'YYYY-MM-DD'), TO_DATE('2025-08-01 09:45:00', 'YYYY-MM-DD HH24:MI:SS'), TO_DATE('2025-08-01 17:58:00', 'YYYY-MM-DD HH24:MI:SS'));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</row>
    <row r="17">
      <c r="A17" s="25" t="s">
        <v>206</v>
      </c>
      <c r="B17" s="26">
        <v>16.0</v>
      </c>
      <c r="C17" s="27">
        <v>45870.0</v>
      </c>
      <c r="D17" s="28">
        <v>45870.38958333333</v>
      </c>
      <c r="E17" s="28">
        <v>45870.74652777778</v>
      </c>
      <c r="F17" s="21" t="s">
        <v>189</v>
      </c>
      <c r="G17" s="23"/>
      <c r="H17" s="23" t="str">
        <f t="shared" si="1"/>
        <v>INSERT INTO tblDayAttendanceLog VALUES (seqDayAttendanceLog.nextval, 16, TO_DATE('2025-08-01', 'YYYY-MM-DD'), TO_DATE('2025-08-01 09:21:00', 'YYYY-MM-DD HH24:MI:SS'), TO_DATE('2025-08-01 17:55:00', 'YYYY-MM-DD HH24:MI:SS'));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</row>
    <row r="18">
      <c r="A18" s="25" t="s">
        <v>206</v>
      </c>
      <c r="B18" s="26">
        <v>17.0</v>
      </c>
      <c r="C18" s="27">
        <v>45870.0</v>
      </c>
      <c r="D18" s="28">
        <v>45870.39861111111</v>
      </c>
      <c r="E18" s="28">
        <v>45870.748611111114</v>
      </c>
      <c r="F18" s="21" t="s">
        <v>189</v>
      </c>
      <c r="G18" s="23"/>
      <c r="H18" s="23" t="str">
        <f t="shared" si="1"/>
        <v>INSERT INTO tblDayAttendanceLog VALUES (seqDayAttendanceLog.nextval, 17, TO_DATE('2025-08-01', 'YYYY-MM-DD'), TO_DATE('2025-08-01 09:34:00', 'YYYY-MM-DD HH24:MI:SS'), TO_DATE('2025-08-01 17:58:00', 'YYYY-MM-DD HH24:MI:SS'));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</row>
    <row r="19">
      <c r="A19" s="25" t="s">
        <v>206</v>
      </c>
      <c r="B19" s="26">
        <v>18.0</v>
      </c>
      <c r="C19" s="27">
        <v>45870.0</v>
      </c>
      <c r="D19" s="28">
        <v>45870.34166666667</v>
      </c>
      <c r="E19" s="28">
        <v>45870.748611111114</v>
      </c>
      <c r="F19" s="21" t="s">
        <v>184</v>
      </c>
      <c r="G19" s="23"/>
      <c r="H19" s="23" t="str">
        <f t="shared" si="1"/>
        <v>INSERT INTO tblDayAttendanceLog VALUES (seqDayAttendanceLog.nextval, 18, TO_DATE('2025-08-01', 'YYYY-MM-DD'), TO_DATE('2025-08-01 08:12:00', 'YYYY-MM-DD HH24:MI:SS'), TO_DATE('2025-08-01 17:58:00', 'YYYY-MM-DD HH24:MI:SS'));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>
      <c r="A20" s="25" t="s">
        <v>206</v>
      </c>
      <c r="B20" s="26">
        <v>19.0</v>
      </c>
      <c r="C20" s="27">
        <v>45870.0</v>
      </c>
      <c r="D20" s="28">
        <v>45870.385416666664</v>
      </c>
      <c r="E20" s="28">
        <v>45870.74652777778</v>
      </c>
      <c r="F20" s="21" t="s">
        <v>189</v>
      </c>
      <c r="G20" s="23"/>
      <c r="H20" s="23" t="str">
        <f t="shared" si="1"/>
        <v>INSERT INTO tblDayAttendanceLog VALUES (seqDayAttendanceLog.nextval, 19, TO_DATE('2025-08-01', 'YYYY-MM-DD'), TO_DATE('2025-08-01 09:15:00', 'YYYY-MM-DD HH24:MI:SS'), TO_DATE('2025-08-01 17:55:00', 'YYYY-MM-DD HH24:MI:SS'));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</row>
    <row r="21">
      <c r="A21" s="25" t="s">
        <v>206</v>
      </c>
      <c r="B21" s="26">
        <v>20.0</v>
      </c>
      <c r="C21" s="27">
        <v>45870.0</v>
      </c>
      <c r="D21" s="28">
        <v>45870.40069444444</v>
      </c>
      <c r="E21" s="28">
        <v>45870.74513888889</v>
      </c>
      <c r="F21" s="21" t="s">
        <v>189</v>
      </c>
      <c r="G21" s="23"/>
      <c r="H21" s="23" t="str">
        <f t="shared" si="1"/>
        <v>INSERT INTO tblDayAttendanceLog VALUES (seqDayAttendanceLog.nextval, 20, TO_DATE('2025-08-01', 'YYYY-MM-DD'), TO_DATE('2025-08-01 09:37:00', 'YYYY-MM-DD HH24:MI:SS'), TO_DATE('2025-08-01 17:53:00', 'YYYY-MM-DD HH24:MI:SS'));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</row>
    <row r="22">
      <c r="A22" s="25" t="s">
        <v>206</v>
      </c>
      <c r="B22" s="26">
        <v>21.0</v>
      </c>
      <c r="C22" s="27">
        <v>45870.0</v>
      </c>
      <c r="D22" s="28">
        <v>45870.40902777778</v>
      </c>
      <c r="E22" s="28">
        <v>45870.74652777778</v>
      </c>
      <c r="F22" s="21" t="s">
        <v>189</v>
      </c>
      <c r="G22" s="23"/>
      <c r="H22" s="23" t="str">
        <f t="shared" si="1"/>
        <v>INSERT INTO tblDayAttendanceLog VALUES (seqDayAttendanceLog.nextval, 21, TO_DATE('2025-08-01', 'YYYY-MM-DD'), TO_DATE('2025-08-01 09:49:00', 'YYYY-MM-DD HH24:MI:SS'), TO_DATE('2025-08-01 17:55:00', 'YYYY-MM-DD HH24:MI:SS'));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</row>
    <row r="23">
      <c r="A23" s="25" t="s">
        <v>206</v>
      </c>
      <c r="B23" s="26">
        <v>22.0</v>
      </c>
      <c r="C23" s="27">
        <v>45870.0</v>
      </c>
      <c r="D23" s="28">
        <v>45870.40138888889</v>
      </c>
      <c r="E23" s="28">
        <v>45870.748611111114</v>
      </c>
      <c r="F23" s="21" t="s">
        <v>189</v>
      </c>
      <c r="G23" s="23"/>
      <c r="H23" s="23" t="str">
        <f t="shared" si="1"/>
        <v>INSERT INTO tblDayAttendanceLog VALUES (seqDayAttendanceLog.nextval, 22, TO_DATE('2025-08-01', 'YYYY-MM-DD'), TO_DATE('2025-08-01 09:38:00', 'YYYY-MM-DD HH24:MI:SS'), TO_DATE('2025-08-01 17:58:00', 'YYYY-MM-DD HH24:MI:SS'));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</row>
    <row r="24">
      <c r="A24" s="25" t="s">
        <v>206</v>
      </c>
      <c r="B24" s="26">
        <v>23.0</v>
      </c>
      <c r="C24" s="27">
        <v>45870.0</v>
      </c>
      <c r="D24" s="28">
        <v>45870.4</v>
      </c>
      <c r="E24" s="28">
        <v>45870.74513888889</v>
      </c>
      <c r="F24" s="21" t="s">
        <v>189</v>
      </c>
      <c r="G24" s="23"/>
      <c r="H24" s="23" t="str">
        <f t="shared" si="1"/>
        <v>INSERT INTO tblDayAttendanceLog VALUES (seqDayAttendanceLog.nextval, 23, TO_DATE('2025-08-01', 'YYYY-MM-DD'), TO_DATE('2025-08-01 09:36:00', 'YYYY-MM-DD HH24:MI:SS'), TO_DATE('2025-08-01 17:53:00', 'YYYY-MM-DD HH24:MI:SS'));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</row>
    <row r="25">
      <c r="A25" s="25" t="s">
        <v>206</v>
      </c>
      <c r="B25" s="26">
        <v>24.0</v>
      </c>
      <c r="C25" s="27">
        <v>45870.0</v>
      </c>
      <c r="D25" s="28">
        <v>45870.41111111111</v>
      </c>
      <c r="E25" s="28">
        <v>45870.745833333334</v>
      </c>
      <c r="F25" s="21" t="s">
        <v>189</v>
      </c>
      <c r="G25" s="23"/>
      <c r="H25" s="23" t="str">
        <f t="shared" si="1"/>
        <v>INSERT INTO tblDayAttendanceLog VALUES (seqDayAttendanceLog.nextval, 24, TO_DATE('2025-08-01', 'YYYY-MM-DD'), TO_DATE('2025-08-01 09:52:00', 'YYYY-MM-DD HH24:MI:SS'), TO_DATE('2025-08-01 17:54:00', 'YYYY-MM-DD HH24:MI:SS'));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  <row r="26">
      <c r="A26" s="25" t="s">
        <v>206</v>
      </c>
      <c r="B26" s="26">
        <v>25.0</v>
      </c>
      <c r="C26" s="27">
        <v>45870.0</v>
      </c>
      <c r="D26" s="28">
        <v>45870.4</v>
      </c>
      <c r="E26" s="28">
        <v>45870.74791666667</v>
      </c>
      <c r="F26" s="21" t="s">
        <v>189</v>
      </c>
      <c r="G26" s="23"/>
      <c r="H26" s="23" t="str">
        <f t="shared" si="1"/>
        <v>INSERT INTO tblDayAttendanceLog VALUES (seqDayAttendanceLog.nextval, 25, TO_DATE('2025-08-01', 'YYYY-MM-DD'), TO_DATE('2025-08-01 09:36:00', 'YYYY-MM-DD HH24:MI:SS'), TO_DATE('2025-08-01 17:57:00', 'YYYY-MM-DD HH24:MI:SS'));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</row>
    <row r="27">
      <c r="A27" s="25" t="s">
        <v>206</v>
      </c>
      <c r="B27" s="26">
        <v>26.0</v>
      </c>
      <c r="C27" s="27">
        <v>45870.0</v>
      </c>
      <c r="D27" s="28">
        <v>45870.381944444445</v>
      </c>
      <c r="E27" s="28">
        <v>45870.74375</v>
      </c>
      <c r="F27" s="21" t="s">
        <v>189</v>
      </c>
      <c r="G27" s="23"/>
      <c r="H27" s="23" t="str">
        <f t="shared" si="1"/>
        <v>INSERT INTO tblDayAttendanceLog VALUES (seqDayAttendanceLog.nextval, 26, TO_DATE('2025-08-01', 'YYYY-MM-DD'), TO_DATE('2025-08-01 09:10:00', 'YYYY-MM-DD HH24:MI:SS'), TO_DATE('2025-08-01 17:51:00', 'YYYY-MM-DD HH24:MI:SS'));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</row>
    <row r="28">
      <c r="A28" s="25" t="s">
        <v>206</v>
      </c>
      <c r="B28" s="26">
        <v>27.0</v>
      </c>
      <c r="C28" s="27">
        <v>45870.0</v>
      </c>
      <c r="D28" s="28">
        <v>45870.365277777775</v>
      </c>
      <c r="E28" s="28">
        <v>45870.743055555555</v>
      </c>
      <c r="F28" s="21" t="s">
        <v>184</v>
      </c>
      <c r="G28" s="23"/>
      <c r="H28" s="23" t="str">
        <f t="shared" si="1"/>
        <v>INSERT INTO tblDayAttendanceLog VALUES (seqDayAttendanceLog.nextval, 27, TO_DATE('2025-08-01', 'YYYY-MM-DD'), TO_DATE('2025-08-01 08:46:00', 'YYYY-MM-DD HH24:MI:SS'), TO_DATE('2025-08-01 17:50:00', 'YYYY-MM-DD HH24:MI:SS'));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</row>
    <row r="29">
      <c r="A29" s="25" t="s">
        <v>206</v>
      </c>
      <c r="B29" s="26">
        <v>28.0</v>
      </c>
      <c r="C29" s="27">
        <v>45870.0</v>
      </c>
      <c r="D29" s="28">
        <v>45870.37291666667</v>
      </c>
      <c r="E29" s="28">
        <v>45870.74375</v>
      </c>
      <c r="F29" s="21" t="s">
        <v>184</v>
      </c>
      <c r="G29" s="23"/>
      <c r="H29" s="23" t="str">
        <f t="shared" si="1"/>
        <v>INSERT INTO tblDayAttendanceLog VALUES (seqDayAttendanceLog.nextval, 28, TO_DATE('2025-08-01', 'YYYY-MM-DD'), TO_DATE('2025-08-01 08:57:00', 'YYYY-MM-DD HH24:MI:SS'), TO_DATE('2025-08-01 17:51:00', 'YYYY-MM-DD HH24:MI:SS'));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</row>
    <row r="30">
      <c r="A30" s="25" t="s">
        <v>206</v>
      </c>
      <c r="B30" s="26">
        <v>29.0</v>
      </c>
      <c r="C30" s="27">
        <v>45870.0</v>
      </c>
      <c r="D30" s="28">
        <v>45870.353472222225</v>
      </c>
      <c r="E30" s="28">
        <v>45870.74930555555</v>
      </c>
      <c r="F30" s="21" t="s">
        <v>184</v>
      </c>
      <c r="G30" s="23"/>
      <c r="H30" s="23" t="str">
        <f t="shared" si="1"/>
        <v>INSERT INTO tblDayAttendanceLog VALUES (seqDayAttendanceLog.nextval, 29, TO_DATE('2025-08-01', 'YYYY-MM-DD'), TO_DATE('2025-08-01 08:29:00', 'YYYY-MM-DD HH24:MI:SS'), TO_DATE('2025-08-01 17:59:00', 'YYYY-MM-DD HH24:MI:SS'));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</row>
    <row r="31">
      <c r="A31" s="25" t="s">
        <v>206</v>
      </c>
      <c r="B31" s="26">
        <v>30.0</v>
      </c>
      <c r="C31" s="27">
        <v>45870.0</v>
      </c>
      <c r="D31" s="28">
        <v>45870.34861111111</v>
      </c>
      <c r="E31" s="28">
        <v>45870.74513888889</v>
      </c>
      <c r="F31" s="21" t="s">
        <v>184</v>
      </c>
      <c r="G31" s="23"/>
      <c r="H31" s="23" t="str">
        <f t="shared" si="1"/>
        <v>INSERT INTO tblDayAttendanceLog VALUES (seqDayAttendanceLog.nextval, 30, TO_DATE('2025-08-01', 'YYYY-MM-DD'), TO_DATE('2025-08-01 08:22:00', 'YYYY-MM-DD HH24:MI:SS'), TO_DATE('2025-08-01 17:53:00', 'YYYY-MM-DD HH24:MI:SS'));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</row>
    <row r="32">
      <c r="A32" s="25" t="s">
        <v>206</v>
      </c>
      <c r="B32" s="26">
        <v>31.0</v>
      </c>
      <c r="C32" s="27">
        <v>45870.0</v>
      </c>
      <c r="D32" s="28">
        <v>45870.3875</v>
      </c>
      <c r="E32" s="28">
        <v>45870.748611111114</v>
      </c>
      <c r="F32" s="21" t="s">
        <v>189</v>
      </c>
      <c r="G32" s="23"/>
      <c r="H32" s="23" t="str">
        <f t="shared" si="1"/>
        <v>INSERT INTO tblDayAttendanceLog VALUES (seqDayAttendanceLog.nextval, 31, TO_DATE('2025-08-01', 'YYYY-MM-DD'), TO_DATE('2025-08-01 09:18:00', 'YYYY-MM-DD HH24:MI:SS'), TO_DATE('2025-08-01 17:58:00', 'YYYY-MM-DD HH24:MI:SS'));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</row>
    <row r="33">
      <c r="A33" s="25" t="s">
        <v>206</v>
      </c>
      <c r="B33" s="26">
        <v>32.0</v>
      </c>
      <c r="C33" s="27">
        <v>45870.0</v>
      </c>
      <c r="D33" s="28">
        <v>45870.34166666667</v>
      </c>
      <c r="E33" s="28">
        <v>45870.74375</v>
      </c>
      <c r="F33" s="21" t="s">
        <v>184</v>
      </c>
      <c r="G33" s="23"/>
      <c r="H33" s="23" t="str">
        <f t="shared" si="1"/>
        <v>INSERT INTO tblDayAttendanceLog VALUES (seqDayAttendanceLog.nextval, 32, TO_DATE('2025-08-01', 'YYYY-MM-DD'), TO_DATE('2025-08-01 08:12:00', 'YYYY-MM-DD HH24:MI:SS'), TO_DATE('2025-08-01 17:51:00', 'YYYY-MM-DD HH24:MI:SS'));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</row>
    <row r="34">
      <c r="A34" s="25" t="s">
        <v>206</v>
      </c>
      <c r="B34" s="26">
        <v>33.0</v>
      </c>
      <c r="C34" s="27">
        <v>45870.0</v>
      </c>
      <c r="D34" s="28">
        <v>45870.38263888889</v>
      </c>
      <c r="E34" s="28">
        <v>45870.748611111114</v>
      </c>
      <c r="F34" s="21" t="s">
        <v>189</v>
      </c>
      <c r="G34" s="23"/>
      <c r="H34" s="23" t="str">
        <f t="shared" si="1"/>
        <v>INSERT INTO tblDayAttendanceLog VALUES (seqDayAttendanceLog.nextval, 33, TO_DATE('2025-08-01', 'YYYY-MM-DD'), TO_DATE('2025-08-01 09:11:00', 'YYYY-MM-DD HH24:MI:SS'), TO_DATE('2025-08-01 17:58:00', 'YYYY-MM-DD HH24:MI:SS'));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</row>
    <row r="35">
      <c r="A35" s="25" t="s">
        <v>206</v>
      </c>
      <c r="B35" s="26">
        <v>34.0</v>
      </c>
      <c r="C35" s="27">
        <v>45870.0</v>
      </c>
      <c r="D35" s="28">
        <v>45870.388194444444</v>
      </c>
      <c r="E35" s="28">
        <v>45870.74652777778</v>
      </c>
      <c r="F35" s="21" t="s">
        <v>189</v>
      </c>
      <c r="G35" s="23"/>
      <c r="H35" s="23" t="str">
        <f t="shared" si="1"/>
        <v>INSERT INTO tblDayAttendanceLog VALUES (seqDayAttendanceLog.nextval, 34, TO_DATE('2025-08-01', 'YYYY-MM-DD'), TO_DATE('2025-08-01 09:19:00', 'YYYY-MM-DD HH24:MI:SS'), TO_DATE('2025-08-01 17:55:00', 'YYYY-MM-DD HH24:MI:SS'));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</row>
    <row r="36">
      <c r="A36" s="25" t="s">
        <v>206</v>
      </c>
      <c r="B36" s="26">
        <v>35.0</v>
      </c>
      <c r="C36" s="27">
        <v>45870.0</v>
      </c>
      <c r="D36" s="28">
        <v>45870.35902777778</v>
      </c>
      <c r="E36" s="28">
        <v>45870.74722222222</v>
      </c>
      <c r="F36" s="21" t="s">
        <v>184</v>
      </c>
      <c r="G36" s="23"/>
      <c r="H36" s="23" t="str">
        <f t="shared" si="1"/>
        <v>INSERT INTO tblDayAttendanceLog VALUES (seqDayAttendanceLog.nextval, 35, TO_DATE('2025-08-01', 'YYYY-MM-DD'), TO_DATE('2025-08-01 08:37:00', 'YYYY-MM-DD HH24:MI:SS'), TO_DATE('2025-08-01 17:56:00', 'YYYY-MM-DD HH24:MI:SS'));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</row>
    <row r="37">
      <c r="A37" s="25" t="s">
        <v>206</v>
      </c>
      <c r="B37" s="26">
        <v>36.0</v>
      </c>
      <c r="C37" s="27">
        <v>45870.0</v>
      </c>
      <c r="D37" s="28">
        <v>45870.333333333336</v>
      </c>
      <c r="E37" s="28">
        <v>45870.74791666667</v>
      </c>
      <c r="F37" s="21" t="s">
        <v>184</v>
      </c>
      <c r="G37" s="23"/>
      <c r="H37" s="23" t="str">
        <f t="shared" si="1"/>
        <v>INSERT INTO tblDayAttendanceLog VALUES (seqDayAttendanceLog.nextval, 36, TO_DATE('2025-08-01', 'YYYY-MM-DD'), TO_DATE('2025-08-01 08:00:00', 'YYYY-MM-DD HH24:MI:SS'), TO_DATE('2025-08-01 17:57:00', 'YYYY-MM-DD HH24:MI:SS'));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</row>
    <row r="38">
      <c r="A38" s="25" t="s">
        <v>206</v>
      </c>
      <c r="B38" s="26">
        <v>37.0</v>
      </c>
      <c r="C38" s="27">
        <v>45870.0</v>
      </c>
      <c r="D38" s="28">
        <v>45870.34722222222</v>
      </c>
      <c r="E38" s="28">
        <v>45870.74513888889</v>
      </c>
      <c r="F38" s="21" t="s">
        <v>184</v>
      </c>
      <c r="G38" s="23"/>
      <c r="H38" s="23" t="str">
        <f t="shared" si="1"/>
        <v>INSERT INTO tblDayAttendanceLog VALUES (seqDayAttendanceLog.nextval, 37, TO_DATE('2025-08-01', 'YYYY-MM-DD'), TO_DATE('2025-08-01 08:20:00', 'YYYY-MM-DD HH24:MI:SS'), TO_DATE('2025-08-01 17:53:00', 'YYYY-MM-DD HH24:MI:SS'));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</row>
    <row r="39">
      <c r="A39" s="25" t="s">
        <v>206</v>
      </c>
      <c r="B39" s="26">
        <v>38.0</v>
      </c>
      <c r="C39" s="27">
        <v>45870.0</v>
      </c>
      <c r="D39" s="28">
        <v>45870.33888888889</v>
      </c>
      <c r="E39" s="28">
        <v>45870.74652777778</v>
      </c>
      <c r="F39" s="21" t="s">
        <v>184</v>
      </c>
      <c r="G39" s="23"/>
      <c r="H39" s="23" t="str">
        <f t="shared" si="1"/>
        <v>INSERT INTO tblDayAttendanceLog VALUES (seqDayAttendanceLog.nextval, 38, TO_DATE('2025-08-01', 'YYYY-MM-DD'), TO_DATE('2025-08-01 08:08:00', 'YYYY-MM-DD HH24:MI:SS'), TO_DATE('2025-08-01 17:55:00', 'YYYY-MM-DD HH24:MI:SS'));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</row>
    <row r="40">
      <c r="A40" s="25" t="s">
        <v>206</v>
      </c>
      <c r="B40" s="26">
        <v>39.0</v>
      </c>
      <c r="C40" s="27">
        <v>45870.0</v>
      </c>
      <c r="D40" s="28">
        <v>45870.385416666664</v>
      </c>
      <c r="E40" s="28">
        <v>45870.74375</v>
      </c>
      <c r="F40" s="21" t="s">
        <v>189</v>
      </c>
      <c r="G40" s="23"/>
      <c r="H40" s="23" t="str">
        <f t="shared" si="1"/>
        <v>INSERT INTO tblDayAttendanceLog VALUES (seqDayAttendanceLog.nextval, 39, TO_DATE('2025-08-01', 'YYYY-MM-DD'), TO_DATE('2025-08-01 09:15:00', 'YYYY-MM-DD HH24:MI:SS'), TO_DATE('2025-08-01 17:51:00', 'YYYY-MM-DD HH24:MI:SS'));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</row>
    <row r="41">
      <c r="A41" s="25" t="s">
        <v>206</v>
      </c>
      <c r="B41" s="26">
        <v>40.0</v>
      </c>
      <c r="C41" s="27">
        <v>45870.0</v>
      </c>
      <c r="D41" s="28">
        <v>45870.393055555556</v>
      </c>
      <c r="E41" s="28">
        <v>45870.74722222222</v>
      </c>
      <c r="F41" s="21" t="s">
        <v>189</v>
      </c>
      <c r="G41" s="23"/>
      <c r="H41" s="23" t="str">
        <f t="shared" si="1"/>
        <v>INSERT INTO tblDayAttendanceLog VALUES (seqDayAttendanceLog.nextval, 40, TO_DATE('2025-08-01', 'YYYY-MM-DD'), TO_DATE('2025-08-01 09:26:00', 'YYYY-MM-DD HH24:MI:SS'), TO_DATE('2025-08-01 17:56:00', 'YYYY-MM-DD HH24:MI:SS'));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</row>
    <row r="42">
      <c r="A42" s="25" t="s">
        <v>206</v>
      </c>
      <c r="B42" s="26">
        <v>41.0</v>
      </c>
      <c r="C42" s="27">
        <v>45870.0</v>
      </c>
      <c r="D42" s="28">
        <v>45870.333333333336</v>
      </c>
      <c r="E42" s="28">
        <v>45870.74722222222</v>
      </c>
      <c r="F42" s="21" t="s">
        <v>184</v>
      </c>
      <c r="G42" s="23"/>
      <c r="H42" s="23" t="str">
        <f t="shared" si="1"/>
        <v>INSERT INTO tblDayAttendanceLog VALUES (seqDayAttendanceLog.nextval, 41, TO_DATE('2025-08-01', 'YYYY-MM-DD'), TO_DATE('2025-08-01 08:00:00', 'YYYY-MM-DD HH24:MI:SS'), TO_DATE('2025-08-01 17:56:00', 'YYYY-MM-DD HH24:MI:SS'));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</row>
    <row r="43">
      <c r="A43" s="25" t="s">
        <v>206</v>
      </c>
      <c r="B43" s="26">
        <v>42.0</v>
      </c>
      <c r="C43" s="27">
        <v>45870.0</v>
      </c>
      <c r="D43" s="28">
        <v>45870.40277777778</v>
      </c>
      <c r="E43" s="28">
        <v>45870.743055555555</v>
      </c>
      <c r="F43" s="21" t="s">
        <v>189</v>
      </c>
      <c r="G43" s="23"/>
      <c r="H43" s="23" t="str">
        <f t="shared" si="1"/>
        <v>INSERT INTO tblDayAttendanceLog VALUES (seqDayAttendanceLog.nextval, 42, TO_DATE('2025-08-01', 'YYYY-MM-DD'), TO_DATE('2025-08-01 09:40:00', 'YYYY-MM-DD HH24:MI:SS'), TO_DATE('2025-08-01 17:50:00', 'YYYY-MM-DD HH24:MI:SS'));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</row>
    <row r="44">
      <c r="A44" s="25" t="s">
        <v>206</v>
      </c>
      <c r="B44" s="26">
        <v>43.0</v>
      </c>
      <c r="C44" s="27">
        <v>45870.0</v>
      </c>
      <c r="D44" s="28">
        <v>45870.35625</v>
      </c>
      <c r="E44" s="28">
        <v>45870.748611111114</v>
      </c>
      <c r="F44" s="21" t="s">
        <v>184</v>
      </c>
      <c r="G44" s="23"/>
      <c r="H44" s="23" t="str">
        <f t="shared" si="1"/>
        <v>INSERT INTO tblDayAttendanceLog VALUES (seqDayAttendanceLog.nextval, 43, TO_DATE('2025-08-01', 'YYYY-MM-DD'), TO_DATE('2025-08-01 08:33:00', 'YYYY-MM-DD HH24:MI:SS'), TO_DATE('2025-08-01 17:58:00', 'YYYY-MM-DD HH24:MI:SS'));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</row>
    <row r="45">
      <c r="A45" s="25" t="s">
        <v>206</v>
      </c>
      <c r="B45" s="26">
        <v>44.0</v>
      </c>
      <c r="C45" s="27">
        <v>45870.0</v>
      </c>
      <c r="D45" s="28">
        <v>45870.35902777778</v>
      </c>
      <c r="E45" s="28">
        <v>45870.74444444444</v>
      </c>
      <c r="F45" s="21" t="s">
        <v>184</v>
      </c>
      <c r="G45" s="23"/>
      <c r="H45" s="23" t="str">
        <f t="shared" si="1"/>
        <v>INSERT INTO tblDayAttendanceLog VALUES (seqDayAttendanceLog.nextval, 44, TO_DATE('2025-08-01', 'YYYY-MM-DD'), TO_DATE('2025-08-01 08:37:00', 'YYYY-MM-DD HH24:MI:SS'), TO_DATE('2025-08-01 17:52:00', 'YYYY-MM-DD HH24:MI:SS'));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</row>
    <row r="46">
      <c r="A46" s="25" t="s">
        <v>206</v>
      </c>
      <c r="B46" s="26">
        <v>45.0</v>
      </c>
      <c r="C46" s="27">
        <v>45870.0</v>
      </c>
      <c r="D46" s="28">
        <v>45870.373611111114</v>
      </c>
      <c r="E46" s="28">
        <v>45870.745833333334</v>
      </c>
      <c r="F46" s="21" t="s">
        <v>184</v>
      </c>
      <c r="G46" s="23"/>
      <c r="H46" s="23" t="str">
        <f t="shared" si="1"/>
        <v>INSERT INTO tblDayAttendanceLog VALUES (seqDayAttendanceLog.nextval, 45, TO_DATE('2025-08-01', 'YYYY-MM-DD'), TO_DATE('2025-08-01 08:58:00', 'YYYY-MM-DD HH24:MI:SS'), TO_DATE('2025-08-01 17:54:00', 'YYYY-MM-DD HH24:MI:SS'));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</row>
    <row r="47">
      <c r="A47" s="25" t="s">
        <v>206</v>
      </c>
      <c r="B47" s="26">
        <v>46.0</v>
      </c>
      <c r="C47" s="27">
        <v>45870.0</v>
      </c>
      <c r="D47" s="28">
        <v>45870.33819444444</v>
      </c>
      <c r="E47" s="28">
        <v>45870.74791666667</v>
      </c>
      <c r="F47" s="21" t="s">
        <v>184</v>
      </c>
      <c r="G47" s="23"/>
      <c r="H47" s="23" t="str">
        <f t="shared" si="1"/>
        <v>INSERT INTO tblDayAttendanceLog VALUES (seqDayAttendanceLog.nextval, 46, TO_DATE('2025-08-01', 'YYYY-MM-DD'), TO_DATE('2025-08-01 08:07:00', 'YYYY-MM-DD HH24:MI:SS'), TO_DATE('2025-08-01 17:57:00', 'YYYY-MM-DD HH24:MI:SS'));</v>
      </c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</row>
    <row r="48">
      <c r="A48" s="25" t="s">
        <v>206</v>
      </c>
      <c r="B48" s="26">
        <v>47.0</v>
      </c>
      <c r="C48" s="27">
        <v>45870.0</v>
      </c>
      <c r="D48" s="28">
        <v>45870.35902777778</v>
      </c>
      <c r="E48" s="28">
        <v>45870.74722222222</v>
      </c>
      <c r="F48" s="21" t="s">
        <v>184</v>
      </c>
      <c r="G48" s="23"/>
      <c r="H48" s="23" t="str">
        <f t="shared" si="1"/>
        <v>INSERT INTO tblDayAttendanceLog VALUES (seqDayAttendanceLog.nextval, 47, TO_DATE('2025-08-01', 'YYYY-MM-DD'), TO_DATE('2025-08-01 08:37:00', 'YYYY-MM-DD HH24:MI:SS'), TO_DATE('2025-08-01 17:56:00', 'YYYY-MM-DD HH24:MI:SS'));</v>
      </c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</row>
    <row r="49">
      <c r="A49" s="25" t="s">
        <v>206</v>
      </c>
      <c r="B49" s="26">
        <v>48.0</v>
      </c>
      <c r="C49" s="27">
        <v>45870.0</v>
      </c>
      <c r="D49" s="28">
        <v>45870.40694444445</v>
      </c>
      <c r="E49" s="28">
        <v>45870.74513888889</v>
      </c>
      <c r="F49" s="21" t="s">
        <v>189</v>
      </c>
      <c r="G49" s="23"/>
      <c r="H49" s="23" t="str">
        <f t="shared" si="1"/>
        <v>INSERT INTO tblDayAttendanceLog VALUES (seqDayAttendanceLog.nextval, 48, TO_DATE('2025-08-01', 'YYYY-MM-DD'), TO_DATE('2025-08-01 09:46:00', 'YYYY-MM-DD HH24:MI:SS'), TO_DATE('2025-08-01 17:53:00', 'YYYY-MM-DD HH24:MI:SS'));</v>
      </c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</row>
    <row r="50">
      <c r="A50" s="25" t="s">
        <v>206</v>
      </c>
      <c r="B50" s="26">
        <v>49.0</v>
      </c>
      <c r="C50" s="27">
        <v>45870.0</v>
      </c>
      <c r="D50" s="28">
        <v>45870.370833333334</v>
      </c>
      <c r="E50" s="28">
        <v>45870.74930555555</v>
      </c>
      <c r="F50" s="21" t="s">
        <v>184</v>
      </c>
      <c r="G50" s="23"/>
      <c r="H50" s="23" t="str">
        <f t="shared" si="1"/>
        <v>INSERT INTO tblDayAttendanceLog VALUES (seqDayAttendanceLog.nextval, 49, TO_DATE('2025-08-01', 'YYYY-MM-DD'), TO_DATE('2025-08-01 08:54:00', 'YYYY-MM-DD HH24:MI:SS'), TO_DATE('2025-08-01 17:59:00', 'YYYY-MM-DD HH24:MI:SS'));</v>
      </c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</row>
    <row r="51">
      <c r="A51" s="25" t="s">
        <v>206</v>
      </c>
      <c r="B51" s="26">
        <v>50.0</v>
      </c>
      <c r="C51" s="27">
        <v>45870.0</v>
      </c>
      <c r="D51" s="28">
        <v>45870.40833333333</v>
      </c>
      <c r="E51" s="28">
        <v>45870.743055555555</v>
      </c>
      <c r="F51" s="21" t="s">
        <v>189</v>
      </c>
      <c r="G51" s="23"/>
      <c r="H51" s="23" t="str">
        <f t="shared" si="1"/>
        <v>INSERT INTO tblDayAttendanceLog VALUES (seqDayAttendanceLog.nextval, 50, TO_DATE('2025-08-01', 'YYYY-MM-DD'), TO_DATE('2025-08-01 09:48:00', 'YYYY-MM-DD HH24:MI:SS'), TO_DATE('2025-08-01 17:50:00', 'YYYY-MM-DD HH24:MI:SS'));</v>
      </c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</row>
    <row r="52">
      <c r="A52" s="25" t="s">
        <v>206</v>
      </c>
      <c r="B52" s="26">
        <v>51.0</v>
      </c>
      <c r="C52" s="27">
        <v>45870.0</v>
      </c>
      <c r="D52" s="28">
        <v>45870.35625</v>
      </c>
      <c r="E52" s="28">
        <v>45870.74375</v>
      </c>
      <c r="F52" s="21" t="s">
        <v>184</v>
      </c>
      <c r="G52" s="23"/>
      <c r="H52" s="23" t="str">
        <f t="shared" si="1"/>
        <v>INSERT INTO tblDayAttendanceLog VALUES (seqDayAttendanceLog.nextval, 51, TO_DATE('2025-08-01', 'YYYY-MM-DD'), TO_DATE('2025-08-01 08:33:00', 'YYYY-MM-DD HH24:MI:SS'), TO_DATE('2025-08-01 17:51:00', 'YYYY-MM-DD HH24:MI:SS'));</v>
      </c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</row>
    <row r="53">
      <c r="A53" s="25" t="s">
        <v>206</v>
      </c>
      <c r="B53" s="26">
        <v>52.0</v>
      </c>
      <c r="C53" s="27">
        <v>45870.0</v>
      </c>
      <c r="D53" s="28">
        <v>45870.37777777778</v>
      </c>
      <c r="E53" s="28">
        <v>45870.74722222222</v>
      </c>
      <c r="F53" s="21" t="s">
        <v>189</v>
      </c>
      <c r="G53" s="23"/>
      <c r="H53" s="23" t="str">
        <f t="shared" si="1"/>
        <v>INSERT INTO tblDayAttendanceLog VALUES (seqDayAttendanceLog.nextval, 52, TO_DATE('2025-08-01', 'YYYY-MM-DD'), TO_DATE('2025-08-01 09:04:00', 'YYYY-MM-DD HH24:MI:SS'), TO_DATE('2025-08-01 17:56:00', 'YYYY-MM-DD HH24:MI:SS'));</v>
      </c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</row>
    <row r="54">
      <c r="A54" s="25" t="s">
        <v>206</v>
      </c>
      <c r="B54" s="26">
        <v>53.0</v>
      </c>
      <c r="C54" s="27">
        <v>45870.0</v>
      </c>
      <c r="D54" s="28">
        <v>45870.41111111111</v>
      </c>
      <c r="E54" s="28">
        <v>45870.748611111114</v>
      </c>
      <c r="F54" s="21" t="s">
        <v>189</v>
      </c>
      <c r="G54" s="23"/>
      <c r="H54" s="23" t="str">
        <f t="shared" si="1"/>
        <v>INSERT INTO tblDayAttendanceLog VALUES (seqDayAttendanceLog.nextval, 53, TO_DATE('2025-08-01', 'YYYY-MM-DD'), TO_DATE('2025-08-01 09:52:00', 'YYYY-MM-DD HH24:MI:SS'), TO_DATE('2025-08-01 17:58:00', 'YYYY-MM-DD HH24:MI:SS'));</v>
      </c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</row>
    <row r="55">
      <c r="A55" s="25" t="s">
        <v>206</v>
      </c>
      <c r="B55" s="26">
        <v>54.0</v>
      </c>
      <c r="C55" s="27">
        <v>45870.0</v>
      </c>
      <c r="D55" s="28">
        <v>45870.4125</v>
      </c>
      <c r="E55" s="28">
        <v>45870.745833333334</v>
      </c>
      <c r="F55" s="21" t="s">
        <v>189</v>
      </c>
      <c r="G55" s="23"/>
      <c r="H55" s="23" t="str">
        <f t="shared" si="1"/>
        <v>INSERT INTO tblDayAttendanceLog VALUES (seqDayAttendanceLog.nextval, 54, TO_DATE('2025-08-01', 'YYYY-MM-DD'), TO_DATE('2025-08-01 09:54:00', 'YYYY-MM-DD HH24:MI:SS'), TO_DATE('2025-08-01 17:54:00', 'YYYY-MM-DD HH24:MI:SS'));</v>
      </c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</row>
    <row r="56">
      <c r="A56" s="25" t="s">
        <v>206</v>
      </c>
      <c r="B56" s="26">
        <v>55.0</v>
      </c>
      <c r="C56" s="27">
        <v>45870.0</v>
      </c>
      <c r="D56" s="28">
        <v>45870.41527777778</v>
      </c>
      <c r="E56" s="28">
        <v>45870.74930555555</v>
      </c>
      <c r="F56" s="21" t="s">
        <v>189</v>
      </c>
      <c r="G56" s="23"/>
      <c r="H56" s="23" t="str">
        <f t="shared" si="1"/>
        <v>INSERT INTO tblDayAttendanceLog VALUES (seqDayAttendanceLog.nextval, 55, TO_DATE('2025-08-01', 'YYYY-MM-DD'), TO_DATE('2025-08-01 09:58:00', 'YYYY-MM-DD HH24:MI:SS'), TO_DATE('2025-08-01 17:59:00', 'YYYY-MM-DD HH24:MI:SS'));</v>
      </c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</row>
    <row r="57">
      <c r="A57" s="25" t="s">
        <v>206</v>
      </c>
      <c r="B57" s="26">
        <v>56.0</v>
      </c>
      <c r="C57" s="27">
        <v>45870.0</v>
      </c>
      <c r="D57" s="28">
        <v>45870.35902777778</v>
      </c>
      <c r="E57" s="28">
        <v>45870.74375</v>
      </c>
      <c r="F57" s="21" t="s">
        <v>184</v>
      </c>
      <c r="G57" s="23"/>
      <c r="H57" s="23" t="str">
        <f t="shared" si="1"/>
        <v>INSERT INTO tblDayAttendanceLog VALUES (seqDayAttendanceLog.nextval, 56, TO_DATE('2025-08-01', 'YYYY-MM-DD'), TO_DATE('2025-08-01 08:37:00', 'YYYY-MM-DD HH24:MI:SS'), TO_DATE('2025-08-01 17:51:00', 'YYYY-MM-DD HH24:MI:SS'));</v>
      </c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</row>
    <row r="58">
      <c r="A58" s="25" t="s">
        <v>206</v>
      </c>
      <c r="B58" s="26">
        <v>57.0</v>
      </c>
      <c r="C58" s="27">
        <v>45870.0</v>
      </c>
      <c r="D58" s="28">
        <v>45870.34583333333</v>
      </c>
      <c r="E58" s="28">
        <v>45870.74513888889</v>
      </c>
      <c r="F58" s="21" t="s">
        <v>184</v>
      </c>
      <c r="G58" s="23"/>
      <c r="H58" s="23" t="str">
        <f t="shared" si="1"/>
        <v>INSERT INTO tblDayAttendanceLog VALUES (seqDayAttendanceLog.nextval, 57, TO_DATE('2025-08-01', 'YYYY-MM-DD'), TO_DATE('2025-08-01 08:18:00', 'YYYY-MM-DD HH24:MI:SS'), TO_DATE('2025-08-01 17:53:00', 'YYYY-MM-DD HH24:MI:SS'));</v>
      </c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</row>
    <row r="59">
      <c r="A59" s="25" t="s">
        <v>206</v>
      </c>
      <c r="B59" s="26">
        <v>58.0</v>
      </c>
      <c r="C59" s="27">
        <v>45870.0</v>
      </c>
      <c r="D59" s="28">
        <v>45870.364583333336</v>
      </c>
      <c r="E59" s="28">
        <v>45870.743055555555</v>
      </c>
      <c r="F59" s="21" t="s">
        <v>184</v>
      </c>
      <c r="G59" s="23"/>
      <c r="H59" s="23" t="str">
        <f t="shared" si="1"/>
        <v>INSERT INTO tblDayAttendanceLog VALUES (seqDayAttendanceLog.nextval, 58, TO_DATE('2025-08-01', 'YYYY-MM-DD'), TO_DATE('2025-08-01 08:45:00', 'YYYY-MM-DD HH24:MI:SS'), TO_DATE('2025-08-01 17:50:00', 'YYYY-MM-DD HH24:MI:SS'));</v>
      </c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</row>
    <row r="60">
      <c r="A60" s="25" t="s">
        <v>206</v>
      </c>
      <c r="B60" s="26">
        <v>59.0</v>
      </c>
      <c r="C60" s="27">
        <v>45870.0</v>
      </c>
      <c r="D60" s="28">
        <v>45870.38402777778</v>
      </c>
      <c r="E60" s="28">
        <v>45870.74791666667</v>
      </c>
      <c r="F60" s="21" t="s">
        <v>189</v>
      </c>
      <c r="G60" s="23"/>
      <c r="H60" s="23" t="str">
        <f t="shared" si="1"/>
        <v>INSERT INTO tblDayAttendanceLog VALUES (seqDayAttendanceLog.nextval, 59, TO_DATE('2025-08-01', 'YYYY-MM-DD'), TO_DATE('2025-08-01 09:13:00', 'YYYY-MM-DD HH24:MI:SS'), TO_DATE('2025-08-01 17:57:00', 'YYYY-MM-DD HH24:MI:SS'));</v>
      </c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</row>
    <row r="61">
      <c r="A61" s="25" t="s">
        <v>206</v>
      </c>
      <c r="B61" s="26">
        <v>60.0</v>
      </c>
      <c r="C61" s="27">
        <v>45870.0</v>
      </c>
      <c r="D61" s="28">
        <v>45870.38402777778</v>
      </c>
      <c r="E61" s="28">
        <v>45870.74652777778</v>
      </c>
      <c r="F61" s="21" t="s">
        <v>189</v>
      </c>
      <c r="G61" s="23"/>
      <c r="H61" s="23" t="str">
        <f t="shared" si="1"/>
        <v>INSERT INTO tblDayAttendanceLog VALUES (seqDayAttendanceLog.nextval, 60, TO_DATE('2025-08-01', 'YYYY-MM-DD'), TO_DATE('2025-08-01 09:13:00', 'YYYY-MM-DD HH24:MI:SS'), TO_DATE('2025-08-01 17:55:00', 'YYYY-MM-DD HH24:MI:SS'));</v>
      </c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</row>
    <row r="62">
      <c r="A62" s="25" t="s">
        <v>206</v>
      </c>
      <c r="B62" s="26">
        <v>61.0</v>
      </c>
      <c r="C62" s="27">
        <v>45870.0</v>
      </c>
      <c r="D62" s="28">
        <v>45870.35208333333</v>
      </c>
      <c r="E62" s="28">
        <v>45870.745833333334</v>
      </c>
      <c r="F62" s="21" t="s">
        <v>184</v>
      </c>
      <c r="G62" s="23"/>
      <c r="H62" s="23" t="str">
        <f t="shared" si="1"/>
        <v>INSERT INTO tblDayAttendanceLog VALUES (seqDayAttendanceLog.nextval, 61, TO_DATE('2025-08-01', 'YYYY-MM-DD'), TO_DATE('2025-08-01 08:27:00', 'YYYY-MM-DD HH24:MI:SS'), TO_DATE('2025-08-01 17:54:00', 'YYYY-MM-DD HH24:MI:SS'));</v>
      </c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</row>
    <row r="63">
      <c r="A63" s="25" t="s">
        <v>206</v>
      </c>
      <c r="B63" s="26">
        <v>62.0</v>
      </c>
      <c r="C63" s="27">
        <v>45870.0</v>
      </c>
      <c r="D63" s="28">
        <v>45870.34166666667</v>
      </c>
      <c r="E63" s="28">
        <v>45870.748611111114</v>
      </c>
      <c r="F63" s="21" t="s">
        <v>184</v>
      </c>
      <c r="G63" s="23"/>
      <c r="H63" s="23" t="str">
        <f t="shared" si="1"/>
        <v>INSERT INTO tblDayAttendanceLog VALUES (seqDayAttendanceLog.nextval, 62, TO_DATE('2025-08-01', 'YYYY-MM-DD'), TO_DATE('2025-08-01 08:12:00', 'YYYY-MM-DD HH24:MI:SS'), TO_DATE('2025-08-01 17:58:00', 'YYYY-MM-DD HH24:MI:SS'));</v>
      </c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</row>
    <row r="64">
      <c r="A64" s="25" t="s">
        <v>206</v>
      </c>
      <c r="B64" s="26">
        <v>63.0</v>
      </c>
      <c r="C64" s="27">
        <v>45870.0</v>
      </c>
      <c r="D64" s="28">
        <v>45870.33819444444</v>
      </c>
      <c r="E64" s="28">
        <v>45870.745833333334</v>
      </c>
      <c r="F64" s="21" t="s">
        <v>184</v>
      </c>
      <c r="G64" s="23"/>
      <c r="H64" s="23" t="str">
        <f t="shared" si="1"/>
        <v>INSERT INTO tblDayAttendanceLog VALUES (seqDayAttendanceLog.nextval, 63, TO_DATE('2025-08-01', 'YYYY-MM-DD'), TO_DATE('2025-08-01 08:07:00', 'YYYY-MM-DD HH24:MI:SS'), TO_DATE('2025-08-01 17:54:00', 'YYYY-MM-DD HH24:MI:SS'));</v>
      </c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</row>
    <row r="65">
      <c r="A65" s="25" t="s">
        <v>206</v>
      </c>
      <c r="B65" s="26">
        <v>64.0</v>
      </c>
      <c r="C65" s="27">
        <v>45870.0</v>
      </c>
      <c r="D65" s="28">
        <v>45870.336805555555</v>
      </c>
      <c r="E65" s="28">
        <v>45870.74444444444</v>
      </c>
      <c r="F65" s="21" t="s">
        <v>184</v>
      </c>
      <c r="G65" s="23"/>
      <c r="H65" s="23" t="str">
        <f t="shared" si="1"/>
        <v>INSERT INTO tblDayAttendanceLog VALUES (seqDayAttendanceLog.nextval, 64, TO_DATE('2025-08-01', 'YYYY-MM-DD'), TO_DATE('2025-08-01 08:05:00', 'YYYY-MM-DD HH24:MI:SS'), TO_DATE('2025-08-01 17:52:00', 'YYYY-MM-DD HH24:MI:SS'));</v>
      </c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</row>
    <row r="66">
      <c r="A66" s="25" t="s">
        <v>206</v>
      </c>
      <c r="B66" s="26">
        <v>65.0</v>
      </c>
      <c r="C66" s="27">
        <v>45870.0</v>
      </c>
      <c r="D66" s="28">
        <v>45870.35208333333</v>
      </c>
      <c r="E66" s="28">
        <v>45870.74722222222</v>
      </c>
      <c r="F66" s="21" t="s">
        <v>184</v>
      </c>
      <c r="G66" s="23"/>
      <c r="H66" s="23" t="str">
        <f t="shared" si="1"/>
        <v>INSERT INTO tblDayAttendanceLog VALUES (seqDayAttendanceLog.nextval, 65, TO_DATE('2025-08-01', 'YYYY-MM-DD'), TO_DATE('2025-08-01 08:27:00', 'YYYY-MM-DD HH24:MI:SS'), TO_DATE('2025-08-01 17:56:00', 'YYYY-MM-DD HH24:MI:SS'));</v>
      </c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</row>
    <row r="67">
      <c r="A67" s="25" t="s">
        <v>206</v>
      </c>
      <c r="B67" s="26">
        <v>66.0</v>
      </c>
      <c r="C67" s="27">
        <v>45870.0</v>
      </c>
      <c r="D67" s="28">
        <v>45870.388194444444</v>
      </c>
      <c r="E67" s="28">
        <v>45870.74513888889</v>
      </c>
      <c r="F67" s="21" t="s">
        <v>189</v>
      </c>
      <c r="G67" s="23"/>
      <c r="H67" s="23" t="str">
        <f t="shared" si="1"/>
        <v>INSERT INTO tblDayAttendanceLog VALUES (seqDayAttendanceLog.nextval, 66, TO_DATE('2025-08-01', 'YYYY-MM-DD'), TO_DATE('2025-08-01 09:19:00', 'YYYY-MM-DD HH24:MI:SS'), TO_DATE('2025-08-01 17:53:00', 'YYYY-MM-DD HH24:MI:SS'));</v>
      </c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</row>
    <row r="68">
      <c r="A68" s="25" t="s">
        <v>206</v>
      </c>
      <c r="B68" s="26">
        <v>67.0</v>
      </c>
      <c r="C68" s="27">
        <v>45870.0</v>
      </c>
      <c r="D68" s="28">
        <v>45870.34166666667</v>
      </c>
      <c r="E68" s="28">
        <v>45870.74791666667</v>
      </c>
      <c r="F68" s="21" t="s">
        <v>184</v>
      </c>
      <c r="G68" s="23"/>
      <c r="H68" s="23" t="str">
        <f t="shared" si="1"/>
        <v>INSERT INTO tblDayAttendanceLog VALUES (seqDayAttendanceLog.nextval, 67, TO_DATE('2025-08-01', 'YYYY-MM-DD'), TO_DATE('2025-08-01 08:12:00', 'YYYY-MM-DD HH24:MI:SS'), TO_DATE('2025-08-01 17:57:00', 'YYYY-MM-DD HH24:MI:SS'));</v>
      </c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</row>
    <row r="69">
      <c r="A69" s="25" t="s">
        <v>206</v>
      </c>
      <c r="B69" s="26">
        <v>68.0</v>
      </c>
      <c r="C69" s="27">
        <v>45870.0</v>
      </c>
      <c r="D69" s="28">
        <v>45870.40277777778</v>
      </c>
      <c r="E69" s="28">
        <v>45870.743055555555</v>
      </c>
      <c r="F69" s="21" t="s">
        <v>189</v>
      </c>
      <c r="G69" s="23"/>
      <c r="H69" s="23" t="str">
        <f t="shared" si="1"/>
        <v>INSERT INTO tblDayAttendanceLog VALUES (seqDayAttendanceLog.nextval, 68, TO_DATE('2025-08-01', 'YYYY-MM-DD'), TO_DATE('2025-08-01 09:40:00', 'YYYY-MM-DD HH24:MI:SS'), TO_DATE('2025-08-01 17:50:00', 'YYYY-MM-DD HH24:MI:SS'));</v>
      </c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</row>
    <row r="70">
      <c r="A70" s="25" t="s">
        <v>206</v>
      </c>
      <c r="B70" s="26">
        <v>69.0</v>
      </c>
      <c r="C70" s="27">
        <v>45870.0</v>
      </c>
      <c r="D70" s="28">
        <v>45870.333333333336</v>
      </c>
      <c r="E70" s="28">
        <v>45870.745833333334</v>
      </c>
      <c r="F70" s="21" t="s">
        <v>184</v>
      </c>
      <c r="G70" s="23"/>
      <c r="H70" s="23" t="str">
        <f t="shared" si="1"/>
        <v>INSERT INTO tblDayAttendanceLog VALUES (seqDayAttendanceLog.nextval, 69, TO_DATE('2025-08-01', 'YYYY-MM-DD'), TO_DATE('2025-08-01 08:00:00', 'YYYY-MM-DD HH24:MI:SS'), TO_DATE('2025-08-01 17:54:00', 'YYYY-MM-DD HH24:MI:SS'));</v>
      </c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</row>
    <row r="71">
      <c r="A71" s="25" t="s">
        <v>206</v>
      </c>
      <c r="B71" s="26">
        <v>70.0</v>
      </c>
      <c r="C71" s="27">
        <v>45870.0</v>
      </c>
      <c r="D71" s="28">
        <v>45870.40416666667</v>
      </c>
      <c r="E71" s="28">
        <v>45870.748611111114</v>
      </c>
      <c r="F71" s="21" t="s">
        <v>189</v>
      </c>
      <c r="G71" s="23"/>
      <c r="H71" s="23" t="str">
        <f t="shared" si="1"/>
        <v>INSERT INTO tblDayAttendanceLog VALUES (seqDayAttendanceLog.nextval, 70, TO_DATE('2025-08-01', 'YYYY-MM-DD'), TO_DATE('2025-08-01 09:42:00', 'YYYY-MM-DD HH24:MI:SS'), TO_DATE('2025-08-01 17:58:00', 'YYYY-MM-DD HH24:MI:SS'));</v>
      </c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</row>
    <row r="72">
      <c r="A72" s="25" t="s">
        <v>206</v>
      </c>
      <c r="B72" s="26">
        <v>71.0</v>
      </c>
      <c r="C72" s="27">
        <v>45870.0</v>
      </c>
      <c r="D72" s="28">
        <v>45870.37222222222</v>
      </c>
      <c r="E72" s="28">
        <v>45870.745833333334</v>
      </c>
      <c r="F72" s="21" t="s">
        <v>184</v>
      </c>
      <c r="G72" s="23"/>
      <c r="H72" s="23" t="str">
        <f t="shared" si="1"/>
        <v>INSERT INTO tblDayAttendanceLog VALUES (seqDayAttendanceLog.nextval, 71, TO_DATE('2025-08-01', 'YYYY-MM-DD'), TO_DATE('2025-08-01 08:56:00', 'YYYY-MM-DD HH24:MI:SS'), TO_DATE('2025-08-01 17:54:00', 'YYYY-MM-DD HH24:MI:SS'));</v>
      </c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</row>
    <row r="73">
      <c r="A73" s="25" t="s">
        <v>206</v>
      </c>
      <c r="B73" s="26">
        <v>72.0</v>
      </c>
      <c r="C73" s="27">
        <v>45870.0</v>
      </c>
      <c r="D73" s="28">
        <v>45870.336805555555</v>
      </c>
      <c r="E73" s="28">
        <v>45870.74444444444</v>
      </c>
      <c r="F73" s="21" t="s">
        <v>184</v>
      </c>
      <c r="G73" s="23"/>
      <c r="H73" s="23" t="str">
        <f t="shared" si="1"/>
        <v>INSERT INTO tblDayAttendanceLog VALUES (seqDayAttendanceLog.nextval, 72, TO_DATE('2025-08-01', 'YYYY-MM-DD'), TO_DATE('2025-08-01 08:05:00', 'YYYY-MM-DD HH24:MI:SS'), TO_DATE('2025-08-01 17:52:00', 'YYYY-MM-DD HH24:MI:SS'));</v>
      </c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</row>
    <row r="74">
      <c r="A74" s="25" t="s">
        <v>206</v>
      </c>
      <c r="B74" s="26">
        <v>73.0</v>
      </c>
      <c r="C74" s="27">
        <v>45870.0</v>
      </c>
      <c r="D74" s="28">
        <v>45870.34305555555</v>
      </c>
      <c r="E74" s="28">
        <v>45870.74375</v>
      </c>
      <c r="F74" s="21" t="s">
        <v>184</v>
      </c>
      <c r="G74" s="23"/>
      <c r="H74" s="23" t="str">
        <f t="shared" si="1"/>
        <v>INSERT INTO tblDayAttendanceLog VALUES (seqDayAttendanceLog.nextval, 73, TO_DATE('2025-08-01', 'YYYY-MM-DD'), TO_DATE('2025-08-01 08:14:00', 'YYYY-MM-DD HH24:MI:SS'), TO_DATE('2025-08-01 17:51:00', 'YYYY-MM-DD HH24:MI:SS'));</v>
      </c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</row>
    <row r="75">
      <c r="A75" s="25" t="s">
        <v>206</v>
      </c>
      <c r="B75" s="26">
        <v>74.0</v>
      </c>
      <c r="C75" s="27">
        <v>45870.0</v>
      </c>
      <c r="D75" s="28">
        <v>45870.333333333336</v>
      </c>
      <c r="E75" s="28">
        <v>45870.748611111114</v>
      </c>
      <c r="F75" s="21" t="s">
        <v>184</v>
      </c>
      <c r="G75" s="23"/>
      <c r="H75" s="23" t="str">
        <f t="shared" si="1"/>
        <v>INSERT INTO tblDayAttendanceLog VALUES (seqDayAttendanceLog.nextval, 74, TO_DATE('2025-08-01', 'YYYY-MM-DD'), TO_DATE('2025-08-01 08:00:00', 'YYYY-MM-DD HH24:MI:SS'), TO_DATE('2025-08-01 17:58:00', 'YYYY-MM-DD HH24:MI:SS'));</v>
      </c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</row>
    <row r="76">
      <c r="A76" s="25" t="s">
        <v>206</v>
      </c>
      <c r="B76" s="26">
        <v>75.0</v>
      </c>
      <c r="C76" s="27">
        <v>45870.0</v>
      </c>
      <c r="D76" s="28">
        <v>45870.385416666664</v>
      </c>
      <c r="E76" s="28">
        <v>45870.74791666667</v>
      </c>
      <c r="F76" s="21" t="s">
        <v>189</v>
      </c>
      <c r="G76" s="23"/>
      <c r="H76" s="23" t="str">
        <f t="shared" si="1"/>
        <v>INSERT INTO tblDayAttendanceLog VALUES (seqDayAttendanceLog.nextval, 75, TO_DATE('2025-08-01', 'YYYY-MM-DD'), TO_DATE('2025-08-01 09:15:00', 'YYYY-MM-DD HH24:MI:SS'), TO_DATE('2025-08-01 17:57:00', 'YYYY-MM-DD HH24:MI:SS'));</v>
      </c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</row>
    <row r="77">
      <c r="A77" s="25" t="s">
        <v>206</v>
      </c>
      <c r="B77" s="26">
        <v>76.0</v>
      </c>
      <c r="C77" s="27">
        <v>45870.0</v>
      </c>
      <c r="D77" s="28">
        <v>45870.41388888889</v>
      </c>
      <c r="E77" s="28">
        <v>45870.74444444444</v>
      </c>
      <c r="F77" s="21" t="s">
        <v>189</v>
      </c>
      <c r="G77" s="23"/>
      <c r="H77" s="23" t="str">
        <f t="shared" si="1"/>
        <v>INSERT INTO tblDayAttendanceLog VALUES (seqDayAttendanceLog.nextval, 76, TO_DATE('2025-08-01', 'YYYY-MM-DD'), TO_DATE('2025-08-01 09:56:00', 'YYYY-MM-DD HH24:MI:SS'), TO_DATE('2025-08-01 17:52:00', 'YYYY-MM-DD HH24:MI:SS'));</v>
      </c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</row>
    <row r="78">
      <c r="A78" s="25" t="s">
        <v>206</v>
      </c>
      <c r="B78" s="26">
        <v>77.0</v>
      </c>
      <c r="C78" s="27">
        <v>45870.0</v>
      </c>
      <c r="D78" s="28">
        <v>45870.34305555555</v>
      </c>
      <c r="E78" s="28">
        <v>45870.74722222222</v>
      </c>
      <c r="F78" s="21" t="s">
        <v>184</v>
      </c>
      <c r="G78" s="23"/>
      <c r="H78" s="23" t="str">
        <f t="shared" si="1"/>
        <v>INSERT INTO tblDayAttendanceLog VALUES (seqDayAttendanceLog.nextval, 77, TO_DATE('2025-08-01', 'YYYY-MM-DD'), TO_DATE('2025-08-01 08:14:00', 'YYYY-MM-DD HH24:MI:SS'), TO_DATE('2025-08-01 17:56:00', 'YYYY-MM-DD HH24:MI:SS'));</v>
      </c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</row>
    <row r="79">
      <c r="A79" s="25" t="s">
        <v>206</v>
      </c>
      <c r="B79" s="26">
        <v>78.0</v>
      </c>
      <c r="C79" s="27">
        <v>45870.0</v>
      </c>
      <c r="D79" s="28">
        <v>45870.39027777778</v>
      </c>
      <c r="E79" s="28">
        <v>45870.745833333334</v>
      </c>
      <c r="F79" s="21" t="s">
        <v>189</v>
      </c>
      <c r="G79" s="23"/>
      <c r="H79" s="23" t="str">
        <f t="shared" si="1"/>
        <v>INSERT INTO tblDayAttendanceLog VALUES (seqDayAttendanceLog.nextval, 78, TO_DATE('2025-08-01', 'YYYY-MM-DD'), TO_DATE('2025-08-01 09:22:00', 'YYYY-MM-DD HH24:MI:SS'), TO_DATE('2025-08-01 17:54:00', 'YYYY-MM-DD HH24:MI:SS'));</v>
      </c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</row>
    <row r="80">
      <c r="A80" s="25" t="s">
        <v>206</v>
      </c>
      <c r="B80" s="26">
        <v>79.0</v>
      </c>
      <c r="C80" s="27">
        <v>45870.0</v>
      </c>
      <c r="D80" s="28">
        <v>45870.373611111114</v>
      </c>
      <c r="E80" s="28">
        <v>45870.74930555555</v>
      </c>
      <c r="F80" s="21" t="s">
        <v>184</v>
      </c>
      <c r="G80" s="23"/>
      <c r="H80" s="23" t="str">
        <f t="shared" si="1"/>
        <v>INSERT INTO tblDayAttendanceLog VALUES (seqDayAttendanceLog.nextval, 79, TO_DATE('2025-08-01', 'YYYY-MM-DD'), TO_DATE('2025-08-01 08:58:00', 'YYYY-MM-DD HH24:MI:SS'), TO_DATE('2025-08-01 17:59:00', 'YYYY-MM-DD HH24:MI:SS'));</v>
      </c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</row>
    <row r="81">
      <c r="A81" s="25" t="s">
        <v>206</v>
      </c>
      <c r="B81" s="26">
        <v>80.0</v>
      </c>
      <c r="C81" s="27">
        <v>45870.0</v>
      </c>
      <c r="D81" s="28">
        <v>45870.34305555555</v>
      </c>
      <c r="E81" s="28">
        <v>45870.74444444444</v>
      </c>
      <c r="F81" s="21" t="s">
        <v>184</v>
      </c>
      <c r="G81" s="23"/>
      <c r="H81" s="23" t="str">
        <f t="shared" si="1"/>
        <v>INSERT INTO tblDayAttendanceLog VALUES (seqDayAttendanceLog.nextval, 80, TO_DATE('2025-08-01', 'YYYY-MM-DD'), TO_DATE('2025-08-01 08:14:00', 'YYYY-MM-DD HH24:MI:SS'), TO_DATE('2025-08-01 17:52:00', 'YYYY-MM-DD HH24:MI:SS'));</v>
      </c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</row>
    <row r="82">
      <c r="A82" s="25" t="s">
        <v>206</v>
      </c>
      <c r="B82" s="26">
        <v>81.0</v>
      </c>
      <c r="C82" s="27">
        <v>45870.0</v>
      </c>
      <c r="D82" s="28">
        <v>45870.39236111111</v>
      </c>
      <c r="E82" s="28">
        <v>45870.745833333334</v>
      </c>
      <c r="F82" s="21" t="s">
        <v>189</v>
      </c>
      <c r="G82" s="23"/>
      <c r="H82" s="23" t="str">
        <f t="shared" si="1"/>
        <v>INSERT INTO tblDayAttendanceLog VALUES (seqDayAttendanceLog.nextval, 81, TO_DATE('2025-08-01', 'YYYY-MM-DD'), TO_DATE('2025-08-01 09:25:00', 'YYYY-MM-DD HH24:MI:SS'), TO_DATE('2025-08-01 17:54:00', 'YYYY-MM-DD HH24:MI:SS'));</v>
      </c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</row>
    <row r="83">
      <c r="A83" s="25" t="s">
        <v>206</v>
      </c>
      <c r="B83" s="26">
        <v>82.0</v>
      </c>
      <c r="C83" s="27">
        <v>45870.0</v>
      </c>
      <c r="D83" s="28">
        <v>45870.350694444445</v>
      </c>
      <c r="E83" s="28">
        <v>45870.748611111114</v>
      </c>
      <c r="F83" s="21" t="s">
        <v>184</v>
      </c>
      <c r="G83" s="23"/>
      <c r="H83" s="23" t="str">
        <f t="shared" si="1"/>
        <v>INSERT INTO tblDayAttendanceLog VALUES (seqDayAttendanceLog.nextval, 82, TO_DATE('2025-08-01', 'YYYY-MM-DD'), TO_DATE('2025-08-01 08:25:00', 'YYYY-MM-DD HH24:MI:SS'), TO_DATE('2025-08-01 17:58:00', 'YYYY-MM-DD HH24:MI:SS'));</v>
      </c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>
      <c r="A84" s="25" t="s">
        <v>206</v>
      </c>
      <c r="B84" s="26">
        <v>83.0</v>
      </c>
      <c r="C84" s="27">
        <v>45870.0</v>
      </c>
      <c r="D84" s="28">
        <v>45870.36666666667</v>
      </c>
      <c r="E84" s="28">
        <v>45870.748611111114</v>
      </c>
      <c r="F84" s="21" t="s">
        <v>184</v>
      </c>
      <c r="G84" s="23"/>
      <c r="H84" s="23" t="str">
        <f t="shared" si="1"/>
        <v>INSERT INTO tblDayAttendanceLog VALUES (seqDayAttendanceLog.nextval, 83, TO_DATE('2025-08-01', 'YYYY-MM-DD'), TO_DATE('2025-08-01 08:48:00', 'YYYY-MM-DD HH24:MI:SS'), TO_DATE('2025-08-01 17:58:00', 'YYYY-MM-DD HH24:MI:SS'));</v>
      </c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>
      <c r="A85" s="25" t="s">
        <v>206</v>
      </c>
      <c r="B85" s="26">
        <v>84.0</v>
      </c>
      <c r="C85" s="27">
        <v>45870.0</v>
      </c>
      <c r="D85" s="28">
        <v>45870.40277777778</v>
      </c>
      <c r="E85" s="28">
        <v>45870.74652777778</v>
      </c>
      <c r="F85" s="21" t="s">
        <v>189</v>
      </c>
      <c r="G85" s="23"/>
      <c r="H85" s="23" t="str">
        <f t="shared" si="1"/>
        <v>INSERT INTO tblDayAttendanceLog VALUES (seqDayAttendanceLog.nextval, 84, TO_DATE('2025-08-01', 'YYYY-MM-DD'), TO_DATE('2025-08-01 09:40:00', 'YYYY-MM-DD HH24:MI:SS'), TO_DATE('2025-08-01 17:55:00', 'YYYY-MM-DD HH24:MI:SS'));</v>
      </c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>
      <c r="A86" s="25" t="s">
        <v>206</v>
      </c>
      <c r="B86" s="26">
        <v>85.0</v>
      </c>
      <c r="C86" s="27">
        <v>45870.0</v>
      </c>
      <c r="D86" s="28">
        <v>45870.34652777778</v>
      </c>
      <c r="E86" s="28">
        <v>45870.748611111114</v>
      </c>
      <c r="F86" s="21" t="s">
        <v>184</v>
      </c>
      <c r="G86" s="23"/>
      <c r="H86" s="23" t="str">
        <f t="shared" si="1"/>
        <v>INSERT INTO tblDayAttendanceLog VALUES (seqDayAttendanceLog.nextval, 85, TO_DATE('2025-08-01', 'YYYY-MM-DD'), TO_DATE('2025-08-01 08:19:00', 'YYYY-MM-DD HH24:MI:SS'), TO_DATE('2025-08-01 17:58:00', 'YYYY-MM-DD HH24:MI:SS'));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</row>
    <row r="87">
      <c r="A87" s="25" t="s">
        <v>206</v>
      </c>
      <c r="B87" s="26">
        <v>86.0</v>
      </c>
      <c r="C87" s="27">
        <v>45870.0</v>
      </c>
      <c r="D87" s="28">
        <v>45870.38055555556</v>
      </c>
      <c r="E87" s="28">
        <v>45870.74444444444</v>
      </c>
      <c r="F87" s="21" t="s">
        <v>189</v>
      </c>
      <c r="G87" s="23"/>
      <c r="H87" s="23" t="str">
        <f t="shared" si="1"/>
        <v>INSERT INTO tblDayAttendanceLog VALUES (seqDayAttendanceLog.nextval, 86, TO_DATE('2025-08-01', 'YYYY-MM-DD'), TO_DATE('2025-08-01 09:08:00', 'YYYY-MM-DD HH24:MI:SS'), TO_DATE('2025-08-01 17:52:00', 'YYYY-MM-DD HH24:MI:SS'));</v>
      </c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</row>
    <row r="88">
      <c r="A88" s="25" t="s">
        <v>206</v>
      </c>
      <c r="B88" s="26">
        <v>87.0</v>
      </c>
      <c r="C88" s="27">
        <v>45870.0</v>
      </c>
      <c r="D88" s="28">
        <v>45870.402083333334</v>
      </c>
      <c r="E88" s="28">
        <v>45870.74444444444</v>
      </c>
      <c r="F88" s="21" t="s">
        <v>189</v>
      </c>
      <c r="G88" s="23"/>
      <c r="H88" s="23" t="str">
        <f t="shared" si="1"/>
        <v>INSERT INTO tblDayAttendanceLog VALUES (seqDayAttendanceLog.nextval, 87, TO_DATE('2025-08-01', 'YYYY-MM-DD'), TO_DATE('2025-08-01 09:39:00', 'YYYY-MM-DD HH24:MI:SS'), TO_DATE('2025-08-01 17:52:00', 'YYYY-MM-DD HH24:MI:SS'));</v>
      </c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</row>
    <row r="89">
      <c r="A89" s="25" t="s">
        <v>206</v>
      </c>
      <c r="B89" s="26">
        <v>88.0</v>
      </c>
      <c r="C89" s="27">
        <v>45870.0</v>
      </c>
      <c r="D89" s="28">
        <v>45870.36666666667</v>
      </c>
      <c r="E89" s="28">
        <v>45870.74722222222</v>
      </c>
      <c r="F89" s="21" t="s">
        <v>184</v>
      </c>
      <c r="G89" s="23"/>
      <c r="H89" s="23" t="str">
        <f t="shared" si="1"/>
        <v>INSERT INTO tblDayAttendanceLog VALUES (seqDayAttendanceLog.nextval, 88, TO_DATE('2025-08-01', 'YYYY-MM-DD'), TO_DATE('2025-08-01 08:48:00', 'YYYY-MM-DD HH24:MI:SS'), TO_DATE('2025-08-01 17:56:00', 'YYYY-MM-DD HH24:MI:SS'));</v>
      </c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</row>
    <row r="90">
      <c r="A90" s="25" t="s">
        <v>206</v>
      </c>
      <c r="B90" s="26">
        <v>89.0</v>
      </c>
      <c r="C90" s="27">
        <v>45870.0</v>
      </c>
      <c r="D90" s="28">
        <v>45870.407638888886</v>
      </c>
      <c r="E90" s="28">
        <v>45870.74375</v>
      </c>
      <c r="F90" s="21" t="s">
        <v>189</v>
      </c>
      <c r="G90" s="23"/>
      <c r="H90" s="23" t="str">
        <f t="shared" si="1"/>
        <v>INSERT INTO tblDayAttendanceLog VALUES (seqDayAttendanceLog.nextval, 89, TO_DATE('2025-08-01', 'YYYY-MM-DD'), TO_DATE('2025-08-01 09:47:00', 'YYYY-MM-DD HH24:MI:SS'), TO_DATE('2025-08-01 17:51:00', 'YYYY-MM-DD HH24:MI:SS'));</v>
      </c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</row>
    <row r="91">
      <c r="A91" s="25" t="s">
        <v>206</v>
      </c>
      <c r="B91" s="26">
        <v>90.0</v>
      </c>
      <c r="C91" s="27">
        <v>45870.0</v>
      </c>
      <c r="D91" s="29"/>
      <c r="E91" s="29"/>
      <c r="F91" s="21" t="s">
        <v>186</v>
      </c>
      <c r="G91" s="23"/>
      <c r="H91" s="23" t="str">
        <f t="shared" si="1"/>
        <v>INSERT INTO tblDayAttendanceLog VALUES (seqDayAttendanceLog.nextval, 90, TO_DATE('2025-08-01', 'YYYY-MM-DD'), NULL, NULL);</v>
      </c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</row>
    <row r="92">
      <c r="A92" s="25" t="s">
        <v>206</v>
      </c>
      <c r="B92" s="26">
        <v>91.0</v>
      </c>
      <c r="C92" s="27">
        <v>45870.0</v>
      </c>
      <c r="D92" s="29"/>
      <c r="E92" s="29"/>
      <c r="F92" s="21" t="s">
        <v>186</v>
      </c>
      <c r="G92" s="23"/>
      <c r="H92" s="23" t="str">
        <f t="shared" si="1"/>
        <v>INSERT INTO tblDayAttendanceLog VALUES (seqDayAttendanceLog.nextval, 91, TO_DATE('2025-08-01', 'YYYY-MM-DD'), NULL, NULL);</v>
      </c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</row>
    <row r="93">
      <c r="A93" s="25" t="s">
        <v>206</v>
      </c>
      <c r="B93" s="26">
        <v>92.0</v>
      </c>
      <c r="C93" s="27">
        <v>45870.0</v>
      </c>
      <c r="D93" s="28">
        <v>45870.375</v>
      </c>
      <c r="E93" s="28">
        <v>45870.74513888889</v>
      </c>
      <c r="F93" s="21" t="s">
        <v>189</v>
      </c>
      <c r="G93" s="23"/>
      <c r="H93" s="23" t="str">
        <f t="shared" si="1"/>
        <v>INSERT INTO tblDayAttendanceLog VALUES (seqDayAttendanceLog.nextval, 92, TO_DATE('2025-08-01', 'YYYY-MM-DD'), TO_DATE('2025-08-01 09:00:00', 'YYYY-MM-DD HH24:MI:SS'), TO_DATE('2025-08-01 17:53:00', 'YYYY-MM-DD HH24:MI:SS'));</v>
      </c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</row>
    <row r="94">
      <c r="A94" s="25" t="s">
        <v>206</v>
      </c>
      <c r="B94" s="26">
        <v>93.0</v>
      </c>
      <c r="C94" s="27">
        <v>45870.0</v>
      </c>
      <c r="D94" s="28">
        <v>45870.39097222222</v>
      </c>
      <c r="E94" s="28">
        <v>45870.74791666667</v>
      </c>
      <c r="F94" s="21" t="s">
        <v>189</v>
      </c>
      <c r="G94" s="23"/>
      <c r="H94" s="23" t="str">
        <f t="shared" si="1"/>
        <v>INSERT INTO tblDayAttendanceLog VALUES (seqDayAttendanceLog.nextval, 93, TO_DATE('2025-08-01', 'YYYY-MM-DD'), TO_DATE('2025-08-01 09:23:00', 'YYYY-MM-DD HH24:MI:SS'), TO_DATE('2025-08-01 17:57:00', 'YYYY-MM-DD HH24:MI:SS'));</v>
      </c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</row>
    <row r="95">
      <c r="A95" s="25" t="s">
        <v>206</v>
      </c>
      <c r="B95" s="26">
        <v>94.0</v>
      </c>
      <c r="C95" s="27">
        <v>45870.0</v>
      </c>
      <c r="D95" s="28">
        <v>45870.34861111111</v>
      </c>
      <c r="E95" s="28">
        <v>45870.74444444444</v>
      </c>
      <c r="F95" s="21" t="s">
        <v>184</v>
      </c>
      <c r="G95" s="23"/>
      <c r="H95" s="23" t="str">
        <f t="shared" si="1"/>
        <v>INSERT INTO tblDayAttendanceLog VALUES (seqDayAttendanceLog.nextval, 94, TO_DATE('2025-08-01', 'YYYY-MM-DD'), TO_DATE('2025-08-01 08:22:00', 'YYYY-MM-DD HH24:MI:SS'), TO_DATE('2025-08-01 17:52:00', 'YYYY-MM-DD HH24:MI:SS'));</v>
      </c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</row>
    <row r="96">
      <c r="A96" s="25" t="s">
        <v>206</v>
      </c>
      <c r="B96" s="26">
        <v>95.0</v>
      </c>
      <c r="C96" s="27">
        <v>45870.0</v>
      </c>
      <c r="D96" s="28">
        <v>45870.3875</v>
      </c>
      <c r="E96" s="28">
        <v>45870.745833333334</v>
      </c>
      <c r="F96" s="21" t="s">
        <v>189</v>
      </c>
      <c r="G96" s="23"/>
      <c r="H96" s="23" t="str">
        <f t="shared" si="1"/>
        <v>INSERT INTO tblDayAttendanceLog VALUES (seqDayAttendanceLog.nextval, 95, TO_DATE('2025-08-01', 'YYYY-MM-DD'), TO_DATE('2025-08-01 09:18:00', 'YYYY-MM-DD HH24:MI:SS'), TO_DATE('2025-08-01 17:54:00', 'YYYY-MM-DD HH24:MI:SS'));</v>
      </c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</row>
    <row r="97">
      <c r="A97" s="25" t="s">
        <v>206</v>
      </c>
      <c r="B97" s="26">
        <v>96.0</v>
      </c>
      <c r="C97" s="27">
        <v>45870.0</v>
      </c>
      <c r="D97" s="28">
        <v>45870.36666666667</v>
      </c>
      <c r="E97" s="28">
        <v>45870.57986111111</v>
      </c>
      <c r="F97" s="21" t="s">
        <v>187</v>
      </c>
      <c r="G97" s="23"/>
      <c r="H97" s="23" t="str">
        <f t="shared" si="1"/>
        <v>INSERT INTO tblDayAttendanceLog VALUES (seqDayAttendanceLog.nextval, 96, TO_DATE('2025-08-01', 'YYYY-MM-DD'), TO_DATE('2025-08-01 08:48:00', 'YYYY-MM-DD HH24:MI:SS'), TO_DATE('2025-08-01 13:55:00', 'YYYY-MM-DD HH24:MI:SS'));</v>
      </c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>
      <c r="A98" s="25" t="s">
        <v>206</v>
      </c>
      <c r="B98" s="26">
        <v>97.0</v>
      </c>
      <c r="C98" s="27">
        <v>45870.0</v>
      </c>
      <c r="D98" s="28">
        <v>45870.364583333336</v>
      </c>
      <c r="E98" s="28">
        <v>45870.74375</v>
      </c>
      <c r="F98" s="21" t="s">
        <v>184</v>
      </c>
      <c r="G98" s="23"/>
      <c r="H98" s="23" t="str">
        <f t="shared" si="1"/>
        <v>INSERT INTO tblDayAttendanceLog VALUES (seqDayAttendanceLog.nextval, 97, TO_DATE('2025-08-01', 'YYYY-MM-DD'), TO_DATE('2025-08-01 08:45:00', 'YYYY-MM-DD HH24:MI:SS'), TO_DATE('2025-08-01 17:51:00', 'YYYY-MM-DD HH24:MI:SS'));</v>
      </c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>
      <c r="A99" s="25" t="s">
        <v>206</v>
      </c>
      <c r="B99" s="26">
        <v>98.0</v>
      </c>
      <c r="C99" s="27">
        <v>45870.0</v>
      </c>
      <c r="D99" s="28">
        <v>45870.347916666666</v>
      </c>
      <c r="E99" s="28">
        <v>45870.743055555555</v>
      </c>
      <c r="F99" s="21" t="s">
        <v>184</v>
      </c>
      <c r="G99" s="23"/>
      <c r="H99" s="23" t="str">
        <f t="shared" si="1"/>
        <v>INSERT INTO tblDayAttendanceLog VALUES (seqDayAttendanceLog.nextval, 98, TO_DATE('2025-08-01', 'YYYY-MM-DD'), TO_DATE('2025-08-01 08:21:00', 'YYYY-MM-DD HH24:MI:SS'), TO_DATE('2025-08-01 17:50:00', 'YYYY-MM-DD HH24:MI:SS'));</v>
      </c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>
      <c r="A100" s="25" t="s">
        <v>206</v>
      </c>
      <c r="B100" s="26">
        <v>99.0</v>
      </c>
      <c r="C100" s="27">
        <v>45870.0</v>
      </c>
      <c r="D100" s="28">
        <v>45870.40069444444</v>
      </c>
      <c r="E100" s="28">
        <v>45870.74513888889</v>
      </c>
      <c r="F100" s="21" t="s">
        <v>189</v>
      </c>
      <c r="G100" s="23"/>
      <c r="H100" s="23" t="str">
        <f t="shared" si="1"/>
        <v>INSERT INTO tblDayAttendanceLog VALUES (seqDayAttendanceLog.nextval, 99, TO_DATE('2025-08-01', 'YYYY-MM-DD'), TO_DATE('2025-08-01 09:37:00', 'YYYY-MM-DD HH24:MI:SS'), TO_DATE('2025-08-01 17:53:00', 'YYYY-MM-DD HH24:MI:SS'));</v>
      </c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>
      <c r="A101" s="25" t="s">
        <v>206</v>
      </c>
      <c r="B101" s="26">
        <v>100.0</v>
      </c>
      <c r="C101" s="27">
        <v>45870.0</v>
      </c>
      <c r="D101" s="28">
        <v>45870.34375</v>
      </c>
      <c r="E101" s="28">
        <v>45870.74791666667</v>
      </c>
      <c r="F101" s="21" t="s">
        <v>184</v>
      </c>
      <c r="G101" s="23"/>
      <c r="H101" s="23" t="str">
        <f t="shared" si="1"/>
        <v>INSERT INTO tblDayAttendanceLog VALUES (seqDayAttendanceLog.nextval, 100, TO_DATE('2025-08-01', 'YYYY-MM-DD'), TO_DATE('2025-08-01 08:15:00', 'YYYY-MM-DD HH24:MI:SS'), TO_DATE('2025-08-01 17:57:00', 'YYYY-MM-DD HH24:MI:SS'));</v>
      </c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2">
      <c r="A102" s="25" t="s">
        <v>206</v>
      </c>
      <c r="B102" s="26">
        <v>101.0</v>
      </c>
      <c r="C102" s="27">
        <v>45870.0</v>
      </c>
      <c r="D102" s="28">
        <v>45870.35208333333</v>
      </c>
      <c r="E102" s="28">
        <v>45870.74791666667</v>
      </c>
      <c r="F102" s="21" t="s">
        <v>184</v>
      </c>
      <c r="G102" s="23"/>
      <c r="H102" s="23" t="str">
        <f t="shared" si="1"/>
        <v>INSERT INTO tblDayAttendanceLog VALUES (seqDayAttendanceLog.nextval, 101, TO_DATE('2025-08-01', 'YYYY-MM-DD'), TO_DATE('2025-08-01 08:27:00', 'YYYY-MM-DD HH24:MI:SS'), TO_DATE('2025-08-01 17:57:00', 'YYYY-MM-DD HH24:MI:SS'));</v>
      </c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</row>
    <row r="103">
      <c r="A103" s="25" t="s">
        <v>206</v>
      </c>
      <c r="B103" s="26">
        <v>102.0</v>
      </c>
      <c r="C103" s="27">
        <v>45870.0</v>
      </c>
      <c r="D103" s="28">
        <v>45870.37569444445</v>
      </c>
      <c r="E103" s="28">
        <v>45870.74513888889</v>
      </c>
      <c r="F103" s="21" t="s">
        <v>189</v>
      </c>
      <c r="G103" s="23"/>
      <c r="H103" s="23" t="str">
        <f t="shared" si="1"/>
        <v>INSERT INTO tblDayAttendanceLog VALUES (seqDayAttendanceLog.nextval, 102, TO_DATE('2025-08-01', 'YYYY-MM-DD'), TO_DATE('2025-08-01 09:01:00', 'YYYY-MM-DD HH24:MI:SS'), TO_DATE('2025-08-01 17:53:00', 'YYYY-MM-DD HH24:MI:SS'));</v>
      </c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  <row r="104">
      <c r="A104" s="25" t="s">
        <v>206</v>
      </c>
      <c r="B104" s="26">
        <v>103.0</v>
      </c>
      <c r="C104" s="27">
        <v>45870.0</v>
      </c>
      <c r="D104" s="28">
        <v>45870.345138888886</v>
      </c>
      <c r="E104" s="28">
        <v>45870.745833333334</v>
      </c>
      <c r="F104" s="21" t="s">
        <v>184</v>
      </c>
      <c r="G104" s="23"/>
      <c r="H104" s="23" t="str">
        <f t="shared" si="1"/>
        <v>INSERT INTO tblDayAttendanceLog VALUES (seqDayAttendanceLog.nextval, 103, TO_DATE('2025-08-01', 'YYYY-MM-DD'), TO_DATE('2025-08-01 08:17:00', 'YYYY-MM-DD HH24:MI:SS'), TO_DATE('2025-08-01 17:54:00', 'YYYY-MM-DD HH24:MI:SS'));</v>
      </c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</row>
    <row r="105">
      <c r="A105" s="25" t="s">
        <v>206</v>
      </c>
      <c r="B105" s="26">
        <v>104.0</v>
      </c>
      <c r="C105" s="27">
        <v>45870.0</v>
      </c>
      <c r="D105" s="28">
        <v>45870.41458333333</v>
      </c>
      <c r="E105" s="28">
        <v>45870.74375</v>
      </c>
      <c r="F105" s="21" t="s">
        <v>189</v>
      </c>
      <c r="G105" s="23"/>
      <c r="H105" s="23" t="str">
        <f t="shared" si="1"/>
        <v>INSERT INTO tblDayAttendanceLog VALUES (seqDayAttendanceLog.nextval, 104, TO_DATE('2025-08-01', 'YYYY-MM-DD'), TO_DATE('2025-08-01 09:57:00', 'YYYY-MM-DD HH24:MI:SS'), TO_DATE('2025-08-01 17:51:00', 'YYYY-MM-DD HH24:MI:SS'));</v>
      </c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</row>
    <row r="106">
      <c r="A106" s="25" t="s">
        <v>206</v>
      </c>
      <c r="B106" s="26">
        <v>105.0</v>
      </c>
      <c r="C106" s="27">
        <v>45870.0</v>
      </c>
      <c r="D106" s="28">
        <v>45870.365277777775</v>
      </c>
      <c r="E106" s="28">
        <v>45870.74791666667</v>
      </c>
      <c r="F106" s="21" t="s">
        <v>184</v>
      </c>
      <c r="G106" s="23"/>
      <c r="H106" s="23" t="str">
        <f t="shared" si="1"/>
        <v>INSERT INTO tblDayAttendanceLog VALUES (seqDayAttendanceLog.nextval, 105, TO_DATE('2025-08-01', 'YYYY-MM-DD'), TO_DATE('2025-08-01 08:46:00', 'YYYY-MM-DD HH24:MI:SS'), TO_DATE('2025-08-01 17:57:00', 'YYYY-MM-DD HH24:MI:SS'));</v>
      </c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</row>
    <row r="107">
      <c r="A107" s="25" t="s">
        <v>206</v>
      </c>
      <c r="B107" s="26">
        <v>106.0</v>
      </c>
      <c r="C107" s="27">
        <v>45870.0</v>
      </c>
      <c r="D107" s="28">
        <v>45870.339583333334</v>
      </c>
      <c r="E107" s="28">
        <v>45870.74652777778</v>
      </c>
      <c r="F107" s="21" t="s">
        <v>184</v>
      </c>
      <c r="G107" s="23"/>
      <c r="H107" s="23" t="str">
        <f t="shared" si="1"/>
        <v>INSERT INTO tblDayAttendanceLog VALUES (seqDayAttendanceLog.nextval, 106, TO_DATE('2025-08-01', 'YYYY-MM-DD'), TO_DATE('2025-08-01 08:09:00', 'YYYY-MM-DD HH24:MI:SS'), TO_DATE('2025-08-01 17:55:00', 'YYYY-MM-DD HH24:MI:SS'));</v>
      </c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</row>
    <row r="108">
      <c r="A108" s="25" t="s">
        <v>206</v>
      </c>
      <c r="B108" s="26">
        <v>107.0</v>
      </c>
      <c r="C108" s="27">
        <v>45870.0</v>
      </c>
      <c r="D108" s="28">
        <v>45870.345138888886</v>
      </c>
      <c r="E108" s="28">
        <v>45870.743055555555</v>
      </c>
      <c r="F108" s="21" t="s">
        <v>184</v>
      </c>
      <c r="G108" s="23"/>
      <c r="H108" s="23" t="str">
        <f t="shared" si="1"/>
        <v>INSERT INTO tblDayAttendanceLog VALUES (seqDayAttendanceLog.nextval, 107, TO_DATE('2025-08-01', 'YYYY-MM-DD'), TO_DATE('2025-08-01 08:17:00', 'YYYY-MM-DD HH24:MI:SS'), TO_DATE('2025-08-01 17:50:00', 'YYYY-MM-DD HH24:MI:SS'));</v>
      </c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</row>
    <row r="109">
      <c r="A109" s="25" t="s">
        <v>206</v>
      </c>
      <c r="B109" s="26">
        <v>108.0</v>
      </c>
      <c r="C109" s="27">
        <v>45870.0</v>
      </c>
      <c r="D109" s="28">
        <v>45870.365277777775</v>
      </c>
      <c r="E109" s="28">
        <v>45870.74791666667</v>
      </c>
      <c r="F109" s="21" t="s">
        <v>184</v>
      </c>
      <c r="G109" s="23"/>
      <c r="H109" s="23" t="str">
        <f t="shared" si="1"/>
        <v>INSERT INTO tblDayAttendanceLog VALUES (seqDayAttendanceLog.nextval, 108, TO_DATE('2025-08-01', 'YYYY-MM-DD'), TO_DATE('2025-08-01 08:46:00', 'YYYY-MM-DD HH24:MI:SS'), TO_DATE('2025-08-01 17:57:00', 'YYYY-MM-DD HH24:MI:SS'));</v>
      </c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</row>
    <row r="110">
      <c r="A110" s="25" t="s">
        <v>206</v>
      </c>
      <c r="B110" s="26">
        <v>109.0</v>
      </c>
      <c r="C110" s="27">
        <v>45870.0</v>
      </c>
      <c r="D110" s="28">
        <v>45870.37708333333</v>
      </c>
      <c r="E110" s="28">
        <v>45870.74722222222</v>
      </c>
      <c r="F110" s="21" t="s">
        <v>189</v>
      </c>
      <c r="G110" s="23"/>
      <c r="H110" s="23" t="str">
        <f t="shared" si="1"/>
        <v>INSERT INTO tblDayAttendanceLog VALUES (seqDayAttendanceLog.nextval, 109, TO_DATE('2025-08-01', 'YYYY-MM-DD'), TO_DATE('2025-08-01 09:03:00', 'YYYY-MM-DD HH24:MI:SS'), TO_DATE('2025-08-01 17:56:00', 'YYYY-MM-DD HH24:MI:SS'));</v>
      </c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</row>
    <row r="111">
      <c r="A111" s="25" t="s">
        <v>206</v>
      </c>
      <c r="B111" s="26">
        <v>110.0</v>
      </c>
      <c r="C111" s="27">
        <v>45870.0</v>
      </c>
      <c r="D111" s="28">
        <v>45870.41111111111</v>
      </c>
      <c r="E111" s="28">
        <v>45870.745833333334</v>
      </c>
      <c r="F111" s="21" t="s">
        <v>189</v>
      </c>
      <c r="G111" s="23"/>
      <c r="H111" s="23" t="str">
        <f t="shared" si="1"/>
        <v>INSERT INTO tblDayAttendanceLog VALUES (seqDayAttendanceLog.nextval, 110, TO_DATE('2025-08-01', 'YYYY-MM-DD'), TO_DATE('2025-08-01 09:52:00', 'YYYY-MM-DD HH24:MI:SS'), TO_DATE('2025-08-01 17:54:00', 'YYYY-MM-DD HH24:MI:SS'));</v>
      </c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</row>
    <row r="112">
      <c r="A112" s="25" t="s">
        <v>206</v>
      </c>
      <c r="B112" s="26">
        <v>111.0</v>
      </c>
      <c r="C112" s="27">
        <v>45870.0</v>
      </c>
      <c r="D112" s="28">
        <v>45870.39791666667</v>
      </c>
      <c r="E112" s="28">
        <v>45870.74722222222</v>
      </c>
      <c r="F112" s="21" t="s">
        <v>189</v>
      </c>
      <c r="G112" s="23"/>
      <c r="H112" s="23" t="str">
        <f t="shared" si="1"/>
        <v>INSERT INTO tblDayAttendanceLog VALUES (seqDayAttendanceLog.nextval, 111, TO_DATE('2025-08-01', 'YYYY-MM-DD'), TO_DATE('2025-08-01 09:33:00', 'YYYY-MM-DD HH24:MI:SS'), TO_DATE('2025-08-01 17:56:00', 'YYYY-MM-DD HH24:MI:SS'));</v>
      </c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</row>
    <row r="113">
      <c r="A113" s="25" t="s">
        <v>206</v>
      </c>
      <c r="B113" s="26">
        <v>112.0</v>
      </c>
      <c r="C113" s="27">
        <v>45870.0</v>
      </c>
      <c r="D113" s="29"/>
      <c r="E113" s="29"/>
      <c r="F113" s="21" t="s">
        <v>186</v>
      </c>
      <c r="G113" s="23"/>
      <c r="H113" s="23" t="str">
        <f t="shared" si="1"/>
        <v>INSERT INTO tblDayAttendanceLog VALUES (seqDayAttendanceLog.nextval, 112, TO_DATE('2025-08-01', 'YYYY-MM-DD'), NULL, NULL);</v>
      </c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</row>
    <row r="114">
      <c r="A114" s="25" t="s">
        <v>206</v>
      </c>
      <c r="B114" s="26">
        <v>113.0</v>
      </c>
      <c r="C114" s="27">
        <v>45870.0</v>
      </c>
      <c r="D114" s="28">
        <v>45870.342361111114</v>
      </c>
      <c r="E114" s="28">
        <v>45870.74375</v>
      </c>
      <c r="F114" s="21" t="s">
        <v>184</v>
      </c>
      <c r="G114" s="23"/>
      <c r="H114" s="23" t="str">
        <f t="shared" si="1"/>
        <v>INSERT INTO tblDayAttendanceLog VALUES (seqDayAttendanceLog.nextval, 113, TO_DATE('2025-08-01', 'YYYY-MM-DD'), TO_DATE('2025-08-01 08:13:00', 'YYYY-MM-DD HH24:MI:SS'), TO_DATE('2025-08-01 17:51:00', 'YYYY-MM-DD HH24:MI:SS'));</v>
      </c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</row>
    <row r="115">
      <c r="A115" s="25" t="s">
        <v>206</v>
      </c>
      <c r="B115" s="26">
        <v>114.0</v>
      </c>
      <c r="C115" s="27">
        <v>45870.0</v>
      </c>
      <c r="D115" s="28">
        <v>45870.40625</v>
      </c>
      <c r="E115" s="28">
        <v>45870.74375</v>
      </c>
      <c r="F115" s="21" t="s">
        <v>189</v>
      </c>
      <c r="G115" s="23"/>
      <c r="H115" s="23" t="str">
        <f t="shared" si="1"/>
        <v>INSERT INTO tblDayAttendanceLog VALUES (seqDayAttendanceLog.nextval, 114, TO_DATE('2025-08-01', 'YYYY-MM-DD'), TO_DATE('2025-08-01 09:45:00', 'YYYY-MM-DD HH24:MI:SS'), TO_DATE('2025-08-01 17:51:00', 'YYYY-MM-DD HH24:MI:SS'));</v>
      </c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</row>
    <row r="116">
      <c r="A116" s="25" t="s">
        <v>206</v>
      </c>
      <c r="B116" s="26">
        <v>115.0</v>
      </c>
      <c r="C116" s="27">
        <v>45870.0</v>
      </c>
      <c r="D116" s="28">
        <v>45870.36875</v>
      </c>
      <c r="E116" s="28">
        <v>45870.74791666667</v>
      </c>
      <c r="F116" s="21" t="s">
        <v>184</v>
      </c>
      <c r="G116" s="23"/>
      <c r="H116" s="23" t="str">
        <f t="shared" si="1"/>
        <v>INSERT INTO tblDayAttendanceLog VALUES (seqDayAttendanceLog.nextval, 115, TO_DATE('2025-08-01', 'YYYY-MM-DD'), TO_DATE('2025-08-01 08:51:00', 'YYYY-MM-DD HH24:MI:SS'), TO_DATE('2025-08-01 17:57:00', 'YYYY-MM-DD HH24:MI:SS'));</v>
      </c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</row>
    <row r="117">
      <c r="A117" s="25" t="s">
        <v>206</v>
      </c>
      <c r="B117" s="26">
        <v>116.0</v>
      </c>
      <c r="C117" s="27">
        <v>45870.0</v>
      </c>
      <c r="D117" s="28">
        <v>45870.339583333334</v>
      </c>
      <c r="E117" s="28">
        <v>45870.74513888889</v>
      </c>
      <c r="F117" s="21" t="s">
        <v>184</v>
      </c>
      <c r="G117" s="23"/>
      <c r="H117" s="23" t="str">
        <f t="shared" si="1"/>
        <v>INSERT INTO tblDayAttendanceLog VALUES (seqDayAttendanceLog.nextval, 116, TO_DATE('2025-08-01', 'YYYY-MM-DD'), TO_DATE('2025-08-01 08:09:00', 'YYYY-MM-DD HH24:MI:SS'), TO_DATE('2025-08-01 17:53:00', 'YYYY-MM-DD HH24:MI:SS'));</v>
      </c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</row>
    <row r="118">
      <c r="A118" s="25" t="s">
        <v>206</v>
      </c>
      <c r="B118" s="26">
        <v>117.0</v>
      </c>
      <c r="C118" s="27">
        <v>45870.0</v>
      </c>
      <c r="D118" s="28">
        <v>45870.34097222222</v>
      </c>
      <c r="E118" s="28">
        <v>45870.743055555555</v>
      </c>
      <c r="F118" s="21" t="s">
        <v>184</v>
      </c>
      <c r="G118" s="23"/>
      <c r="H118" s="23" t="str">
        <f t="shared" si="1"/>
        <v>INSERT INTO tblDayAttendanceLog VALUES (seqDayAttendanceLog.nextval, 117, TO_DATE('2025-08-01', 'YYYY-MM-DD'), TO_DATE('2025-08-01 08:11:00', 'YYYY-MM-DD HH24:MI:SS'), TO_DATE('2025-08-01 17:50:00', 'YYYY-MM-DD HH24:MI:SS'));</v>
      </c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</row>
    <row r="119">
      <c r="A119" s="25" t="s">
        <v>206</v>
      </c>
      <c r="B119" s="26">
        <v>118.0</v>
      </c>
      <c r="C119" s="27">
        <v>45870.0</v>
      </c>
      <c r="D119" s="28">
        <v>45870.40902777778</v>
      </c>
      <c r="E119" s="28">
        <v>45870.74722222222</v>
      </c>
      <c r="F119" s="21" t="s">
        <v>189</v>
      </c>
      <c r="G119" s="23"/>
      <c r="H119" s="23" t="str">
        <f t="shared" si="1"/>
        <v>INSERT INTO tblDayAttendanceLog VALUES (seqDayAttendanceLog.nextval, 118, TO_DATE('2025-08-01', 'YYYY-MM-DD'), TO_DATE('2025-08-01 09:49:00', 'YYYY-MM-DD HH24:MI:SS'), TO_DATE('2025-08-01 17:56:00', 'YYYY-MM-DD HH24:MI:SS'));</v>
      </c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</row>
    <row r="120">
      <c r="A120" s="25" t="s">
        <v>206</v>
      </c>
      <c r="B120" s="26">
        <v>119.0</v>
      </c>
      <c r="C120" s="27">
        <v>45870.0</v>
      </c>
      <c r="D120" s="28">
        <v>45870.41180555556</v>
      </c>
      <c r="E120" s="28">
        <v>45870.74791666667</v>
      </c>
      <c r="F120" s="21" t="s">
        <v>189</v>
      </c>
      <c r="G120" s="23"/>
      <c r="H120" s="23" t="str">
        <f t="shared" si="1"/>
        <v>INSERT INTO tblDayAttendanceLog VALUES (seqDayAttendanceLog.nextval, 119, TO_DATE('2025-08-01', 'YYYY-MM-DD'), TO_DATE('2025-08-01 09:53:00', 'YYYY-MM-DD HH24:MI:SS'), TO_DATE('2025-08-01 17:57:00', 'YYYY-MM-DD HH24:MI:SS'));</v>
      </c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</row>
    <row r="121">
      <c r="A121" s="25" t="s">
        <v>206</v>
      </c>
      <c r="B121" s="26">
        <v>120.0</v>
      </c>
      <c r="C121" s="27">
        <v>45870.0</v>
      </c>
      <c r="D121" s="28">
        <v>45870.40625</v>
      </c>
      <c r="E121" s="28">
        <v>45870.74513888889</v>
      </c>
      <c r="F121" s="21" t="s">
        <v>189</v>
      </c>
      <c r="G121" s="23"/>
      <c r="H121" s="23" t="str">
        <f t="shared" si="1"/>
        <v>INSERT INTO tblDayAttendanceLog VALUES (seqDayAttendanceLog.nextval, 120, TO_DATE('2025-08-01', 'YYYY-MM-DD'), TO_DATE('2025-08-01 09:45:00', 'YYYY-MM-DD HH24:MI:SS'), TO_DATE('2025-08-01 17:53:00', 'YYYY-MM-DD HH24:MI:SS'));</v>
      </c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</row>
    <row r="122">
      <c r="A122" s="25" t="s">
        <v>206</v>
      </c>
      <c r="B122" s="26">
        <v>121.0</v>
      </c>
      <c r="C122" s="27">
        <v>45870.0</v>
      </c>
      <c r="D122" s="28">
        <v>45870.379166666666</v>
      </c>
      <c r="E122" s="28">
        <v>45870.748611111114</v>
      </c>
      <c r="F122" s="21" t="s">
        <v>189</v>
      </c>
      <c r="G122" s="23"/>
      <c r="H122" s="23" t="str">
        <f t="shared" si="1"/>
        <v>INSERT INTO tblDayAttendanceLog VALUES (seqDayAttendanceLog.nextval, 121, TO_DATE('2025-08-01', 'YYYY-MM-DD'), TO_DATE('2025-08-01 09:06:00', 'YYYY-MM-DD HH24:MI:SS'), TO_DATE('2025-08-01 17:58:00', 'YYYY-MM-DD HH24:MI:SS'));</v>
      </c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</row>
    <row r="123">
      <c r="A123" s="25" t="s">
        <v>206</v>
      </c>
      <c r="B123" s="26">
        <v>122.0</v>
      </c>
      <c r="C123" s="27">
        <v>45870.0</v>
      </c>
      <c r="D123" s="28">
        <v>45870.342361111114</v>
      </c>
      <c r="E123" s="28">
        <v>45870.743055555555</v>
      </c>
      <c r="F123" s="21" t="s">
        <v>184</v>
      </c>
      <c r="G123" s="23"/>
      <c r="H123" s="23" t="str">
        <f t="shared" si="1"/>
        <v>INSERT INTO tblDayAttendanceLog VALUES (seqDayAttendanceLog.nextval, 122, TO_DATE('2025-08-01', 'YYYY-MM-DD'), TO_DATE('2025-08-01 08:13:00', 'YYYY-MM-DD HH24:MI:SS'), TO_DATE('2025-08-01 17:50:00', 'YYYY-MM-DD HH24:MI:SS'));</v>
      </c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</row>
    <row r="124">
      <c r="A124" s="25" t="s">
        <v>206</v>
      </c>
      <c r="B124" s="26">
        <v>123.0</v>
      </c>
      <c r="C124" s="27">
        <v>45870.0</v>
      </c>
      <c r="D124" s="28">
        <v>45870.40902777778</v>
      </c>
      <c r="E124" s="28">
        <v>45870.74375</v>
      </c>
      <c r="F124" s="21" t="s">
        <v>189</v>
      </c>
      <c r="G124" s="23"/>
      <c r="H124" s="23" t="str">
        <f t="shared" si="1"/>
        <v>INSERT INTO tblDayAttendanceLog VALUES (seqDayAttendanceLog.nextval, 123, TO_DATE('2025-08-01', 'YYYY-MM-DD'), TO_DATE('2025-08-01 09:49:00', 'YYYY-MM-DD HH24:MI:SS'), TO_DATE('2025-08-01 17:51:00', 'YYYY-MM-DD HH24:MI:SS'));</v>
      </c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</row>
    <row r="125">
      <c r="A125" s="25" t="s">
        <v>206</v>
      </c>
      <c r="B125" s="26">
        <v>124.0</v>
      </c>
      <c r="C125" s="27">
        <v>45870.0</v>
      </c>
      <c r="D125" s="28">
        <v>45870.34861111111</v>
      </c>
      <c r="E125" s="28">
        <v>45870.74930555555</v>
      </c>
      <c r="F125" s="21" t="s">
        <v>184</v>
      </c>
      <c r="G125" s="23"/>
      <c r="H125" s="23" t="str">
        <f t="shared" si="1"/>
        <v>INSERT INTO tblDayAttendanceLog VALUES (seqDayAttendanceLog.nextval, 124, TO_DATE('2025-08-01', 'YYYY-MM-DD'), TO_DATE('2025-08-01 08:22:00', 'YYYY-MM-DD HH24:MI:SS'), TO_DATE('2025-08-01 17:59:00', 'YYYY-MM-DD HH24:MI:SS'));</v>
      </c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</row>
    <row r="126">
      <c r="A126" s="25" t="s">
        <v>206</v>
      </c>
      <c r="B126" s="26">
        <v>125.0</v>
      </c>
      <c r="C126" s="27">
        <v>45870.0</v>
      </c>
      <c r="D126" s="28">
        <v>45870.35208333333</v>
      </c>
      <c r="E126" s="28">
        <v>45870.743055555555</v>
      </c>
      <c r="F126" s="21" t="s">
        <v>184</v>
      </c>
      <c r="G126" s="23"/>
      <c r="H126" s="23" t="str">
        <f t="shared" si="1"/>
        <v>INSERT INTO tblDayAttendanceLog VALUES (seqDayAttendanceLog.nextval, 125, TO_DATE('2025-08-01', 'YYYY-MM-DD'), TO_DATE('2025-08-01 08:27:00', 'YYYY-MM-DD HH24:MI:SS'), TO_DATE('2025-08-01 17:50:00', 'YYYY-MM-DD HH24:MI:SS'));</v>
      </c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</row>
    <row r="127">
      <c r="A127" s="25" t="s">
        <v>206</v>
      </c>
      <c r="B127" s="26">
        <v>126.0</v>
      </c>
      <c r="C127" s="27">
        <v>45870.0</v>
      </c>
      <c r="D127" s="28">
        <v>45870.356944444444</v>
      </c>
      <c r="E127" s="28">
        <v>45870.743055555555</v>
      </c>
      <c r="F127" s="21" t="s">
        <v>184</v>
      </c>
      <c r="G127" s="23"/>
      <c r="H127" s="23" t="str">
        <f t="shared" si="1"/>
        <v>INSERT INTO tblDayAttendanceLog VALUES (seqDayAttendanceLog.nextval, 126, TO_DATE('2025-08-01', 'YYYY-MM-DD'), TO_DATE('2025-08-01 08:34:00', 'YYYY-MM-DD HH24:MI:SS'), TO_DATE('2025-08-01 17:50:00', 'YYYY-MM-DD HH24:MI:SS'));</v>
      </c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</row>
    <row r="128">
      <c r="A128" s="25" t="s">
        <v>206</v>
      </c>
      <c r="B128" s="26">
        <v>127.0</v>
      </c>
      <c r="C128" s="27">
        <v>45870.0</v>
      </c>
      <c r="D128" s="28">
        <v>45870.345138888886</v>
      </c>
      <c r="E128" s="28">
        <v>45870.745833333334</v>
      </c>
      <c r="F128" s="21" t="s">
        <v>184</v>
      </c>
      <c r="G128" s="23"/>
      <c r="H128" s="23" t="str">
        <f t="shared" si="1"/>
        <v>INSERT INTO tblDayAttendanceLog VALUES (seqDayAttendanceLog.nextval, 127, TO_DATE('2025-08-01', 'YYYY-MM-DD'), TO_DATE('2025-08-01 08:17:00', 'YYYY-MM-DD HH24:MI:SS'), TO_DATE('2025-08-01 17:54:00', 'YYYY-MM-DD HH24:MI:SS'));</v>
      </c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</row>
    <row r="129">
      <c r="A129" s="25" t="s">
        <v>206</v>
      </c>
      <c r="B129" s="26">
        <v>128.0</v>
      </c>
      <c r="C129" s="27">
        <v>45870.0</v>
      </c>
      <c r="D129" s="28">
        <v>45870.40694444445</v>
      </c>
      <c r="E129" s="28">
        <v>45870.74930555555</v>
      </c>
      <c r="F129" s="21" t="s">
        <v>189</v>
      </c>
      <c r="G129" s="23"/>
      <c r="H129" s="23" t="str">
        <f t="shared" si="1"/>
        <v>INSERT INTO tblDayAttendanceLog VALUES (seqDayAttendanceLog.nextval, 128, TO_DATE('2025-08-01', 'YYYY-MM-DD'), TO_DATE('2025-08-01 09:46:00', 'YYYY-MM-DD HH24:MI:SS'), TO_DATE('2025-08-01 17:59:00', 'YYYY-MM-DD HH24:MI:SS'));</v>
      </c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</row>
    <row r="130">
      <c r="A130" s="25" t="s">
        <v>206</v>
      </c>
      <c r="B130" s="26">
        <v>129.0</v>
      </c>
      <c r="C130" s="27">
        <v>45870.0</v>
      </c>
      <c r="D130" s="28">
        <v>45870.40625</v>
      </c>
      <c r="E130" s="28">
        <v>45870.74722222222</v>
      </c>
      <c r="F130" s="21" t="s">
        <v>189</v>
      </c>
      <c r="G130" s="23"/>
      <c r="H130" s="23" t="str">
        <f t="shared" si="1"/>
        <v>INSERT INTO tblDayAttendanceLog VALUES (seqDayAttendanceLog.nextval, 129, TO_DATE('2025-08-01', 'YYYY-MM-DD'), TO_DATE('2025-08-01 09:45:00', 'YYYY-MM-DD HH24:MI:SS'), TO_DATE('2025-08-01 17:56:00', 'YYYY-MM-DD HH24:MI:SS'));</v>
      </c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</row>
    <row r="131">
      <c r="A131" s="25" t="s">
        <v>206</v>
      </c>
      <c r="B131" s="26">
        <v>130.0</v>
      </c>
      <c r="C131" s="27">
        <v>45870.0</v>
      </c>
      <c r="D131" s="28">
        <v>45870.375</v>
      </c>
      <c r="E131" s="28">
        <v>45870.745833333334</v>
      </c>
      <c r="F131" s="21" t="s">
        <v>189</v>
      </c>
      <c r="G131" s="23"/>
      <c r="H131" s="23" t="str">
        <f t="shared" si="1"/>
        <v>INSERT INTO tblDayAttendanceLog VALUES (seqDayAttendanceLog.nextval, 130, TO_DATE('2025-08-01', 'YYYY-MM-DD'), TO_DATE('2025-08-01 09:00:00', 'YYYY-MM-DD HH24:MI:SS'), TO_DATE('2025-08-01 17:54:00', 'YYYY-MM-DD HH24:MI:SS'));</v>
      </c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</row>
    <row r="132">
      <c r="A132" s="25" t="s">
        <v>206</v>
      </c>
      <c r="B132" s="26">
        <v>131.0</v>
      </c>
      <c r="C132" s="27">
        <v>45870.0</v>
      </c>
      <c r="D132" s="28">
        <v>45870.342361111114</v>
      </c>
      <c r="E132" s="28">
        <v>45870.74722222222</v>
      </c>
      <c r="F132" s="21" t="s">
        <v>184</v>
      </c>
      <c r="G132" s="23"/>
      <c r="H132" s="23" t="str">
        <f t="shared" si="1"/>
        <v>INSERT INTO tblDayAttendanceLog VALUES (seqDayAttendanceLog.nextval, 131, TO_DATE('2025-08-01', 'YYYY-MM-DD'), TO_DATE('2025-08-01 08:13:00', 'YYYY-MM-DD HH24:MI:SS'), TO_DATE('2025-08-01 17:56:00', 'YYYY-MM-DD HH24:MI:SS'));</v>
      </c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</row>
    <row r="133">
      <c r="A133" s="25" t="s">
        <v>206</v>
      </c>
      <c r="B133" s="26">
        <v>132.0</v>
      </c>
      <c r="C133" s="27">
        <v>45870.0</v>
      </c>
      <c r="D133" s="28">
        <v>45870.35208333333</v>
      </c>
      <c r="E133" s="28">
        <v>45870.74513888889</v>
      </c>
      <c r="F133" s="21" t="s">
        <v>184</v>
      </c>
      <c r="G133" s="23"/>
      <c r="H133" s="23" t="str">
        <f t="shared" si="1"/>
        <v>INSERT INTO tblDayAttendanceLog VALUES (seqDayAttendanceLog.nextval, 132, TO_DATE('2025-08-01', 'YYYY-MM-DD'), TO_DATE('2025-08-01 08:27:00', 'YYYY-MM-DD HH24:MI:SS'), TO_DATE('2025-08-01 17:53:00', 'YYYY-MM-DD HH24:MI:SS'));</v>
      </c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</row>
    <row r="134">
      <c r="A134" s="25" t="s">
        <v>206</v>
      </c>
      <c r="B134" s="26">
        <v>133.0</v>
      </c>
      <c r="C134" s="27">
        <v>45870.0</v>
      </c>
      <c r="D134" s="28">
        <v>45870.38888888889</v>
      </c>
      <c r="E134" s="28">
        <v>45870.74375</v>
      </c>
      <c r="F134" s="21" t="s">
        <v>189</v>
      </c>
      <c r="G134" s="23"/>
      <c r="H134" s="23" t="str">
        <f t="shared" si="1"/>
        <v>INSERT INTO tblDayAttendanceLog VALUES (seqDayAttendanceLog.nextval, 133, TO_DATE('2025-08-01', 'YYYY-MM-DD'), TO_DATE('2025-08-01 09:20:00', 'YYYY-MM-DD HH24:MI:SS'), TO_DATE('2025-08-01 17:51:00', 'YYYY-MM-DD HH24:MI:SS'));</v>
      </c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</row>
    <row r="135">
      <c r="A135" s="25" t="s">
        <v>206</v>
      </c>
      <c r="B135" s="26">
        <v>134.0</v>
      </c>
      <c r="C135" s="27">
        <v>45870.0</v>
      </c>
      <c r="D135" s="28">
        <v>45870.404861111114</v>
      </c>
      <c r="E135" s="28">
        <v>45870.74930555555</v>
      </c>
      <c r="F135" s="21" t="s">
        <v>189</v>
      </c>
      <c r="G135" s="23"/>
      <c r="H135" s="23" t="str">
        <f t="shared" si="1"/>
        <v>INSERT INTO tblDayAttendanceLog VALUES (seqDayAttendanceLog.nextval, 134, TO_DATE('2025-08-01', 'YYYY-MM-DD'), TO_DATE('2025-08-01 09:43:00', 'YYYY-MM-DD HH24:MI:SS'), TO_DATE('2025-08-01 17:59:00', 'YYYY-MM-DD HH24:MI:SS'));</v>
      </c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</row>
    <row r="136">
      <c r="A136" s="25" t="s">
        <v>206</v>
      </c>
      <c r="B136" s="26">
        <v>135.0</v>
      </c>
      <c r="C136" s="27">
        <v>45870.0</v>
      </c>
      <c r="D136" s="28">
        <v>45870.39861111111</v>
      </c>
      <c r="E136" s="28">
        <v>45870.74791666667</v>
      </c>
      <c r="F136" s="21" t="s">
        <v>189</v>
      </c>
      <c r="G136" s="23"/>
      <c r="H136" s="23" t="str">
        <f t="shared" si="1"/>
        <v>INSERT INTO tblDayAttendanceLog VALUES (seqDayAttendanceLog.nextval, 135, TO_DATE('2025-08-01', 'YYYY-MM-DD'), TO_DATE('2025-08-01 09:34:00', 'YYYY-MM-DD HH24:MI:SS'), TO_DATE('2025-08-01 17:57:00', 'YYYY-MM-DD HH24:MI:SS'));</v>
      </c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</row>
    <row r="137">
      <c r="A137" s="25" t="s">
        <v>206</v>
      </c>
      <c r="B137" s="26">
        <v>136.0</v>
      </c>
      <c r="C137" s="27">
        <v>45870.0</v>
      </c>
      <c r="D137" s="28">
        <v>45870.35486111111</v>
      </c>
      <c r="E137" s="28">
        <v>45870.74652777778</v>
      </c>
      <c r="F137" s="21" t="s">
        <v>184</v>
      </c>
      <c r="G137" s="23"/>
      <c r="H137" s="23" t="str">
        <f t="shared" si="1"/>
        <v>INSERT INTO tblDayAttendanceLog VALUES (seqDayAttendanceLog.nextval, 136, TO_DATE('2025-08-01', 'YYYY-MM-DD'), TO_DATE('2025-08-01 08:31:00', 'YYYY-MM-DD HH24:MI:SS'), TO_DATE('2025-08-01 17:55:00', 'YYYY-MM-DD HH24:MI:SS'));</v>
      </c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</row>
    <row r="138">
      <c r="A138" s="25" t="s">
        <v>206</v>
      </c>
      <c r="B138" s="26">
        <v>137.0</v>
      </c>
      <c r="C138" s="27">
        <v>45870.0</v>
      </c>
      <c r="D138" s="28">
        <v>45870.35486111111</v>
      </c>
      <c r="E138" s="28">
        <v>45870.74652777778</v>
      </c>
      <c r="F138" s="21" t="s">
        <v>184</v>
      </c>
      <c r="G138" s="23"/>
      <c r="H138" s="23" t="str">
        <f t="shared" si="1"/>
        <v>INSERT INTO tblDayAttendanceLog VALUES (seqDayAttendanceLog.nextval, 137, TO_DATE('2025-08-01', 'YYYY-MM-DD'), TO_DATE('2025-08-01 08:31:00', 'YYYY-MM-DD HH24:MI:SS'), TO_DATE('2025-08-01 17:55:00', 'YYYY-MM-DD HH24:MI:SS'));</v>
      </c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</row>
    <row r="139">
      <c r="A139" s="25" t="s">
        <v>206</v>
      </c>
      <c r="B139" s="26">
        <v>138.0</v>
      </c>
      <c r="C139" s="27">
        <v>45870.0</v>
      </c>
      <c r="D139" s="28">
        <v>45870.35486111111</v>
      </c>
      <c r="E139" s="28">
        <v>45870.74722222222</v>
      </c>
      <c r="F139" s="21" t="s">
        <v>184</v>
      </c>
      <c r="G139" s="23"/>
      <c r="H139" s="23" t="str">
        <f t="shared" si="1"/>
        <v>INSERT INTO tblDayAttendanceLog VALUES (seqDayAttendanceLog.nextval, 138, TO_DATE('2025-08-01', 'YYYY-MM-DD'), TO_DATE('2025-08-01 08:31:00', 'YYYY-MM-DD HH24:MI:SS'), TO_DATE('2025-08-01 17:56:00', 'YYYY-MM-DD HH24:MI:SS'));</v>
      </c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</row>
    <row r="140">
      <c r="A140" s="25" t="s">
        <v>206</v>
      </c>
      <c r="B140" s="26">
        <v>139.0</v>
      </c>
      <c r="C140" s="27">
        <v>45870.0</v>
      </c>
      <c r="D140" s="29"/>
      <c r="E140" s="29"/>
      <c r="F140" s="21" t="s">
        <v>186</v>
      </c>
      <c r="G140" s="23"/>
      <c r="H140" s="23" t="str">
        <f t="shared" si="1"/>
        <v>INSERT INTO tblDayAttendanceLog VALUES (seqDayAttendanceLog.nextval, 139, TO_DATE('2025-08-01', 'YYYY-MM-DD'), NULL, NULL);</v>
      </c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</row>
    <row r="141">
      <c r="A141" s="25" t="s">
        <v>206</v>
      </c>
      <c r="B141" s="26">
        <v>140.0</v>
      </c>
      <c r="C141" s="27">
        <v>45870.0</v>
      </c>
      <c r="D141" s="28">
        <v>45870.34652777778</v>
      </c>
      <c r="E141" s="28">
        <v>45870.74791666667</v>
      </c>
      <c r="F141" s="21" t="s">
        <v>184</v>
      </c>
      <c r="G141" s="23"/>
      <c r="H141" s="23" t="str">
        <f t="shared" si="1"/>
        <v>INSERT INTO tblDayAttendanceLog VALUES (seqDayAttendanceLog.nextval, 140, TO_DATE('2025-08-01', 'YYYY-MM-DD'), TO_DATE('2025-08-01 08:19:00', 'YYYY-MM-DD HH24:MI:SS'), TO_DATE('2025-08-01 17:57:00', 'YYYY-MM-DD HH24:MI:SS'));</v>
      </c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</row>
    <row r="142">
      <c r="A142" s="25" t="s">
        <v>206</v>
      </c>
      <c r="B142" s="26">
        <v>141.0</v>
      </c>
      <c r="C142" s="27">
        <v>45870.0</v>
      </c>
      <c r="D142" s="28">
        <v>45870.365277777775</v>
      </c>
      <c r="E142" s="28">
        <v>45870.74513888889</v>
      </c>
      <c r="F142" s="21" t="s">
        <v>184</v>
      </c>
      <c r="G142" s="23"/>
      <c r="H142" s="23" t="str">
        <f t="shared" si="1"/>
        <v>INSERT INTO tblDayAttendanceLog VALUES (seqDayAttendanceLog.nextval, 141, TO_DATE('2025-08-01', 'YYYY-MM-DD'), TO_DATE('2025-08-01 08:46:00', 'YYYY-MM-DD HH24:MI:SS'), TO_DATE('2025-08-01 17:53:00', 'YYYY-MM-DD HH24:MI:SS'));</v>
      </c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</row>
    <row r="143">
      <c r="A143" s="25" t="s">
        <v>206</v>
      </c>
      <c r="B143" s="26">
        <v>142.0</v>
      </c>
      <c r="C143" s="27">
        <v>45870.0</v>
      </c>
      <c r="D143" s="28">
        <v>45870.33541666667</v>
      </c>
      <c r="E143" s="28">
        <v>45870.74791666667</v>
      </c>
      <c r="F143" s="21" t="s">
        <v>184</v>
      </c>
      <c r="G143" s="23"/>
      <c r="H143" s="23" t="str">
        <f t="shared" si="1"/>
        <v>INSERT INTO tblDayAttendanceLog VALUES (seqDayAttendanceLog.nextval, 142, TO_DATE('2025-08-01', 'YYYY-MM-DD'), TO_DATE('2025-08-01 08:03:00', 'YYYY-MM-DD HH24:MI:SS'), TO_DATE('2025-08-01 17:57:00', 'YYYY-MM-DD HH24:MI:SS'));</v>
      </c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</row>
    <row r="144">
      <c r="A144" s="25" t="s">
        <v>206</v>
      </c>
      <c r="B144" s="26">
        <v>143.0</v>
      </c>
      <c r="C144" s="27">
        <v>45870.0</v>
      </c>
      <c r="D144" s="28">
        <v>45870.36041666667</v>
      </c>
      <c r="E144" s="28">
        <v>45870.569444444445</v>
      </c>
      <c r="F144" s="21" t="s">
        <v>187</v>
      </c>
      <c r="G144" s="23"/>
      <c r="H144" s="23" t="str">
        <f t="shared" si="1"/>
        <v>INSERT INTO tblDayAttendanceLog VALUES (seqDayAttendanceLog.nextval, 143, TO_DATE('2025-08-01', 'YYYY-MM-DD'), TO_DATE('2025-08-01 08:39:00', 'YYYY-MM-DD HH24:MI:SS'), TO_DATE('2025-08-01 13:40:00', 'YYYY-MM-DD HH24:MI:SS'));</v>
      </c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</row>
    <row r="145">
      <c r="A145" s="25" t="s">
        <v>206</v>
      </c>
      <c r="B145" s="26">
        <v>144.0</v>
      </c>
      <c r="C145" s="27">
        <v>45870.0</v>
      </c>
      <c r="D145" s="28">
        <v>45870.350694444445</v>
      </c>
      <c r="E145" s="28">
        <v>45870.748611111114</v>
      </c>
      <c r="F145" s="21" t="s">
        <v>184</v>
      </c>
      <c r="G145" s="23"/>
      <c r="H145" s="23" t="str">
        <f t="shared" si="1"/>
        <v>INSERT INTO tblDayAttendanceLog VALUES (seqDayAttendanceLog.nextval, 144, TO_DATE('2025-08-01', 'YYYY-MM-DD'), TO_DATE('2025-08-01 08:25:00', 'YYYY-MM-DD HH24:MI:SS'), TO_DATE('2025-08-01 17:58:00', 'YYYY-MM-DD HH24:MI:SS'));</v>
      </c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</row>
    <row r="146">
      <c r="A146" s="25" t="s">
        <v>206</v>
      </c>
      <c r="B146" s="26">
        <v>145.0</v>
      </c>
      <c r="C146" s="27">
        <v>45870.0</v>
      </c>
      <c r="D146" s="28">
        <v>45870.402083333334</v>
      </c>
      <c r="E146" s="28">
        <v>45870.74930555555</v>
      </c>
      <c r="F146" s="21" t="s">
        <v>189</v>
      </c>
      <c r="G146" s="23"/>
      <c r="H146" s="23" t="str">
        <f t="shared" si="1"/>
        <v>INSERT INTO tblDayAttendanceLog VALUES (seqDayAttendanceLog.nextval, 145, TO_DATE('2025-08-01', 'YYYY-MM-DD'), TO_DATE('2025-08-01 09:39:00', 'YYYY-MM-DD HH24:MI:SS'), TO_DATE('2025-08-01 17:59:00', 'YYYY-MM-DD HH24:MI:SS'));</v>
      </c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</row>
    <row r="147">
      <c r="A147" s="25" t="s">
        <v>206</v>
      </c>
      <c r="B147" s="26">
        <v>146.0</v>
      </c>
      <c r="C147" s="27">
        <v>45870.0</v>
      </c>
      <c r="D147" s="28">
        <v>45870.410416666666</v>
      </c>
      <c r="E147" s="28">
        <v>45870.748611111114</v>
      </c>
      <c r="F147" s="21" t="s">
        <v>189</v>
      </c>
      <c r="G147" s="23"/>
      <c r="H147" s="23" t="str">
        <f t="shared" si="1"/>
        <v>INSERT INTO tblDayAttendanceLog VALUES (seqDayAttendanceLog.nextval, 146, TO_DATE('2025-08-01', 'YYYY-MM-DD'), TO_DATE('2025-08-01 09:51:00', 'YYYY-MM-DD HH24:MI:SS'), TO_DATE('2025-08-01 17:58:00', 'YYYY-MM-DD HH24:MI:SS'));</v>
      </c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</row>
    <row r="148">
      <c r="A148" s="25" t="s">
        <v>206</v>
      </c>
      <c r="B148" s="26">
        <v>147.0</v>
      </c>
      <c r="C148" s="27">
        <v>45870.0</v>
      </c>
      <c r="D148" s="28">
        <v>45870.342361111114</v>
      </c>
      <c r="E148" s="28">
        <v>45870.743055555555</v>
      </c>
      <c r="F148" s="21" t="s">
        <v>184</v>
      </c>
      <c r="G148" s="23"/>
      <c r="H148" s="23" t="str">
        <f t="shared" si="1"/>
        <v>INSERT INTO tblDayAttendanceLog VALUES (seqDayAttendanceLog.nextval, 147, TO_DATE('2025-08-01', 'YYYY-MM-DD'), TO_DATE('2025-08-01 08:13:00', 'YYYY-MM-DD HH24:MI:SS'), TO_DATE('2025-08-01 17:50:00', 'YYYY-MM-DD HH24:MI:SS'));</v>
      </c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</row>
    <row r="149">
      <c r="A149" s="25" t="s">
        <v>206</v>
      </c>
      <c r="B149" s="26">
        <v>148.0</v>
      </c>
      <c r="C149" s="27">
        <v>45870.0</v>
      </c>
      <c r="D149" s="28">
        <v>45870.39791666667</v>
      </c>
      <c r="E149" s="28">
        <v>45870.74652777778</v>
      </c>
      <c r="F149" s="21" t="s">
        <v>189</v>
      </c>
      <c r="G149" s="23"/>
      <c r="H149" s="23" t="str">
        <f t="shared" si="1"/>
        <v>INSERT INTO tblDayAttendanceLog VALUES (seqDayAttendanceLog.nextval, 148, TO_DATE('2025-08-01', 'YYYY-MM-DD'), TO_DATE('2025-08-01 09:33:00', 'YYYY-MM-DD HH24:MI:SS'), TO_DATE('2025-08-01 17:55:00', 'YYYY-MM-DD HH24:MI:SS'));</v>
      </c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</row>
    <row r="150">
      <c r="A150" s="25" t="s">
        <v>206</v>
      </c>
      <c r="B150" s="26">
        <v>149.0</v>
      </c>
      <c r="C150" s="27">
        <v>45870.0</v>
      </c>
      <c r="D150" s="28">
        <v>45870.41458333333</v>
      </c>
      <c r="E150" s="28">
        <v>45870.74722222222</v>
      </c>
      <c r="F150" s="21" t="s">
        <v>189</v>
      </c>
      <c r="G150" s="23"/>
      <c r="H150" s="23" t="str">
        <f t="shared" si="1"/>
        <v>INSERT INTO tblDayAttendanceLog VALUES (seqDayAttendanceLog.nextval, 149, TO_DATE('2025-08-01', 'YYYY-MM-DD'), TO_DATE('2025-08-01 09:57:00', 'YYYY-MM-DD HH24:MI:SS'), TO_DATE('2025-08-01 17:56:00', 'YYYY-MM-DD HH24:MI:SS'));</v>
      </c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</row>
    <row r="151">
      <c r="A151" s="25" t="s">
        <v>206</v>
      </c>
      <c r="B151" s="26">
        <v>150.0</v>
      </c>
      <c r="C151" s="27">
        <v>45870.0</v>
      </c>
      <c r="D151" s="28">
        <v>45870.37847222222</v>
      </c>
      <c r="E151" s="28">
        <v>45870.74652777778</v>
      </c>
      <c r="F151" s="21" t="s">
        <v>189</v>
      </c>
      <c r="G151" s="23"/>
      <c r="H151" s="23" t="str">
        <f t="shared" si="1"/>
        <v>INSERT INTO tblDayAttendanceLog VALUES (seqDayAttendanceLog.nextval, 150, TO_DATE('2025-08-01', 'YYYY-MM-DD'), TO_DATE('2025-08-01 09:05:00', 'YYYY-MM-DD HH24:MI:SS'), TO_DATE('2025-08-01 17:55:00', 'YYYY-MM-DD HH24:MI:SS'));</v>
      </c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</row>
    <row r="152">
      <c r="A152" s="25" t="s">
        <v>206</v>
      </c>
      <c r="B152" s="26">
        <v>151.0</v>
      </c>
      <c r="C152" s="27">
        <v>45870.0</v>
      </c>
      <c r="D152" s="28">
        <v>45870.38055555556</v>
      </c>
      <c r="E152" s="28">
        <v>45870.74722222222</v>
      </c>
      <c r="F152" s="21" t="s">
        <v>189</v>
      </c>
      <c r="G152" s="23"/>
      <c r="H152" s="23" t="str">
        <f t="shared" si="1"/>
        <v>INSERT INTO tblDayAttendanceLog VALUES (seqDayAttendanceLog.nextval, 151, TO_DATE('2025-08-01', 'YYYY-MM-DD'), TO_DATE('2025-08-01 09:08:00', 'YYYY-MM-DD HH24:MI:SS'), TO_DATE('2025-08-01 17:56:00', 'YYYY-MM-DD HH24:MI:SS'));</v>
      </c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</row>
    <row r="153">
      <c r="A153" s="25" t="s">
        <v>206</v>
      </c>
      <c r="B153" s="26">
        <v>152.0</v>
      </c>
      <c r="C153" s="27">
        <v>45870.0</v>
      </c>
      <c r="D153" s="28">
        <v>45870.34444444445</v>
      </c>
      <c r="E153" s="28">
        <v>45870.74444444444</v>
      </c>
      <c r="F153" s="21" t="s">
        <v>184</v>
      </c>
      <c r="G153" s="23"/>
      <c r="H153" s="23" t="str">
        <f t="shared" si="1"/>
        <v>INSERT INTO tblDayAttendanceLog VALUES (seqDayAttendanceLog.nextval, 152, TO_DATE('2025-08-01', 'YYYY-MM-DD'), TO_DATE('2025-08-01 08:16:00', 'YYYY-MM-DD HH24:MI:SS'), TO_DATE('2025-08-01 17:52:00', 'YYYY-MM-DD HH24:MI:SS'));</v>
      </c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</row>
    <row r="154">
      <c r="A154" s="25" t="s">
        <v>206</v>
      </c>
      <c r="B154" s="26">
        <v>153.0</v>
      </c>
      <c r="C154" s="27">
        <v>45870.0</v>
      </c>
      <c r="D154" s="28">
        <v>45870.385416666664</v>
      </c>
      <c r="E154" s="28">
        <v>45870.74375</v>
      </c>
      <c r="F154" s="21" t="s">
        <v>189</v>
      </c>
      <c r="G154" s="23"/>
      <c r="H154" s="23" t="str">
        <f t="shared" si="1"/>
        <v>INSERT INTO tblDayAttendanceLog VALUES (seqDayAttendanceLog.nextval, 153, TO_DATE('2025-08-01', 'YYYY-MM-DD'), TO_DATE('2025-08-01 09:15:00', 'YYYY-MM-DD HH24:MI:SS'), TO_DATE('2025-08-01 17:51:00', 'YYYY-MM-DD HH24:MI:SS'));</v>
      </c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</row>
    <row r="155">
      <c r="A155" s="25" t="s">
        <v>206</v>
      </c>
      <c r="B155" s="26">
        <v>154.0</v>
      </c>
      <c r="C155" s="27">
        <v>45870.0</v>
      </c>
      <c r="D155" s="28">
        <v>45870.361805555556</v>
      </c>
      <c r="E155" s="28">
        <v>45870.745833333334</v>
      </c>
      <c r="F155" s="21" t="s">
        <v>184</v>
      </c>
      <c r="G155" s="23"/>
      <c r="H155" s="23" t="str">
        <f t="shared" si="1"/>
        <v>INSERT INTO tblDayAttendanceLog VALUES (seqDayAttendanceLog.nextval, 154, TO_DATE('2025-08-01', 'YYYY-MM-DD'), TO_DATE('2025-08-01 08:41:00', 'YYYY-MM-DD HH24:MI:SS'), TO_DATE('2025-08-01 17:54:00', 'YYYY-MM-DD HH24:MI:SS'));</v>
      </c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</row>
    <row r="156">
      <c r="A156" s="25" t="s">
        <v>206</v>
      </c>
      <c r="B156" s="26">
        <v>155.0</v>
      </c>
      <c r="C156" s="27">
        <v>45870.0</v>
      </c>
      <c r="D156" s="28">
        <v>45870.333333333336</v>
      </c>
      <c r="E156" s="28">
        <v>45870.748611111114</v>
      </c>
      <c r="F156" s="21" t="s">
        <v>184</v>
      </c>
      <c r="G156" s="23"/>
      <c r="H156" s="23" t="str">
        <f t="shared" si="1"/>
        <v>INSERT INTO tblDayAttendanceLog VALUES (seqDayAttendanceLog.nextval, 155, TO_DATE('2025-08-01', 'YYYY-MM-DD'), TO_DATE('2025-08-01 08:00:00', 'YYYY-MM-DD HH24:MI:SS'), TO_DATE('2025-08-01 17:58:00', 'YYYY-MM-DD HH24:MI:SS'));</v>
      </c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</row>
    <row r="157">
      <c r="A157" s="25" t="s">
        <v>206</v>
      </c>
      <c r="B157" s="26">
        <v>156.0</v>
      </c>
      <c r="C157" s="27">
        <v>45870.0</v>
      </c>
      <c r="D157" s="28">
        <v>45870.413194444445</v>
      </c>
      <c r="E157" s="28">
        <v>45870.74444444444</v>
      </c>
      <c r="F157" s="21" t="s">
        <v>189</v>
      </c>
      <c r="G157" s="23"/>
      <c r="H157" s="23" t="str">
        <f t="shared" si="1"/>
        <v>INSERT INTO tblDayAttendanceLog VALUES (seqDayAttendanceLog.nextval, 156, TO_DATE('2025-08-01', 'YYYY-MM-DD'), TO_DATE('2025-08-01 09:55:00', 'YYYY-MM-DD HH24:MI:SS'), TO_DATE('2025-08-01 17:52:00', 'YYYY-MM-DD HH24:MI:SS'));</v>
      </c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</row>
    <row r="158">
      <c r="A158" s="25" t="s">
        <v>206</v>
      </c>
      <c r="B158" s="26">
        <v>157.0</v>
      </c>
      <c r="C158" s="27">
        <v>45870.0</v>
      </c>
      <c r="D158" s="28">
        <v>45870.39444444444</v>
      </c>
      <c r="E158" s="28">
        <v>45870.74444444444</v>
      </c>
      <c r="F158" s="21" t="s">
        <v>189</v>
      </c>
      <c r="G158" s="23"/>
      <c r="H158" s="23" t="str">
        <f t="shared" si="1"/>
        <v>INSERT INTO tblDayAttendanceLog VALUES (seqDayAttendanceLog.nextval, 157, TO_DATE('2025-08-01', 'YYYY-MM-DD'), TO_DATE('2025-08-01 09:28:00', 'YYYY-MM-DD HH24:MI:SS'), TO_DATE('2025-08-01 17:52:00', 'YYYY-MM-DD HH24:MI:SS'));</v>
      </c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</row>
    <row r="159">
      <c r="A159" s="25" t="s">
        <v>206</v>
      </c>
      <c r="B159" s="26">
        <v>158.0</v>
      </c>
      <c r="C159" s="27">
        <v>45870.0</v>
      </c>
      <c r="D159" s="28">
        <v>45870.393055555556</v>
      </c>
      <c r="E159" s="28">
        <v>45870.74444444444</v>
      </c>
      <c r="F159" s="21" t="s">
        <v>189</v>
      </c>
      <c r="G159" s="23"/>
      <c r="H159" s="23" t="str">
        <f t="shared" si="1"/>
        <v>INSERT INTO tblDayAttendanceLog VALUES (seqDayAttendanceLog.nextval, 158, TO_DATE('2025-08-01', 'YYYY-MM-DD'), TO_DATE('2025-08-01 09:26:00', 'YYYY-MM-DD HH24:MI:SS'), TO_DATE('2025-08-01 17:52:00', 'YYYY-MM-DD HH24:MI:SS'));</v>
      </c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</row>
    <row r="160">
      <c r="A160" s="25" t="s">
        <v>206</v>
      </c>
      <c r="B160" s="26">
        <v>159.0</v>
      </c>
      <c r="C160" s="27">
        <v>45870.0</v>
      </c>
      <c r="D160" s="28">
        <v>45870.35902777778</v>
      </c>
      <c r="E160" s="28">
        <v>45870.74652777778</v>
      </c>
      <c r="F160" s="21" t="s">
        <v>184</v>
      </c>
      <c r="G160" s="23"/>
      <c r="H160" s="23" t="str">
        <f t="shared" si="1"/>
        <v>INSERT INTO tblDayAttendanceLog VALUES (seqDayAttendanceLog.nextval, 159, TO_DATE('2025-08-01', 'YYYY-MM-DD'), TO_DATE('2025-08-01 08:37:00', 'YYYY-MM-DD HH24:MI:SS'), TO_DATE('2025-08-01 17:55:00', 'YYYY-MM-DD HH24:MI:SS'));</v>
      </c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</row>
    <row r="161">
      <c r="A161" s="25" t="s">
        <v>206</v>
      </c>
      <c r="B161" s="26">
        <v>160.0</v>
      </c>
      <c r="C161" s="27">
        <v>45870.0</v>
      </c>
      <c r="D161" s="28">
        <v>45870.39722222222</v>
      </c>
      <c r="E161" s="28">
        <v>45870.74930555555</v>
      </c>
      <c r="F161" s="21" t="s">
        <v>189</v>
      </c>
      <c r="G161" s="23"/>
      <c r="H161" s="23" t="str">
        <f t="shared" si="1"/>
        <v>INSERT INTO tblDayAttendanceLog VALUES (seqDayAttendanceLog.nextval, 160, TO_DATE('2025-08-01', 'YYYY-MM-DD'), TO_DATE('2025-08-01 09:32:00', 'YYYY-MM-DD HH24:MI:SS'), TO_DATE('2025-08-01 17:59:00', 'YYYY-MM-DD HH24:MI:SS'));</v>
      </c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</row>
    <row r="162">
      <c r="A162" s="25" t="s">
        <v>206</v>
      </c>
      <c r="B162" s="26">
        <v>161.0</v>
      </c>
      <c r="C162" s="27">
        <v>45870.0</v>
      </c>
      <c r="D162" s="28">
        <v>45870.35138888889</v>
      </c>
      <c r="E162" s="28">
        <v>45870.74513888889</v>
      </c>
      <c r="F162" s="21" t="s">
        <v>184</v>
      </c>
      <c r="G162" s="23"/>
      <c r="H162" s="23" t="str">
        <f t="shared" si="1"/>
        <v>INSERT INTO tblDayAttendanceLog VALUES (seqDayAttendanceLog.nextval, 161, TO_DATE('2025-08-01', 'YYYY-MM-DD'), TO_DATE('2025-08-01 08:26:00', 'YYYY-MM-DD HH24:MI:SS'), TO_DATE('2025-08-01 17:53:00', 'YYYY-MM-DD HH24:MI:SS'));</v>
      </c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</row>
    <row r="163">
      <c r="A163" s="25" t="s">
        <v>206</v>
      </c>
      <c r="B163" s="26">
        <v>162.0</v>
      </c>
      <c r="C163" s="27">
        <v>45870.0</v>
      </c>
      <c r="D163" s="28">
        <v>45870.37013888889</v>
      </c>
      <c r="E163" s="28">
        <v>45870.74652777778</v>
      </c>
      <c r="F163" s="21" t="s">
        <v>184</v>
      </c>
      <c r="G163" s="23"/>
      <c r="H163" s="23" t="str">
        <f t="shared" si="1"/>
        <v>INSERT INTO tblDayAttendanceLog VALUES (seqDayAttendanceLog.nextval, 162, TO_DATE('2025-08-01', 'YYYY-MM-DD'), TO_DATE('2025-08-01 08:53:00', 'YYYY-MM-DD HH24:MI:SS'), TO_DATE('2025-08-01 17:55:00', 'YYYY-MM-DD HH24:MI:SS'));</v>
      </c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</row>
    <row r="164">
      <c r="A164" s="25" t="s">
        <v>206</v>
      </c>
      <c r="B164" s="26">
        <v>163.0</v>
      </c>
      <c r="C164" s="27">
        <v>45870.0</v>
      </c>
      <c r="D164" s="28">
        <v>45870.41388888889</v>
      </c>
      <c r="E164" s="28">
        <v>45870.748611111114</v>
      </c>
      <c r="F164" s="21" t="s">
        <v>189</v>
      </c>
      <c r="G164" s="23"/>
      <c r="H164" s="23" t="str">
        <f t="shared" si="1"/>
        <v>INSERT INTO tblDayAttendanceLog VALUES (seqDayAttendanceLog.nextval, 163, TO_DATE('2025-08-01', 'YYYY-MM-DD'), TO_DATE('2025-08-01 09:56:00', 'YYYY-MM-DD HH24:MI:SS'), TO_DATE('2025-08-01 17:58:00', 'YYYY-MM-DD HH24:MI:SS'));</v>
      </c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</row>
    <row r="165">
      <c r="A165" s="25" t="s">
        <v>206</v>
      </c>
      <c r="B165" s="26">
        <v>164.0</v>
      </c>
      <c r="C165" s="27">
        <v>45870.0</v>
      </c>
      <c r="D165" s="28">
        <v>45870.381944444445</v>
      </c>
      <c r="E165" s="28">
        <v>45870.74444444444</v>
      </c>
      <c r="F165" s="21" t="s">
        <v>189</v>
      </c>
      <c r="G165" s="23"/>
      <c r="H165" s="23" t="str">
        <f t="shared" si="1"/>
        <v>INSERT INTO tblDayAttendanceLog VALUES (seqDayAttendanceLog.nextval, 164, TO_DATE('2025-08-01', 'YYYY-MM-DD'), TO_DATE('2025-08-01 09:10:00', 'YYYY-MM-DD HH24:MI:SS'), TO_DATE('2025-08-01 17:52:00', 'YYYY-MM-DD HH24:MI:SS'));</v>
      </c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</row>
    <row r="166">
      <c r="A166" s="25" t="s">
        <v>206</v>
      </c>
      <c r="B166" s="26">
        <v>165.0</v>
      </c>
      <c r="C166" s="27">
        <v>45870.0</v>
      </c>
      <c r="D166" s="28">
        <v>45870.333333333336</v>
      </c>
      <c r="E166" s="28">
        <v>45870.74444444444</v>
      </c>
      <c r="F166" s="21" t="s">
        <v>184</v>
      </c>
      <c r="G166" s="23"/>
      <c r="H166" s="23" t="str">
        <f t="shared" si="1"/>
        <v>INSERT INTO tblDayAttendanceLog VALUES (seqDayAttendanceLog.nextval, 165, TO_DATE('2025-08-01', 'YYYY-MM-DD'), TO_DATE('2025-08-01 08:00:00', 'YYYY-MM-DD HH24:MI:SS'), TO_DATE('2025-08-01 17:52:00', 'YYYY-MM-DD HH24:MI:SS'));</v>
      </c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</row>
    <row r="167">
      <c r="A167" s="25" t="s">
        <v>206</v>
      </c>
      <c r="B167" s="26">
        <v>166.0</v>
      </c>
      <c r="C167" s="27">
        <v>45870.0</v>
      </c>
      <c r="D167" s="28">
        <v>45870.36041666667</v>
      </c>
      <c r="E167" s="28">
        <v>45870.745833333334</v>
      </c>
      <c r="F167" s="21" t="s">
        <v>184</v>
      </c>
      <c r="G167" s="23"/>
      <c r="H167" s="23" t="str">
        <f t="shared" si="1"/>
        <v>INSERT INTO tblDayAttendanceLog VALUES (seqDayAttendanceLog.nextval, 166, TO_DATE('2025-08-01', 'YYYY-MM-DD'), TO_DATE('2025-08-01 08:39:00', 'YYYY-MM-DD HH24:MI:SS'), TO_DATE('2025-08-01 17:54:00', 'YYYY-MM-DD HH24:MI:SS'));</v>
      </c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</row>
    <row r="168">
      <c r="A168" s="25" t="s">
        <v>206</v>
      </c>
      <c r="B168" s="26">
        <v>167.0</v>
      </c>
      <c r="C168" s="27">
        <v>45870.0</v>
      </c>
      <c r="D168" s="28">
        <v>45870.347916666666</v>
      </c>
      <c r="E168" s="28">
        <v>45870.74375</v>
      </c>
      <c r="F168" s="21" t="s">
        <v>184</v>
      </c>
      <c r="G168" s="23"/>
      <c r="H168" s="23" t="str">
        <f t="shared" si="1"/>
        <v>INSERT INTO tblDayAttendanceLog VALUES (seqDayAttendanceLog.nextval, 167, TO_DATE('2025-08-01', 'YYYY-MM-DD'), TO_DATE('2025-08-01 08:21:00', 'YYYY-MM-DD HH24:MI:SS'), TO_DATE('2025-08-01 17:51:00', 'YYYY-MM-DD HH24:MI:SS'));</v>
      </c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</row>
    <row r="169">
      <c r="A169" s="25" t="s">
        <v>206</v>
      </c>
      <c r="B169" s="26">
        <v>168.0</v>
      </c>
      <c r="C169" s="27">
        <v>45870.0</v>
      </c>
      <c r="D169" s="28">
        <v>45870.35138888889</v>
      </c>
      <c r="E169" s="28">
        <v>45870.74722222222</v>
      </c>
      <c r="F169" s="21" t="s">
        <v>184</v>
      </c>
      <c r="G169" s="23"/>
      <c r="H169" s="23" t="str">
        <f t="shared" si="1"/>
        <v>INSERT INTO tblDayAttendanceLog VALUES (seqDayAttendanceLog.nextval, 168, TO_DATE('2025-08-01', 'YYYY-MM-DD'), TO_DATE('2025-08-01 08:26:00', 'YYYY-MM-DD HH24:MI:SS'), TO_DATE('2025-08-01 17:56:00', 'YYYY-MM-DD HH24:MI:SS'));</v>
      </c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</row>
    <row r="170">
      <c r="A170" s="25" t="s">
        <v>206</v>
      </c>
      <c r="B170" s="26">
        <v>1.0</v>
      </c>
      <c r="C170" s="27">
        <v>45873.0</v>
      </c>
      <c r="D170" s="28">
        <v>45873.407638888886</v>
      </c>
      <c r="E170" s="28">
        <v>45873.74375</v>
      </c>
      <c r="F170" s="21" t="s">
        <v>189</v>
      </c>
      <c r="G170" s="23"/>
      <c r="H170" s="23" t="str">
        <f t="shared" si="1"/>
        <v>INSERT INTO tblDayAttendanceLog VALUES (seqDayAttendanceLog.nextval, 1, TO_DATE('2025-08-04', 'YYYY-MM-DD'), TO_DATE('2025-08-04 09:47:00', 'YYYY-MM-DD HH24:MI:SS'), TO_DATE('2025-08-04 17:51:00', 'YYYY-MM-DD HH24:MI:SS'));</v>
      </c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</row>
    <row r="171">
      <c r="A171" s="25" t="s">
        <v>206</v>
      </c>
      <c r="B171" s="26">
        <v>2.0</v>
      </c>
      <c r="C171" s="27">
        <v>45873.0</v>
      </c>
      <c r="D171" s="28">
        <v>45873.39236111111</v>
      </c>
      <c r="E171" s="28">
        <v>45873.74722222222</v>
      </c>
      <c r="F171" s="21" t="s">
        <v>189</v>
      </c>
      <c r="G171" s="23"/>
      <c r="H171" s="23" t="str">
        <f t="shared" si="1"/>
        <v>INSERT INTO tblDayAttendanceLog VALUES (seqDayAttendanceLog.nextval, 2, TO_DATE('2025-08-04', 'YYYY-MM-DD'), TO_DATE('2025-08-04 09:25:00', 'YYYY-MM-DD HH24:MI:SS'), TO_DATE('2025-08-04 17:56:00', 'YYYY-MM-DD HH24:MI:SS'));</v>
      </c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</row>
    <row r="172">
      <c r="A172" s="25" t="s">
        <v>206</v>
      </c>
      <c r="B172" s="26">
        <v>3.0</v>
      </c>
      <c r="C172" s="27">
        <v>45873.0</v>
      </c>
      <c r="D172" s="28">
        <v>45873.413194444445</v>
      </c>
      <c r="E172" s="28">
        <v>45873.74375</v>
      </c>
      <c r="F172" s="21" t="s">
        <v>189</v>
      </c>
      <c r="G172" s="23"/>
      <c r="H172" s="23" t="str">
        <f t="shared" si="1"/>
        <v>INSERT INTO tblDayAttendanceLog VALUES (seqDayAttendanceLog.nextval, 3, TO_DATE('2025-08-04', 'YYYY-MM-DD'), TO_DATE('2025-08-04 09:55:00', 'YYYY-MM-DD HH24:MI:SS'), TO_DATE('2025-08-04 17:51:00', 'YYYY-MM-DD HH24:MI:SS'));</v>
      </c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</row>
    <row r="173">
      <c r="A173" s="25" t="s">
        <v>206</v>
      </c>
      <c r="B173" s="26">
        <v>4.0</v>
      </c>
      <c r="C173" s="27">
        <v>45873.0</v>
      </c>
      <c r="D173" s="28">
        <v>45873.35277777778</v>
      </c>
      <c r="E173" s="28">
        <v>45873.74513888889</v>
      </c>
      <c r="F173" s="21" t="s">
        <v>184</v>
      </c>
      <c r="G173" s="23"/>
      <c r="H173" s="23" t="str">
        <f t="shared" si="1"/>
        <v>INSERT INTO tblDayAttendanceLog VALUES (seqDayAttendanceLog.nextval, 4, TO_DATE('2025-08-04', 'YYYY-MM-DD'), TO_DATE('2025-08-04 08:28:00', 'YYYY-MM-DD HH24:MI:SS'), TO_DATE('2025-08-04 17:53:00', 'YYYY-MM-DD HH24:MI:SS'));</v>
      </c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</row>
    <row r="174">
      <c r="A174" s="25" t="s">
        <v>206</v>
      </c>
      <c r="B174" s="26">
        <v>5.0</v>
      </c>
      <c r="C174" s="27">
        <v>45873.0</v>
      </c>
      <c r="D174" s="28">
        <v>45873.37777777778</v>
      </c>
      <c r="E174" s="28">
        <v>45873.74930555555</v>
      </c>
      <c r="F174" s="21" t="s">
        <v>189</v>
      </c>
      <c r="G174" s="23"/>
      <c r="H174" s="23" t="str">
        <f t="shared" si="1"/>
        <v>INSERT INTO tblDayAttendanceLog VALUES (seqDayAttendanceLog.nextval, 5, TO_DATE('2025-08-04', 'YYYY-MM-DD'), TO_DATE('2025-08-04 09:04:00', 'YYYY-MM-DD HH24:MI:SS'), TO_DATE('2025-08-04 17:59:00', 'YYYY-MM-DD HH24:MI:SS'));</v>
      </c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</row>
    <row r="175">
      <c r="A175" s="25" t="s">
        <v>206</v>
      </c>
      <c r="B175" s="26">
        <v>6.0</v>
      </c>
      <c r="C175" s="27">
        <v>45873.0</v>
      </c>
      <c r="D175" s="28">
        <v>45873.384722222225</v>
      </c>
      <c r="E175" s="28">
        <v>45873.74652777778</v>
      </c>
      <c r="F175" s="21" t="s">
        <v>189</v>
      </c>
      <c r="G175" s="23"/>
      <c r="H175" s="23" t="str">
        <f t="shared" si="1"/>
        <v>INSERT INTO tblDayAttendanceLog VALUES (seqDayAttendanceLog.nextval, 6, TO_DATE('2025-08-04', 'YYYY-MM-DD'), TO_DATE('2025-08-04 09:14:00', 'YYYY-MM-DD HH24:MI:SS'), TO_DATE('2025-08-04 17:55:00', 'YYYY-MM-DD HH24:MI:SS'));</v>
      </c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</row>
    <row r="176">
      <c r="A176" s="25" t="s">
        <v>206</v>
      </c>
      <c r="B176" s="26">
        <v>7.0</v>
      </c>
      <c r="C176" s="27">
        <v>45873.0</v>
      </c>
      <c r="D176" s="28">
        <v>45873.39027777778</v>
      </c>
      <c r="E176" s="28">
        <v>45873.745833333334</v>
      </c>
      <c r="F176" s="21" t="s">
        <v>189</v>
      </c>
      <c r="G176" s="23"/>
      <c r="H176" s="23" t="str">
        <f t="shared" si="1"/>
        <v>INSERT INTO tblDayAttendanceLog VALUES (seqDayAttendanceLog.nextval, 7, TO_DATE('2025-08-04', 'YYYY-MM-DD'), TO_DATE('2025-08-04 09:22:00', 'YYYY-MM-DD HH24:MI:SS'), TO_DATE('2025-08-04 17:54:00', 'YYYY-MM-DD HH24:MI:SS'));</v>
      </c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</row>
    <row r="177">
      <c r="A177" s="25" t="s">
        <v>206</v>
      </c>
      <c r="B177" s="26">
        <v>8.0</v>
      </c>
      <c r="C177" s="27">
        <v>45873.0</v>
      </c>
      <c r="D177" s="28">
        <v>45873.36736111111</v>
      </c>
      <c r="E177" s="28">
        <v>45873.74444444444</v>
      </c>
      <c r="F177" s="21" t="s">
        <v>184</v>
      </c>
      <c r="G177" s="23"/>
      <c r="H177" s="23" t="str">
        <f t="shared" si="1"/>
        <v>INSERT INTO tblDayAttendanceLog VALUES (seqDayAttendanceLog.nextval, 8, TO_DATE('2025-08-04', 'YYYY-MM-DD'), TO_DATE('2025-08-04 08:49:00', 'YYYY-MM-DD HH24:MI:SS'), TO_DATE('2025-08-04 17:52:00', 'YYYY-MM-DD HH24:MI:SS'));</v>
      </c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</row>
    <row r="178">
      <c r="A178" s="25" t="s">
        <v>206</v>
      </c>
      <c r="B178" s="26">
        <v>9.0</v>
      </c>
      <c r="C178" s="27">
        <v>45873.0</v>
      </c>
      <c r="D178" s="28">
        <v>45873.376388888886</v>
      </c>
      <c r="E178" s="28">
        <v>45873.74930555555</v>
      </c>
      <c r="F178" s="21" t="s">
        <v>189</v>
      </c>
      <c r="G178" s="23"/>
      <c r="H178" s="23" t="str">
        <f t="shared" si="1"/>
        <v>INSERT INTO tblDayAttendanceLog VALUES (seqDayAttendanceLog.nextval, 9, TO_DATE('2025-08-04', 'YYYY-MM-DD'), TO_DATE('2025-08-04 09:02:00', 'YYYY-MM-DD HH24:MI:SS'), TO_DATE('2025-08-04 17:59:00', 'YYYY-MM-DD HH24:MI:SS'));</v>
      </c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</row>
    <row r="179">
      <c r="A179" s="25" t="s">
        <v>206</v>
      </c>
      <c r="B179" s="26">
        <v>10.0</v>
      </c>
      <c r="C179" s="27">
        <v>45873.0</v>
      </c>
      <c r="D179" s="28">
        <v>45873.40069444444</v>
      </c>
      <c r="E179" s="28">
        <v>45873.74513888889</v>
      </c>
      <c r="F179" s="21" t="s">
        <v>189</v>
      </c>
      <c r="G179" s="23"/>
      <c r="H179" s="23" t="str">
        <f t="shared" si="1"/>
        <v>INSERT INTO tblDayAttendanceLog VALUES (seqDayAttendanceLog.nextval, 10, TO_DATE('2025-08-04', 'YYYY-MM-DD'), TO_DATE('2025-08-04 09:37:00', 'YYYY-MM-DD HH24:MI:SS'), TO_DATE('2025-08-04 17:53:00', 'YYYY-MM-DD HH24:MI:SS'));</v>
      </c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</row>
    <row r="180">
      <c r="A180" s="25" t="s">
        <v>206</v>
      </c>
      <c r="B180" s="26">
        <v>11.0</v>
      </c>
      <c r="C180" s="27">
        <v>45873.0</v>
      </c>
      <c r="D180" s="28">
        <v>45873.34444444445</v>
      </c>
      <c r="E180" s="28">
        <v>45873.74652777778</v>
      </c>
      <c r="F180" s="21" t="s">
        <v>184</v>
      </c>
      <c r="G180" s="23"/>
      <c r="H180" s="23" t="str">
        <f t="shared" si="1"/>
        <v>INSERT INTO tblDayAttendanceLog VALUES (seqDayAttendanceLog.nextval, 11, TO_DATE('2025-08-04', 'YYYY-MM-DD'), TO_DATE('2025-08-04 08:16:00', 'YYYY-MM-DD HH24:MI:SS'), TO_DATE('2025-08-04 17:55:00', 'YYYY-MM-DD HH24:MI:SS'));</v>
      </c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</row>
    <row r="181">
      <c r="A181" s="25" t="s">
        <v>206</v>
      </c>
      <c r="B181" s="26">
        <v>12.0</v>
      </c>
      <c r="C181" s="27">
        <v>45873.0</v>
      </c>
      <c r="D181" s="28">
        <v>45873.34027777778</v>
      </c>
      <c r="E181" s="28">
        <v>45873.745833333334</v>
      </c>
      <c r="F181" s="21" t="s">
        <v>184</v>
      </c>
      <c r="G181" s="23"/>
      <c r="H181" s="23" t="str">
        <f t="shared" si="1"/>
        <v>INSERT INTO tblDayAttendanceLog VALUES (seqDayAttendanceLog.nextval, 12, TO_DATE('2025-08-04', 'YYYY-MM-DD'), TO_DATE('2025-08-04 08:10:00', 'YYYY-MM-DD HH24:MI:SS'), TO_DATE('2025-08-04 17:54:00', 'YYYY-MM-DD HH24:MI:SS'));</v>
      </c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</row>
    <row r="182">
      <c r="A182" s="25" t="s">
        <v>206</v>
      </c>
      <c r="B182" s="26">
        <v>13.0</v>
      </c>
      <c r="C182" s="27">
        <v>45873.0</v>
      </c>
      <c r="D182" s="28">
        <v>45873.39027777778</v>
      </c>
      <c r="E182" s="28">
        <v>45873.745833333334</v>
      </c>
      <c r="F182" s="21" t="s">
        <v>189</v>
      </c>
      <c r="G182" s="23"/>
      <c r="H182" s="23" t="str">
        <f t="shared" si="1"/>
        <v>INSERT INTO tblDayAttendanceLog VALUES (seqDayAttendanceLog.nextval, 13, TO_DATE('2025-08-04', 'YYYY-MM-DD'), TO_DATE('2025-08-04 09:22:00', 'YYYY-MM-DD HH24:MI:SS'), TO_DATE('2025-08-04 17:54:00', 'YYYY-MM-DD HH24:MI:SS'));</v>
      </c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</row>
    <row r="183">
      <c r="A183" s="25" t="s">
        <v>206</v>
      </c>
      <c r="B183" s="26">
        <v>14.0</v>
      </c>
      <c r="C183" s="27">
        <v>45873.0</v>
      </c>
      <c r="D183" s="28">
        <v>45873.36597222222</v>
      </c>
      <c r="E183" s="28">
        <v>45873.743055555555</v>
      </c>
      <c r="F183" s="21" t="s">
        <v>184</v>
      </c>
      <c r="G183" s="23"/>
      <c r="H183" s="23" t="str">
        <f t="shared" si="1"/>
        <v>INSERT INTO tblDayAttendanceLog VALUES (seqDayAttendanceLog.nextval, 14, TO_DATE('2025-08-04', 'YYYY-MM-DD'), TO_DATE('2025-08-04 08:47:00', 'YYYY-MM-DD HH24:MI:SS'), TO_DATE('2025-08-04 17:50:00', 'YYYY-MM-DD HH24:MI:SS'));</v>
      </c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</row>
    <row r="184">
      <c r="A184" s="25" t="s">
        <v>206</v>
      </c>
      <c r="B184" s="26">
        <v>15.0</v>
      </c>
      <c r="C184" s="27">
        <v>45873.0</v>
      </c>
      <c r="D184" s="28">
        <v>45873.34097222222</v>
      </c>
      <c r="E184" s="28">
        <v>45873.74930555555</v>
      </c>
      <c r="F184" s="21" t="s">
        <v>184</v>
      </c>
      <c r="G184" s="23"/>
      <c r="H184" s="23" t="str">
        <f t="shared" si="1"/>
        <v>INSERT INTO tblDayAttendanceLog VALUES (seqDayAttendanceLog.nextval, 15, TO_DATE('2025-08-04', 'YYYY-MM-DD'), TO_DATE('2025-08-04 08:11:00', 'YYYY-MM-DD HH24:MI:SS'), TO_DATE('2025-08-04 17:59:00', 'YYYY-MM-DD HH24:MI:SS'));</v>
      </c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</row>
    <row r="185">
      <c r="A185" s="25" t="s">
        <v>206</v>
      </c>
      <c r="B185" s="26">
        <v>16.0</v>
      </c>
      <c r="C185" s="27">
        <v>45873.0</v>
      </c>
      <c r="D185" s="28">
        <v>45873.37569444445</v>
      </c>
      <c r="E185" s="28">
        <v>45873.74375</v>
      </c>
      <c r="F185" s="21" t="s">
        <v>189</v>
      </c>
      <c r="G185" s="23"/>
      <c r="H185" s="23" t="str">
        <f t="shared" si="1"/>
        <v>INSERT INTO tblDayAttendanceLog VALUES (seqDayAttendanceLog.nextval, 16, TO_DATE('2025-08-04', 'YYYY-MM-DD'), TO_DATE('2025-08-04 09:01:00', 'YYYY-MM-DD HH24:MI:SS'), TO_DATE('2025-08-04 17:51:00', 'YYYY-MM-DD HH24:MI:SS'));</v>
      </c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</row>
    <row r="186">
      <c r="A186" s="25" t="s">
        <v>206</v>
      </c>
      <c r="B186" s="26">
        <v>17.0</v>
      </c>
      <c r="C186" s="27">
        <v>45873.0</v>
      </c>
      <c r="D186" s="28">
        <v>45873.37986111111</v>
      </c>
      <c r="E186" s="28">
        <v>45873.74722222222</v>
      </c>
      <c r="F186" s="21" t="s">
        <v>189</v>
      </c>
      <c r="G186" s="23"/>
      <c r="H186" s="23" t="str">
        <f t="shared" si="1"/>
        <v>INSERT INTO tblDayAttendanceLog VALUES (seqDayAttendanceLog.nextval, 17, TO_DATE('2025-08-04', 'YYYY-MM-DD'), TO_DATE('2025-08-04 09:07:00', 'YYYY-MM-DD HH24:MI:SS'), TO_DATE('2025-08-04 17:56:00', 'YYYY-MM-DD HH24:MI:SS'));</v>
      </c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</row>
    <row r="187">
      <c r="A187" s="25" t="s">
        <v>206</v>
      </c>
      <c r="B187" s="26">
        <v>18.0</v>
      </c>
      <c r="C187" s="27">
        <v>45873.0</v>
      </c>
      <c r="D187" s="28">
        <v>45873.415972222225</v>
      </c>
      <c r="E187" s="28">
        <v>45873.74930555555</v>
      </c>
      <c r="F187" s="21" t="s">
        <v>189</v>
      </c>
      <c r="G187" s="23"/>
      <c r="H187" s="23" t="str">
        <f t="shared" si="1"/>
        <v>INSERT INTO tblDayAttendanceLog VALUES (seqDayAttendanceLog.nextval, 18, TO_DATE('2025-08-04', 'YYYY-MM-DD'), TO_DATE('2025-08-04 09:59:00', 'YYYY-MM-DD HH24:MI:SS'), TO_DATE('2025-08-04 17:59:00', 'YYYY-MM-DD HH24:MI:SS'));</v>
      </c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</row>
    <row r="188">
      <c r="A188" s="25" t="s">
        <v>206</v>
      </c>
      <c r="B188" s="26">
        <v>19.0</v>
      </c>
      <c r="C188" s="27">
        <v>45873.0</v>
      </c>
      <c r="D188" s="28">
        <v>45873.38958333333</v>
      </c>
      <c r="E188" s="28">
        <v>45873.74375</v>
      </c>
      <c r="F188" s="21" t="s">
        <v>189</v>
      </c>
      <c r="G188" s="23"/>
      <c r="H188" s="23" t="str">
        <f t="shared" si="1"/>
        <v>INSERT INTO tblDayAttendanceLog VALUES (seqDayAttendanceLog.nextval, 19, TO_DATE('2025-08-04', 'YYYY-MM-DD'), TO_DATE('2025-08-04 09:21:00', 'YYYY-MM-DD HH24:MI:SS'), TO_DATE('2025-08-04 17:51:00', 'YYYY-MM-DD HH24:MI:SS'));</v>
      </c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</row>
    <row r="189">
      <c r="A189" s="25" t="s">
        <v>206</v>
      </c>
      <c r="B189" s="26">
        <v>20.0</v>
      </c>
      <c r="C189" s="27">
        <v>45873.0</v>
      </c>
      <c r="D189" s="28">
        <v>45873.36388888889</v>
      </c>
      <c r="E189" s="28">
        <v>45873.74791666667</v>
      </c>
      <c r="F189" s="21" t="s">
        <v>184</v>
      </c>
      <c r="G189" s="23"/>
      <c r="H189" s="23" t="str">
        <f t="shared" si="1"/>
        <v>INSERT INTO tblDayAttendanceLog VALUES (seqDayAttendanceLog.nextval, 20, TO_DATE('2025-08-04', 'YYYY-MM-DD'), TO_DATE('2025-08-04 08:44:00', 'YYYY-MM-DD HH24:MI:SS'), TO_DATE('2025-08-04 17:57:00', 'YYYY-MM-DD HH24:MI:SS'));</v>
      </c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</row>
    <row r="190">
      <c r="A190" s="25" t="s">
        <v>206</v>
      </c>
      <c r="B190" s="26">
        <v>21.0</v>
      </c>
      <c r="C190" s="27">
        <v>45873.0</v>
      </c>
      <c r="D190" s="28">
        <v>45873.399305555555</v>
      </c>
      <c r="E190" s="28">
        <v>45873.74513888889</v>
      </c>
      <c r="F190" s="21" t="s">
        <v>189</v>
      </c>
      <c r="G190" s="23"/>
      <c r="H190" s="23" t="str">
        <f t="shared" si="1"/>
        <v>INSERT INTO tblDayAttendanceLog VALUES (seqDayAttendanceLog.nextval, 21, TO_DATE('2025-08-04', 'YYYY-MM-DD'), TO_DATE('2025-08-04 09:35:00', 'YYYY-MM-DD HH24:MI:SS'), TO_DATE('2025-08-04 17:53:00', 'YYYY-MM-DD HH24:MI:SS'));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</row>
    <row r="191">
      <c r="A191" s="25" t="s">
        <v>206</v>
      </c>
      <c r="B191" s="26">
        <v>22.0</v>
      </c>
      <c r="C191" s="27">
        <v>45873.0</v>
      </c>
      <c r="D191" s="28">
        <v>45873.34930555556</v>
      </c>
      <c r="E191" s="28">
        <v>45873.74930555555</v>
      </c>
      <c r="F191" s="21" t="s">
        <v>184</v>
      </c>
      <c r="G191" s="23"/>
      <c r="H191" s="23" t="str">
        <f t="shared" si="1"/>
        <v>INSERT INTO tblDayAttendanceLog VALUES (seqDayAttendanceLog.nextval, 22, TO_DATE('2025-08-04', 'YYYY-MM-DD'), TO_DATE('2025-08-04 08:23:00', 'YYYY-MM-DD HH24:MI:SS'), TO_DATE('2025-08-04 17:59:00', 'YYYY-MM-DD HH24:MI:SS'));</v>
      </c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</row>
    <row r="192">
      <c r="A192" s="25" t="s">
        <v>206</v>
      </c>
      <c r="B192" s="26">
        <v>23.0</v>
      </c>
      <c r="C192" s="27">
        <v>45873.0</v>
      </c>
      <c r="D192" s="28">
        <v>45873.35833333333</v>
      </c>
      <c r="E192" s="28">
        <v>45873.74791666667</v>
      </c>
      <c r="F192" s="21" t="s">
        <v>184</v>
      </c>
      <c r="G192" s="23"/>
      <c r="H192" s="23" t="str">
        <f t="shared" si="1"/>
        <v>INSERT INTO tblDayAttendanceLog VALUES (seqDayAttendanceLog.nextval, 23, TO_DATE('2025-08-04', 'YYYY-MM-DD'), TO_DATE('2025-08-04 08:36:00', 'YYYY-MM-DD HH24:MI:SS'), TO_DATE('2025-08-04 17:57:00', 'YYYY-MM-DD HH24:MI:SS'));</v>
      </c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</row>
    <row r="193">
      <c r="A193" s="25" t="s">
        <v>206</v>
      </c>
      <c r="B193" s="26">
        <v>24.0</v>
      </c>
      <c r="C193" s="27">
        <v>45873.0</v>
      </c>
      <c r="D193" s="28">
        <v>45873.35138888889</v>
      </c>
      <c r="E193" s="28">
        <v>45873.743055555555</v>
      </c>
      <c r="F193" s="21" t="s">
        <v>184</v>
      </c>
      <c r="G193" s="23"/>
      <c r="H193" s="23" t="str">
        <f t="shared" si="1"/>
        <v>INSERT INTO tblDayAttendanceLog VALUES (seqDayAttendanceLog.nextval, 24, TO_DATE('2025-08-04', 'YYYY-MM-DD'), TO_DATE('2025-08-04 08:26:00', 'YYYY-MM-DD HH24:MI:SS'), TO_DATE('2025-08-04 17:50:00', 'YYYY-MM-DD HH24:MI:SS'));</v>
      </c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</row>
    <row r="194">
      <c r="A194" s="25" t="s">
        <v>206</v>
      </c>
      <c r="B194" s="26">
        <v>25.0</v>
      </c>
      <c r="C194" s="27">
        <v>45873.0</v>
      </c>
      <c r="D194" s="29"/>
      <c r="E194" s="29"/>
      <c r="F194" s="21" t="s">
        <v>186</v>
      </c>
      <c r="G194" s="23"/>
      <c r="H194" s="23" t="str">
        <f t="shared" si="1"/>
        <v>INSERT INTO tblDayAttendanceLog VALUES (seqDayAttendanceLog.nextval, 25, TO_DATE('2025-08-04', 'YYYY-MM-DD'), NULL, NULL);</v>
      </c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</row>
    <row r="195">
      <c r="A195" s="25" t="s">
        <v>206</v>
      </c>
      <c r="B195" s="26">
        <v>26.0</v>
      </c>
      <c r="C195" s="27">
        <v>45873.0</v>
      </c>
      <c r="D195" s="28">
        <v>45873.3625</v>
      </c>
      <c r="E195" s="28">
        <v>45873.74444444444</v>
      </c>
      <c r="F195" s="21" t="s">
        <v>184</v>
      </c>
      <c r="G195" s="23"/>
      <c r="H195" s="23" t="str">
        <f t="shared" si="1"/>
        <v>INSERT INTO tblDayAttendanceLog VALUES (seqDayAttendanceLog.nextval, 26, TO_DATE('2025-08-04', 'YYYY-MM-DD'), TO_DATE('2025-08-04 08:42:00', 'YYYY-MM-DD HH24:MI:SS'), TO_DATE('2025-08-04 17:52:00', 'YYYY-MM-DD HH24:MI:SS'));</v>
      </c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</row>
    <row r="196">
      <c r="A196" s="25" t="s">
        <v>206</v>
      </c>
      <c r="B196" s="26">
        <v>27.0</v>
      </c>
      <c r="C196" s="27">
        <v>45873.0</v>
      </c>
      <c r="D196" s="28">
        <v>45873.37152777778</v>
      </c>
      <c r="E196" s="28">
        <v>45873.748611111114</v>
      </c>
      <c r="F196" s="21" t="s">
        <v>184</v>
      </c>
      <c r="G196" s="23"/>
      <c r="H196" s="23" t="str">
        <f t="shared" si="1"/>
        <v>INSERT INTO tblDayAttendanceLog VALUES (seqDayAttendanceLog.nextval, 27, TO_DATE('2025-08-04', 'YYYY-MM-DD'), TO_DATE('2025-08-04 08:55:00', 'YYYY-MM-DD HH24:MI:SS'), TO_DATE('2025-08-04 17:58:00', 'YYYY-MM-DD HH24:MI:SS'));</v>
      </c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</row>
    <row r="197">
      <c r="A197" s="25" t="s">
        <v>206</v>
      </c>
      <c r="B197" s="26">
        <v>28.0</v>
      </c>
      <c r="C197" s="27">
        <v>45873.0</v>
      </c>
      <c r="D197" s="28">
        <v>45873.404861111114</v>
      </c>
      <c r="E197" s="28">
        <v>45873.74375</v>
      </c>
      <c r="F197" s="21" t="s">
        <v>189</v>
      </c>
      <c r="G197" s="23"/>
      <c r="H197" s="23" t="str">
        <f t="shared" si="1"/>
        <v>INSERT INTO tblDayAttendanceLog VALUES (seqDayAttendanceLog.nextval, 28, TO_DATE('2025-08-04', 'YYYY-MM-DD'), TO_DATE('2025-08-04 09:43:00', 'YYYY-MM-DD HH24:MI:SS'), TO_DATE('2025-08-04 17:51:00', 'YYYY-MM-DD HH24:MI:SS'));</v>
      </c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</row>
    <row r="198">
      <c r="A198" s="25" t="s">
        <v>206</v>
      </c>
      <c r="B198" s="26">
        <v>29.0</v>
      </c>
      <c r="C198" s="27">
        <v>45873.0</v>
      </c>
      <c r="D198" s="28">
        <v>45873.37847222222</v>
      </c>
      <c r="E198" s="28">
        <v>45873.748611111114</v>
      </c>
      <c r="F198" s="21" t="s">
        <v>189</v>
      </c>
      <c r="G198" s="23"/>
      <c r="H198" s="23" t="str">
        <f t="shared" si="1"/>
        <v>INSERT INTO tblDayAttendanceLog VALUES (seqDayAttendanceLog.nextval, 29, TO_DATE('2025-08-04', 'YYYY-MM-DD'), TO_DATE('2025-08-04 09:05:00', 'YYYY-MM-DD HH24:MI:SS'), TO_DATE('2025-08-04 17:58:00', 'YYYY-MM-DD HH24:MI:SS'));</v>
      </c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</row>
    <row r="199">
      <c r="A199" s="25" t="s">
        <v>206</v>
      </c>
      <c r="B199" s="26">
        <v>30.0</v>
      </c>
      <c r="C199" s="27">
        <v>45873.0</v>
      </c>
      <c r="D199" s="28">
        <v>45873.410416666666</v>
      </c>
      <c r="E199" s="28">
        <v>45873.748611111114</v>
      </c>
      <c r="F199" s="21" t="s">
        <v>189</v>
      </c>
      <c r="G199" s="23"/>
      <c r="H199" s="23" t="str">
        <f t="shared" si="1"/>
        <v>INSERT INTO tblDayAttendanceLog VALUES (seqDayAttendanceLog.nextval, 30, TO_DATE('2025-08-04', 'YYYY-MM-DD'), TO_DATE('2025-08-04 09:51:00', 'YYYY-MM-DD HH24:MI:SS'), TO_DATE('2025-08-04 17:58:00', 'YYYY-MM-DD HH24:MI:SS'));</v>
      </c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</row>
    <row r="200">
      <c r="A200" s="25" t="s">
        <v>206</v>
      </c>
      <c r="B200" s="26">
        <v>31.0</v>
      </c>
      <c r="C200" s="27">
        <v>45873.0</v>
      </c>
      <c r="D200" s="28">
        <v>45873.39791666667</v>
      </c>
      <c r="E200" s="28">
        <v>45873.745833333334</v>
      </c>
      <c r="F200" s="21" t="s">
        <v>189</v>
      </c>
      <c r="G200" s="23"/>
      <c r="H200" s="23" t="str">
        <f t="shared" si="1"/>
        <v>INSERT INTO tblDayAttendanceLog VALUES (seqDayAttendanceLog.nextval, 31, TO_DATE('2025-08-04', 'YYYY-MM-DD'), TO_DATE('2025-08-04 09:33:00', 'YYYY-MM-DD HH24:MI:SS'), TO_DATE('2025-08-04 17:54:00', 'YYYY-MM-DD HH24:MI:SS'));</v>
      </c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</row>
    <row r="201">
      <c r="A201" s="25" t="s">
        <v>206</v>
      </c>
      <c r="B201" s="26">
        <v>32.0</v>
      </c>
      <c r="C201" s="27">
        <v>45873.0</v>
      </c>
      <c r="D201" s="28">
        <v>45873.36875</v>
      </c>
      <c r="E201" s="28">
        <v>45873.74444444444</v>
      </c>
      <c r="F201" s="21" t="s">
        <v>184</v>
      </c>
      <c r="G201" s="23"/>
      <c r="H201" s="23" t="str">
        <f t="shared" si="1"/>
        <v>INSERT INTO tblDayAttendanceLog VALUES (seqDayAttendanceLog.nextval, 32, TO_DATE('2025-08-04', 'YYYY-MM-DD'), TO_DATE('2025-08-04 08:51:00', 'YYYY-MM-DD HH24:MI:SS'), TO_DATE('2025-08-04 17:52:00', 'YYYY-MM-DD HH24:MI:SS'));</v>
      </c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</row>
    <row r="202">
      <c r="A202" s="25" t="s">
        <v>206</v>
      </c>
      <c r="B202" s="26">
        <v>33.0</v>
      </c>
      <c r="C202" s="27">
        <v>45873.0</v>
      </c>
      <c r="D202" s="28">
        <v>45873.40069444444</v>
      </c>
      <c r="E202" s="28">
        <v>45873.745833333334</v>
      </c>
      <c r="F202" s="21" t="s">
        <v>189</v>
      </c>
      <c r="G202" s="23"/>
      <c r="H202" s="23" t="str">
        <f t="shared" si="1"/>
        <v>INSERT INTO tblDayAttendanceLog VALUES (seqDayAttendanceLog.nextval, 33, TO_DATE('2025-08-04', 'YYYY-MM-DD'), TO_DATE('2025-08-04 09:37:00', 'YYYY-MM-DD HH24:MI:SS'), TO_DATE('2025-08-04 17:54:00', 'YYYY-MM-DD HH24:MI:SS'));</v>
      </c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</row>
    <row r="203">
      <c r="A203" s="25" t="s">
        <v>206</v>
      </c>
      <c r="B203" s="26">
        <v>34.0</v>
      </c>
      <c r="C203" s="27">
        <v>45873.0</v>
      </c>
      <c r="D203" s="28">
        <v>45873.336805555555</v>
      </c>
      <c r="E203" s="28">
        <v>45873.74444444444</v>
      </c>
      <c r="F203" s="21" t="s">
        <v>184</v>
      </c>
      <c r="G203" s="23"/>
      <c r="H203" s="23" t="str">
        <f t="shared" si="1"/>
        <v>INSERT INTO tblDayAttendanceLog VALUES (seqDayAttendanceLog.nextval, 34, TO_DATE('2025-08-04', 'YYYY-MM-DD'), TO_DATE('2025-08-04 08:05:00', 'YYYY-MM-DD HH24:MI:SS'), TO_DATE('2025-08-04 17:52:00', 'YYYY-MM-DD HH24:MI:SS'));</v>
      </c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</row>
    <row r="204">
      <c r="A204" s="25" t="s">
        <v>206</v>
      </c>
      <c r="B204" s="26">
        <v>35.0</v>
      </c>
      <c r="C204" s="27">
        <v>45873.0</v>
      </c>
      <c r="D204" s="28">
        <v>45873.3875</v>
      </c>
      <c r="E204" s="28">
        <v>45873.74513888889</v>
      </c>
      <c r="F204" s="21" t="s">
        <v>189</v>
      </c>
      <c r="G204" s="23"/>
      <c r="H204" s="23" t="str">
        <f t="shared" si="1"/>
        <v>INSERT INTO tblDayAttendanceLog VALUES (seqDayAttendanceLog.nextval, 35, TO_DATE('2025-08-04', 'YYYY-MM-DD'), TO_DATE('2025-08-04 09:18:00', 'YYYY-MM-DD HH24:MI:SS'), TO_DATE('2025-08-04 17:53:00', 'YYYY-MM-DD HH24:MI:SS'));</v>
      </c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</row>
    <row r="205">
      <c r="A205" s="25" t="s">
        <v>206</v>
      </c>
      <c r="B205" s="26">
        <v>36.0</v>
      </c>
      <c r="C205" s="27">
        <v>45873.0</v>
      </c>
      <c r="D205" s="28">
        <v>45873.3625</v>
      </c>
      <c r="E205" s="28">
        <v>45873.743055555555</v>
      </c>
      <c r="F205" s="21" t="s">
        <v>184</v>
      </c>
      <c r="G205" s="23"/>
      <c r="H205" s="23" t="str">
        <f t="shared" si="1"/>
        <v>INSERT INTO tblDayAttendanceLog VALUES (seqDayAttendanceLog.nextval, 36, TO_DATE('2025-08-04', 'YYYY-MM-DD'), TO_DATE('2025-08-04 08:42:00', 'YYYY-MM-DD HH24:MI:SS'), TO_DATE('2025-08-04 17:50:00', 'YYYY-MM-DD HH24:MI:SS'));</v>
      </c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</row>
    <row r="206">
      <c r="A206" s="25" t="s">
        <v>206</v>
      </c>
      <c r="B206" s="26">
        <v>37.0</v>
      </c>
      <c r="C206" s="27">
        <v>45873.0</v>
      </c>
      <c r="D206" s="28">
        <v>45873.38333333333</v>
      </c>
      <c r="E206" s="28">
        <v>45873.74652777778</v>
      </c>
      <c r="F206" s="21" t="s">
        <v>189</v>
      </c>
      <c r="G206" s="23"/>
      <c r="H206" s="23" t="str">
        <f t="shared" si="1"/>
        <v>INSERT INTO tblDayAttendanceLog VALUES (seqDayAttendanceLog.nextval, 37, TO_DATE('2025-08-04', 'YYYY-MM-DD'), TO_DATE('2025-08-04 09:12:00', 'YYYY-MM-DD HH24:MI:SS'), TO_DATE('2025-08-04 17:55:00', 'YYYY-MM-DD HH24:MI:SS'));</v>
      </c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</row>
    <row r="207">
      <c r="A207" s="25" t="s">
        <v>206</v>
      </c>
      <c r="B207" s="26">
        <v>38.0</v>
      </c>
      <c r="C207" s="27">
        <v>45873.0</v>
      </c>
      <c r="D207" s="28">
        <v>45873.41180555556</v>
      </c>
      <c r="E207" s="28">
        <v>45873.74375</v>
      </c>
      <c r="F207" s="21" t="s">
        <v>189</v>
      </c>
      <c r="G207" s="23"/>
      <c r="H207" s="23" t="str">
        <f t="shared" si="1"/>
        <v>INSERT INTO tblDayAttendanceLog VALUES (seqDayAttendanceLog.nextval, 38, TO_DATE('2025-08-04', 'YYYY-MM-DD'), TO_DATE('2025-08-04 09:53:00', 'YYYY-MM-DD HH24:MI:SS'), TO_DATE('2025-08-04 17:51:00', 'YYYY-MM-DD HH24:MI:SS'));</v>
      </c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</row>
    <row r="208">
      <c r="A208" s="25" t="s">
        <v>206</v>
      </c>
      <c r="B208" s="26">
        <v>39.0</v>
      </c>
      <c r="C208" s="27">
        <v>45873.0</v>
      </c>
      <c r="D208" s="29"/>
      <c r="E208" s="29"/>
      <c r="F208" s="21" t="s">
        <v>186</v>
      </c>
      <c r="G208" s="23"/>
      <c r="H208" s="23" t="str">
        <f t="shared" si="1"/>
        <v>INSERT INTO tblDayAttendanceLog VALUES (seqDayAttendanceLog.nextval, 39, TO_DATE('2025-08-04', 'YYYY-MM-DD'), NULL, NULL);</v>
      </c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</row>
    <row r="209">
      <c r="A209" s="25" t="s">
        <v>206</v>
      </c>
      <c r="B209" s="26">
        <v>40.0</v>
      </c>
      <c r="C209" s="27">
        <v>45873.0</v>
      </c>
      <c r="D209" s="28">
        <v>45873.40347222222</v>
      </c>
      <c r="E209" s="28">
        <v>45873.74930555555</v>
      </c>
      <c r="F209" s="21" t="s">
        <v>189</v>
      </c>
      <c r="G209" s="23"/>
      <c r="H209" s="23" t="str">
        <f t="shared" si="1"/>
        <v>INSERT INTO tblDayAttendanceLog VALUES (seqDayAttendanceLog.nextval, 40, TO_DATE('2025-08-04', 'YYYY-MM-DD'), TO_DATE('2025-08-04 09:41:00', 'YYYY-MM-DD HH24:MI:SS'), TO_DATE('2025-08-04 17:59:00', 'YYYY-MM-DD HH24:MI:SS'));</v>
      </c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</row>
    <row r="210">
      <c r="A210" s="25" t="s">
        <v>206</v>
      </c>
      <c r="B210" s="26">
        <v>41.0</v>
      </c>
      <c r="C210" s="27">
        <v>45873.0</v>
      </c>
      <c r="D210" s="28">
        <v>45873.376388888886</v>
      </c>
      <c r="E210" s="28">
        <v>45873.745833333334</v>
      </c>
      <c r="F210" s="21" t="s">
        <v>189</v>
      </c>
      <c r="G210" s="23"/>
      <c r="H210" s="23" t="str">
        <f t="shared" si="1"/>
        <v>INSERT INTO tblDayAttendanceLog VALUES (seqDayAttendanceLog.nextval, 41, TO_DATE('2025-08-04', 'YYYY-MM-DD'), TO_DATE('2025-08-04 09:02:00', 'YYYY-MM-DD HH24:MI:SS'), TO_DATE('2025-08-04 17:54:00', 'YYYY-MM-DD HH24:MI:SS'));</v>
      </c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</row>
    <row r="211">
      <c r="A211" s="25" t="s">
        <v>206</v>
      </c>
      <c r="B211" s="26">
        <v>42.0</v>
      </c>
      <c r="C211" s="27">
        <v>45873.0</v>
      </c>
      <c r="D211" s="28">
        <v>45873.37152777778</v>
      </c>
      <c r="E211" s="28">
        <v>45873.74791666667</v>
      </c>
      <c r="F211" s="21" t="s">
        <v>184</v>
      </c>
      <c r="G211" s="23"/>
      <c r="H211" s="23" t="str">
        <f t="shared" si="1"/>
        <v>INSERT INTO tblDayAttendanceLog VALUES (seqDayAttendanceLog.nextval, 42, TO_DATE('2025-08-04', 'YYYY-MM-DD'), TO_DATE('2025-08-04 08:55:00', 'YYYY-MM-DD HH24:MI:SS'), TO_DATE('2025-08-04 17:57:00', 'YYYY-MM-DD HH24:MI:SS'));</v>
      </c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</row>
    <row r="212">
      <c r="A212" s="25" t="s">
        <v>206</v>
      </c>
      <c r="B212" s="26">
        <v>43.0</v>
      </c>
      <c r="C212" s="27">
        <v>45873.0</v>
      </c>
      <c r="D212" s="28">
        <v>45873.39166666667</v>
      </c>
      <c r="E212" s="28">
        <v>45873.745833333334</v>
      </c>
      <c r="F212" s="21" t="s">
        <v>189</v>
      </c>
      <c r="G212" s="23"/>
      <c r="H212" s="23" t="str">
        <f t="shared" si="1"/>
        <v>INSERT INTO tblDayAttendanceLog VALUES (seqDayAttendanceLog.nextval, 43, TO_DATE('2025-08-04', 'YYYY-MM-DD'), TO_DATE('2025-08-04 09:24:00', 'YYYY-MM-DD HH24:MI:SS'), TO_DATE('2025-08-04 17:54:00', 'YYYY-MM-DD HH24:MI:SS'));</v>
      </c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</row>
    <row r="213">
      <c r="A213" s="25" t="s">
        <v>206</v>
      </c>
      <c r="B213" s="26">
        <v>44.0</v>
      </c>
      <c r="C213" s="27">
        <v>45873.0</v>
      </c>
      <c r="D213" s="28">
        <v>45873.3625</v>
      </c>
      <c r="E213" s="28">
        <v>45873.74791666667</v>
      </c>
      <c r="F213" s="21" t="s">
        <v>184</v>
      </c>
      <c r="G213" s="23"/>
      <c r="H213" s="23" t="str">
        <f t="shared" si="1"/>
        <v>INSERT INTO tblDayAttendanceLog VALUES (seqDayAttendanceLog.nextval, 44, TO_DATE('2025-08-04', 'YYYY-MM-DD'), TO_DATE('2025-08-04 08:42:00', 'YYYY-MM-DD HH24:MI:SS'), TO_DATE('2025-08-04 17:57:00', 'YYYY-MM-DD HH24:MI:SS'));</v>
      </c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</row>
    <row r="214">
      <c r="A214" s="25" t="s">
        <v>206</v>
      </c>
      <c r="B214" s="26">
        <v>45.0</v>
      </c>
      <c r="C214" s="27">
        <v>45873.0</v>
      </c>
      <c r="D214" s="29"/>
      <c r="E214" s="29"/>
      <c r="F214" s="21" t="s">
        <v>186</v>
      </c>
      <c r="G214" s="23"/>
      <c r="H214" s="23" t="str">
        <f t="shared" si="1"/>
        <v>INSERT INTO tblDayAttendanceLog VALUES (seqDayAttendanceLog.nextval, 45, TO_DATE('2025-08-04', 'YYYY-MM-DD'), NULL, NULL);</v>
      </c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</row>
    <row r="215">
      <c r="A215" s="25" t="s">
        <v>206</v>
      </c>
      <c r="B215" s="26">
        <v>46.0</v>
      </c>
      <c r="C215" s="27">
        <v>45873.0</v>
      </c>
      <c r="D215" s="28">
        <v>45873.36944444444</v>
      </c>
      <c r="E215" s="28">
        <v>45873.743055555555</v>
      </c>
      <c r="F215" s="21" t="s">
        <v>184</v>
      </c>
      <c r="G215" s="23"/>
      <c r="H215" s="23" t="str">
        <f t="shared" si="1"/>
        <v>INSERT INTO tblDayAttendanceLog VALUES (seqDayAttendanceLog.nextval, 46, TO_DATE('2025-08-04', 'YYYY-MM-DD'), TO_DATE('2025-08-04 08:52:00', 'YYYY-MM-DD HH24:MI:SS'), TO_DATE('2025-08-04 17:50:00', 'YYYY-MM-DD HH24:MI:SS'));</v>
      </c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</row>
    <row r="216">
      <c r="A216" s="25" t="s">
        <v>206</v>
      </c>
      <c r="B216" s="26">
        <v>47.0</v>
      </c>
      <c r="C216" s="27">
        <v>45873.0</v>
      </c>
      <c r="D216" s="28">
        <v>45873.353472222225</v>
      </c>
      <c r="E216" s="28">
        <v>45873.743055555555</v>
      </c>
      <c r="F216" s="21" t="s">
        <v>184</v>
      </c>
      <c r="G216" s="23"/>
      <c r="H216" s="23" t="str">
        <f t="shared" si="1"/>
        <v>INSERT INTO tblDayAttendanceLog VALUES (seqDayAttendanceLog.nextval, 47, TO_DATE('2025-08-04', 'YYYY-MM-DD'), TO_DATE('2025-08-04 08:29:00', 'YYYY-MM-DD HH24:MI:SS'), TO_DATE('2025-08-04 17:50:00', 'YYYY-MM-DD HH24:MI:SS'));</v>
      </c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</row>
    <row r="217">
      <c r="A217" s="25" t="s">
        <v>206</v>
      </c>
      <c r="B217" s="26">
        <v>48.0</v>
      </c>
      <c r="C217" s="27">
        <v>45873.0</v>
      </c>
      <c r="D217" s="28">
        <v>45873.35277777778</v>
      </c>
      <c r="E217" s="28">
        <v>45873.6375</v>
      </c>
      <c r="F217" s="21" t="s">
        <v>187</v>
      </c>
      <c r="G217" s="23"/>
      <c r="H217" s="23" t="str">
        <f t="shared" si="1"/>
        <v>INSERT INTO tblDayAttendanceLog VALUES (seqDayAttendanceLog.nextval, 48, TO_DATE('2025-08-04', 'YYYY-MM-DD'), TO_DATE('2025-08-04 08:28:00', 'YYYY-MM-DD HH24:MI:SS'), TO_DATE('2025-08-04 15:18:00', 'YYYY-MM-DD HH24:MI:SS'));</v>
      </c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</row>
    <row r="218">
      <c r="A218" s="25" t="s">
        <v>206</v>
      </c>
      <c r="B218" s="26">
        <v>49.0</v>
      </c>
      <c r="C218" s="27">
        <v>45873.0</v>
      </c>
      <c r="D218" s="28">
        <v>45873.40902777778</v>
      </c>
      <c r="E218" s="28">
        <v>45873.74722222222</v>
      </c>
      <c r="F218" s="21" t="s">
        <v>189</v>
      </c>
      <c r="G218" s="23"/>
      <c r="H218" s="23" t="str">
        <f t="shared" si="1"/>
        <v>INSERT INTO tblDayAttendanceLog VALUES (seqDayAttendanceLog.nextval, 49, TO_DATE('2025-08-04', 'YYYY-MM-DD'), TO_DATE('2025-08-04 09:49:00', 'YYYY-MM-DD HH24:MI:SS'), TO_DATE('2025-08-04 17:56:00', 'YYYY-MM-DD HH24:MI:SS'));</v>
      </c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</row>
    <row r="219">
      <c r="A219" s="25" t="s">
        <v>206</v>
      </c>
      <c r="B219" s="26">
        <v>50.0</v>
      </c>
      <c r="C219" s="27">
        <v>45873.0</v>
      </c>
      <c r="D219" s="28">
        <v>45873.33888888889</v>
      </c>
      <c r="E219" s="28">
        <v>45873.743055555555</v>
      </c>
      <c r="F219" s="21" t="s">
        <v>184</v>
      </c>
      <c r="G219" s="23"/>
      <c r="H219" s="23" t="str">
        <f t="shared" si="1"/>
        <v>INSERT INTO tblDayAttendanceLog VALUES (seqDayAttendanceLog.nextval, 50, TO_DATE('2025-08-04', 'YYYY-MM-DD'), TO_DATE('2025-08-04 08:08:00', 'YYYY-MM-DD HH24:MI:SS'), TO_DATE('2025-08-04 17:50:00', 'YYYY-MM-DD HH24:MI:SS'));</v>
      </c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</row>
    <row r="220">
      <c r="A220" s="25" t="s">
        <v>206</v>
      </c>
      <c r="B220" s="26">
        <v>51.0</v>
      </c>
      <c r="C220" s="27">
        <v>45873.0</v>
      </c>
      <c r="D220" s="28">
        <v>45873.35972222222</v>
      </c>
      <c r="E220" s="28">
        <v>45873.748611111114</v>
      </c>
      <c r="F220" s="21" t="s">
        <v>184</v>
      </c>
      <c r="G220" s="23"/>
      <c r="H220" s="23" t="str">
        <f t="shared" si="1"/>
        <v>INSERT INTO tblDayAttendanceLog VALUES (seqDayAttendanceLog.nextval, 51, TO_DATE('2025-08-04', 'YYYY-MM-DD'), TO_DATE('2025-08-04 08:38:00', 'YYYY-MM-DD HH24:MI:SS'), TO_DATE('2025-08-04 17:58:00', 'YYYY-MM-DD HH24:MI:SS'));</v>
      </c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</row>
    <row r="221">
      <c r="A221" s="25" t="s">
        <v>206</v>
      </c>
      <c r="B221" s="26">
        <v>52.0</v>
      </c>
      <c r="C221" s="27">
        <v>45873.0</v>
      </c>
      <c r="D221" s="28">
        <v>45873.407638888886</v>
      </c>
      <c r="E221" s="28">
        <v>45873.74791666667</v>
      </c>
      <c r="F221" s="21" t="s">
        <v>189</v>
      </c>
      <c r="G221" s="23"/>
      <c r="H221" s="23" t="str">
        <f t="shared" si="1"/>
        <v>INSERT INTO tblDayAttendanceLog VALUES (seqDayAttendanceLog.nextval, 52, TO_DATE('2025-08-04', 'YYYY-MM-DD'), TO_DATE('2025-08-04 09:47:00', 'YYYY-MM-DD HH24:MI:SS'), TO_DATE('2025-08-04 17:57:00', 'YYYY-MM-DD HH24:MI:SS'));</v>
      </c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</row>
    <row r="222">
      <c r="A222" s="25" t="s">
        <v>206</v>
      </c>
      <c r="B222" s="26">
        <v>53.0</v>
      </c>
      <c r="C222" s="27">
        <v>45873.0</v>
      </c>
      <c r="D222" s="28">
        <v>45873.38402777778</v>
      </c>
      <c r="E222" s="28">
        <v>45873.74791666667</v>
      </c>
      <c r="F222" s="21" t="s">
        <v>189</v>
      </c>
      <c r="G222" s="23"/>
      <c r="H222" s="23" t="str">
        <f t="shared" si="1"/>
        <v>INSERT INTO tblDayAttendanceLog VALUES (seqDayAttendanceLog.nextval, 53, TO_DATE('2025-08-04', 'YYYY-MM-DD'), TO_DATE('2025-08-04 09:13:00', 'YYYY-MM-DD HH24:MI:SS'), TO_DATE('2025-08-04 17:57:00', 'YYYY-MM-DD HH24:MI:SS'));</v>
      </c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</row>
    <row r="223">
      <c r="A223" s="25" t="s">
        <v>206</v>
      </c>
      <c r="B223" s="26">
        <v>54.0</v>
      </c>
      <c r="C223" s="27">
        <v>45873.0</v>
      </c>
      <c r="D223" s="28">
        <v>45873.39097222222</v>
      </c>
      <c r="E223" s="28">
        <v>45873.74791666667</v>
      </c>
      <c r="F223" s="21" t="s">
        <v>189</v>
      </c>
      <c r="G223" s="23"/>
      <c r="H223" s="23" t="str">
        <f t="shared" si="1"/>
        <v>INSERT INTO tblDayAttendanceLog VALUES (seqDayAttendanceLog.nextval, 54, TO_DATE('2025-08-04', 'YYYY-MM-DD'), TO_DATE('2025-08-04 09:23:00', 'YYYY-MM-DD HH24:MI:SS'), TO_DATE('2025-08-04 17:57:00', 'YYYY-MM-DD HH24:MI:SS'));</v>
      </c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</row>
    <row r="224">
      <c r="A224" s="25" t="s">
        <v>206</v>
      </c>
      <c r="B224" s="26">
        <v>55.0</v>
      </c>
      <c r="C224" s="27">
        <v>45873.0</v>
      </c>
      <c r="D224" s="28">
        <v>45873.333333333336</v>
      </c>
      <c r="E224" s="28">
        <v>45873.74722222222</v>
      </c>
      <c r="F224" s="21" t="s">
        <v>184</v>
      </c>
      <c r="G224" s="23"/>
      <c r="H224" s="23" t="str">
        <f t="shared" si="1"/>
        <v>INSERT INTO tblDayAttendanceLog VALUES (seqDayAttendanceLog.nextval, 55, TO_DATE('2025-08-04', 'YYYY-MM-DD'), TO_DATE('2025-08-04 08:00:00', 'YYYY-MM-DD HH24:MI:SS'), TO_DATE('2025-08-04 17:56:00', 'YYYY-MM-DD HH24:MI:SS'));</v>
      </c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</row>
    <row r="225">
      <c r="A225" s="25" t="s">
        <v>206</v>
      </c>
      <c r="B225" s="26">
        <v>56.0</v>
      </c>
      <c r="C225" s="27">
        <v>45873.0</v>
      </c>
      <c r="D225" s="28">
        <v>45873.38333333333</v>
      </c>
      <c r="E225" s="28">
        <v>45873.74791666667</v>
      </c>
      <c r="F225" s="21" t="s">
        <v>189</v>
      </c>
      <c r="G225" s="23"/>
      <c r="H225" s="23" t="str">
        <f t="shared" si="1"/>
        <v>INSERT INTO tblDayAttendanceLog VALUES (seqDayAttendanceLog.nextval, 56, TO_DATE('2025-08-04', 'YYYY-MM-DD'), TO_DATE('2025-08-04 09:12:00', 'YYYY-MM-DD HH24:MI:SS'), TO_DATE('2025-08-04 17:57:00', 'YYYY-MM-DD HH24:MI:SS'));</v>
      </c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</row>
    <row r="226">
      <c r="A226" s="25" t="s">
        <v>206</v>
      </c>
      <c r="B226" s="26">
        <v>57.0</v>
      </c>
      <c r="C226" s="27">
        <v>45873.0</v>
      </c>
      <c r="D226" s="28">
        <v>45873.40069444444</v>
      </c>
      <c r="E226" s="28">
        <v>45873.74513888889</v>
      </c>
      <c r="F226" s="21" t="s">
        <v>189</v>
      </c>
      <c r="G226" s="23"/>
      <c r="H226" s="23" t="str">
        <f t="shared" si="1"/>
        <v>INSERT INTO tblDayAttendanceLog VALUES (seqDayAttendanceLog.nextval, 57, TO_DATE('2025-08-04', 'YYYY-MM-DD'), TO_DATE('2025-08-04 09:37:00', 'YYYY-MM-DD HH24:MI:SS'), TO_DATE('2025-08-04 17:53:00', 'YYYY-MM-DD HH24:MI:SS'));</v>
      </c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</row>
    <row r="227">
      <c r="A227" s="25" t="s">
        <v>206</v>
      </c>
      <c r="B227" s="26">
        <v>58.0</v>
      </c>
      <c r="C227" s="27">
        <v>45873.0</v>
      </c>
      <c r="D227" s="28">
        <v>45873.37777777778</v>
      </c>
      <c r="E227" s="28">
        <v>45873.745833333334</v>
      </c>
      <c r="F227" s="21" t="s">
        <v>189</v>
      </c>
      <c r="G227" s="23"/>
      <c r="H227" s="23" t="str">
        <f t="shared" si="1"/>
        <v>INSERT INTO tblDayAttendanceLog VALUES (seqDayAttendanceLog.nextval, 58, TO_DATE('2025-08-04', 'YYYY-MM-DD'), TO_DATE('2025-08-04 09:04:00', 'YYYY-MM-DD HH24:MI:SS'), TO_DATE('2025-08-04 17:54:00', 'YYYY-MM-DD HH24:MI:SS'));</v>
      </c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</row>
    <row r="228">
      <c r="A228" s="25" t="s">
        <v>206</v>
      </c>
      <c r="B228" s="26">
        <v>59.0</v>
      </c>
      <c r="C228" s="27">
        <v>45873.0</v>
      </c>
      <c r="D228" s="28">
        <v>45873.37152777778</v>
      </c>
      <c r="E228" s="28">
        <v>45873.50486111111</v>
      </c>
      <c r="F228" s="21" t="s">
        <v>187</v>
      </c>
      <c r="G228" s="23"/>
      <c r="H228" s="23" t="str">
        <f t="shared" si="1"/>
        <v>INSERT INTO tblDayAttendanceLog VALUES (seqDayAttendanceLog.nextval, 59, TO_DATE('2025-08-04', 'YYYY-MM-DD'), TO_DATE('2025-08-04 08:55:00', 'YYYY-MM-DD HH24:MI:SS'), TO_DATE('2025-08-04 12:07:00', 'YYYY-MM-DD HH24:MI:SS'));</v>
      </c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</row>
    <row r="229">
      <c r="A229" s="25" t="s">
        <v>206</v>
      </c>
      <c r="B229" s="26">
        <v>60.0</v>
      </c>
      <c r="C229" s="27">
        <v>45873.0</v>
      </c>
      <c r="D229" s="28">
        <v>45873.36944444444</v>
      </c>
      <c r="E229" s="28">
        <v>45873.74791666667</v>
      </c>
      <c r="F229" s="21" t="s">
        <v>184</v>
      </c>
      <c r="G229" s="23"/>
      <c r="H229" s="23" t="str">
        <f t="shared" si="1"/>
        <v>INSERT INTO tblDayAttendanceLog VALUES (seqDayAttendanceLog.nextval, 60, TO_DATE('2025-08-04', 'YYYY-MM-DD'), TO_DATE('2025-08-04 08:52:00', 'YYYY-MM-DD HH24:MI:SS'), TO_DATE('2025-08-04 17:57:00', 'YYYY-MM-DD HH24:MI:SS'));</v>
      </c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</row>
    <row r="230">
      <c r="A230" s="25" t="s">
        <v>206</v>
      </c>
      <c r="B230" s="26">
        <v>61.0</v>
      </c>
      <c r="C230" s="27">
        <v>45873.0</v>
      </c>
      <c r="D230" s="28">
        <v>45873.396527777775</v>
      </c>
      <c r="E230" s="28">
        <v>45873.74930555555</v>
      </c>
      <c r="F230" s="21" t="s">
        <v>189</v>
      </c>
      <c r="G230" s="23"/>
      <c r="H230" s="23" t="str">
        <f t="shared" si="1"/>
        <v>INSERT INTO tblDayAttendanceLog VALUES (seqDayAttendanceLog.nextval, 61, TO_DATE('2025-08-04', 'YYYY-MM-DD'), TO_DATE('2025-08-04 09:31:00', 'YYYY-MM-DD HH24:MI:SS'), TO_DATE('2025-08-04 17:59:00', 'YYYY-MM-DD HH24:MI:SS'));</v>
      </c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</row>
    <row r="231">
      <c r="A231" s="25" t="s">
        <v>206</v>
      </c>
      <c r="B231" s="26">
        <v>62.0</v>
      </c>
      <c r="C231" s="27">
        <v>45873.0</v>
      </c>
      <c r="D231" s="28">
        <v>45873.393055555556</v>
      </c>
      <c r="E231" s="28">
        <v>45873.74722222222</v>
      </c>
      <c r="F231" s="21" t="s">
        <v>189</v>
      </c>
      <c r="G231" s="23"/>
      <c r="H231" s="23" t="str">
        <f t="shared" si="1"/>
        <v>INSERT INTO tblDayAttendanceLog VALUES (seqDayAttendanceLog.nextval, 62, TO_DATE('2025-08-04', 'YYYY-MM-DD'), TO_DATE('2025-08-04 09:26:00', 'YYYY-MM-DD HH24:MI:SS'), TO_DATE('2025-08-04 17:56:00', 'YYYY-MM-DD HH24:MI:SS'));</v>
      </c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</row>
    <row r="232">
      <c r="A232" s="25" t="s">
        <v>206</v>
      </c>
      <c r="B232" s="26">
        <v>63.0</v>
      </c>
      <c r="C232" s="27">
        <v>45873.0</v>
      </c>
      <c r="D232" s="29"/>
      <c r="E232" s="29"/>
      <c r="F232" s="21" t="s">
        <v>186</v>
      </c>
      <c r="G232" s="23"/>
      <c r="H232" s="23" t="str">
        <f t="shared" si="1"/>
        <v>INSERT INTO tblDayAttendanceLog VALUES (seqDayAttendanceLog.nextval, 63, TO_DATE('2025-08-04', 'YYYY-MM-DD'), NULL, NULL);</v>
      </c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</row>
    <row r="233">
      <c r="A233" s="25" t="s">
        <v>206</v>
      </c>
      <c r="B233" s="26">
        <v>64.0</v>
      </c>
      <c r="C233" s="27">
        <v>45873.0</v>
      </c>
      <c r="D233" s="28">
        <v>45873.38125</v>
      </c>
      <c r="E233" s="28">
        <v>45873.74652777778</v>
      </c>
      <c r="F233" s="21" t="s">
        <v>189</v>
      </c>
      <c r="G233" s="23"/>
      <c r="H233" s="23" t="str">
        <f t="shared" si="1"/>
        <v>INSERT INTO tblDayAttendanceLog VALUES (seqDayAttendanceLog.nextval, 64, TO_DATE('2025-08-04', 'YYYY-MM-DD'), TO_DATE('2025-08-04 09:09:00', 'YYYY-MM-DD HH24:MI:SS'), TO_DATE('2025-08-04 17:55:00', 'YYYY-MM-DD HH24:MI:SS'));</v>
      </c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</row>
    <row r="234">
      <c r="A234" s="25" t="s">
        <v>206</v>
      </c>
      <c r="B234" s="26">
        <v>65.0</v>
      </c>
      <c r="C234" s="27">
        <v>45873.0</v>
      </c>
      <c r="D234" s="28">
        <v>45873.40138888889</v>
      </c>
      <c r="E234" s="28">
        <v>45873.74375</v>
      </c>
      <c r="F234" s="21" t="s">
        <v>189</v>
      </c>
      <c r="G234" s="23"/>
      <c r="H234" s="23" t="str">
        <f t="shared" si="1"/>
        <v>INSERT INTO tblDayAttendanceLog VALUES (seqDayAttendanceLog.nextval, 65, TO_DATE('2025-08-04', 'YYYY-MM-DD'), TO_DATE('2025-08-04 09:38:00', 'YYYY-MM-DD HH24:MI:SS'), TO_DATE('2025-08-04 17:51:00', 'YYYY-MM-DD HH24:MI:SS'));</v>
      </c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</row>
    <row r="235">
      <c r="A235" s="25" t="s">
        <v>206</v>
      </c>
      <c r="B235" s="26">
        <v>66.0</v>
      </c>
      <c r="C235" s="27">
        <v>45873.0</v>
      </c>
      <c r="D235" s="28">
        <v>45873.40694444445</v>
      </c>
      <c r="E235" s="28">
        <v>45873.74722222222</v>
      </c>
      <c r="F235" s="21" t="s">
        <v>189</v>
      </c>
      <c r="G235" s="23"/>
      <c r="H235" s="23" t="str">
        <f t="shared" si="1"/>
        <v>INSERT INTO tblDayAttendanceLog VALUES (seqDayAttendanceLog.nextval, 66, TO_DATE('2025-08-04', 'YYYY-MM-DD'), TO_DATE('2025-08-04 09:46:00', 'YYYY-MM-DD HH24:MI:SS'), TO_DATE('2025-08-04 17:56:00', 'YYYY-MM-DD HH24:MI:SS'));</v>
      </c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</row>
    <row r="236">
      <c r="A236" s="25" t="s">
        <v>206</v>
      </c>
      <c r="B236" s="26">
        <v>67.0</v>
      </c>
      <c r="C236" s="27">
        <v>45873.0</v>
      </c>
      <c r="D236" s="28">
        <v>45873.40694444445</v>
      </c>
      <c r="E236" s="28">
        <v>45873.74930555555</v>
      </c>
      <c r="F236" s="21" t="s">
        <v>189</v>
      </c>
      <c r="G236" s="23"/>
      <c r="H236" s="23" t="str">
        <f t="shared" si="1"/>
        <v>INSERT INTO tblDayAttendanceLog VALUES (seqDayAttendanceLog.nextval, 67, TO_DATE('2025-08-04', 'YYYY-MM-DD'), TO_DATE('2025-08-04 09:46:00', 'YYYY-MM-DD HH24:MI:SS'), TO_DATE('2025-08-04 17:59:00', 'YYYY-MM-DD HH24:MI:SS'));</v>
      </c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</row>
    <row r="237">
      <c r="A237" s="25" t="s">
        <v>206</v>
      </c>
      <c r="B237" s="26">
        <v>68.0</v>
      </c>
      <c r="C237" s="27">
        <v>45873.0</v>
      </c>
      <c r="D237" s="28">
        <v>45873.40347222222</v>
      </c>
      <c r="E237" s="28">
        <v>45873.74722222222</v>
      </c>
      <c r="F237" s="21" t="s">
        <v>189</v>
      </c>
      <c r="G237" s="23"/>
      <c r="H237" s="23" t="str">
        <f t="shared" si="1"/>
        <v>INSERT INTO tblDayAttendanceLog VALUES (seqDayAttendanceLog.nextval, 68, TO_DATE('2025-08-04', 'YYYY-MM-DD'), TO_DATE('2025-08-04 09:41:00', 'YYYY-MM-DD HH24:MI:SS'), TO_DATE('2025-08-04 17:56:00', 'YYYY-MM-DD HH24:MI:SS'));</v>
      </c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</row>
    <row r="238">
      <c r="A238" s="25" t="s">
        <v>206</v>
      </c>
      <c r="B238" s="26">
        <v>69.0</v>
      </c>
      <c r="C238" s="27">
        <v>45873.0</v>
      </c>
      <c r="D238" s="28">
        <v>45873.36666666667</v>
      </c>
      <c r="E238" s="28">
        <v>45873.74513888889</v>
      </c>
      <c r="F238" s="21" t="s">
        <v>184</v>
      </c>
      <c r="G238" s="23"/>
      <c r="H238" s="23" t="str">
        <f t="shared" si="1"/>
        <v>INSERT INTO tblDayAttendanceLog VALUES (seqDayAttendanceLog.nextval, 69, TO_DATE('2025-08-04', 'YYYY-MM-DD'), TO_DATE('2025-08-04 08:48:00', 'YYYY-MM-DD HH24:MI:SS'), TO_DATE('2025-08-04 17:53:00', 'YYYY-MM-DD HH24:MI:SS'));</v>
      </c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</row>
    <row r="239">
      <c r="A239" s="25" t="s">
        <v>206</v>
      </c>
      <c r="B239" s="26">
        <v>70.0</v>
      </c>
      <c r="C239" s="27">
        <v>45873.0</v>
      </c>
      <c r="D239" s="28">
        <v>45873.37152777778</v>
      </c>
      <c r="E239" s="28">
        <v>45873.74444444444</v>
      </c>
      <c r="F239" s="21" t="s">
        <v>184</v>
      </c>
      <c r="G239" s="23"/>
      <c r="H239" s="23" t="str">
        <f t="shared" si="1"/>
        <v>INSERT INTO tblDayAttendanceLog VALUES (seqDayAttendanceLog.nextval, 70, TO_DATE('2025-08-04', 'YYYY-MM-DD'), TO_DATE('2025-08-04 08:55:00', 'YYYY-MM-DD HH24:MI:SS'), TO_DATE('2025-08-04 17:52:00', 'YYYY-MM-DD HH24:MI:SS'));</v>
      </c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</row>
    <row r="240">
      <c r="A240" s="25" t="s">
        <v>206</v>
      </c>
      <c r="B240" s="26">
        <v>71.0</v>
      </c>
      <c r="C240" s="27">
        <v>45873.0</v>
      </c>
      <c r="D240" s="28">
        <v>45873.376388888886</v>
      </c>
      <c r="E240" s="28">
        <v>45873.74791666667</v>
      </c>
      <c r="F240" s="21" t="s">
        <v>189</v>
      </c>
      <c r="G240" s="23"/>
      <c r="H240" s="23" t="str">
        <f t="shared" si="1"/>
        <v>INSERT INTO tblDayAttendanceLog VALUES (seqDayAttendanceLog.nextval, 71, TO_DATE('2025-08-04', 'YYYY-MM-DD'), TO_DATE('2025-08-04 09:02:00', 'YYYY-MM-DD HH24:MI:SS'), TO_DATE('2025-08-04 17:57:00', 'YYYY-MM-DD HH24:MI:SS'));</v>
      </c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</row>
    <row r="241">
      <c r="A241" s="25" t="s">
        <v>206</v>
      </c>
      <c r="B241" s="26">
        <v>72.0</v>
      </c>
      <c r="C241" s="27">
        <v>45873.0</v>
      </c>
      <c r="D241" s="28">
        <v>45873.38888888889</v>
      </c>
      <c r="E241" s="28">
        <v>45873.74722222222</v>
      </c>
      <c r="F241" s="21" t="s">
        <v>189</v>
      </c>
      <c r="G241" s="23"/>
      <c r="H241" s="23" t="str">
        <f t="shared" si="1"/>
        <v>INSERT INTO tblDayAttendanceLog VALUES (seqDayAttendanceLog.nextval, 72, TO_DATE('2025-08-04', 'YYYY-MM-DD'), TO_DATE('2025-08-04 09:20:00', 'YYYY-MM-DD HH24:MI:SS'), TO_DATE('2025-08-04 17:56:00', 'YYYY-MM-DD HH24:MI:SS'));</v>
      </c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</row>
    <row r="242">
      <c r="A242" s="25" t="s">
        <v>206</v>
      </c>
      <c r="B242" s="26">
        <v>73.0</v>
      </c>
      <c r="C242" s="27">
        <v>45873.0</v>
      </c>
      <c r="D242" s="28">
        <v>45873.38263888889</v>
      </c>
      <c r="E242" s="28">
        <v>45873.74513888889</v>
      </c>
      <c r="F242" s="21" t="s">
        <v>189</v>
      </c>
      <c r="G242" s="23"/>
      <c r="H242" s="23" t="str">
        <f t="shared" si="1"/>
        <v>INSERT INTO tblDayAttendanceLog VALUES (seqDayAttendanceLog.nextval, 73, TO_DATE('2025-08-04', 'YYYY-MM-DD'), TO_DATE('2025-08-04 09:11:00', 'YYYY-MM-DD HH24:MI:SS'), TO_DATE('2025-08-04 17:53:00', 'YYYY-MM-DD HH24:MI:SS'));</v>
      </c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</row>
    <row r="243">
      <c r="A243" s="25" t="s">
        <v>206</v>
      </c>
      <c r="B243" s="26">
        <v>74.0</v>
      </c>
      <c r="C243" s="27">
        <v>45873.0</v>
      </c>
      <c r="D243" s="28">
        <v>45873.38263888889</v>
      </c>
      <c r="E243" s="28">
        <v>45873.74375</v>
      </c>
      <c r="F243" s="21" t="s">
        <v>189</v>
      </c>
      <c r="G243" s="23"/>
      <c r="H243" s="23" t="str">
        <f t="shared" si="1"/>
        <v>INSERT INTO tblDayAttendanceLog VALUES (seqDayAttendanceLog.nextval, 74, TO_DATE('2025-08-04', 'YYYY-MM-DD'), TO_DATE('2025-08-04 09:11:00', 'YYYY-MM-DD HH24:MI:SS'), TO_DATE('2025-08-04 17:51:00', 'YYYY-MM-DD HH24:MI:SS'));</v>
      </c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</row>
    <row r="244">
      <c r="A244" s="25" t="s">
        <v>206</v>
      </c>
      <c r="B244" s="26">
        <v>75.0</v>
      </c>
      <c r="C244" s="27">
        <v>45873.0</v>
      </c>
      <c r="D244" s="28">
        <v>45873.40347222222</v>
      </c>
      <c r="E244" s="28">
        <v>45873.74513888889</v>
      </c>
      <c r="F244" s="21" t="s">
        <v>189</v>
      </c>
      <c r="G244" s="23"/>
      <c r="H244" s="23" t="str">
        <f t="shared" si="1"/>
        <v>INSERT INTO tblDayAttendanceLog VALUES (seqDayAttendanceLog.nextval, 75, TO_DATE('2025-08-04', 'YYYY-MM-DD'), TO_DATE('2025-08-04 09:41:00', 'YYYY-MM-DD HH24:MI:SS'), TO_DATE('2025-08-04 17:53:00', 'YYYY-MM-DD HH24:MI:SS'));</v>
      </c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</row>
    <row r="245">
      <c r="A245" s="25" t="s">
        <v>206</v>
      </c>
      <c r="B245" s="26">
        <v>76.0</v>
      </c>
      <c r="C245" s="27">
        <v>45873.0</v>
      </c>
      <c r="D245" s="28">
        <v>45873.35</v>
      </c>
      <c r="E245" s="28">
        <v>45873.74444444444</v>
      </c>
      <c r="F245" s="21" t="s">
        <v>184</v>
      </c>
      <c r="G245" s="23"/>
      <c r="H245" s="23" t="str">
        <f t="shared" si="1"/>
        <v>INSERT INTO tblDayAttendanceLog VALUES (seqDayAttendanceLog.nextval, 76, TO_DATE('2025-08-04', 'YYYY-MM-DD'), TO_DATE('2025-08-04 08:24:00', 'YYYY-MM-DD HH24:MI:SS'), TO_DATE('2025-08-04 17:52:00', 'YYYY-MM-DD HH24:MI:SS'));</v>
      </c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</row>
    <row r="246">
      <c r="A246" s="25" t="s">
        <v>206</v>
      </c>
      <c r="B246" s="26">
        <v>77.0</v>
      </c>
      <c r="C246" s="27">
        <v>45873.0</v>
      </c>
      <c r="D246" s="28">
        <v>45873.36041666667</v>
      </c>
      <c r="E246" s="28">
        <v>45873.74444444444</v>
      </c>
      <c r="F246" s="21" t="s">
        <v>184</v>
      </c>
      <c r="G246" s="23"/>
      <c r="H246" s="23" t="str">
        <f t="shared" si="1"/>
        <v>INSERT INTO tblDayAttendanceLog VALUES (seqDayAttendanceLog.nextval, 77, TO_DATE('2025-08-04', 'YYYY-MM-DD'), TO_DATE('2025-08-04 08:39:00', 'YYYY-MM-DD HH24:MI:SS'), TO_DATE('2025-08-04 17:52:00', 'YYYY-MM-DD HH24:MI:SS'));</v>
      </c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</row>
    <row r="247">
      <c r="A247" s="25" t="s">
        <v>206</v>
      </c>
      <c r="B247" s="26">
        <v>78.0</v>
      </c>
      <c r="C247" s="27">
        <v>45873.0</v>
      </c>
      <c r="D247" s="28">
        <v>45873.35902777778</v>
      </c>
      <c r="E247" s="28">
        <v>45873.745833333334</v>
      </c>
      <c r="F247" s="21" t="s">
        <v>184</v>
      </c>
      <c r="G247" s="23"/>
      <c r="H247" s="23" t="str">
        <f t="shared" si="1"/>
        <v>INSERT INTO tblDayAttendanceLog VALUES (seqDayAttendanceLog.nextval, 78, TO_DATE('2025-08-04', 'YYYY-MM-DD'), TO_DATE('2025-08-04 08:37:00', 'YYYY-MM-DD HH24:MI:SS'), TO_DATE('2025-08-04 17:54:00', 'YYYY-MM-DD HH24:MI:SS'));</v>
      </c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</row>
    <row r="248">
      <c r="A248" s="25" t="s">
        <v>206</v>
      </c>
      <c r="B248" s="26">
        <v>79.0</v>
      </c>
      <c r="C248" s="27">
        <v>45873.0</v>
      </c>
      <c r="D248" s="29"/>
      <c r="E248" s="29"/>
      <c r="F248" s="21" t="s">
        <v>186</v>
      </c>
      <c r="G248" s="23"/>
      <c r="H248" s="23" t="str">
        <f t="shared" si="1"/>
        <v>INSERT INTO tblDayAttendanceLog VALUES (seqDayAttendanceLog.nextval, 79, TO_DATE('2025-08-04', 'YYYY-MM-DD'), NULL, NULL);</v>
      </c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</row>
    <row r="249">
      <c r="A249" s="25" t="s">
        <v>206</v>
      </c>
      <c r="B249" s="26">
        <v>80.0</v>
      </c>
      <c r="C249" s="27">
        <v>45873.0</v>
      </c>
      <c r="D249" s="28">
        <v>45873.35555555556</v>
      </c>
      <c r="E249" s="28">
        <v>45873.74791666667</v>
      </c>
      <c r="F249" s="21" t="s">
        <v>184</v>
      </c>
      <c r="G249" s="23"/>
      <c r="H249" s="23" t="str">
        <f t="shared" si="1"/>
        <v>INSERT INTO tblDayAttendanceLog VALUES (seqDayAttendanceLog.nextval, 80, TO_DATE('2025-08-04', 'YYYY-MM-DD'), TO_DATE('2025-08-04 08:32:00', 'YYYY-MM-DD HH24:MI:SS'), TO_DATE('2025-08-04 17:57:00', 'YYYY-MM-DD HH24:MI:SS'));</v>
      </c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</row>
    <row r="250">
      <c r="A250" s="25" t="s">
        <v>206</v>
      </c>
      <c r="B250" s="26">
        <v>81.0</v>
      </c>
      <c r="C250" s="27">
        <v>45873.0</v>
      </c>
      <c r="D250" s="28">
        <v>45873.339583333334</v>
      </c>
      <c r="E250" s="28">
        <v>45873.745833333334</v>
      </c>
      <c r="F250" s="21" t="s">
        <v>184</v>
      </c>
      <c r="G250" s="23"/>
      <c r="H250" s="23" t="str">
        <f t="shared" si="1"/>
        <v>INSERT INTO tblDayAttendanceLog VALUES (seqDayAttendanceLog.nextval, 81, TO_DATE('2025-08-04', 'YYYY-MM-DD'), TO_DATE('2025-08-04 08:09:00', 'YYYY-MM-DD HH24:MI:SS'), TO_DATE('2025-08-04 17:54:00', 'YYYY-MM-DD HH24:MI:SS'));</v>
      </c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</row>
    <row r="251">
      <c r="A251" s="25" t="s">
        <v>206</v>
      </c>
      <c r="B251" s="26">
        <v>82.0</v>
      </c>
      <c r="C251" s="27">
        <v>45873.0</v>
      </c>
      <c r="D251" s="28">
        <v>45873.35833333333</v>
      </c>
      <c r="E251" s="28">
        <v>45873.748611111114</v>
      </c>
      <c r="F251" s="21" t="s">
        <v>184</v>
      </c>
      <c r="G251" s="23"/>
      <c r="H251" s="23" t="str">
        <f t="shared" si="1"/>
        <v>INSERT INTO tblDayAttendanceLog VALUES (seqDayAttendanceLog.nextval, 82, TO_DATE('2025-08-04', 'YYYY-MM-DD'), TO_DATE('2025-08-04 08:36:00', 'YYYY-MM-DD HH24:MI:SS'), TO_DATE('2025-08-04 17:58:00', 'YYYY-MM-DD HH24:MI:SS'));</v>
      </c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</row>
    <row r="252">
      <c r="A252" s="25" t="s">
        <v>206</v>
      </c>
      <c r="B252" s="26">
        <v>83.0</v>
      </c>
      <c r="C252" s="27">
        <v>45873.0</v>
      </c>
      <c r="D252" s="28">
        <v>45873.375</v>
      </c>
      <c r="E252" s="28">
        <v>45873.74444444444</v>
      </c>
      <c r="F252" s="21" t="s">
        <v>189</v>
      </c>
      <c r="G252" s="23"/>
      <c r="H252" s="23" t="str">
        <f t="shared" si="1"/>
        <v>INSERT INTO tblDayAttendanceLog VALUES (seqDayAttendanceLog.nextval, 83, TO_DATE('2025-08-04', 'YYYY-MM-DD'), TO_DATE('2025-08-04 09:00:00', 'YYYY-MM-DD HH24:MI:SS'), TO_DATE('2025-08-04 17:52:00', 'YYYY-MM-DD HH24:MI:SS'));</v>
      </c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</row>
    <row r="253">
      <c r="A253" s="25" t="s">
        <v>206</v>
      </c>
      <c r="B253" s="26">
        <v>84.0</v>
      </c>
      <c r="C253" s="27">
        <v>45873.0</v>
      </c>
      <c r="D253" s="28">
        <v>45873.37777777778</v>
      </c>
      <c r="E253" s="28">
        <v>45873.743055555555</v>
      </c>
      <c r="F253" s="21" t="s">
        <v>189</v>
      </c>
      <c r="G253" s="23"/>
      <c r="H253" s="23" t="str">
        <f t="shared" si="1"/>
        <v>INSERT INTO tblDayAttendanceLog VALUES (seqDayAttendanceLog.nextval, 84, TO_DATE('2025-08-04', 'YYYY-MM-DD'), TO_DATE('2025-08-04 09:04:00', 'YYYY-MM-DD HH24:MI:SS'), TO_DATE('2025-08-04 17:50:00', 'YYYY-MM-DD HH24:MI:SS'));</v>
      </c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</row>
    <row r="254">
      <c r="A254" s="25" t="s">
        <v>206</v>
      </c>
      <c r="B254" s="26">
        <v>85.0</v>
      </c>
      <c r="C254" s="27">
        <v>45873.0</v>
      </c>
      <c r="D254" s="28">
        <v>45873.375</v>
      </c>
      <c r="E254" s="28">
        <v>45873.74722222222</v>
      </c>
      <c r="F254" s="21" t="s">
        <v>189</v>
      </c>
      <c r="G254" s="23"/>
      <c r="H254" s="23" t="str">
        <f t="shared" si="1"/>
        <v>INSERT INTO tblDayAttendanceLog VALUES (seqDayAttendanceLog.nextval, 85, TO_DATE('2025-08-04', 'YYYY-MM-DD'), TO_DATE('2025-08-04 09:00:00', 'YYYY-MM-DD HH24:MI:SS'), TO_DATE('2025-08-04 17:56:00', 'YYYY-MM-DD HH24:MI:SS'));</v>
      </c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</row>
    <row r="255">
      <c r="A255" s="25" t="s">
        <v>206</v>
      </c>
      <c r="B255" s="26">
        <v>86.0</v>
      </c>
      <c r="C255" s="27">
        <v>45873.0</v>
      </c>
      <c r="D255" s="28">
        <v>45873.35972222222</v>
      </c>
      <c r="E255" s="28">
        <v>45873.74930555555</v>
      </c>
      <c r="F255" s="21" t="s">
        <v>184</v>
      </c>
      <c r="G255" s="23"/>
      <c r="H255" s="23" t="str">
        <f t="shared" si="1"/>
        <v>INSERT INTO tblDayAttendanceLog VALUES (seqDayAttendanceLog.nextval, 86, TO_DATE('2025-08-04', 'YYYY-MM-DD'), TO_DATE('2025-08-04 08:38:00', 'YYYY-MM-DD HH24:MI:SS'), TO_DATE('2025-08-04 17:59:00', 'YYYY-MM-DD HH24:MI:SS'));</v>
      </c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</row>
    <row r="256">
      <c r="A256" s="25" t="s">
        <v>206</v>
      </c>
      <c r="B256" s="26">
        <v>87.0</v>
      </c>
      <c r="C256" s="27">
        <v>45873.0</v>
      </c>
      <c r="D256" s="28">
        <v>45873.34305555555</v>
      </c>
      <c r="E256" s="28">
        <v>45873.74791666667</v>
      </c>
      <c r="F256" s="21" t="s">
        <v>184</v>
      </c>
      <c r="G256" s="23"/>
      <c r="H256" s="23" t="str">
        <f t="shared" si="1"/>
        <v>INSERT INTO tblDayAttendanceLog VALUES (seqDayAttendanceLog.nextval, 87, TO_DATE('2025-08-04', 'YYYY-MM-DD'), TO_DATE('2025-08-04 08:14:00', 'YYYY-MM-DD HH24:MI:SS'), TO_DATE('2025-08-04 17:57:00', 'YYYY-MM-DD HH24:MI:SS'));</v>
      </c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</row>
    <row r="257">
      <c r="A257" s="25" t="s">
        <v>206</v>
      </c>
      <c r="B257" s="26">
        <v>88.0</v>
      </c>
      <c r="C257" s="27">
        <v>45873.0</v>
      </c>
      <c r="D257" s="28">
        <v>45873.40902777778</v>
      </c>
      <c r="E257" s="28">
        <v>45873.74375</v>
      </c>
      <c r="F257" s="21" t="s">
        <v>189</v>
      </c>
      <c r="G257" s="23"/>
      <c r="H257" s="23" t="str">
        <f t="shared" si="1"/>
        <v>INSERT INTO tblDayAttendanceLog VALUES (seqDayAttendanceLog.nextval, 88, TO_DATE('2025-08-04', 'YYYY-MM-DD'), TO_DATE('2025-08-04 09:49:00', 'YYYY-MM-DD HH24:MI:SS'), TO_DATE('2025-08-04 17:51:00', 'YYYY-MM-DD HH24:MI:SS'));</v>
      </c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</row>
    <row r="258">
      <c r="A258" s="25" t="s">
        <v>206</v>
      </c>
      <c r="B258" s="26">
        <v>89.0</v>
      </c>
      <c r="C258" s="27">
        <v>45873.0</v>
      </c>
      <c r="D258" s="28">
        <v>45873.40138888889</v>
      </c>
      <c r="E258" s="28">
        <v>45873.743055555555</v>
      </c>
      <c r="F258" s="21" t="s">
        <v>189</v>
      </c>
      <c r="G258" s="23"/>
      <c r="H258" s="23" t="str">
        <f t="shared" si="1"/>
        <v>INSERT INTO tblDayAttendanceLog VALUES (seqDayAttendanceLog.nextval, 89, TO_DATE('2025-08-04', 'YYYY-MM-DD'), TO_DATE('2025-08-04 09:38:00', 'YYYY-MM-DD HH24:MI:SS'), TO_DATE('2025-08-04 17:50:00', 'YYYY-MM-DD HH24:MI:SS'));</v>
      </c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</row>
    <row r="259">
      <c r="A259" s="25" t="s">
        <v>206</v>
      </c>
      <c r="B259" s="26">
        <v>90.0</v>
      </c>
      <c r="C259" s="27">
        <v>45873.0</v>
      </c>
      <c r="D259" s="28">
        <v>45873.333333333336</v>
      </c>
      <c r="E259" s="28">
        <v>45873.74375</v>
      </c>
      <c r="F259" s="21" t="s">
        <v>184</v>
      </c>
      <c r="G259" s="23"/>
      <c r="H259" s="23" t="str">
        <f t="shared" si="1"/>
        <v>INSERT INTO tblDayAttendanceLog VALUES (seqDayAttendanceLog.nextval, 90, TO_DATE('2025-08-04', 'YYYY-MM-DD'), TO_DATE('2025-08-04 08:00:00', 'YYYY-MM-DD HH24:MI:SS'), TO_DATE('2025-08-04 17:51:00', 'YYYY-MM-DD HH24:MI:SS'));</v>
      </c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</row>
    <row r="260">
      <c r="A260" s="25" t="s">
        <v>206</v>
      </c>
      <c r="B260" s="26">
        <v>91.0</v>
      </c>
      <c r="C260" s="27">
        <v>45873.0</v>
      </c>
      <c r="D260" s="28">
        <v>45873.37291666667</v>
      </c>
      <c r="E260" s="28">
        <v>45873.74375</v>
      </c>
      <c r="F260" s="21" t="s">
        <v>184</v>
      </c>
      <c r="G260" s="23"/>
      <c r="H260" s="23" t="str">
        <f t="shared" si="1"/>
        <v>INSERT INTO tblDayAttendanceLog VALUES (seqDayAttendanceLog.nextval, 91, TO_DATE('2025-08-04', 'YYYY-MM-DD'), TO_DATE('2025-08-04 08:57:00', 'YYYY-MM-DD HH24:MI:SS'), TO_DATE('2025-08-04 17:51:00', 'YYYY-MM-DD HH24:MI:SS'));</v>
      </c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</row>
    <row r="261">
      <c r="A261" s="25" t="s">
        <v>206</v>
      </c>
      <c r="B261" s="26">
        <v>92.0</v>
      </c>
      <c r="C261" s="27">
        <v>45873.0</v>
      </c>
      <c r="D261" s="28">
        <v>45873.350694444445</v>
      </c>
      <c r="E261" s="28">
        <v>45873.74930555555</v>
      </c>
      <c r="F261" s="21" t="s">
        <v>184</v>
      </c>
      <c r="G261" s="23"/>
      <c r="H261" s="23" t="str">
        <f t="shared" si="1"/>
        <v>INSERT INTO tblDayAttendanceLog VALUES (seqDayAttendanceLog.nextval, 92, TO_DATE('2025-08-04', 'YYYY-MM-DD'), TO_DATE('2025-08-04 08:25:00', 'YYYY-MM-DD HH24:MI:SS'), TO_DATE('2025-08-04 17:59:00', 'YYYY-MM-DD HH24:MI:SS'));</v>
      </c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</row>
    <row r="262">
      <c r="A262" s="25" t="s">
        <v>206</v>
      </c>
      <c r="B262" s="26">
        <v>93.0</v>
      </c>
      <c r="C262" s="27">
        <v>45873.0</v>
      </c>
      <c r="D262" s="28">
        <v>45873.39791666667</v>
      </c>
      <c r="E262" s="28">
        <v>45873.74930555555</v>
      </c>
      <c r="F262" s="21" t="s">
        <v>189</v>
      </c>
      <c r="G262" s="23"/>
      <c r="H262" s="23" t="str">
        <f t="shared" si="1"/>
        <v>INSERT INTO tblDayAttendanceLog VALUES (seqDayAttendanceLog.nextval, 93, TO_DATE('2025-08-04', 'YYYY-MM-DD'), TO_DATE('2025-08-04 09:33:00', 'YYYY-MM-DD HH24:MI:SS'), TO_DATE('2025-08-04 17:59:00', 'YYYY-MM-DD HH24:MI:SS'));</v>
      </c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</row>
    <row r="263">
      <c r="A263" s="25" t="s">
        <v>206</v>
      </c>
      <c r="B263" s="26">
        <v>94.0</v>
      </c>
      <c r="C263" s="27">
        <v>45873.0</v>
      </c>
      <c r="D263" s="28">
        <v>45873.41458333333</v>
      </c>
      <c r="E263" s="28">
        <v>45873.74791666667</v>
      </c>
      <c r="F263" s="21" t="s">
        <v>189</v>
      </c>
      <c r="G263" s="23"/>
      <c r="H263" s="23" t="str">
        <f t="shared" si="1"/>
        <v>INSERT INTO tblDayAttendanceLog VALUES (seqDayAttendanceLog.nextval, 94, TO_DATE('2025-08-04', 'YYYY-MM-DD'), TO_DATE('2025-08-04 09:57:00', 'YYYY-MM-DD HH24:MI:SS'), TO_DATE('2025-08-04 17:57:00', 'YYYY-MM-DD HH24:MI:SS'));</v>
      </c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</row>
    <row r="264">
      <c r="A264" s="25" t="s">
        <v>206</v>
      </c>
      <c r="B264" s="26">
        <v>95.0</v>
      </c>
      <c r="C264" s="27">
        <v>45873.0</v>
      </c>
      <c r="D264" s="28">
        <v>45873.395833333336</v>
      </c>
      <c r="E264" s="28">
        <v>45873.74375</v>
      </c>
      <c r="F264" s="21" t="s">
        <v>189</v>
      </c>
      <c r="G264" s="23"/>
      <c r="H264" s="23" t="str">
        <f t="shared" si="1"/>
        <v>INSERT INTO tblDayAttendanceLog VALUES (seqDayAttendanceLog.nextval, 95, TO_DATE('2025-08-04', 'YYYY-MM-DD'), TO_DATE('2025-08-04 09:30:00', 'YYYY-MM-DD HH24:MI:SS'), TO_DATE('2025-08-04 17:51:00', 'YYYY-MM-DD HH24:MI:SS'));</v>
      </c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</row>
    <row r="265">
      <c r="A265" s="25" t="s">
        <v>206</v>
      </c>
      <c r="B265" s="26">
        <v>96.0</v>
      </c>
      <c r="C265" s="27">
        <v>45873.0</v>
      </c>
      <c r="D265" s="28">
        <v>45873.37430555555</v>
      </c>
      <c r="E265" s="28">
        <v>45873.74722222222</v>
      </c>
      <c r="F265" s="21" t="s">
        <v>184</v>
      </c>
      <c r="G265" s="23"/>
      <c r="H265" s="23" t="str">
        <f t="shared" si="1"/>
        <v>INSERT INTO tblDayAttendanceLog VALUES (seqDayAttendanceLog.nextval, 96, TO_DATE('2025-08-04', 'YYYY-MM-DD'), TO_DATE('2025-08-04 08:59:00', 'YYYY-MM-DD HH24:MI:SS'), TO_DATE('2025-08-04 17:56:00', 'YYYY-MM-DD HH24:MI:SS'));</v>
      </c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</row>
    <row r="266">
      <c r="A266" s="25" t="s">
        <v>206</v>
      </c>
      <c r="B266" s="26">
        <v>97.0</v>
      </c>
      <c r="C266" s="27">
        <v>45873.0</v>
      </c>
      <c r="D266" s="28">
        <v>45873.35138888889</v>
      </c>
      <c r="E266" s="28">
        <v>45873.74444444444</v>
      </c>
      <c r="F266" s="21" t="s">
        <v>184</v>
      </c>
      <c r="G266" s="23"/>
      <c r="H266" s="23" t="str">
        <f t="shared" si="1"/>
        <v>INSERT INTO tblDayAttendanceLog VALUES (seqDayAttendanceLog.nextval, 97, TO_DATE('2025-08-04', 'YYYY-MM-DD'), TO_DATE('2025-08-04 08:26:00', 'YYYY-MM-DD HH24:MI:SS'), TO_DATE('2025-08-04 17:52:00', 'YYYY-MM-DD HH24:MI:SS'));</v>
      </c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</row>
    <row r="267">
      <c r="A267" s="25" t="s">
        <v>206</v>
      </c>
      <c r="B267" s="26">
        <v>98.0</v>
      </c>
      <c r="C267" s="27">
        <v>45873.0</v>
      </c>
      <c r="D267" s="28">
        <v>45873.385416666664</v>
      </c>
      <c r="E267" s="28">
        <v>45873.743055555555</v>
      </c>
      <c r="F267" s="21" t="s">
        <v>189</v>
      </c>
      <c r="G267" s="23"/>
      <c r="H267" s="23" t="str">
        <f t="shared" si="1"/>
        <v>INSERT INTO tblDayAttendanceLog VALUES (seqDayAttendanceLog.nextval, 98, TO_DATE('2025-08-04', 'YYYY-MM-DD'), TO_DATE('2025-08-04 09:15:00', 'YYYY-MM-DD HH24:MI:SS'), TO_DATE('2025-08-04 17:50:00', 'YYYY-MM-DD HH24:MI:SS'));</v>
      </c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</row>
    <row r="268">
      <c r="A268" s="25" t="s">
        <v>206</v>
      </c>
      <c r="B268" s="26">
        <v>99.0</v>
      </c>
      <c r="C268" s="27">
        <v>45873.0</v>
      </c>
      <c r="D268" s="28">
        <v>45873.3625</v>
      </c>
      <c r="E268" s="28">
        <v>45873.74791666667</v>
      </c>
      <c r="F268" s="21" t="s">
        <v>184</v>
      </c>
      <c r="G268" s="23"/>
      <c r="H268" s="23" t="str">
        <f t="shared" si="1"/>
        <v>INSERT INTO tblDayAttendanceLog VALUES (seqDayAttendanceLog.nextval, 99, TO_DATE('2025-08-04', 'YYYY-MM-DD'), TO_DATE('2025-08-04 08:42:00', 'YYYY-MM-DD HH24:MI:SS'), TO_DATE('2025-08-04 17:57:00', 'YYYY-MM-DD HH24:MI:SS'));</v>
      </c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</row>
    <row r="269">
      <c r="A269" s="25" t="s">
        <v>206</v>
      </c>
      <c r="B269" s="26">
        <v>100.0</v>
      </c>
      <c r="C269" s="27">
        <v>45873.0</v>
      </c>
      <c r="D269" s="28">
        <v>45873.373611111114</v>
      </c>
      <c r="E269" s="28">
        <v>45873.74930555555</v>
      </c>
      <c r="F269" s="21" t="s">
        <v>184</v>
      </c>
      <c r="G269" s="23"/>
      <c r="H269" s="23" t="str">
        <f t="shared" si="1"/>
        <v>INSERT INTO tblDayAttendanceLog VALUES (seqDayAttendanceLog.nextval, 100, TO_DATE('2025-08-04', 'YYYY-MM-DD'), TO_DATE('2025-08-04 08:58:00', 'YYYY-MM-DD HH24:MI:SS'), TO_DATE('2025-08-04 17:59:00', 'YYYY-MM-DD HH24:MI:SS'));</v>
      </c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</row>
    <row r="270">
      <c r="A270" s="25" t="s">
        <v>206</v>
      </c>
      <c r="B270" s="26">
        <v>101.0</v>
      </c>
      <c r="C270" s="27">
        <v>45873.0</v>
      </c>
      <c r="D270" s="28">
        <v>45873.38402777778</v>
      </c>
      <c r="E270" s="28">
        <v>45873.74444444444</v>
      </c>
      <c r="F270" s="21" t="s">
        <v>189</v>
      </c>
      <c r="G270" s="23"/>
      <c r="H270" s="23" t="str">
        <f t="shared" si="1"/>
        <v>INSERT INTO tblDayAttendanceLog VALUES (seqDayAttendanceLog.nextval, 101, TO_DATE('2025-08-04', 'YYYY-MM-DD'), TO_DATE('2025-08-04 09:13:00', 'YYYY-MM-DD HH24:MI:SS'), TO_DATE('2025-08-04 17:52:00', 'YYYY-MM-DD HH24:MI:SS'));</v>
      </c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</row>
    <row r="271">
      <c r="A271" s="25" t="s">
        <v>206</v>
      </c>
      <c r="B271" s="26">
        <v>102.0</v>
      </c>
      <c r="C271" s="27">
        <v>45873.0</v>
      </c>
      <c r="D271" s="28">
        <v>45873.395833333336</v>
      </c>
      <c r="E271" s="28">
        <v>45873.74652777778</v>
      </c>
      <c r="F271" s="21" t="s">
        <v>189</v>
      </c>
      <c r="G271" s="23"/>
      <c r="H271" s="23" t="str">
        <f t="shared" si="1"/>
        <v>INSERT INTO tblDayAttendanceLog VALUES (seqDayAttendanceLog.nextval, 102, TO_DATE('2025-08-04', 'YYYY-MM-DD'), TO_DATE('2025-08-04 09:30:00', 'YYYY-MM-DD HH24:MI:SS'), TO_DATE('2025-08-04 17:55:00', 'YYYY-MM-DD HH24:MI:SS'));</v>
      </c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</row>
    <row r="272">
      <c r="A272" s="25" t="s">
        <v>206</v>
      </c>
      <c r="B272" s="26">
        <v>103.0</v>
      </c>
      <c r="C272" s="27">
        <v>45873.0</v>
      </c>
      <c r="D272" s="28">
        <v>45873.39722222222</v>
      </c>
      <c r="E272" s="28">
        <v>45873.74930555555</v>
      </c>
      <c r="F272" s="21" t="s">
        <v>189</v>
      </c>
      <c r="G272" s="23"/>
      <c r="H272" s="23" t="str">
        <f t="shared" si="1"/>
        <v>INSERT INTO tblDayAttendanceLog VALUES (seqDayAttendanceLog.nextval, 103, TO_DATE('2025-08-04', 'YYYY-MM-DD'), TO_DATE('2025-08-04 09:32:00', 'YYYY-MM-DD HH24:MI:SS'), TO_DATE('2025-08-04 17:59:00', 'YYYY-MM-DD HH24:MI:SS'));</v>
      </c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</row>
    <row r="273">
      <c r="A273" s="25" t="s">
        <v>206</v>
      </c>
      <c r="B273" s="26">
        <v>104.0</v>
      </c>
      <c r="C273" s="27">
        <v>45873.0</v>
      </c>
      <c r="D273" s="28">
        <v>45873.39444444444</v>
      </c>
      <c r="E273" s="28">
        <v>45873.74375</v>
      </c>
      <c r="F273" s="21" t="s">
        <v>189</v>
      </c>
      <c r="G273" s="23"/>
      <c r="H273" s="23" t="str">
        <f t="shared" si="1"/>
        <v>INSERT INTO tblDayAttendanceLog VALUES (seqDayAttendanceLog.nextval, 104, TO_DATE('2025-08-04', 'YYYY-MM-DD'), TO_DATE('2025-08-04 09:28:00', 'YYYY-MM-DD HH24:MI:SS'), TO_DATE('2025-08-04 17:51:00', 'YYYY-MM-DD HH24:MI:SS'));</v>
      </c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</row>
    <row r="274">
      <c r="A274" s="25" t="s">
        <v>206</v>
      </c>
      <c r="B274" s="26">
        <v>105.0</v>
      </c>
      <c r="C274" s="27">
        <v>45873.0</v>
      </c>
      <c r="D274" s="28">
        <v>45873.40972222222</v>
      </c>
      <c r="E274" s="28">
        <v>45873.74930555555</v>
      </c>
      <c r="F274" s="21" t="s">
        <v>189</v>
      </c>
      <c r="G274" s="23"/>
      <c r="H274" s="23" t="str">
        <f t="shared" si="1"/>
        <v>INSERT INTO tblDayAttendanceLog VALUES (seqDayAttendanceLog.nextval, 105, TO_DATE('2025-08-04', 'YYYY-MM-DD'), TO_DATE('2025-08-04 09:50:00', 'YYYY-MM-DD HH24:MI:SS'), TO_DATE('2025-08-04 17:59:00', 'YYYY-MM-DD HH24:MI:SS'));</v>
      </c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</row>
    <row r="275">
      <c r="A275" s="25" t="s">
        <v>206</v>
      </c>
      <c r="B275" s="26">
        <v>106.0</v>
      </c>
      <c r="C275" s="27">
        <v>45873.0</v>
      </c>
      <c r="D275" s="28">
        <v>45873.381944444445</v>
      </c>
      <c r="E275" s="28">
        <v>45873.74930555555</v>
      </c>
      <c r="F275" s="21" t="s">
        <v>189</v>
      </c>
      <c r="G275" s="23"/>
      <c r="H275" s="23" t="str">
        <f t="shared" si="1"/>
        <v>INSERT INTO tblDayAttendanceLog VALUES (seqDayAttendanceLog.nextval, 106, TO_DATE('2025-08-04', 'YYYY-MM-DD'), TO_DATE('2025-08-04 09:10:00', 'YYYY-MM-DD HH24:MI:SS'), TO_DATE('2025-08-04 17:59:00', 'YYYY-MM-DD HH24:MI:SS'));</v>
      </c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</row>
    <row r="276">
      <c r="A276" s="25" t="s">
        <v>206</v>
      </c>
      <c r="B276" s="26">
        <v>107.0</v>
      </c>
      <c r="C276" s="27">
        <v>45873.0</v>
      </c>
      <c r="D276" s="28">
        <v>45873.40902777778</v>
      </c>
      <c r="E276" s="28">
        <v>45873.748611111114</v>
      </c>
      <c r="F276" s="21" t="s">
        <v>189</v>
      </c>
      <c r="G276" s="23"/>
      <c r="H276" s="23" t="str">
        <f t="shared" si="1"/>
        <v>INSERT INTO tblDayAttendanceLog VALUES (seqDayAttendanceLog.nextval, 107, TO_DATE('2025-08-04', 'YYYY-MM-DD'), TO_DATE('2025-08-04 09:49:00', 'YYYY-MM-DD HH24:MI:SS'), TO_DATE('2025-08-04 17:58:00', 'YYYY-MM-DD HH24:MI:SS'));</v>
      </c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</row>
    <row r="277">
      <c r="A277" s="25" t="s">
        <v>206</v>
      </c>
      <c r="B277" s="26">
        <v>108.0</v>
      </c>
      <c r="C277" s="27">
        <v>45873.0</v>
      </c>
      <c r="D277" s="28">
        <v>45873.39027777778</v>
      </c>
      <c r="E277" s="28">
        <v>45873.74513888889</v>
      </c>
      <c r="F277" s="21" t="s">
        <v>189</v>
      </c>
      <c r="G277" s="23"/>
      <c r="H277" s="23" t="str">
        <f t="shared" si="1"/>
        <v>INSERT INTO tblDayAttendanceLog VALUES (seqDayAttendanceLog.nextval, 108, TO_DATE('2025-08-04', 'YYYY-MM-DD'), TO_DATE('2025-08-04 09:22:00', 'YYYY-MM-DD HH24:MI:SS'), TO_DATE('2025-08-04 17:53:00', 'YYYY-MM-DD HH24:MI:SS'));</v>
      </c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</row>
    <row r="278">
      <c r="A278" s="25" t="s">
        <v>206</v>
      </c>
      <c r="B278" s="26">
        <v>109.0</v>
      </c>
      <c r="C278" s="27">
        <v>45873.0</v>
      </c>
      <c r="D278" s="28">
        <v>45873.36944444444</v>
      </c>
      <c r="E278" s="28">
        <v>45873.74791666667</v>
      </c>
      <c r="F278" s="21" t="s">
        <v>184</v>
      </c>
      <c r="G278" s="23"/>
      <c r="H278" s="23" t="str">
        <f t="shared" si="1"/>
        <v>INSERT INTO tblDayAttendanceLog VALUES (seqDayAttendanceLog.nextval, 109, TO_DATE('2025-08-04', 'YYYY-MM-DD'), TO_DATE('2025-08-04 08:52:00', 'YYYY-MM-DD HH24:MI:SS'), TO_DATE('2025-08-04 17:57:00', 'YYYY-MM-DD HH24:MI:SS'));</v>
      </c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</row>
    <row r="279">
      <c r="A279" s="25" t="s">
        <v>206</v>
      </c>
      <c r="B279" s="26">
        <v>110.0</v>
      </c>
      <c r="C279" s="27">
        <v>45873.0</v>
      </c>
      <c r="D279" s="28">
        <v>45873.336805555555</v>
      </c>
      <c r="E279" s="28">
        <v>45873.74652777778</v>
      </c>
      <c r="F279" s="21" t="s">
        <v>184</v>
      </c>
      <c r="G279" s="23"/>
      <c r="H279" s="23" t="str">
        <f t="shared" si="1"/>
        <v>INSERT INTO tblDayAttendanceLog VALUES (seqDayAttendanceLog.nextval, 110, TO_DATE('2025-08-04', 'YYYY-MM-DD'), TO_DATE('2025-08-04 08:05:00', 'YYYY-MM-DD HH24:MI:SS'), TO_DATE('2025-08-04 17:55:00', 'YYYY-MM-DD HH24:MI:SS'));</v>
      </c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</row>
    <row r="280">
      <c r="A280" s="25" t="s">
        <v>206</v>
      </c>
      <c r="B280" s="26">
        <v>111.0</v>
      </c>
      <c r="C280" s="27">
        <v>45873.0</v>
      </c>
      <c r="D280" s="28">
        <v>45873.38611111111</v>
      </c>
      <c r="E280" s="28">
        <v>45873.74652777778</v>
      </c>
      <c r="F280" s="21" t="s">
        <v>189</v>
      </c>
      <c r="G280" s="23"/>
      <c r="H280" s="23" t="str">
        <f t="shared" si="1"/>
        <v>INSERT INTO tblDayAttendanceLog VALUES (seqDayAttendanceLog.nextval, 111, TO_DATE('2025-08-04', 'YYYY-MM-DD'), TO_DATE('2025-08-04 09:16:00', 'YYYY-MM-DD HH24:MI:SS'), TO_DATE('2025-08-04 17:55:00', 'YYYY-MM-DD HH24:MI:SS'));</v>
      </c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</row>
    <row r="281">
      <c r="A281" s="25" t="s">
        <v>206</v>
      </c>
      <c r="B281" s="26">
        <v>112.0</v>
      </c>
      <c r="C281" s="27">
        <v>45873.0</v>
      </c>
      <c r="D281" s="28">
        <v>45873.339583333334</v>
      </c>
      <c r="E281" s="28">
        <v>45873.74375</v>
      </c>
      <c r="F281" s="21" t="s">
        <v>184</v>
      </c>
      <c r="G281" s="23"/>
      <c r="H281" s="23" t="str">
        <f t="shared" si="1"/>
        <v>INSERT INTO tblDayAttendanceLog VALUES (seqDayAttendanceLog.nextval, 112, TO_DATE('2025-08-04', 'YYYY-MM-DD'), TO_DATE('2025-08-04 08:09:00', 'YYYY-MM-DD HH24:MI:SS'), TO_DATE('2025-08-04 17:51:00', 'YYYY-MM-DD HH24:MI:SS'));</v>
      </c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</row>
    <row r="282">
      <c r="A282" s="25" t="s">
        <v>206</v>
      </c>
      <c r="B282" s="26">
        <v>113.0</v>
      </c>
      <c r="C282" s="27">
        <v>45873.0</v>
      </c>
      <c r="D282" s="28">
        <v>45873.40347222222</v>
      </c>
      <c r="E282" s="28">
        <v>45873.743055555555</v>
      </c>
      <c r="F282" s="21" t="s">
        <v>189</v>
      </c>
      <c r="G282" s="23"/>
      <c r="H282" s="23" t="str">
        <f t="shared" si="1"/>
        <v>INSERT INTO tblDayAttendanceLog VALUES (seqDayAttendanceLog.nextval, 113, TO_DATE('2025-08-04', 'YYYY-MM-DD'), TO_DATE('2025-08-04 09:41:00', 'YYYY-MM-DD HH24:MI:SS'), TO_DATE('2025-08-04 17:50:00', 'YYYY-MM-DD HH24:MI:SS'));</v>
      </c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</row>
    <row r="283">
      <c r="A283" s="25" t="s">
        <v>206</v>
      </c>
      <c r="B283" s="26">
        <v>114.0</v>
      </c>
      <c r="C283" s="27">
        <v>45873.0</v>
      </c>
      <c r="D283" s="28">
        <v>45873.410416666666</v>
      </c>
      <c r="E283" s="28">
        <v>45873.74652777778</v>
      </c>
      <c r="F283" s="21" t="s">
        <v>189</v>
      </c>
      <c r="G283" s="23"/>
      <c r="H283" s="23" t="str">
        <f t="shared" si="1"/>
        <v>INSERT INTO tblDayAttendanceLog VALUES (seqDayAttendanceLog.nextval, 114, TO_DATE('2025-08-04', 'YYYY-MM-DD'), TO_DATE('2025-08-04 09:51:00', 'YYYY-MM-DD HH24:MI:SS'), TO_DATE('2025-08-04 17:55:00', 'YYYY-MM-DD HH24:MI:SS'));</v>
      </c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</row>
    <row r="284">
      <c r="A284" s="25" t="s">
        <v>206</v>
      </c>
      <c r="B284" s="26">
        <v>115.0</v>
      </c>
      <c r="C284" s="27">
        <v>45873.0</v>
      </c>
      <c r="D284" s="28">
        <v>45873.34652777778</v>
      </c>
      <c r="E284" s="28">
        <v>45873.74722222222</v>
      </c>
      <c r="F284" s="21" t="s">
        <v>184</v>
      </c>
      <c r="G284" s="23"/>
      <c r="H284" s="23" t="str">
        <f t="shared" si="1"/>
        <v>INSERT INTO tblDayAttendanceLog VALUES (seqDayAttendanceLog.nextval, 115, TO_DATE('2025-08-04', 'YYYY-MM-DD'), TO_DATE('2025-08-04 08:19:00', 'YYYY-MM-DD HH24:MI:SS'), TO_DATE('2025-08-04 17:56:00', 'YYYY-MM-DD HH24:MI:SS'));</v>
      </c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</row>
    <row r="285">
      <c r="A285" s="25" t="s">
        <v>206</v>
      </c>
      <c r="B285" s="26">
        <v>116.0</v>
      </c>
      <c r="C285" s="27">
        <v>45873.0</v>
      </c>
      <c r="D285" s="28">
        <v>45873.34444444445</v>
      </c>
      <c r="E285" s="28">
        <v>45873.74375</v>
      </c>
      <c r="F285" s="21" t="s">
        <v>184</v>
      </c>
      <c r="G285" s="23"/>
      <c r="H285" s="23" t="str">
        <f t="shared" si="1"/>
        <v>INSERT INTO tblDayAttendanceLog VALUES (seqDayAttendanceLog.nextval, 116, TO_DATE('2025-08-04', 'YYYY-MM-DD'), TO_DATE('2025-08-04 08:16:00', 'YYYY-MM-DD HH24:MI:SS'), TO_DATE('2025-08-04 17:51:00', 'YYYY-MM-DD HH24:MI:SS'));</v>
      </c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</row>
    <row r="286">
      <c r="A286" s="25" t="s">
        <v>206</v>
      </c>
      <c r="B286" s="26">
        <v>117.0</v>
      </c>
      <c r="C286" s="27">
        <v>45873.0</v>
      </c>
      <c r="D286" s="28">
        <v>45873.37291666667</v>
      </c>
      <c r="E286" s="28">
        <v>45873.74722222222</v>
      </c>
      <c r="F286" s="21" t="s">
        <v>184</v>
      </c>
      <c r="G286" s="23"/>
      <c r="H286" s="23" t="str">
        <f t="shared" si="1"/>
        <v>INSERT INTO tblDayAttendanceLog VALUES (seqDayAttendanceLog.nextval, 117, TO_DATE('2025-08-04', 'YYYY-MM-DD'), TO_DATE('2025-08-04 08:57:00', 'YYYY-MM-DD HH24:MI:SS'), TO_DATE('2025-08-04 17:56:00', 'YYYY-MM-DD HH24:MI:SS'));</v>
      </c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</row>
    <row r="287">
      <c r="A287" s="25" t="s">
        <v>206</v>
      </c>
      <c r="B287" s="26">
        <v>118.0</v>
      </c>
      <c r="C287" s="27">
        <v>45873.0</v>
      </c>
      <c r="D287" s="28">
        <v>45873.40347222222</v>
      </c>
      <c r="E287" s="28">
        <v>45873.74444444444</v>
      </c>
      <c r="F287" s="21" t="s">
        <v>189</v>
      </c>
      <c r="G287" s="23"/>
      <c r="H287" s="23" t="str">
        <f t="shared" si="1"/>
        <v>INSERT INTO tblDayAttendanceLog VALUES (seqDayAttendanceLog.nextval, 118, TO_DATE('2025-08-04', 'YYYY-MM-DD'), TO_DATE('2025-08-04 09:41:00', 'YYYY-MM-DD HH24:MI:SS'), TO_DATE('2025-08-04 17:52:00', 'YYYY-MM-DD HH24:MI:SS'));</v>
      </c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</row>
    <row r="288">
      <c r="A288" s="25" t="s">
        <v>206</v>
      </c>
      <c r="B288" s="26">
        <v>119.0</v>
      </c>
      <c r="C288" s="27">
        <v>45873.0</v>
      </c>
      <c r="D288" s="28">
        <v>45873.3625</v>
      </c>
      <c r="E288" s="28">
        <v>45873.74375</v>
      </c>
      <c r="F288" s="21" t="s">
        <v>184</v>
      </c>
      <c r="G288" s="23"/>
      <c r="H288" s="23" t="str">
        <f t="shared" si="1"/>
        <v>INSERT INTO tblDayAttendanceLog VALUES (seqDayAttendanceLog.nextval, 119, TO_DATE('2025-08-04', 'YYYY-MM-DD'), TO_DATE('2025-08-04 08:42:00', 'YYYY-MM-DD HH24:MI:SS'), TO_DATE('2025-08-04 17:51:00', 'YYYY-MM-DD HH24:MI:SS'));</v>
      </c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</row>
    <row r="289">
      <c r="A289" s="25" t="s">
        <v>206</v>
      </c>
      <c r="B289" s="26">
        <v>120.0</v>
      </c>
      <c r="C289" s="27">
        <v>45873.0</v>
      </c>
      <c r="D289" s="28">
        <v>45873.37430555555</v>
      </c>
      <c r="E289" s="28">
        <v>45873.74722222222</v>
      </c>
      <c r="F289" s="21" t="s">
        <v>184</v>
      </c>
      <c r="G289" s="23"/>
      <c r="H289" s="23" t="str">
        <f t="shared" si="1"/>
        <v>INSERT INTO tblDayAttendanceLog VALUES (seqDayAttendanceLog.nextval, 120, TO_DATE('2025-08-04', 'YYYY-MM-DD'), TO_DATE('2025-08-04 08:59:00', 'YYYY-MM-DD HH24:MI:SS'), TO_DATE('2025-08-04 17:56:00', 'YYYY-MM-DD HH24:MI:SS'));</v>
      </c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</row>
    <row r="290">
      <c r="A290" s="25" t="s">
        <v>206</v>
      </c>
      <c r="B290" s="26">
        <v>121.0</v>
      </c>
      <c r="C290" s="27">
        <v>45873.0</v>
      </c>
      <c r="D290" s="28">
        <v>45873.384722222225</v>
      </c>
      <c r="E290" s="28">
        <v>45873.74513888889</v>
      </c>
      <c r="F290" s="21" t="s">
        <v>189</v>
      </c>
      <c r="G290" s="23"/>
      <c r="H290" s="23" t="str">
        <f t="shared" si="1"/>
        <v>INSERT INTO tblDayAttendanceLog VALUES (seqDayAttendanceLog.nextval, 121, TO_DATE('2025-08-04', 'YYYY-MM-DD'), TO_DATE('2025-08-04 09:14:00', 'YYYY-MM-DD HH24:MI:SS'), TO_DATE('2025-08-04 17:53:00', 'YYYY-MM-DD HH24:MI:SS'));</v>
      </c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</row>
    <row r="291">
      <c r="A291" s="25" t="s">
        <v>206</v>
      </c>
      <c r="B291" s="26">
        <v>122.0</v>
      </c>
      <c r="C291" s="27">
        <v>45873.0</v>
      </c>
      <c r="D291" s="28">
        <v>45873.34375</v>
      </c>
      <c r="E291" s="28">
        <v>45873.745833333334</v>
      </c>
      <c r="F291" s="21" t="s">
        <v>184</v>
      </c>
      <c r="G291" s="23"/>
      <c r="H291" s="23" t="str">
        <f t="shared" si="1"/>
        <v>INSERT INTO tblDayAttendanceLog VALUES (seqDayAttendanceLog.nextval, 122, TO_DATE('2025-08-04', 'YYYY-MM-DD'), TO_DATE('2025-08-04 08:15:00', 'YYYY-MM-DD HH24:MI:SS'), TO_DATE('2025-08-04 17:54:00', 'YYYY-MM-DD HH24:MI:SS'));</v>
      </c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</row>
    <row r="292">
      <c r="A292" s="25" t="s">
        <v>206</v>
      </c>
      <c r="B292" s="26">
        <v>123.0</v>
      </c>
      <c r="C292" s="27">
        <v>45873.0</v>
      </c>
      <c r="D292" s="28">
        <v>45873.33611111111</v>
      </c>
      <c r="E292" s="28">
        <v>45873.74444444444</v>
      </c>
      <c r="F292" s="21" t="s">
        <v>184</v>
      </c>
      <c r="G292" s="23"/>
      <c r="H292" s="23" t="str">
        <f t="shared" si="1"/>
        <v>INSERT INTO tblDayAttendanceLog VALUES (seqDayAttendanceLog.nextval, 123, TO_DATE('2025-08-04', 'YYYY-MM-DD'), TO_DATE('2025-08-04 08:04:00', 'YYYY-MM-DD HH24:MI:SS'), TO_DATE('2025-08-04 17:52:00', 'YYYY-MM-DD HH24:MI:SS'));</v>
      </c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</row>
    <row r="293">
      <c r="A293" s="25" t="s">
        <v>206</v>
      </c>
      <c r="B293" s="26">
        <v>124.0</v>
      </c>
      <c r="C293" s="27">
        <v>45873.0</v>
      </c>
      <c r="D293" s="28">
        <v>45873.35972222222</v>
      </c>
      <c r="E293" s="28">
        <v>45873.748611111114</v>
      </c>
      <c r="F293" s="21" t="s">
        <v>184</v>
      </c>
      <c r="G293" s="23"/>
      <c r="H293" s="23" t="str">
        <f t="shared" si="1"/>
        <v>INSERT INTO tblDayAttendanceLog VALUES (seqDayAttendanceLog.nextval, 124, TO_DATE('2025-08-04', 'YYYY-MM-DD'), TO_DATE('2025-08-04 08:38:00', 'YYYY-MM-DD HH24:MI:SS'), TO_DATE('2025-08-04 17:58:00', 'YYYY-MM-DD HH24:MI:SS'));</v>
      </c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</row>
    <row r="294">
      <c r="A294" s="25" t="s">
        <v>206</v>
      </c>
      <c r="B294" s="26">
        <v>125.0</v>
      </c>
      <c r="C294" s="27">
        <v>45873.0</v>
      </c>
      <c r="D294" s="28">
        <v>45873.339583333334</v>
      </c>
      <c r="E294" s="28">
        <v>45873.74722222222</v>
      </c>
      <c r="F294" s="21" t="s">
        <v>184</v>
      </c>
      <c r="G294" s="23"/>
      <c r="H294" s="23" t="str">
        <f t="shared" si="1"/>
        <v>INSERT INTO tblDayAttendanceLog VALUES (seqDayAttendanceLog.nextval, 125, TO_DATE('2025-08-04', 'YYYY-MM-DD'), TO_DATE('2025-08-04 08:09:00', 'YYYY-MM-DD HH24:MI:SS'), TO_DATE('2025-08-04 17:56:00', 'YYYY-MM-DD HH24:MI:SS'));</v>
      </c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</row>
    <row r="295">
      <c r="A295" s="25" t="s">
        <v>206</v>
      </c>
      <c r="B295" s="26">
        <v>126.0</v>
      </c>
      <c r="C295" s="27">
        <v>45873.0</v>
      </c>
      <c r="D295" s="28">
        <v>45873.38680555556</v>
      </c>
      <c r="E295" s="28">
        <v>45873.745833333334</v>
      </c>
      <c r="F295" s="21" t="s">
        <v>189</v>
      </c>
      <c r="G295" s="23"/>
      <c r="H295" s="23" t="str">
        <f t="shared" si="1"/>
        <v>INSERT INTO tblDayAttendanceLog VALUES (seqDayAttendanceLog.nextval, 126, TO_DATE('2025-08-04', 'YYYY-MM-DD'), TO_DATE('2025-08-04 09:17:00', 'YYYY-MM-DD HH24:MI:SS'), TO_DATE('2025-08-04 17:54:00', 'YYYY-MM-DD HH24:MI:SS'));</v>
      </c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</row>
    <row r="296">
      <c r="A296" s="25" t="s">
        <v>206</v>
      </c>
      <c r="B296" s="26">
        <v>127.0</v>
      </c>
      <c r="C296" s="27">
        <v>45873.0</v>
      </c>
      <c r="D296" s="28">
        <v>45873.402083333334</v>
      </c>
      <c r="E296" s="28">
        <v>45873.74652777778</v>
      </c>
      <c r="F296" s="21" t="s">
        <v>189</v>
      </c>
      <c r="G296" s="23"/>
      <c r="H296" s="23" t="str">
        <f t="shared" si="1"/>
        <v>INSERT INTO tblDayAttendanceLog VALUES (seqDayAttendanceLog.nextval, 127, TO_DATE('2025-08-04', 'YYYY-MM-DD'), TO_DATE('2025-08-04 09:39:00', 'YYYY-MM-DD HH24:MI:SS'), TO_DATE('2025-08-04 17:55:00', 'YYYY-MM-DD HH24:MI:SS'));</v>
      </c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</row>
    <row r="297">
      <c r="A297" s="25" t="s">
        <v>206</v>
      </c>
      <c r="B297" s="26">
        <v>128.0</v>
      </c>
      <c r="C297" s="27">
        <v>45873.0</v>
      </c>
      <c r="D297" s="28">
        <v>45873.347916666666</v>
      </c>
      <c r="E297" s="28">
        <v>45873.74652777778</v>
      </c>
      <c r="F297" s="21" t="s">
        <v>184</v>
      </c>
      <c r="G297" s="23"/>
      <c r="H297" s="23" t="str">
        <f t="shared" si="1"/>
        <v>INSERT INTO tblDayAttendanceLog VALUES (seqDayAttendanceLog.nextval, 128, TO_DATE('2025-08-04', 'YYYY-MM-DD'), TO_DATE('2025-08-04 08:21:00', 'YYYY-MM-DD HH24:MI:SS'), TO_DATE('2025-08-04 17:55:00', 'YYYY-MM-DD HH24:MI:SS'));</v>
      </c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</row>
    <row r="298">
      <c r="A298" s="25" t="s">
        <v>206</v>
      </c>
      <c r="B298" s="26">
        <v>129.0</v>
      </c>
      <c r="C298" s="27">
        <v>45873.0</v>
      </c>
      <c r="D298" s="28">
        <v>45873.4125</v>
      </c>
      <c r="E298" s="28">
        <v>45873.74513888889</v>
      </c>
      <c r="F298" s="21" t="s">
        <v>189</v>
      </c>
      <c r="G298" s="23"/>
      <c r="H298" s="23" t="str">
        <f t="shared" si="1"/>
        <v>INSERT INTO tblDayAttendanceLog VALUES (seqDayAttendanceLog.nextval, 129, TO_DATE('2025-08-04', 'YYYY-MM-DD'), TO_DATE('2025-08-04 09:54:00', 'YYYY-MM-DD HH24:MI:SS'), TO_DATE('2025-08-04 17:53:00', 'YYYY-MM-DD HH24:MI:SS'));</v>
      </c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</row>
    <row r="299">
      <c r="A299" s="25" t="s">
        <v>206</v>
      </c>
      <c r="B299" s="26">
        <v>130.0</v>
      </c>
      <c r="C299" s="27">
        <v>45873.0</v>
      </c>
      <c r="D299" s="28">
        <v>45873.39444444444</v>
      </c>
      <c r="E299" s="28">
        <v>45873.74513888889</v>
      </c>
      <c r="F299" s="21" t="s">
        <v>189</v>
      </c>
      <c r="G299" s="23"/>
      <c r="H299" s="23" t="str">
        <f t="shared" si="1"/>
        <v>INSERT INTO tblDayAttendanceLog VALUES (seqDayAttendanceLog.nextval, 130, TO_DATE('2025-08-04', 'YYYY-MM-DD'), TO_DATE('2025-08-04 09:28:00', 'YYYY-MM-DD HH24:MI:SS'), TO_DATE('2025-08-04 17:53:00', 'YYYY-MM-DD HH24:MI:SS'));</v>
      </c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</row>
    <row r="300">
      <c r="A300" s="25" t="s">
        <v>206</v>
      </c>
      <c r="B300" s="26">
        <v>131.0</v>
      </c>
      <c r="C300" s="27">
        <v>45873.0</v>
      </c>
      <c r="D300" s="28">
        <v>45873.34097222222</v>
      </c>
      <c r="E300" s="28">
        <v>45873.748611111114</v>
      </c>
      <c r="F300" s="21" t="s">
        <v>184</v>
      </c>
      <c r="G300" s="23"/>
      <c r="H300" s="23" t="str">
        <f t="shared" si="1"/>
        <v>INSERT INTO tblDayAttendanceLog VALUES (seqDayAttendanceLog.nextval, 131, TO_DATE('2025-08-04', 'YYYY-MM-DD'), TO_DATE('2025-08-04 08:11:00', 'YYYY-MM-DD HH24:MI:SS'), TO_DATE('2025-08-04 17:58:00', 'YYYY-MM-DD HH24:MI:SS'));</v>
      </c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</row>
    <row r="301">
      <c r="A301" s="25" t="s">
        <v>206</v>
      </c>
      <c r="B301" s="26">
        <v>132.0</v>
      </c>
      <c r="C301" s="27">
        <v>45873.0</v>
      </c>
      <c r="D301" s="28">
        <v>45873.35972222222</v>
      </c>
      <c r="E301" s="28">
        <v>45873.74652777778</v>
      </c>
      <c r="F301" s="21" t="s">
        <v>184</v>
      </c>
      <c r="G301" s="23"/>
      <c r="H301" s="23" t="str">
        <f t="shared" si="1"/>
        <v>INSERT INTO tblDayAttendanceLog VALUES (seqDayAttendanceLog.nextval, 132, TO_DATE('2025-08-04', 'YYYY-MM-DD'), TO_DATE('2025-08-04 08:38:00', 'YYYY-MM-DD HH24:MI:SS'), TO_DATE('2025-08-04 17:55:00', 'YYYY-MM-DD HH24:MI:SS'));</v>
      </c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</row>
    <row r="302">
      <c r="A302" s="25" t="s">
        <v>206</v>
      </c>
      <c r="B302" s="26">
        <v>133.0</v>
      </c>
      <c r="C302" s="27">
        <v>45873.0</v>
      </c>
      <c r="D302" s="28">
        <v>45873.36388888889</v>
      </c>
      <c r="E302" s="28">
        <v>45873.74375</v>
      </c>
      <c r="F302" s="21" t="s">
        <v>184</v>
      </c>
      <c r="G302" s="23"/>
      <c r="H302" s="23" t="str">
        <f t="shared" si="1"/>
        <v>INSERT INTO tblDayAttendanceLog VALUES (seqDayAttendanceLog.nextval, 133, TO_DATE('2025-08-04', 'YYYY-MM-DD'), TO_DATE('2025-08-04 08:44:00', 'YYYY-MM-DD HH24:MI:SS'), TO_DATE('2025-08-04 17:51:00', 'YYYY-MM-DD HH24:MI:SS'));</v>
      </c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</row>
    <row r="303">
      <c r="A303" s="25" t="s">
        <v>206</v>
      </c>
      <c r="B303" s="26">
        <v>134.0</v>
      </c>
      <c r="C303" s="27">
        <v>45873.0</v>
      </c>
      <c r="D303" s="28">
        <v>45873.35277777778</v>
      </c>
      <c r="E303" s="28">
        <v>45873.748611111114</v>
      </c>
      <c r="F303" s="21" t="s">
        <v>184</v>
      </c>
      <c r="G303" s="23"/>
      <c r="H303" s="23" t="str">
        <f t="shared" si="1"/>
        <v>INSERT INTO tblDayAttendanceLog VALUES (seqDayAttendanceLog.nextval, 134, TO_DATE('2025-08-04', 'YYYY-MM-DD'), TO_DATE('2025-08-04 08:28:00', 'YYYY-MM-DD HH24:MI:SS'), TO_DATE('2025-08-04 17:58:00', 'YYYY-MM-DD HH24:MI:SS'));</v>
      </c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</row>
    <row r="304">
      <c r="A304" s="25" t="s">
        <v>206</v>
      </c>
      <c r="B304" s="26">
        <v>135.0</v>
      </c>
      <c r="C304" s="27">
        <v>45873.0</v>
      </c>
      <c r="D304" s="28">
        <v>45873.396527777775</v>
      </c>
      <c r="E304" s="28">
        <v>45873.74652777778</v>
      </c>
      <c r="F304" s="21" t="s">
        <v>189</v>
      </c>
      <c r="G304" s="23"/>
      <c r="H304" s="23" t="str">
        <f t="shared" si="1"/>
        <v>INSERT INTO tblDayAttendanceLog VALUES (seqDayAttendanceLog.nextval, 135, TO_DATE('2025-08-04', 'YYYY-MM-DD'), TO_DATE('2025-08-04 09:31:00', 'YYYY-MM-DD HH24:MI:SS'), TO_DATE('2025-08-04 17:55:00', 'YYYY-MM-DD HH24:MI:SS'));</v>
      </c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</row>
    <row r="305">
      <c r="A305" s="25" t="s">
        <v>206</v>
      </c>
      <c r="B305" s="26">
        <v>136.0</v>
      </c>
      <c r="C305" s="27">
        <v>45873.0</v>
      </c>
      <c r="D305" s="28">
        <v>45873.41388888889</v>
      </c>
      <c r="E305" s="28">
        <v>45873.74444444444</v>
      </c>
      <c r="F305" s="21" t="s">
        <v>189</v>
      </c>
      <c r="G305" s="23"/>
      <c r="H305" s="23" t="str">
        <f t="shared" si="1"/>
        <v>INSERT INTO tblDayAttendanceLog VALUES (seqDayAttendanceLog.nextval, 136, TO_DATE('2025-08-04', 'YYYY-MM-DD'), TO_DATE('2025-08-04 09:56:00', 'YYYY-MM-DD HH24:MI:SS'), TO_DATE('2025-08-04 17:52:00', 'YYYY-MM-DD HH24:MI:SS'));</v>
      </c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</row>
    <row r="306">
      <c r="A306" s="25" t="s">
        <v>206</v>
      </c>
      <c r="B306" s="26">
        <v>137.0</v>
      </c>
      <c r="C306" s="27">
        <v>45873.0</v>
      </c>
      <c r="D306" s="28">
        <v>45873.40555555555</v>
      </c>
      <c r="E306" s="28">
        <v>45873.74722222222</v>
      </c>
      <c r="F306" s="21" t="s">
        <v>189</v>
      </c>
      <c r="G306" s="23"/>
      <c r="H306" s="23" t="str">
        <f t="shared" si="1"/>
        <v>INSERT INTO tblDayAttendanceLog VALUES (seqDayAttendanceLog.nextval, 137, TO_DATE('2025-08-04', 'YYYY-MM-DD'), TO_DATE('2025-08-04 09:44:00', 'YYYY-MM-DD HH24:MI:SS'), TO_DATE('2025-08-04 17:56:00', 'YYYY-MM-DD HH24:MI:SS'));</v>
      </c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</row>
    <row r="307">
      <c r="A307" s="25" t="s">
        <v>206</v>
      </c>
      <c r="B307" s="26">
        <v>138.0</v>
      </c>
      <c r="C307" s="27">
        <v>45873.0</v>
      </c>
      <c r="D307" s="28">
        <v>45873.41527777778</v>
      </c>
      <c r="E307" s="28">
        <v>45873.743055555555</v>
      </c>
      <c r="F307" s="21" t="s">
        <v>189</v>
      </c>
      <c r="G307" s="23"/>
      <c r="H307" s="23" t="str">
        <f t="shared" si="1"/>
        <v>INSERT INTO tblDayAttendanceLog VALUES (seqDayAttendanceLog.nextval, 138, TO_DATE('2025-08-04', 'YYYY-MM-DD'), TO_DATE('2025-08-04 09:58:00', 'YYYY-MM-DD HH24:MI:SS'), TO_DATE('2025-08-04 17:50:00', 'YYYY-MM-DD HH24:MI:SS'));</v>
      </c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</row>
    <row r="308">
      <c r="A308" s="25" t="s">
        <v>206</v>
      </c>
      <c r="B308" s="26">
        <v>139.0</v>
      </c>
      <c r="C308" s="27">
        <v>45873.0</v>
      </c>
      <c r="D308" s="28">
        <v>45873.37013888889</v>
      </c>
      <c r="E308" s="28">
        <v>45873.748611111114</v>
      </c>
      <c r="F308" s="21" t="s">
        <v>184</v>
      </c>
      <c r="G308" s="23"/>
      <c r="H308" s="23" t="str">
        <f t="shared" si="1"/>
        <v>INSERT INTO tblDayAttendanceLog VALUES (seqDayAttendanceLog.nextval, 139, TO_DATE('2025-08-04', 'YYYY-MM-DD'), TO_DATE('2025-08-04 08:53:00', 'YYYY-MM-DD HH24:MI:SS'), TO_DATE('2025-08-04 17:58:00', 'YYYY-MM-DD HH24:MI:SS'));</v>
      </c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</row>
    <row r="309">
      <c r="A309" s="25" t="s">
        <v>206</v>
      </c>
      <c r="B309" s="26">
        <v>140.0</v>
      </c>
      <c r="C309" s="27">
        <v>45873.0</v>
      </c>
      <c r="D309" s="28">
        <v>45873.336805555555</v>
      </c>
      <c r="E309" s="28">
        <v>45873.745833333334</v>
      </c>
      <c r="F309" s="21" t="s">
        <v>184</v>
      </c>
      <c r="G309" s="23"/>
      <c r="H309" s="23" t="str">
        <f t="shared" si="1"/>
        <v>INSERT INTO tblDayAttendanceLog VALUES (seqDayAttendanceLog.nextval, 140, TO_DATE('2025-08-04', 'YYYY-MM-DD'), TO_DATE('2025-08-04 08:05:00', 'YYYY-MM-DD HH24:MI:SS'), TO_DATE('2025-08-04 17:54:00', 'YYYY-MM-DD HH24:MI:SS'));</v>
      </c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</row>
    <row r="310">
      <c r="A310" s="25" t="s">
        <v>206</v>
      </c>
      <c r="B310" s="26">
        <v>141.0</v>
      </c>
      <c r="C310" s="27">
        <v>45873.0</v>
      </c>
      <c r="D310" s="29"/>
      <c r="E310" s="29"/>
      <c r="F310" s="21" t="s">
        <v>186</v>
      </c>
      <c r="G310" s="23"/>
      <c r="H310" s="23" t="str">
        <f t="shared" si="1"/>
        <v>INSERT INTO tblDayAttendanceLog VALUES (seqDayAttendanceLog.nextval, 141, TO_DATE('2025-08-04', 'YYYY-MM-DD'), NULL, NULL);</v>
      </c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</row>
    <row r="311">
      <c r="A311" s="25" t="s">
        <v>206</v>
      </c>
      <c r="B311" s="26">
        <v>142.0</v>
      </c>
      <c r="C311" s="27">
        <v>45873.0</v>
      </c>
      <c r="D311" s="28">
        <v>45873.395833333336</v>
      </c>
      <c r="E311" s="28">
        <v>45873.74722222222</v>
      </c>
      <c r="F311" s="21" t="s">
        <v>189</v>
      </c>
      <c r="G311" s="23"/>
      <c r="H311" s="23" t="str">
        <f t="shared" si="1"/>
        <v>INSERT INTO tblDayAttendanceLog VALUES (seqDayAttendanceLog.nextval, 142, TO_DATE('2025-08-04', 'YYYY-MM-DD'), TO_DATE('2025-08-04 09:30:00', 'YYYY-MM-DD HH24:MI:SS'), TO_DATE('2025-08-04 17:56:00', 'YYYY-MM-DD HH24:MI:SS'));</v>
      </c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</row>
    <row r="312">
      <c r="A312" s="25" t="s">
        <v>206</v>
      </c>
      <c r="B312" s="26">
        <v>143.0</v>
      </c>
      <c r="C312" s="27">
        <v>45873.0</v>
      </c>
      <c r="D312" s="28">
        <v>45873.34375</v>
      </c>
      <c r="E312" s="28">
        <v>45873.743055555555</v>
      </c>
      <c r="F312" s="21" t="s">
        <v>184</v>
      </c>
      <c r="G312" s="23"/>
      <c r="H312" s="23" t="str">
        <f t="shared" si="1"/>
        <v>INSERT INTO tblDayAttendanceLog VALUES (seqDayAttendanceLog.nextval, 143, TO_DATE('2025-08-04', 'YYYY-MM-DD'), TO_DATE('2025-08-04 08:15:00', 'YYYY-MM-DD HH24:MI:SS'), TO_DATE('2025-08-04 17:50:00', 'YYYY-MM-DD HH24:MI:SS'));</v>
      </c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</row>
    <row r="313">
      <c r="A313" s="25" t="s">
        <v>206</v>
      </c>
      <c r="B313" s="26">
        <v>144.0</v>
      </c>
      <c r="C313" s="27">
        <v>45873.0</v>
      </c>
      <c r="D313" s="28">
        <v>45873.35486111111</v>
      </c>
      <c r="E313" s="28">
        <v>45873.74444444444</v>
      </c>
      <c r="F313" s="21" t="s">
        <v>184</v>
      </c>
      <c r="G313" s="23"/>
      <c r="H313" s="23" t="str">
        <f t="shared" si="1"/>
        <v>INSERT INTO tblDayAttendanceLog VALUES (seqDayAttendanceLog.nextval, 144, TO_DATE('2025-08-04', 'YYYY-MM-DD'), TO_DATE('2025-08-04 08:31:00', 'YYYY-MM-DD HH24:MI:SS'), TO_DATE('2025-08-04 17:52:00', 'YYYY-MM-DD HH24:MI:SS'));</v>
      </c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</row>
    <row r="314">
      <c r="A314" s="25" t="s">
        <v>206</v>
      </c>
      <c r="B314" s="26">
        <v>145.0</v>
      </c>
      <c r="C314" s="27">
        <v>45873.0</v>
      </c>
      <c r="D314" s="28">
        <v>45873.388194444444</v>
      </c>
      <c r="E314" s="28">
        <v>45873.748611111114</v>
      </c>
      <c r="F314" s="21" t="s">
        <v>189</v>
      </c>
      <c r="G314" s="23"/>
      <c r="H314" s="23" t="str">
        <f t="shared" si="1"/>
        <v>INSERT INTO tblDayAttendanceLog VALUES (seqDayAttendanceLog.nextval, 145, TO_DATE('2025-08-04', 'YYYY-MM-DD'), TO_DATE('2025-08-04 09:19:00', 'YYYY-MM-DD HH24:MI:SS'), TO_DATE('2025-08-04 17:58:00', 'YYYY-MM-DD HH24:MI:SS'));</v>
      </c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</row>
    <row r="315">
      <c r="A315" s="25" t="s">
        <v>206</v>
      </c>
      <c r="B315" s="26">
        <v>146.0</v>
      </c>
      <c r="C315" s="27">
        <v>45873.0</v>
      </c>
      <c r="D315" s="28">
        <v>45873.375</v>
      </c>
      <c r="E315" s="28">
        <v>45873.74444444444</v>
      </c>
      <c r="F315" s="21" t="s">
        <v>189</v>
      </c>
      <c r="G315" s="23"/>
      <c r="H315" s="23" t="str">
        <f t="shared" si="1"/>
        <v>INSERT INTO tblDayAttendanceLog VALUES (seqDayAttendanceLog.nextval, 146, TO_DATE('2025-08-04', 'YYYY-MM-DD'), TO_DATE('2025-08-04 09:00:00', 'YYYY-MM-DD HH24:MI:SS'), TO_DATE('2025-08-04 17:52:00', 'YYYY-MM-DD HH24:MI:SS'));</v>
      </c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</row>
    <row r="316">
      <c r="A316" s="25" t="s">
        <v>206</v>
      </c>
      <c r="B316" s="26">
        <v>147.0</v>
      </c>
      <c r="C316" s="27">
        <v>45873.0</v>
      </c>
      <c r="D316" s="28">
        <v>45873.345138888886</v>
      </c>
      <c r="E316" s="28">
        <v>45873.74652777778</v>
      </c>
      <c r="F316" s="21" t="s">
        <v>184</v>
      </c>
      <c r="G316" s="23"/>
      <c r="H316" s="23" t="str">
        <f t="shared" si="1"/>
        <v>INSERT INTO tblDayAttendanceLog VALUES (seqDayAttendanceLog.nextval, 147, TO_DATE('2025-08-04', 'YYYY-MM-DD'), TO_DATE('2025-08-04 08:17:00', 'YYYY-MM-DD HH24:MI:SS'), TO_DATE('2025-08-04 17:55:00', 'YYYY-MM-DD HH24:MI:SS'));</v>
      </c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</row>
    <row r="317">
      <c r="A317" s="25" t="s">
        <v>206</v>
      </c>
      <c r="B317" s="26">
        <v>148.0</v>
      </c>
      <c r="C317" s="27">
        <v>45873.0</v>
      </c>
      <c r="D317" s="28">
        <v>45873.35208333333</v>
      </c>
      <c r="E317" s="28">
        <v>45873.74652777778</v>
      </c>
      <c r="F317" s="21" t="s">
        <v>184</v>
      </c>
      <c r="G317" s="23"/>
      <c r="H317" s="23" t="str">
        <f t="shared" si="1"/>
        <v>INSERT INTO tblDayAttendanceLog VALUES (seqDayAttendanceLog.nextval, 148, TO_DATE('2025-08-04', 'YYYY-MM-DD'), TO_DATE('2025-08-04 08:27:00', 'YYYY-MM-DD HH24:MI:SS'), TO_DATE('2025-08-04 17:55:00', 'YYYY-MM-DD HH24:MI:SS'));</v>
      </c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</row>
    <row r="318">
      <c r="A318" s="25" t="s">
        <v>206</v>
      </c>
      <c r="B318" s="26">
        <v>149.0</v>
      </c>
      <c r="C318" s="27">
        <v>45873.0</v>
      </c>
      <c r="D318" s="28">
        <v>45873.36111111111</v>
      </c>
      <c r="E318" s="28">
        <v>45873.74722222222</v>
      </c>
      <c r="F318" s="21" t="s">
        <v>184</v>
      </c>
      <c r="G318" s="23"/>
      <c r="H318" s="23" t="str">
        <f t="shared" si="1"/>
        <v>INSERT INTO tblDayAttendanceLog VALUES (seqDayAttendanceLog.nextval, 149, TO_DATE('2025-08-04', 'YYYY-MM-DD'), TO_DATE('2025-08-04 08:40:00', 'YYYY-MM-DD HH24:MI:SS'), TO_DATE('2025-08-04 17:56:00', 'YYYY-MM-DD HH24:MI:SS'));</v>
      </c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</row>
    <row r="319">
      <c r="A319" s="25" t="s">
        <v>206</v>
      </c>
      <c r="B319" s="26">
        <v>150.0</v>
      </c>
      <c r="C319" s="27">
        <v>45873.0</v>
      </c>
      <c r="D319" s="28">
        <v>45873.38888888889</v>
      </c>
      <c r="E319" s="28">
        <v>45873.743055555555</v>
      </c>
      <c r="F319" s="21" t="s">
        <v>189</v>
      </c>
      <c r="G319" s="23"/>
      <c r="H319" s="23" t="str">
        <f t="shared" si="1"/>
        <v>INSERT INTO tblDayAttendanceLog VALUES (seqDayAttendanceLog.nextval, 150, TO_DATE('2025-08-04', 'YYYY-MM-DD'), TO_DATE('2025-08-04 09:20:00', 'YYYY-MM-DD HH24:MI:SS'), TO_DATE('2025-08-04 17:50:00', 'YYYY-MM-DD HH24:MI:SS'));</v>
      </c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</row>
    <row r="320">
      <c r="A320" s="25" t="s">
        <v>206</v>
      </c>
      <c r="B320" s="26">
        <v>151.0</v>
      </c>
      <c r="C320" s="27">
        <v>45873.0</v>
      </c>
      <c r="D320" s="28">
        <v>45873.39236111111</v>
      </c>
      <c r="E320" s="28">
        <v>45873.74652777778</v>
      </c>
      <c r="F320" s="21" t="s">
        <v>189</v>
      </c>
      <c r="G320" s="23"/>
      <c r="H320" s="23" t="str">
        <f t="shared" si="1"/>
        <v>INSERT INTO tblDayAttendanceLog VALUES (seqDayAttendanceLog.nextval, 151, TO_DATE('2025-08-04', 'YYYY-MM-DD'), TO_DATE('2025-08-04 09:25:00', 'YYYY-MM-DD HH24:MI:SS'), TO_DATE('2025-08-04 17:55:00', 'YYYY-MM-DD HH24:MI:SS'));</v>
      </c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</row>
    <row r="321">
      <c r="A321" s="25" t="s">
        <v>206</v>
      </c>
      <c r="B321" s="26">
        <v>152.0</v>
      </c>
      <c r="C321" s="27">
        <v>45873.0</v>
      </c>
      <c r="D321" s="28">
        <v>45873.375</v>
      </c>
      <c r="E321" s="28">
        <v>45873.74513888889</v>
      </c>
      <c r="F321" s="21" t="s">
        <v>189</v>
      </c>
      <c r="G321" s="23"/>
      <c r="H321" s="23" t="str">
        <f t="shared" si="1"/>
        <v>INSERT INTO tblDayAttendanceLog VALUES (seqDayAttendanceLog.nextval, 152, TO_DATE('2025-08-04', 'YYYY-MM-DD'), TO_DATE('2025-08-04 09:00:00', 'YYYY-MM-DD HH24:MI:SS'), TO_DATE('2025-08-04 17:53:00', 'YYYY-MM-DD HH24:MI:SS'));</v>
      </c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</row>
    <row r="322">
      <c r="A322" s="25" t="s">
        <v>206</v>
      </c>
      <c r="B322" s="26">
        <v>153.0</v>
      </c>
      <c r="C322" s="27">
        <v>45873.0</v>
      </c>
      <c r="D322" s="28">
        <v>45873.40902777778</v>
      </c>
      <c r="E322" s="28">
        <v>45873.748611111114</v>
      </c>
      <c r="F322" s="21" t="s">
        <v>189</v>
      </c>
      <c r="G322" s="23"/>
      <c r="H322" s="23" t="str">
        <f t="shared" si="1"/>
        <v>INSERT INTO tblDayAttendanceLog VALUES (seqDayAttendanceLog.nextval, 153, TO_DATE('2025-08-04', 'YYYY-MM-DD'), TO_DATE('2025-08-04 09:49:00', 'YYYY-MM-DD HH24:MI:SS'), TO_DATE('2025-08-04 17:58:00', 'YYYY-MM-DD HH24:MI:SS'));</v>
      </c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</row>
    <row r="323">
      <c r="A323" s="25" t="s">
        <v>206</v>
      </c>
      <c r="B323" s="26">
        <v>154.0</v>
      </c>
      <c r="C323" s="27">
        <v>45873.0</v>
      </c>
      <c r="D323" s="28">
        <v>45873.34305555555</v>
      </c>
      <c r="E323" s="28">
        <v>45873.74722222222</v>
      </c>
      <c r="F323" s="21" t="s">
        <v>184</v>
      </c>
      <c r="G323" s="23"/>
      <c r="H323" s="23" t="str">
        <f t="shared" si="1"/>
        <v>INSERT INTO tblDayAttendanceLog VALUES (seqDayAttendanceLog.nextval, 154, TO_DATE('2025-08-04', 'YYYY-MM-DD'), TO_DATE('2025-08-04 08:14:00', 'YYYY-MM-DD HH24:MI:SS'), TO_DATE('2025-08-04 17:56:00', 'YYYY-MM-DD HH24:MI:SS'));</v>
      </c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</row>
    <row r="324">
      <c r="A324" s="25" t="s">
        <v>206</v>
      </c>
      <c r="B324" s="26">
        <v>155.0</v>
      </c>
      <c r="C324" s="27">
        <v>45873.0</v>
      </c>
      <c r="D324" s="28">
        <v>45873.35902777778</v>
      </c>
      <c r="E324" s="28">
        <v>45873.74375</v>
      </c>
      <c r="F324" s="21" t="s">
        <v>184</v>
      </c>
      <c r="G324" s="23"/>
      <c r="H324" s="23" t="str">
        <f t="shared" si="1"/>
        <v>INSERT INTO tblDayAttendanceLog VALUES (seqDayAttendanceLog.nextval, 155, TO_DATE('2025-08-04', 'YYYY-MM-DD'), TO_DATE('2025-08-04 08:37:00', 'YYYY-MM-DD HH24:MI:SS'), TO_DATE('2025-08-04 17:51:00', 'YYYY-MM-DD HH24:MI:SS'));</v>
      </c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</row>
    <row r="325">
      <c r="A325" s="25" t="s">
        <v>206</v>
      </c>
      <c r="B325" s="26">
        <v>156.0</v>
      </c>
      <c r="C325" s="27">
        <v>45873.0</v>
      </c>
      <c r="D325" s="28">
        <v>45873.342361111114</v>
      </c>
      <c r="E325" s="28">
        <v>45873.74791666667</v>
      </c>
      <c r="F325" s="21" t="s">
        <v>184</v>
      </c>
      <c r="G325" s="23"/>
      <c r="H325" s="23" t="str">
        <f t="shared" si="1"/>
        <v>INSERT INTO tblDayAttendanceLog VALUES (seqDayAttendanceLog.nextval, 156, TO_DATE('2025-08-04', 'YYYY-MM-DD'), TO_DATE('2025-08-04 08:13:00', 'YYYY-MM-DD HH24:MI:SS'), TO_DATE('2025-08-04 17:57:00', 'YYYY-MM-DD HH24:MI:SS'));</v>
      </c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</row>
    <row r="326">
      <c r="A326" s="25" t="s">
        <v>206</v>
      </c>
      <c r="B326" s="26">
        <v>157.0</v>
      </c>
      <c r="C326" s="27">
        <v>45873.0</v>
      </c>
      <c r="D326" s="29"/>
      <c r="E326" s="29"/>
      <c r="F326" s="21" t="s">
        <v>186</v>
      </c>
      <c r="G326" s="23"/>
      <c r="H326" s="23" t="str">
        <f t="shared" si="1"/>
        <v>INSERT INTO tblDayAttendanceLog VALUES (seqDayAttendanceLog.nextval, 157, TO_DATE('2025-08-04', 'YYYY-MM-DD'), NULL, NULL);</v>
      </c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</row>
    <row r="327">
      <c r="A327" s="25" t="s">
        <v>206</v>
      </c>
      <c r="B327" s="26">
        <v>158.0</v>
      </c>
      <c r="C327" s="27">
        <v>45873.0</v>
      </c>
      <c r="D327" s="28">
        <v>45873.40972222222</v>
      </c>
      <c r="E327" s="28">
        <v>45873.74930555555</v>
      </c>
      <c r="F327" s="21" t="s">
        <v>189</v>
      </c>
      <c r="G327" s="23"/>
      <c r="H327" s="23" t="str">
        <f t="shared" si="1"/>
        <v>INSERT INTO tblDayAttendanceLog VALUES (seqDayAttendanceLog.nextval, 158, TO_DATE('2025-08-04', 'YYYY-MM-DD'), TO_DATE('2025-08-04 09:50:00', 'YYYY-MM-DD HH24:MI:SS'), TO_DATE('2025-08-04 17:59:00', 'YYYY-MM-DD HH24:MI:SS'));</v>
      </c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</row>
    <row r="328">
      <c r="A328" s="25" t="s">
        <v>206</v>
      </c>
      <c r="B328" s="26">
        <v>159.0</v>
      </c>
      <c r="C328" s="27">
        <v>45873.0</v>
      </c>
      <c r="D328" s="28">
        <v>45873.39166666667</v>
      </c>
      <c r="E328" s="28">
        <v>45873.745833333334</v>
      </c>
      <c r="F328" s="21" t="s">
        <v>189</v>
      </c>
      <c r="G328" s="23"/>
      <c r="H328" s="23" t="str">
        <f t="shared" si="1"/>
        <v>INSERT INTO tblDayAttendanceLog VALUES (seqDayAttendanceLog.nextval, 159, TO_DATE('2025-08-04', 'YYYY-MM-DD'), TO_DATE('2025-08-04 09:24:00', 'YYYY-MM-DD HH24:MI:SS'), TO_DATE('2025-08-04 17:54:00', 'YYYY-MM-DD HH24:MI:SS'));</v>
      </c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</row>
    <row r="329">
      <c r="A329" s="25" t="s">
        <v>206</v>
      </c>
      <c r="B329" s="26">
        <v>160.0</v>
      </c>
      <c r="C329" s="27">
        <v>45873.0</v>
      </c>
      <c r="D329" s="28">
        <v>45873.38125</v>
      </c>
      <c r="E329" s="28">
        <v>45873.74375</v>
      </c>
      <c r="F329" s="21" t="s">
        <v>189</v>
      </c>
      <c r="G329" s="23"/>
      <c r="H329" s="23" t="str">
        <f t="shared" si="1"/>
        <v>INSERT INTO tblDayAttendanceLog VALUES (seqDayAttendanceLog.nextval, 160, TO_DATE('2025-08-04', 'YYYY-MM-DD'), TO_DATE('2025-08-04 09:09:00', 'YYYY-MM-DD HH24:MI:SS'), TO_DATE('2025-08-04 17:51:00', 'YYYY-MM-DD HH24:MI:SS'));</v>
      </c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</row>
    <row r="330">
      <c r="A330" s="25" t="s">
        <v>206</v>
      </c>
      <c r="B330" s="26">
        <v>161.0</v>
      </c>
      <c r="C330" s="27">
        <v>45873.0</v>
      </c>
      <c r="D330" s="28">
        <v>45873.35833333333</v>
      </c>
      <c r="E330" s="28">
        <v>45873.743055555555</v>
      </c>
      <c r="F330" s="21" t="s">
        <v>184</v>
      </c>
      <c r="G330" s="23"/>
      <c r="H330" s="23" t="str">
        <f t="shared" si="1"/>
        <v>INSERT INTO tblDayAttendanceLog VALUES (seqDayAttendanceLog.nextval, 161, TO_DATE('2025-08-04', 'YYYY-MM-DD'), TO_DATE('2025-08-04 08:36:00', 'YYYY-MM-DD HH24:MI:SS'), TO_DATE('2025-08-04 17:50:00', 'YYYY-MM-DD HH24:MI:SS'));</v>
      </c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</row>
    <row r="331">
      <c r="A331" s="25" t="s">
        <v>206</v>
      </c>
      <c r="B331" s="26">
        <v>162.0</v>
      </c>
      <c r="C331" s="27">
        <v>45873.0</v>
      </c>
      <c r="D331" s="28">
        <v>45873.40069444444</v>
      </c>
      <c r="E331" s="28">
        <v>45873.74375</v>
      </c>
      <c r="F331" s="21" t="s">
        <v>189</v>
      </c>
      <c r="G331" s="23"/>
      <c r="H331" s="23" t="str">
        <f t="shared" si="1"/>
        <v>INSERT INTO tblDayAttendanceLog VALUES (seqDayAttendanceLog.nextval, 162, TO_DATE('2025-08-04', 'YYYY-MM-DD'), TO_DATE('2025-08-04 09:37:00', 'YYYY-MM-DD HH24:MI:SS'), TO_DATE('2025-08-04 17:51:00', 'YYYY-MM-DD HH24:MI:SS'));</v>
      </c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</row>
    <row r="332">
      <c r="A332" s="25" t="s">
        <v>206</v>
      </c>
      <c r="B332" s="26">
        <v>163.0</v>
      </c>
      <c r="C332" s="27">
        <v>45873.0</v>
      </c>
      <c r="D332" s="28">
        <v>45873.34375</v>
      </c>
      <c r="E332" s="28">
        <v>45873.74513888889</v>
      </c>
      <c r="F332" s="21" t="s">
        <v>184</v>
      </c>
      <c r="G332" s="23"/>
      <c r="H332" s="23" t="str">
        <f t="shared" si="1"/>
        <v>INSERT INTO tblDayAttendanceLog VALUES (seqDayAttendanceLog.nextval, 163, TO_DATE('2025-08-04', 'YYYY-MM-DD'), TO_DATE('2025-08-04 08:15:00', 'YYYY-MM-DD HH24:MI:SS'), TO_DATE('2025-08-04 17:53:00', 'YYYY-MM-DD HH24:MI:SS'));</v>
      </c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</row>
    <row r="333">
      <c r="A333" s="25" t="s">
        <v>206</v>
      </c>
      <c r="B333" s="26">
        <v>164.0</v>
      </c>
      <c r="C333" s="27">
        <v>45873.0</v>
      </c>
      <c r="D333" s="28">
        <v>45873.39027777778</v>
      </c>
      <c r="E333" s="28">
        <v>45873.74513888889</v>
      </c>
      <c r="F333" s="21" t="s">
        <v>189</v>
      </c>
      <c r="G333" s="23"/>
      <c r="H333" s="23" t="str">
        <f t="shared" si="1"/>
        <v>INSERT INTO tblDayAttendanceLog VALUES (seqDayAttendanceLog.nextval, 164, TO_DATE('2025-08-04', 'YYYY-MM-DD'), TO_DATE('2025-08-04 09:22:00', 'YYYY-MM-DD HH24:MI:SS'), TO_DATE('2025-08-04 17:53:00', 'YYYY-MM-DD HH24:MI:SS'));</v>
      </c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</row>
    <row r="334">
      <c r="A334" s="25" t="s">
        <v>206</v>
      </c>
      <c r="B334" s="26">
        <v>165.0</v>
      </c>
      <c r="C334" s="27">
        <v>45873.0</v>
      </c>
      <c r="D334" s="28">
        <v>45873.35833333333</v>
      </c>
      <c r="E334" s="28">
        <v>45873.748611111114</v>
      </c>
      <c r="F334" s="21" t="s">
        <v>184</v>
      </c>
      <c r="G334" s="23"/>
      <c r="H334" s="23" t="str">
        <f t="shared" si="1"/>
        <v>INSERT INTO tblDayAttendanceLog VALUES (seqDayAttendanceLog.nextval, 165, TO_DATE('2025-08-04', 'YYYY-MM-DD'), TO_DATE('2025-08-04 08:36:00', 'YYYY-MM-DD HH24:MI:SS'), TO_DATE('2025-08-04 17:58:00', 'YYYY-MM-DD HH24:MI:SS'));</v>
      </c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</row>
    <row r="335">
      <c r="A335" s="25" t="s">
        <v>206</v>
      </c>
      <c r="B335" s="26">
        <v>166.0</v>
      </c>
      <c r="C335" s="27">
        <v>45873.0</v>
      </c>
      <c r="D335" s="28">
        <v>45873.364583333336</v>
      </c>
      <c r="E335" s="28">
        <v>45873.74722222222</v>
      </c>
      <c r="F335" s="21" t="s">
        <v>184</v>
      </c>
      <c r="G335" s="23"/>
      <c r="H335" s="23" t="str">
        <f t="shared" si="1"/>
        <v>INSERT INTO tblDayAttendanceLog VALUES (seqDayAttendanceLog.nextval, 166, TO_DATE('2025-08-04', 'YYYY-MM-DD'), TO_DATE('2025-08-04 08:45:00', 'YYYY-MM-DD HH24:MI:SS'), TO_DATE('2025-08-04 17:56:00', 'YYYY-MM-DD HH24:MI:SS'));</v>
      </c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</row>
    <row r="336">
      <c r="A336" s="25" t="s">
        <v>206</v>
      </c>
      <c r="B336" s="26">
        <v>167.0</v>
      </c>
      <c r="C336" s="27">
        <v>45873.0</v>
      </c>
      <c r="D336" s="28">
        <v>45873.399305555555</v>
      </c>
      <c r="E336" s="28">
        <v>45873.74652777778</v>
      </c>
      <c r="F336" s="21" t="s">
        <v>189</v>
      </c>
      <c r="G336" s="23"/>
      <c r="H336" s="23" t="str">
        <f t="shared" si="1"/>
        <v>INSERT INTO tblDayAttendanceLog VALUES (seqDayAttendanceLog.nextval, 167, TO_DATE('2025-08-04', 'YYYY-MM-DD'), TO_DATE('2025-08-04 09:35:00', 'YYYY-MM-DD HH24:MI:SS'), TO_DATE('2025-08-04 17:55:00', 'YYYY-MM-DD HH24:MI:SS'));</v>
      </c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</row>
    <row r="337">
      <c r="A337" s="25" t="s">
        <v>206</v>
      </c>
      <c r="B337" s="26">
        <v>168.0</v>
      </c>
      <c r="C337" s="27">
        <v>45873.0</v>
      </c>
      <c r="D337" s="28">
        <v>45873.39513888889</v>
      </c>
      <c r="E337" s="28">
        <v>45873.74930555555</v>
      </c>
      <c r="F337" s="21" t="s">
        <v>189</v>
      </c>
      <c r="G337" s="23"/>
      <c r="H337" s="23" t="str">
        <f t="shared" si="1"/>
        <v>INSERT INTO tblDayAttendanceLog VALUES (seqDayAttendanceLog.nextval, 168, TO_DATE('2025-08-04', 'YYYY-MM-DD'), TO_DATE('2025-08-04 09:29:00', 'YYYY-MM-DD HH24:MI:SS'), TO_DATE('2025-08-04 17:59:00', 'YYYY-MM-DD HH24:MI:SS'));</v>
      </c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</row>
    <row r="338">
      <c r="A338" s="25" t="s">
        <v>206</v>
      </c>
      <c r="B338" s="26">
        <v>1.0</v>
      </c>
      <c r="C338" s="27">
        <v>45874.0</v>
      </c>
      <c r="D338" s="28">
        <v>45874.39513888889</v>
      </c>
      <c r="E338" s="28">
        <v>45874.74444444444</v>
      </c>
      <c r="F338" s="21" t="s">
        <v>189</v>
      </c>
      <c r="G338" s="23"/>
      <c r="H338" s="23" t="str">
        <f t="shared" si="1"/>
        <v>INSERT INTO tblDayAttendanceLog VALUES (seqDayAttendanceLog.nextval, 1, TO_DATE('2025-08-05', 'YYYY-MM-DD'), TO_DATE('2025-08-05 09:29:00', 'YYYY-MM-DD HH24:MI:SS'), TO_DATE('2025-08-05 17:52:00', 'YYYY-MM-DD HH24:MI:SS'));</v>
      </c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</row>
    <row r="339">
      <c r="A339" s="25" t="s">
        <v>206</v>
      </c>
      <c r="B339" s="26">
        <v>2.0</v>
      </c>
      <c r="C339" s="27">
        <v>45874.0</v>
      </c>
      <c r="D339" s="28">
        <v>45874.39097222222</v>
      </c>
      <c r="E339" s="28">
        <v>45874.74375</v>
      </c>
      <c r="F339" s="21" t="s">
        <v>189</v>
      </c>
      <c r="G339" s="23"/>
      <c r="H339" s="23" t="str">
        <f t="shared" si="1"/>
        <v>INSERT INTO tblDayAttendanceLog VALUES (seqDayAttendanceLog.nextval, 2, TO_DATE('2025-08-05', 'YYYY-MM-DD'), TO_DATE('2025-08-05 09:23:00', 'YYYY-MM-DD HH24:MI:SS'), TO_DATE('2025-08-05 17:51:00', 'YYYY-MM-DD HH24:MI:SS'));</v>
      </c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</row>
    <row r="340">
      <c r="A340" s="25" t="s">
        <v>206</v>
      </c>
      <c r="B340" s="26">
        <v>3.0</v>
      </c>
      <c r="C340" s="27">
        <v>45874.0</v>
      </c>
      <c r="D340" s="28">
        <v>45874.40833333333</v>
      </c>
      <c r="E340" s="28">
        <v>45874.748611111114</v>
      </c>
      <c r="F340" s="21" t="s">
        <v>189</v>
      </c>
      <c r="G340" s="23"/>
      <c r="H340" s="23" t="str">
        <f t="shared" si="1"/>
        <v>INSERT INTO tblDayAttendanceLog VALUES (seqDayAttendanceLog.nextval, 3, TO_DATE('2025-08-05', 'YYYY-MM-DD'), TO_DATE('2025-08-05 09:48:00', 'YYYY-MM-DD HH24:MI:SS'), TO_DATE('2025-08-05 17:58:00', 'YYYY-MM-DD HH24:MI:SS'));</v>
      </c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</row>
    <row r="341">
      <c r="A341" s="25" t="s">
        <v>206</v>
      </c>
      <c r="B341" s="26">
        <v>4.0</v>
      </c>
      <c r="C341" s="27">
        <v>45874.0</v>
      </c>
      <c r="D341" s="28">
        <v>45874.3625</v>
      </c>
      <c r="E341" s="28">
        <v>45874.68819444445</v>
      </c>
      <c r="F341" s="21" t="s">
        <v>187</v>
      </c>
      <c r="G341" s="23"/>
      <c r="H341" s="23" t="str">
        <f t="shared" si="1"/>
        <v>INSERT INTO tblDayAttendanceLog VALUES (seqDayAttendanceLog.nextval, 4, TO_DATE('2025-08-05', 'YYYY-MM-DD'), TO_DATE('2025-08-05 08:42:00', 'YYYY-MM-DD HH24:MI:SS'), TO_DATE('2025-08-05 16:31:00', 'YYYY-MM-DD HH24:MI:SS'));</v>
      </c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</row>
    <row r="342">
      <c r="A342" s="25" t="s">
        <v>206</v>
      </c>
      <c r="B342" s="26">
        <v>5.0</v>
      </c>
      <c r="C342" s="27">
        <v>45874.0</v>
      </c>
      <c r="D342" s="28">
        <v>45874.376388888886</v>
      </c>
      <c r="E342" s="28">
        <v>45874.74652777778</v>
      </c>
      <c r="F342" s="21" t="s">
        <v>189</v>
      </c>
      <c r="G342" s="23"/>
      <c r="H342" s="23" t="str">
        <f t="shared" si="1"/>
        <v>INSERT INTO tblDayAttendanceLog VALUES (seqDayAttendanceLog.nextval, 5, TO_DATE('2025-08-05', 'YYYY-MM-DD'), TO_DATE('2025-08-05 09:02:00', 'YYYY-MM-DD HH24:MI:SS'), TO_DATE('2025-08-05 17:55:00', 'YYYY-MM-DD HH24:MI:SS'));</v>
      </c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</row>
    <row r="343">
      <c r="A343" s="25" t="s">
        <v>206</v>
      </c>
      <c r="B343" s="26">
        <v>6.0</v>
      </c>
      <c r="C343" s="27">
        <v>45874.0</v>
      </c>
      <c r="D343" s="28">
        <v>45874.3625</v>
      </c>
      <c r="E343" s="28">
        <v>45874.745833333334</v>
      </c>
      <c r="F343" s="21" t="s">
        <v>184</v>
      </c>
      <c r="G343" s="23"/>
      <c r="H343" s="23" t="str">
        <f t="shared" si="1"/>
        <v>INSERT INTO tblDayAttendanceLog VALUES (seqDayAttendanceLog.nextval, 6, TO_DATE('2025-08-05', 'YYYY-MM-DD'), TO_DATE('2025-08-05 08:42:00', 'YYYY-MM-DD HH24:MI:SS'), TO_DATE('2025-08-05 17:54:00', 'YYYY-MM-DD HH24:MI:SS'));</v>
      </c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</row>
    <row r="344">
      <c r="A344" s="25" t="s">
        <v>206</v>
      </c>
      <c r="B344" s="26">
        <v>7.0</v>
      </c>
      <c r="C344" s="27">
        <v>45874.0</v>
      </c>
      <c r="D344" s="28">
        <v>45874.41111111111</v>
      </c>
      <c r="E344" s="28">
        <v>45874.74930555555</v>
      </c>
      <c r="F344" s="21" t="s">
        <v>189</v>
      </c>
      <c r="G344" s="23"/>
      <c r="H344" s="23" t="str">
        <f t="shared" si="1"/>
        <v>INSERT INTO tblDayAttendanceLog VALUES (seqDayAttendanceLog.nextval, 7, TO_DATE('2025-08-05', 'YYYY-MM-DD'), TO_DATE('2025-08-05 09:52:00', 'YYYY-MM-DD HH24:MI:SS'), TO_DATE('2025-08-05 17:59:00', 'YYYY-MM-DD HH24:MI:SS'));</v>
      </c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</row>
    <row r="345">
      <c r="A345" s="25" t="s">
        <v>206</v>
      </c>
      <c r="B345" s="26">
        <v>8.0</v>
      </c>
      <c r="C345" s="27">
        <v>45874.0</v>
      </c>
      <c r="D345" s="28">
        <v>45874.40416666667</v>
      </c>
      <c r="E345" s="28">
        <v>45874.74375</v>
      </c>
      <c r="F345" s="21" t="s">
        <v>189</v>
      </c>
      <c r="G345" s="23"/>
      <c r="H345" s="23" t="str">
        <f t="shared" si="1"/>
        <v>INSERT INTO tblDayAttendanceLog VALUES (seqDayAttendanceLog.nextval, 8, TO_DATE('2025-08-05', 'YYYY-MM-DD'), TO_DATE('2025-08-05 09:42:00', 'YYYY-MM-DD HH24:MI:SS'), TO_DATE('2025-08-05 17:51:00', 'YYYY-MM-DD HH24:MI:SS'));</v>
      </c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</row>
    <row r="346">
      <c r="A346" s="25" t="s">
        <v>206</v>
      </c>
      <c r="B346" s="26">
        <v>9.0</v>
      </c>
      <c r="C346" s="27">
        <v>45874.0</v>
      </c>
      <c r="D346" s="28">
        <v>45874.40555555555</v>
      </c>
      <c r="E346" s="28">
        <v>45874.74513888889</v>
      </c>
      <c r="F346" s="21" t="s">
        <v>189</v>
      </c>
      <c r="G346" s="23"/>
      <c r="H346" s="23" t="str">
        <f t="shared" si="1"/>
        <v>INSERT INTO tblDayAttendanceLog VALUES (seqDayAttendanceLog.nextval, 9, TO_DATE('2025-08-05', 'YYYY-MM-DD'), TO_DATE('2025-08-05 09:44:00', 'YYYY-MM-DD HH24:MI:SS'), TO_DATE('2025-08-05 17:53:00', 'YYYY-MM-DD HH24:MI:SS'));</v>
      </c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</row>
    <row r="347">
      <c r="A347" s="25" t="s">
        <v>206</v>
      </c>
      <c r="B347" s="26">
        <v>10.0</v>
      </c>
      <c r="C347" s="27">
        <v>45874.0</v>
      </c>
      <c r="D347" s="28">
        <v>45874.404861111114</v>
      </c>
      <c r="E347" s="28">
        <v>45874.74791666667</v>
      </c>
      <c r="F347" s="21" t="s">
        <v>189</v>
      </c>
      <c r="G347" s="23"/>
      <c r="H347" s="23" t="str">
        <f t="shared" si="1"/>
        <v>INSERT INTO tblDayAttendanceLog VALUES (seqDayAttendanceLog.nextval, 10, TO_DATE('2025-08-05', 'YYYY-MM-DD'), TO_DATE('2025-08-05 09:43:00', 'YYYY-MM-DD HH24:MI:SS'), TO_DATE('2025-08-05 17:57:00', 'YYYY-MM-DD HH24:MI:SS'));</v>
      </c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</row>
    <row r="348">
      <c r="A348" s="25" t="s">
        <v>206</v>
      </c>
      <c r="B348" s="26">
        <v>11.0</v>
      </c>
      <c r="C348" s="27">
        <v>45874.0</v>
      </c>
      <c r="D348" s="28">
        <v>45874.38333333333</v>
      </c>
      <c r="E348" s="28">
        <v>45874.74444444444</v>
      </c>
      <c r="F348" s="21" t="s">
        <v>189</v>
      </c>
      <c r="G348" s="23"/>
      <c r="H348" s="23" t="str">
        <f t="shared" si="1"/>
        <v>INSERT INTO tblDayAttendanceLog VALUES (seqDayAttendanceLog.nextval, 11, TO_DATE('2025-08-05', 'YYYY-MM-DD'), TO_DATE('2025-08-05 09:12:00', 'YYYY-MM-DD HH24:MI:SS'), TO_DATE('2025-08-05 17:52:00', 'YYYY-MM-DD HH24:MI:SS'));</v>
      </c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</row>
    <row r="349">
      <c r="A349" s="25" t="s">
        <v>206</v>
      </c>
      <c r="B349" s="26">
        <v>12.0</v>
      </c>
      <c r="C349" s="27">
        <v>45874.0</v>
      </c>
      <c r="D349" s="28">
        <v>45874.35555555556</v>
      </c>
      <c r="E349" s="28">
        <v>45874.743055555555</v>
      </c>
      <c r="F349" s="21" t="s">
        <v>184</v>
      </c>
      <c r="G349" s="23"/>
      <c r="H349" s="23" t="str">
        <f t="shared" si="1"/>
        <v>INSERT INTO tblDayAttendanceLog VALUES (seqDayAttendanceLog.nextval, 12, TO_DATE('2025-08-05', 'YYYY-MM-DD'), TO_DATE('2025-08-05 08:32:00', 'YYYY-MM-DD HH24:MI:SS'), TO_DATE('2025-08-05 17:50:00', 'YYYY-MM-DD HH24:MI:SS'));</v>
      </c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</row>
    <row r="350">
      <c r="A350" s="25" t="s">
        <v>206</v>
      </c>
      <c r="B350" s="26">
        <v>13.0</v>
      </c>
      <c r="C350" s="27">
        <v>45874.0</v>
      </c>
      <c r="D350" s="28">
        <v>45874.37777777778</v>
      </c>
      <c r="E350" s="28">
        <v>45874.74652777778</v>
      </c>
      <c r="F350" s="21" t="s">
        <v>189</v>
      </c>
      <c r="G350" s="23"/>
      <c r="H350" s="23" t="str">
        <f t="shared" si="1"/>
        <v>INSERT INTO tblDayAttendanceLog VALUES (seqDayAttendanceLog.nextval, 13, TO_DATE('2025-08-05', 'YYYY-MM-DD'), TO_DATE('2025-08-05 09:04:00', 'YYYY-MM-DD HH24:MI:SS'), TO_DATE('2025-08-05 17:55:00', 'YYYY-MM-DD HH24:MI:SS'));</v>
      </c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</row>
    <row r="351">
      <c r="A351" s="25" t="s">
        <v>206</v>
      </c>
      <c r="B351" s="26">
        <v>14.0</v>
      </c>
      <c r="C351" s="27">
        <v>45874.0</v>
      </c>
      <c r="D351" s="28">
        <v>45874.39722222222</v>
      </c>
      <c r="E351" s="28">
        <v>45874.74791666667</v>
      </c>
      <c r="F351" s="21" t="s">
        <v>189</v>
      </c>
      <c r="G351" s="23"/>
      <c r="H351" s="23" t="str">
        <f t="shared" si="1"/>
        <v>INSERT INTO tblDayAttendanceLog VALUES (seqDayAttendanceLog.nextval, 14, TO_DATE('2025-08-05', 'YYYY-MM-DD'), TO_DATE('2025-08-05 09:32:00', 'YYYY-MM-DD HH24:MI:SS'), TO_DATE('2025-08-05 17:57:00', 'YYYY-MM-DD HH24:MI:SS'));</v>
      </c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</row>
    <row r="352">
      <c r="A352" s="25" t="s">
        <v>206</v>
      </c>
      <c r="B352" s="26">
        <v>15.0</v>
      </c>
      <c r="C352" s="27">
        <v>45874.0</v>
      </c>
      <c r="D352" s="28">
        <v>45874.399305555555</v>
      </c>
      <c r="E352" s="28">
        <v>45874.74513888889</v>
      </c>
      <c r="F352" s="21" t="s">
        <v>189</v>
      </c>
      <c r="G352" s="23"/>
      <c r="H352" s="23" t="str">
        <f t="shared" si="1"/>
        <v>INSERT INTO tblDayAttendanceLog VALUES (seqDayAttendanceLog.nextval, 15, TO_DATE('2025-08-05', 'YYYY-MM-DD'), TO_DATE('2025-08-05 09:35:00', 'YYYY-MM-DD HH24:MI:SS'), TO_DATE('2025-08-05 17:53:00', 'YYYY-MM-DD HH24:MI:SS'));</v>
      </c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</row>
    <row r="353">
      <c r="A353" s="25" t="s">
        <v>206</v>
      </c>
      <c r="B353" s="26">
        <v>16.0</v>
      </c>
      <c r="C353" s="27">
        <v>45874.0</v>
      </c>
      <c r="D353" s="28">
        <v>45874.38402777778</v>
      </c>
      <c r="E353" s="28">
        <v>45874.74513888889</v>
      </c>
      <c r="F353" s="21" t="s">
        <v>189</v>
      </c>
      <c r="G353" s="23"/>
      <c r="H353" s="23" t="str">
        <f t="shared" si="1"/>
        <v>INSERT INTO tblDayAttendanceLog VALUES (seqDayAttendanceLog.nextval, 16, TO_DATE('2025-08-05', 'YYYY-MM-DD'), TO_DATE('2025-08-05 09:13:00', 'YYYY-MM-DD HH24:MI:SS'), TO_DATE('2025-08-05 17:53:00', 'YYYY-MM-DD HH24:MI:SS'));</v>
      </c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</row>
    <row r="354">
      <c r="A354" s="25" t="s">
        <v>206</v>
      </c>
      <c r="B354" s="26">
        <v>17.0</v>
      </c>
      <c r="C354" s="27">
        <v>45874.0</v>
      </c>
      <c r="D354" s="28">
        <v>45874.37777777778</v>
      </c>
      <c r="E354" s="28">
        <v>45874.74722222222</v>
      </c>
      <c r="F354" s="21" t="s">
        <v>189</v>
      </c>
      <c r="G354" s="23"/>
      <c r="H354" s="23" t="str">
        <f t="shared" si="1"/>
        <v>INSERT INTO tblDayAttendanceLog VALUES (seqDayAttendanceLog.nextval, 17, TO_DATE('2025-08-05', 'YYYY-MM-DD'), TO_DATE('2025-08-05 09:04:00', 'YYYY-MM-DD HH24:MI:SS'), TO_DATE('2025-08-05 17:56:00', 'YYYY-MM-DD HH24:MI:SS'));</v>
      </c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</row>
    <row r="355">
      <c r="A355" s="25" t="s">
        <v>206</v>
      </c>
      <c r="B355" s="26">
        <v>18.0</v>
      </c>
      <c r="C355" s="27">
        <v>45874.0</v>
      </c>
      <c r="D355" s="28">
        <v>45874.40347222222</v>
      </c>
      <c r="E355" s="28">
        <v>45874.74930555555</v>
      </c>
      <c r="F355" s="21" t="s">
        <v>189</v>
      </c>
      <c r="G355" s="23"/>
      <c r="H355" s="23" t="str">
        <f t="shared" si="1"/>
        <v>INSERT INTO tblDayAttendanceLog VALUES (seqDayAttendanceLog.nextval, 18, TO_DATE('2025-08-05', 'YYYY-MM-DD'), TO_DATE('2025-08-05 09:41:00', 'YYYY-MM-DD HH24:MI:SS'), TO_DATE('2025-08-05 17:59:00', 'YYYY-MM-DD HH24:MI:SS'));</v>
      </c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</row>
    <row r="356">
      <c r="A356" s="25" t="s">
        <v>206</v>
      </c>
      <c r="B356" s="26">
        <v>19.0</v>
      </c>
      <c r="C356" s="27">
        <v>45874.0</v>
      </c>
      <c r="D356" s="28">
        <v>45874.381944444445</v>
      </c>
      <c r="E356" s="28">
        <v>45874.74444444444</v>
      </c>
      <c r="F356" s="21" t="s">
        <v>189</v>
      </c>
      <c r="G356" s="23"/>
      <c r="H356" s="23" t="str">
        <f t="shared" si="1"/>
        <v>INSERT INTO tblDayAttendanceLog VALUES (seqDayAttendanceLog.nextval, 19, TO_DATE('2025-08-05', 'YYYY-MM-DD'), TO_DATE('2025-08-05 09:10:00', 'YYYY-MM-DD HH24:MI:SS'), TO_DATE('2025-08-05 17:52:00', 'YYYY-MM-DD HH24:MI:SS'));</v>
      </c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</row>
    <row r="357">
      <c r="A357" s="25" t="s">
        <v>206</v>
      </c>
      <c r="B357" s="26">
        <v>20.0</v>
      </c>
      <c r="C357" s="27">
        <v>45874.0</v>
      </c>
      <c r="D357" s="28">
        <v>45874.353472222225</v>
      </c>
      <c r="E357" s="28">
        <v>45874.74375</v>
      </c>
      <c r="F357" s="21" t="s">
        <v>184</v>
      </c>
      <c r="G357" s="23"/>
      <c r="H357" s="23" t="str">
        <f t="shared" si="1"/>
        <v>INSERT INTO tblDayAttendanceLog VALUES (seqDayAttendanceLog.nextval, 20, TO_DATE('2025-08-05', 'YYYY-MM-DD'), TO_DATE('2025-08-05 08:29:00', 'YYYY-MM-DD HH24:MI:SS'), TO_DATE('2025-08-05 17:51:00', 'YYYY-MM-DD HH24:MI:SS'));</v>
      </c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</row>
    <row r="358">
      <c r="A358" s="25" t="s">
        <v>206</v>
      </c>
      <c r="B358" s="26">
        <v>21.0</v>
      </c>
      <c r="C358" s="27">
        <v>45874.0</v>
      </c>
      <c r="D358" s="28">
        <v>45874.373611111114</v>
      </c>
      <c r="E358" s="28">
        <v>45874.74375</v>
      </c>
      <c r="F358" s="21" t="s">
        <v>184</v>
      </c>
      <c r="G358" s="23"/>
      <c r="H358" s="23" t="str">
        <f t="shared" si="1"/>
        <v>INSERT INTO tblDayAttendanceLog VALUES (seqDayAttendanceLog.nextval, 21, TO_DATE('2025-08-05', 'YYYY-MM-DD'), TO_DATE('2025-08-05 08:58:00', 'YYYY-MM-DD HH24:MI:SS'), TO_DATE('2025-08-05 17:51:00', 'YYYY-MM-DD HH24:MI:SS'));</v>
      </c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</row>
    <row r="359">
      <c r="A359" s="25" t="s">
        <v>206</v>
      </c>
      <c r="B359" s="26">
        <v>22.0</v>
      </c>
      <c r="C359" s="27">
        <v>45874.0</v>
      </c>
      <c r="D359" s="28">
        <v>45874.34166666667</v>
      </c>
      <c r="E359" s="28">
        <v>45874.74513888889</v>
      </c>
      <c r="F359" s="21" t="s">
        <v>184</v>
      </c>
      <c r="G359" s="23"/>
      <c r="H359" s="23" t="str">
        <f t="shared" si="1"/>
        <v>INSERT INTO tblDayAttendanceLog VALUES (seqDayAttendanceLog.nextval, 22, TO_DATE('2025-08-05', 'YYYY-MM-DD'), TO_DATE('2025-08-05 08:12:00', 'YYYY-MM-DD HH24:MI:SS'), TO_DATE('2025-08-05 17:53:00', 'YYYY-MM-DD HH24:MI:SS'));</v>
      </c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</row>
    <row r="360">
      <c r="A360" s="25" t="s">
        <v>206</v>
      </c>
      <c r="B360" s="26">
        <v>23.0</v>
      </c>
      <c r="C360" s="27">
        <v>45874.0</v>
      </c>
      <c r="D360" s="28">
        <v>45874.38402777778</v>
      </c>
      <c r="E360" s="28">
        <v>45874.74791666667</v>
      </c>
      <c r="F360" s="21" t="s">
        <v>189</v>
      </c>
      <c r="G360" s="23"/>
      <c r="H360" s="23" t="str">
        <f t="shared" si="1"/>
        <v>INSERT INTO tblDayAttendanceLog VALUES (seqDayAttendanceLog.nextval, 23, TO_DATE('2025-08-05', 'YYYY-MM-DD'), TO_DATE('2025-08-05 09:13:00', 'YYYY-MM-DD HH24:MI:SS'), TO_DATE('2025-08-05 17:57:00', 'YYYY-MM-DD HH24:MI:SS'));</v>
      </c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</row>
    <row r="361">
      <c r="A361" s="25" t="s">
        <v>206</v>
      </c>
      <c r="B361" s="26">
        <v>24.0</v>
      </c>
      <c r="C361" s="27">
        <v>45874.0</v>
      </c>
      <c r="D361" s="28">
        <v>45874.41388888889</v>
      </c>
      <c r="E361" s="28">
        <v>45874.74930555555</v>
      </c>
      <c r="F361" s="21" t="s">
        <v>189</v>
      </c>
      <c r="G361" s="23"/>
      <c r="H361" s="23" t="str">
        <f t="shared" si="1"/>
        <v>INSERT INTO tblDayAttendanceLog VALUES (seqDayAttendanceLog.nextval, 24, TO_DATE('2025-08-05', 'YYYY-MM-DD'), TO_DATE('2025-08-05 09:56:00', 'YYYY-MM-DD HH24:MI:SS'), TO_DATE('2025-08-05 17:59:00', 'YYYY-MM-DD HH24:MI:SS'));</v>
      </c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</row>
    <row r="362">
      <c r="A362" s="25" t="s">
        <v>206</v>
      </c>
      <c r="B362" s="26">
        <v>25.0</v>
      </c>
      <c r="C362" s="27">
        <v>45874.0</v>
      </c>
      <c r="D362" s="28">
        <v>45874.36666666667</v>
      </c>
      <c r="E362" s="28">
        <v>45874.74513888889</v>
      </c>
      <c r="F362" s="21" t="s">
        <v>184</v>
      </c>
      <c r="G362" s="23"/>
      <c r="H362" s="23" t="str">
        <f t="shared" si="1"/>
        <v>INSERT INTO tblDayAttendanceLog VALUES (seqDayAttendanceLog.nextval, 25, TO_DATE('2025-08-05', 'YYYY-MM-DD'), TO_DATE('2025-08-05 08:48:00', 'YYYY-MM-DD HH24:MI:SS'), TO_DATE('2025-08-05 17:53:00', 'YYYY-MM-DD HH24:MI:SS'));</v>
      </c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</row>
    <row r="363">
      <c r="A363" s="25" t="s">
        <v>206</v>
      </c>
      <c r="B363" s="26">
        <v>26.0</v>
      </c>
      <c r="C363" s="27">
        <v>45874.0</v>
      </c>
      <c r="D363" s="28">
        <v>45874.34722222222</v>
      </c>
      <c r="E363" s="28">
        <v>45874.74444444444</v>
      </c>
      <c r="F363" s="21" t="s">
        <v>184</v>
      </c>
      <c r="G363" s="23"/>
      <c r="H363" s="23" t="str">
        <f t="shared" si="1"/>
        <v>INSERT INTO tblDayAttendanceLog VALUES (seqDayAttendanceLog.nextval, 26, TO_DATE('2025-08-05', 'YYYY-MM-DD'), TO_DATE('2025-08-05 08:20:00', 'YYYY-MM-DD HH24:MI:SS'), TO_DATE('2025-08-05 17:52:00', 'YYYY-MM-DD HH24:MI:SS'));</v>
      </c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</row>
    <row r="364">
      <c r="A364" s="25" t="s">
        <v>206</v>
      </c>
      <c r="B364" s="26">
        <v>27.0</v>
      </c>
      <c r="C364" s="27">
        <v>45874.0</v>
      </c>
      <c r="D364" s="28">
        <v>45874.34722222222</v>
      </c>
      <c r="E364" s="28">
        <v>45874.74375</v>
      </c>
      <c r="F364" s="21" t="s">
        <v>184</v>
      </c>
      <c r="G364" s="23"/>
      <c r="H364" s="23" t="str">
        <f t="shared" si="1"/>
        <v>INSERT INTO tblDayAttendanceLog VALUES (seqDayAttendanceLog.nextval, 27, TO_DATE('2025-08-05', 'YYYY-MM-DD'), TO_DATE('2025-08-05 08:20:00', 'YYYY-MM-DD HH24:MI:SS'), TO_DATE('2025-08-05 17:51:00', 'YYYY-MM-DD HH24:MI:SS'));</v>
      </c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</row>
    <row r="365">
      <c r="A365" s="25" t="s">
        <v>206</v>
      </c>
      <c r="B365" s="26">
        <v>28.0</v>
      </c>
      <c r="C365" s="27">
        <v>45874.0</v>
      </c>
      <c r="D365" s="28">
        <v>45874.34027777778</v>
      </c>
      <c r="E365" s="28">
        <v>45874.748611111114</v>
      </c>
      <c r="F365" s="21" t="s">
        <v>184</v>
      </c>
      <c r="G365" s="23"/>
      <c r="H365" s="23" t="str">
        <f t="shared" si="1"/>
        <v>INSERT INTO tblDayAttendanceLog VALUES (seqDayAttendanceLog.nextval, 28, TO_DATE('2025-08-05', 'YYYY-MM-DD'), TO_DATE('2025-08-05 08:10:00', 'YYYY-MM-DD HH24:MI:SS'), TO_DATE('2025-08-05 17:58:00', 'YYYY-MM-DD HH24:MI:SS'));</v>
      </c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</row>
    <row r="366">
      <c r="A366" s="25" t="s">
        <v>206</v>
      </c>
      <c r="B366" s="26">
        <v>29.0</v>
      </c>
      <c r="C366" s="27">
        <v>45874.0</v>
      </c>
      <c r="D366" s="28">
        <v>45874.39722222222</v>
      </c>
      <c r="E366" s="28">
        <v>45874.745833333334</v>
      </c>
      <c r="F366" s="21" t="s">
        <v>189</v>
      </c>
      <c r="G366" s="23"/>
      <c r="H366" s="23" t="str">
        <f t="shared" si="1"/>
        <v>INSERT INTO tblDayAttendanceLog VALUES (seqDayAttendanceLog.nextval, 29, TO_DATE('2025-08-05', 'YYYY-MM-DD'), TO_DATE('2025-08-05 09:32:00', 'YYYY-MM-DD HH24:MI:SS'), TO_DATE('2025-08-05 17:54:00', 'YYYY-MM-DD HH24:MI:SS'));</v>
      </c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</row>
    <row r="367">
      <c r="A367" s="25" t="s">
        <v>206</v>
      </c>
      <c r="B367" s="26">
        <v>30.0</v>
      </c>
      <c r="C367" s="27">
        <v>45874.0</v>
      </c>
      <c r="D367" s="28">
        <v>45874.353472222225</v>
      </c>
      <c r="E367" s="28">
        <v>45874.74930555555</v>
      </c>
      <c r="F367" s="21" t="s">
        <v>184</v>
      </c>
      <c r="G367" s="23"/>
      <c r="H367" s="23" t="str">
        <f t="shared" si="1"/>
        <v>INSERT INTO tblDayAttendanceLog VALUES (seqDayAttendanceLog.nextval, 30, TO_DATE('2025-08-05', 'YYYY-MM-DD'), TO_DATE('2025-08-05 08:29:00', 'YYYY-MM-DD HH24:MI:SS'), TO_DATE('2025-08-05 17:59:00', 'YYYY-MM-DD HH24:MI:SS'));</v>
      </c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</row>
    <row r="368">
      <c r="A368" s="25" t="s">
        <v>206</v>
      </c>
      <c r="B368" s="26">
        <v>31.0</v>
      </c>
      <c r="C368" s="27">
        <v>45874.0</v>
      </c>
      <c r="D368" s="28">
        <v>45874.39027777778</v>
      </c>
      <c r="E368" s="28">
        <v>45874.74444444444</v>
      </c>
      <c r="F368" s="21" t="s">
        <v>189</v>
      </c>
      <c r="G368" s="23"/>
      <c r="H368" s="23" t="str">
        <f t="shared" si="1"/>
        <v>INSERT INTO tblDayAttendanceLog VALUES (seqDayAttendanceLog.nextval, 31, TO_DATE('2025-08-05', 'YYYY-MM-DD'), TO_DATE('2025-08-05 09:22:00', 'YYYY-MM-DD HH24:MI:SS'), TO_DATE('2025-08-05 17:52:00', 'YYYY-MM-DD HH24:MI:SS'));</v>
      </c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</row>
    <row r="369">
      <c r="A369" s="25" t="s">
        <v>206</v>
      </c>
      <c r="B369" s="26">
        <v>32.0</v>
      </c>
      <c r="C369" s="27">
        <v>45874.0</v>
      </c>
      <c r="D369" s="28">
        <v>45874.40625</v>
      </c>
      <c r="E369" s="28">
        <v>45874.74930555555</v>
      </c>
      <c r="F369" s="21" t="s">
        <v>189</v>
      </c>
      <c r="G369" s="23"/>
      <c r="H369" s="23" t="str">
        <f t="shared" si="1"/>
        <v>INSERT INTO tblDayAttendanceLog VALUES (seqDayAttendanceLog.nextval, 32, TO_DATE('2025-08-05', 'YYYY-MM-DD'), TO_DATE('2025-08-05 09:45:00', 'YYYY-MM-DD HH24:MI:SS'), TO_DATE('2025-08-05 17:59:00', 'YYYY-MM-DD HH24:MI:SS'));</v>
      </c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</row>
    <row r="370">
      <c r="A370" s="25" t="s">
        <v>206</v>
      </c>
      <c r="B370" s="26">
        <v>33.0</v>
      </c>
      <c r="C370" s="27">
        <v>45874.0</v>
      </c>
      <c r="D370" s="28">
        <v>45874.3625</v>
      </c>
      <c r="E370" s="28">
        <v>45874.74444444444</v>
      </c>
      <c r="F370" s="21" t="s">
        <v>184</v>
      </c>
      <c r="G370" s="23"/>
      <c r="H370" s="23" t="str">
        <f t="shared" si="1"/>
        <v>INSERT INTO tblDayAttendanceLog VALUES (seqDayAttendanceLog.nextval, 33, TO_DATE('2025-08-05', 'YYYY-MM-DD'), TO_DATE('2025-08-05 08:42:00', 'YYYY-MM-DD HH24:MI:SS'), TO_DATE('2025-08-05 17:52:00', 'YYYY-MM-DD HH24:MI:SS'));</v>
      </c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</row>
    <row r="371">
      <c r="A371" s="25" t="s">
        <v>206</v>
      </c>
      <c r="B371" s="26">
        <v>34.0</v>
      </c>
      <c r="C371" s="27">
        <v>45874.0</v>
      </c>
      <c r="D371" s="28">
        <v>45874.39444444444</v>
      </c>
      <c r="E371" s="28">
        <v>45874.74513888889</v>
      </c>
      <c r="F371" s="21" t="s">
        <v>189</v>
      </c>
      <c r="G371" s="23"/>
      <c r="H371" s="23" t="str">
        <f t="shared" si="1"/>
        <v>INSERT INTO tblDayAttendanceLog VALUES (seqDayAttendanceLog.nextval, 34, TO_DATE('2025-08-05', 'YYYY-MM-DD'), TO_DATE('2025-08-05 09:28:00', 'YYYY-MM-DD HH24:MI:SS'), TO_DATE('2025-08-05 17:53:00', 'YYYY-MM-DD HH24:MI:SS'));</v>
      </c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</row>
    <row r="372">
      <c r="A372" s="25" t="s">
        <v>206</v>
      </c>
      <c r="B372" s="26">
        <v>35.0</v>
      </c>
      <c r="C372" s="27">
        <v>45874.0</v>
      </c>
      <c r="D372" s="28">
        <v>45874.39791666667</v>
      </c>
      <c r="E372" s="28">
        <v>45874.748611111114</v>
      </c>
      <c r="F372" s="21" t="s">
        <v>189</v>
      </c>
      <c r="G372" s="23"/>
      <c r="H372" s="23" t="str">
        <f t="shared" si="1"/>
        <v>INSERT INTO tblDayAttendanceLog VALUES (seqDayAttendanceLog.nextval, 35, TO_DATE('2025-08-05', 'YYYY-MM-DD'), TO_DATE('2025-08-05 09:33:00', 'YYYY-MM-DD HH24:MI:SS'), TO_DATE('2025-08-05 17:58:00', 'YYYY-MM-DD HH24:MI:SS'));</v>
      </c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</row>
    <row r="373">
      <c r="A373" s="25" t="s">
        <v>206</v>
      </c>
      <c r="B373" s="26">
        <v>36.0</v>
      </c>
      <c r="C373" s="27">
        <v>45874.0</v>
      </c>
      <c r="D373" s="28">
        <v>45874.40347222222</v>
      </c>
      <c r="E373" s="28">
        <v>45874.74375</v>
      </c>
      <c r="F373" s="21" t="s">
        <v>189</v>
      </c>
      <c r="G373" s="23"/>
      <c r="H373" s="23" t="str">
        <f t="shared" si="1"/>
        <v>INSERT INTO tblDayAttendanceLog VALUES (seqDayAttendanceLog.nextval, 36, TO_DATE('2025-08-05', 'YYYY-MM-DD'), TO_DATE('2025-08-05 09:41:00', 'YYYY-MM-DD HH24:MI:SS'), TO_DATE('2025-08-05 17:51:00', 'YYYY-MM-DD HH24:MI:SS'));</v>
      </c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</row>
    <row r="374">
      <c r="A374" s="25" t="s">
        <v>206</v>
      </c>
      <c r="B374" s="26">
        <v>37.0</v>
      </c>
      <c r="C374" s="27">
        <v>45874.0</v>
      </c>
      <c r="D374" s="28">
        <v>45874.3625</v>
      </c>
      <c r="E374" s="28">
        <v>45874.74513888889</v>
      </c>
      <c r="F374" s="21" t="s">
        <v>184</v>
      </c>
      <c r="G374" s="23"/>
      <c r="H374" s="23" t="str">
        <f t="shared" si="1"/>
        <v>INSERT INTO tblDayAttendanceLog VALUES (seqDayAttendanceLog.nextval, 37, TO_DATE('2025-08-05', 'YYYY-MM-DD'), TO_DATE('2025-08-05 08:42:00', 'YYYY-MM-DD HH24:MI:SS'), TO_DATE('2025-08-05 17:53:00', 'YYYY-MM-DD HH24:MI:SS'));</v>
      </c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</row>
    <row r="375">
      <c r="A375" s="25" t="s">
        <v>206</v>
      </c>
      <c r="B375" s="26">
        <v>38.0</v>
      </c>
      <c r="C375" s="27">
        <v>45874.0</v>
      </c>
      <c r="D375" s="28">
        <v>45874.39513888889</v>
      </c>
      <c r="E375" s="28">
        <v>45874.74375</v>
      </c>
      <c r="F375" s="21" t="s">
        <v>189</v>
      </c>
      <c r="G375" s="23"/>
      <c r="H375" s="23" t="str">
        <f t="shared" si="1"/>
        <v>INSERT INTO tblDayAttendanceLog VALUES (seqDayAttendanceLog.nextval, 38, TO_DATE('2025-08-05', 'YYYY-MM-DD'), TO_DATE('2025-08-05 09:29:00', 'YYYY-MM-DD HH24:MI:SS'), TO_DATE('2025-08-05 17:51:00', 'YYYY-MM-DD HH24:MI:SS'));</v>
      </c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</row>
    <row r="376">
      <c r="A376" s="25" t="s">
        <v>206</v>
      </c>
      <c r="B376" s="26">
        <v>39.0</v>
      </c>
      <c r="C376" s="27">
        <v>45874.0</v>
      </c>
      <c r="D376" s="28">
        <v>45874.376388888886</v>
      </c>
      <c r="E376" s="28">
        <v>45874.74513888889</v>
      </c>
      <c r="F376" s="21" t="s">
        <v>189</v>
      </c>
      <c r="G376" s="23"/>
      <c r="H376" s="23" t="str">
        <f t="shared" si="1"/>
        <v>INSERT INTO tblDayAttendanceLog VALUES (seqDayAttendanceLog.nextval, 39, TO_DATE('2025-08-05', 'YYYY-MM-DD'), TO_DATE('2025-08-05 09:02:00', 'YYYY-MM-DD HH24:MI:SS'), TO_DATE('2025-08-05 17:53:00', 'YYYY-MM-DD HH24:MI:SS'));</v>
      </c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</row>
    <row r="377">
      <c r="A377" s="25" t="s">
        <v>206</v>
      </c>
      <c r="B377" s="26">
        <v>40.0</v>
      </c>
      <c r="C377" s="27">
        <v>45874.0</v>
      </c>
      <c r="D377" s="28">
        <v>45874.33888888889</v>
      </c>
      <c r="E377" s="28">
        <v>45874.74444444444</v>
      </c>
      <c r="F377" s="21" t="s">
        <v>184</v>
      </c>
      <c r="G377" s="23"/>
      <c r="H377" s="23" t="str">
        <f t="shared" si="1"/>
        <v>INSERT INTO tblDayAttendanceLog VALUES (seqDayAttendanceLog.nextval, 40, TO_DATE('2025-08-05', 'YYYY-MM-DD'), TO_DATE('2025-08-05 08:08:00', 'YYYY-MM-DD HH24:MI:SS'), TO_DATE('2025-08-05 17:52:00', 'YYYY-MM-DD HH24:MI:SS'));</v>
      </c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</row>
    <row r="378">
      <c r="A378" s="25" t="s">
        <v>206</v>
      </c>
      <c r="B378" s="26">
        <v>41.0</v>
      </c>
      <c r="C378" s="27">
        <v>45874.0</v>
      </c>
      <c r="D378" s="28">
        <v>45874.34166666667</v>
      </c>
      <c r="E378" s="28">
        <v>45874.74375</v>
      </c>
      <c r="F378" s="21" t="s">
        <v>184</v>
      </c>
      <c r="G378" s="23"/>
      <c r="H378" s="23" t="str">
        <f t="shared" si="1"/>
        <v>INSERT INTO tblDayAttendanceLog VALUES (seqDayAttendanceLog.nextval, 41, TO_DATE('2025-08-05', 'YYYY-MM-DD'), TO_DATE('2025-08-05 08:12:00', 'YYYY-MM-DD HH24:MI:SS'), TO_DATE('2025-08-05 17:51:00', 'YYYY-MM-DD HH24:MI:SS'));</v>
      </c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</row>
    <row r="379">
      <c r="A379" s="25" t="s">
        <v>206</v>
      </c>
      <c r="B379" s="26">
        <v>42.0</v>
      </c>
      <c r="C379" s="27">
        <v>45874.0</v>
      </c>
      <c r="D379" s="28">
        <v>45874.38888888889</v>
      </c>
      <c r="E379" s="28">
        <v>45874.74930555555</v>
      </c>
      <c r="F379" s="21" t="s">
        <v>189</v>
      </c>
      <c r="G379" s="23"/>
      <c r="H379" s="23" t="str">
        <f t="shared" si="1"/>
        <v>INSERT INTO tblDayAttendanceLog VALUES (seqDayAttendanceLog.nextval, 42, TO_DATE('2025-08-05', 'YYYY-MM-DD'), TO_DATE('2025-08-05 09:20:00', 'YYYY-MM-DD HH24:MI:SS'), TO_DATE('2025-08-05 17:59:00', 'YYYY-MM-DD HH24:MI:SS'));</v>
      </c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</row>
    <row r="380">
      <c r="A380" s="25" t="s">
        <v>206</v>
      </c>
      <c r="B380" s="26">
        <v>43.0</v>
      </c>
      <c r="C380" s="27">
        <v>45874.0</v>
      </c>
      <c r="D380" s="28">
        <v>45874.34166666667</v>
      </c>
      <c r="E380" s="28">
        <v>45874.74444444444</v>
      </c>
      <c r="F380" s="21" t="s">
        <v>184</v>
      </c>
      <c r="G380" s="23"/>
      <c r="H380" s="23" t="str">
        <f t="shared" si="1"/>
        <v>INSERT INTO tblDayAttendanceLog VALUES (seqDayAttendanceLog.nextval, 43, TO_DATE('2025-08-05', 'YYYY-MM-DD'), TO_DATE('2025-08-05 08:12:00', 'YYYY-MM-DD HH24:MI:SS'), TO_DATE('2025-08-05 17:52:00', 'YYYY-MM-DD HH24:MI:SS'));</v>
      </c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</row>
    <row r="381">
      <c r="A381" s="25" t="s">
        <v>206</v>
      </c>
      <c r="B381" s="26">
        <v>44.0</v>
      </c>
      <c r="C381" s="27">
        <v>45874.0</v>
      </c>
      <c r="D381" s="28">
        <v>45874.38611111111</v>
      </c>
      <c r="E381" s="28">
        <v>45874.74375</v>
      </c>
      <c r="F381" s="21" t="s">
        <v>189</v>
      </c>
      <c r="G381" s="23"/>
      <c r="H381" s="23" t="str">
        <f t="shared" si="1"/>
        <v>INSERT INTO tblDayAttendanceLog VALUES (seqDayAttendanceLog.nextval, 44, TO_DATE('2025-08-05', 'YYYY-MM-DD'), TO_DATE('2025-08-05 09:16:00', 'YYYY-MM-DD HH24:MI:SS'), TO_DATE('2025-08-05 17:51:00', 'YYYY-MM-DD HH24:MI:SS'));</v>
      </c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</row>
    <row r="382">
      <c r="A382" s="25" t="s">
        <v>206</v>
      </c>
      <c r="B382" s="26">
        <v>45.0</v>
      </c>
      <c r="C382" s="27">
        <v>45874.0</v>
      </c>
      <c r="D382" s="28">
        <v>45874.41527777778</v>
      </c>
      <c r="E382" s="28">
        <v>45874.748611111114</v>
      </c>
      <c r="F382" s="21" t="s">
        <v>189</v>
      </c>
      <c r="G382" s="23"/>
      <c r="H382" s="23" t="str">
        <f t="shared" si="1"/>
        <v>INSERT INTO tblDayAttendanceLog VALUES (seqDayAttendanceLog.nextval, 45, TO_DATE('2025-08-05', 'YYYY-MM-DD'), TO_DATE('2025-08-05 09:58:00', 'YYYY-MM-DD HH24:MI:SS'), TO_DATE('2025-08-05 17:58:00', 'YYYY-MM-DD HH24:MI:SS'));</v>
      </c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</row>
    <row r="383">
      <c r="A383" s="25" t="s">
        <v>206</v>
      </c>
      <c r="B383" s="26">
        <v>46.0</v>
      </c>
      <c r="C383" s="27">
        <v>45874.0</v>
      </c>
      <c r="D383" s="28">
        <v>45874.35208333333</v>
      </c>
      <c r="E383" s="28">
        <v>45874.745833333334</v>
      </c>
      <c r="F383" s="21" t="s">
        <v>184</v>
      </c>
      <c r="G383" s="23"/>
      <c r="H383" s="23" t="str">
        <f t="shared" si="1"/>
        <v>INSERT INTO tblDayAttendanceLog VALUES (seqDayAttendanceLog.nextval, 46, TO_DATE('2025-08-05', 'YYYY-MM-DD'), TO_DATE('2025-08-05 08:27:00', 'YYYY-MM-DD HH24:MI:SS'), TO_DATE('2025-08-05 17:54:00', 'YYYY-MM-DD HH24:MI:SS'));</v>
      </c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</row>
    <row r="384">
      <c r="A384" s="25" t="s">
        <v>206</v>
      </c>
      <c r="B384" s="26">
        <v>47.0</v>
      </c>
      <c r="C384" s="27">
        <v>45874.0</v>
      </c>
      <c r="D384" s="28">
        <v>45874.41180555556</v>
      </c>
      <c r="E384" s="28">
        <v>45874.74375</v>
      </c>
      <c r="F384" s="21" t="s">
        <v>189</v>
      </c>
      <c r="G384" s="23"/>
      <c r="H384" s="23" t="str">
        <f t="shared" si="1"/>
        <v>INSERT INTO tblDayAttendanceLog VALUES (seqDayAttendanceLog.nextval, 47, TO_DATE('2025-08-05', 'YYYY-MM-DD'), TO_DATE('2025-08-05 09:53:00', 'YYYY-MM-DD HH24:MI:SS'), TO_DATE('2025-08-05 17:51:00', 'YYYY-MM-DD HH24:MI:SS'));</v>
      </c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</row>
    <row r="385">
      <c r="A385" s="25" t="s">
        <v>206</v>
      </c>
      <c r="B385" s="26">
        <v>48.0</v>
      </c>
      <c r="C385" s="27">
        <v>45874.0</v>
      </c>
      <c r="D385" s="28">
        <v>45874.396527777775</v>
      </c>
      <c r="E385" s="28">
        <v>45874.743055555555</v>
      </c>
      <c r="F385" s="21" t="s">
        <v>189</v>
      </c>
      <c r="G385" s="23"/>
      <c r="H385" s="23" t="str">
        <f t="shared" si="1"/>
        <v>INSERT INTO tblDayAttendanceLog VALUES (seqDayAttendanceLog.nextval, 48, TO_DATE('2025-08-05', 'YYYY-MM-DD'), TO_DATE('2025-08-05 09:31:00', 'YYYY-MM-DD HH24:MI:SS'), TO_DATE('2025-08-05 17:50:00', 'YYYY-MM-DD HH24:MI:SS'));</v>
      </c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</row>
    <row r="386">
      <c r="A386" s="25" t="s">
        <v>206</v>
      </c>
      <c r="B386" s="26">
        <v>49.0</v>
      </c>
      <c r="C386" s="27">
        <v>45874.0</v>
      </c>
      <c r="D386" s="28">
        <v>45874.34861111111</v>
      </c>
      <c r="E386" s="28">
        <v>45874.74375</v>
      </c>
      <c r="F386" s="21" t="s">
        <v>184</v>
      </c>
      <c r="G386" s="23"/>
      <c r="H386" s="23" t="str">
        <f t="shared" si="1"/>
        <v>INSERT INTO tblDayAttendanceLog VALUES (seqDayAttendanceLog.nextval, 49, TO_DATE('2025-08-05', 'YYYY-MM-DD'), TO_DATE('2025-08-05 08:22:00', 'YYYY-MM-DD HH24:MI:SS'), TO_DATE('2025-08-05 17:51:00', 'YYYY-MM-DD HH24:MI:SS'));</v>
      </c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</row>
    <row r="387">
      <c r="A387" s="25" t="s">
        <v>206</v>
      </c>
      <c r="B387" s="26">
        <v>50.0</v>
      </c>
      <c r="C387" s="27">
        <v>45874.0</v>
      </c>
      <c r="D387" s="28">
        <v>45874.415972222225</v>
      </c>
      <c r="E387" s="28">
        <v>45874.74513888889</v>
      </c>
      <c r="F387" s="21" t="s">
        <v>189</v>
      </c>
      <c r="G387" s="23"/>
      <c r="H387" s="23" t="str">
        <f t="shared" si="1"/>
        <v>INSERT INTO tblDayAttendanceLog VALUES (seqDayAttendanceLog.nextval, 50, TO_DATE('2025-08-05', 'YYYY-MM-DD'), TO_DATE('2025-08-05 09:59:00', 'YYYY-MM-DD HH24:MI:SS'), TO_DATE('2025-08-05 17:53:00', 'YYYY-MM-DD HH24:MI:SS'));</v>
      </c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</row>
    <row r="388">
      <c r="A388" s="25" t="s">
        <v>206</v>
      </c>
      <c r="B388" s="26">
        <v>51.0</v>
      </c>
      <c r="C388" s="27">
        <v>45874.0</v>
      </c>
      <c r="D388" s="28">
        <v>45874.385416666664</v>
      </c>
      <c r="E388" s="28">
        <v>45874.74722222222</v>
      </c>
      <c r="F388" s="21" t="s">
        <v>189</v>
      </c>
      <c r="G388" s="23"/>
      <c r="H388" s="23" t="str">
        <f t="shared" si="1"/>
        <v>INSERT INTO tblDayAttendanceLog VALUES (seqDayAttendanceLog.nextval, 51, TO_DATE('2025-08-05', 'YYYY-MM-DD'), TO_DATE('2025-08-05 09:15:00', 'YYYY-MM-DD HH24:MI:SS'), TO_DATE('2025-08-05 17:56:00', 'YYYY-MM-DD HH24:MI:SS'));</v>
      </c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</row>
    <row r="389">
      <c r="A389" s="25" t="s">
        <v>206</v>
      </c>
      <c r="B389" s="26">
        <v>52.0</v>
      </c>
      <c r="C389" s="27">
        <v>45874.0</v>
      </c>
      <c r="D389" s="28">
        <v>45874.413194444445</v>
      </c>
      <c r="E389" s="28">
        <v>45874.743055555555</v>
      </c>
      <c r="F389" s="21" t="s">
        <v>189</v>
      </c>
      <c r="G389" s="23"/>
      <c r="H389" s="23" t="str">
        <f t="shared" si="1"/>
        <v>INSERT INTO tblDayAttendanceLog VALUES (seqDayAttendanceLog.nextval, 52, TO_DATE('2025-08-05', 'YYYY-MM-DD'), TO_DATE('2025-08-05 09:55:00', 'YYYY-MM-DD HH24:MI:SS'), TO_DATE('2025-08-05 17:50:00', 'YYYY-MM-DD HH24:MI:SS'));</v>
      </c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</row>
    <row r="390">
      <c r="A390" s="25" t="s">
        <v>206</v>
      </c>
      <c r="B390" s="26">
        <v>53.0</v>
      </c>
      <c r="C390" s="27">
        <v>45874.0</v>
      </c>
      <c r="D390" s="29"/>
      <c r="E390" s="29"/>
      <c r="F390" s="21" t="s">
        <v>186</v>
      </c>
      <c r="G390" s="23"/>
      <c r="H390" s="23" t="str">
        <f t="shared" si="1"/>
        <v>INSERT INTO tblDayAttendanceLog VALUES (seqDayAttendanceLog.nextval, 53, TO_DATE('2025-08-05', 'YYYY-MM-DD'), NULL, NULL);</v>
      </c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</row>
    <row r="391">
      <c r="A391" s="25" t="s">
        <v>206</v>
      </c>
      <c r="B391" s="26">
        <v>54.0</v>
      </c>
      <c r="C391" s="27">
        <v>45874.0</v>
      </c>
      <c r="D391" s="28">
        <v>45874.373611111114</v>
      </c>
      <c r="E391" s="28">
        <v>45874.74930555555</v>
      </c>
      <c r="F391" s="21" t="s">
        <v>184</v>
      </c>
      <c r="G391" s="23"/>
      <c r="H391" s="23" t="str">
        <f t="shared" si="1"/>
        <v>INSERT INTO tblDayAttendanceLog VALUES (seqDayAttendanceLog.nextval, 54, TO_DATE('2025-08-05', 'YYYY-MM-DD'), TO_DATE('2025-08-05 08:58:00', 'YYYY-MM-DD HH24:MI:SS'), TO_DATE('2025-08-05 17:59:00', 'YYYY-MM-DD HH24:MI:SS'));</v>
      </c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</row>
    <row r="392">
      <c r="A392" s="25" t="s">
        <v>206</v>
      </c>
      <c r="B392" s="26">
        <v>55.0</v>
      </c>
      <c r="C392" s="27">
        <v>45874.0</v>
      </c>
      <c r="D392" s="28">
        <v>45874.34861111111</v>
      </c>
      <c r="E392" s="28">
        <v>45874.74375</v>
      </c>
      <c r="F392" s="21" t="s">
        <v>184</v>
      </c>
      <c r="G392" s="23"/>
      <c r="H392" s="23" t="str">
        <f t="shared" si="1"/>
        <v>INSERT INTO tblDayAttendanceLog VALUES (seqDayAttendanceLog.nextval, 55, TO_DATE('2025-08-05', 'YYYY-MM-DD'), TO_DATE('2025-08-05 08:22:00', 'YYYY-MM-DD HH24:MI:SS'), TO_DATE('2025-08-05 17:51:00', 'YYYY-MM-DD HH24:MI:SS'));</v>
      </c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</row>
    <row r="393">
      <c r="A393" s="25" t="s">
        <v>206</v>
      </c>
      <c r="B393" s="26">
        <v>56.0</v>
      </c>
      <c r="C393" s="27">
        <v>45874.0</v>
      </c>
      <c r="D393" s="28">
        <v>45874.33611111111</v>
      </c>
      <c r="E393" s="28">
        <v>45874.74652777778</v>
      </c>
      <c r="F393" s="21" t="s">
        <v>184</v>
      </c>
      <c r="G393" s="23"/>
      <c r="H393" s="23" t="str">
        <f t="shared" si="1"/>
        <v>INSERT INTO tblDayAttendanceLog VALUES (seqDayAttendanceLog.nextval, 56, TO_DATE('2025-08-05', 'YYYY-MM-DD'), TO_DATE('2025-08-05 08:04:00', 'YYYY-MM-DD HH24:MI:SS'), TO_DATE('2025-08-05 17:55:00', 'YYYY-MM-DD HH24:MI:SS'));</v>
      </c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</row>
    <row r="394">
      <c r="A394" s="25" t="s">
        <v>206</v>
      </c>
      <c r="B394" s="26">
        <v>57.0</v>
      </c>
      <c r="C394" s="27">
        <v>45874.0</v>
      </c>
      <c r="D394" s="28">
        <v>45874.38611111111</v>
      </c>
      <c r="E394" s="28">
        <v>45874.74375</v>
      </c>
      <c r="F394" s="21" t="s">
        <v>189</v>
      </c>
      <c r="G394" s="23"/>
      <c r="H394" s="23" t="str">
        <f t="shared" si="1"/>
        <v>INSERT INTO tblDayAttendanceLog VALUES (seqDayAttendanceLog.nextval, 57, TO_DATE('2025-08-05', 'YYYY-MM-DD'), TO_DATE('2025-08-05 09:16:00', 'YYYY-MM-DD HH24:MI:SS'), TO_DATE('2025-08-05 17:51:00', 'YYYY-MM-DD HH24:MI:SS'));</v>
      </c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</row>
    <row r="395">
      <c r="A395" s="25" t="s">
        <v>206</v>
      </c>
      <c r="B395" s="26">
        <v>58.0</v>
      </c>
      <c r="C395" s="27">
        <v>45874.0</v>
      </c>
      <c r="D395" s="28">
        <v>45874.404861111114</v>
      </c>
      <c r="E395" s="28">
        <v>45874.74722222222</v>
      </c>
      <c r="F395" s="21" t="s">
        <v>189</v>
      </c>
      <c r="G395" s="23"/>
      <c r="H395" s="23" t="str">
        <f t="shared" si="1"/>
        <v>INSERT INTO tblDayAttendanceLog VALUES (seqDayAttendanceLog.nextval, 58, TO_DATE('2025-08-05', 'YYYY-MM-DD'), TO_DATE('2025-08-05 09:43:00', 'YYYY-MM-DD HH24:MI:SS'), TO_DATE('2025-08-05 17:56:00', 'YYYY-MM-DD HH24:MI:SS'));</v>
      </c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</row>
    <row r="396">
      <c r="A396" s="25" t="s">
        <v>206</v>
      </c>
      <c r="B396" s="26">
        <v>59.0</v>
      </c>
      <c r="C396" s="27">
        <v>45874.0</v>
      </c>
      <c r="D396" s="28">
        <v>45874.41527777778</v>
      </c>
      <c r="E396" s="28">
        <v>45874.748611111114</v>
      </c>
      <c r="F396" s="21" t="s">
        <v>189</v>
      </c>
      <c r="G396" s="23"/>
      <c r="H396" s="23" t="str">
        <f t="shared" si="1"/>
        <v>INSERT INTO tblDayAttendanceLog VALUES (seqDayAttendanceLog.nextval, 59, TO_DATE('2025-08-05', 'YYYY-MM-DD'), TO_DATE('2025-08-05 09:58:00', 'YYYY-MM-DD HH24:MI:SS'), TO_DATE('2025-08-05 17:58:00', 'YYYY-MM-DD HH24:MI:SS'));</v>
      </c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</row>
    <row r="397">
      <c r="A397" s="25" t="s">
        <v>206</v>
      </c>
      <c r="B397" s="26">
        <v>60.0</v>
      </c>
      <c r="C397" s="27">
        <v>45874.0</v>
      </c>
      <c r="D397" s="28">
        <v>45874.415972222225</v>
      </c>
      <c r="E397" s="28">
        <v>45874.74652777778</v>
      </c>
      <c r="F397" s="21" t="s">
        <v>189</v>
      </c>
      <c r="G397" s="23"/>
      <c r="H397" s="23" t="str">
        <f t="shared" si="1"/>
        <v>INSERT INTO tblDayAttendanceLog VALUES (seqDayAttendanceLog.nextval, 60, TO_DATE('2025-08-05', 'YYYY-MM-DD'), TO_DATE('2025-08-05 09:59:00', 'YYYY-MM-DD HH24:MI:SS'), TO_DATE('2025-08-05 17:55:00', 'YYYY-MM-DD HH24:MI:SS'));</v>
      </c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</row>
    <row r="398">
      <c r="A398" s="25" t="s">
        <v>206</v>
      </c>
      <c r="B398" s="26">
        <v>61.0</v>
      </c>
      <c r="C398" s="27">
        <v>45874.0</v>
      </c>
      <c r="D398" s="28">
        <v>45874.34583333333</v>
      </c>
      <c r="E398" s="28">
        <v>45874.74722222222</v>
      </c>
      <c r="F398" s="21" t="s">
        <v>184</v>
      </c>
      <c r="G398" s="23"/>
      <c r="H398" s="23" t="str">
        <f t="shared" si="1"/>
        <v>INSERT INTO tblDayAttendanceLog VALUES (seqDayAttendanceLog.nextval, 61, TO_DATE('2025-08-05', 'YYYY-MM-DD'), TO_DATE('2025-08-05 08:18:00', 'YYYY-MM-DD HH24:MI:SS'), TO_DATE('2025-08-05 17:56:00', 'YYYY-MM-DD HH24:MI:SS'));</v>
      </c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</row>
    <row r="399">
      <c r="A399" s="25" t="s">
        <v>206</v>
      </c>
      <c r="B399" s="26">
        <v>62.0</v>
      </c>
      <c r="C399" s="27">
        <v>45874.0</v>
      </c>
      <c r="D399" s="28">
        <v>45874.34722222222</v>
      </c>
      <c r="E399" s="28">
        <v>45874.748611111114</v>
      </c>
      <c r="F399" s="21" t="s">
        <v>184</v>
      </c>
      <c r="G399" s="23"/>
      <c r="H399" s="23" t="str">
        <f t="shared" si="1"/>
        <v>INSERT INTO tblDayAttendanceLog VALUES (seqDayAttendanceLog.nextval, 62, TO_DATE('2025-08-05', 'YYYY-MM-DD'), TO_DATE('2025-08-05 08:20:00', 'YYYY-MM-DD HH24:MI:SS'), TO_DATE('2025-08-05 17:58:00', 'YYYY-MM-DD HH24:MI:SS'));</v>
      </c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</row>
    <row r="400">
      <c r="A400" s="25" t="s">
        <v>206</v>
      </c>
      <c r="B400" s="26">
        <v>63.0</v>
      </c>
      <c r="C400" s="27">
        <v>45874.0</v>
      </c>
      <c r="D400" s="28">
        <v>45874.3375</v>
      </c>
      <c r="E400" s="28">
        <v>45874.74652777778</v>
      </c>
      <c r="F400" s="21" t="s">
        <v>184</v>
      </c>
      <c r="G400" s="23"/>
      <c r="H400" s="23" t="str">
        <f t="shared" si="1"/>
        <v>INSERT INTO tblDayAttendanceLog VALUES (seqDayAttendanceLog.nextval, 63, TO_DATE('2025-08-05', 'YYYY-MM-DD'), TO_DATE('2025-08-05 08:06:00', 'YYYY-MM-DD HH24:MI:SS'), TO_DATE('2025-08-05 17:55:00', 'YYYY-MM-DD HH24:MI:SS'));</v>
      </c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</row>
    <row r="401">
      <c r="A401" s="25" t="s">
        <v>206</v>
      </c>
      <c r="B401" s="26">
        <v>64.0</v>
      </c>
      <c r="C401" s="27">
        <v>45874.0</v>
      </c>
      <c r="D401" s="28">
        <v>45874.393055555556</v>
      </c>
      <c r="E401" s="28">
        <v>45874.748611111114</v>
      </c>
      <c r="F401" s="21" t="s">
        <v>189</v>
      </c>
      <c r="G401" s="23"/>
      <c r="H401" s="23" t="str">
        <f t="shared" si="1"/>
        <v>INSERT INTO tblDayAttendanceLog VALUES (seqDayAttendanceLog.nextval, 64, TO_DATE('2025-08-05', 'YYYY-MM-DD'), TO_DATE('2025-08-05 09:26:00', 'YYYY-MM-DD HH24:MI:SS'), TO_DATE('2025-08-05 17:58:00', 'YYYY-MM-DD HH24:MI:SS'));</v>
      </c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</row>
    <row r="402">
      <c r="A402" s="25" t="s">
        <v>206</v>
      </c>
      <c r="B402" s="26">
        <v>65.0</v>
      </c>
      <c r="C402" s="27">
        <v>45874.0</v>
      </c>
      <c r="D402" s="28">
        <v>45874.410416666666</v>
      </c>
      <c r="E402" s="28">
        <v>45874.74791666667</v>
      </c>
      <c r="F402" s="21" t="s">
        <v>189</v>
      </c>
      <c r="G402" s="23"/>
      <c r="H402" s="23" t="str">
        <f t="shared" si="1"/>
        <v>INSERT INTO tblDayAttendanceLog VALUES (seqDayAttendanceLog.nextval, 65, TO_DATE('2025-08-05', 'YYYY-MM-DD'), TO_DATE('2025-08-05 09:51:00', 'YYYY-MM-DD HH24:MI:SS'), TO_DATE('2025-08-05 17:57:00', 'YYYY-MM-DD HH24:MI:SS'));</v>
      </c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</row>
    <row r="403">
      <c r="A403" s="25" t="s">
        <v>206</v>
      </c>
      <c r="B403" s="26">
        <v>66.0</v>
      </c>
      <c r="C403" s="27">
        <v>45874.0</v>
      </c>
      <c r="D403" s="28">
        <v>45874.36666666667</v>
      </c>
      <c r="E403" s="28">
        <v>45874.74930555555</v>
      </c>
      <c r="F403" s="21" t="s">
        <v>184</v>
      </c>
      <c r="G403" s="23"/>
      <c r="H403" s="23" t="str">
        <f t="shared" si="1"/>
        <v>INSERT INTO tblDayAttendanceLog VALUES (seqDayAttendanceLog.nextval, 66, TO_DATE('2025-08-05', 'YYYY-MM-DD'), TO_DATE('2025-08-05 08:48:00', 'YYYY-MM-DD HH24:MI:SS'), TO_DATE('2025-08-05 17:59:00', 'YYYY-MM-DD HH24:MI:SS'));</v>
      </c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</row>
    <row r="404">
      <c r="A404" s="25" t="s">
        <v>206</v>
      </c>
      <c r="B404" s="26">
        <v>67.0</v>
      </c>
      <c r="C404" s="27">
        <v>45874.0</v>
      </c>
      <c r="D404" s="28">
        <v>45874.368055555555</v>
      </c>
      <c r="E404" s="28">
        <v>45874.74652777778</v>
      </c>
      <c r="F404" s="21" t="s">
        <v>184</v>
      </c>
      <c r="G404" s="23"/>
      <c r="H404" s="23" t="str">
        <f t="shared" si="1"/>
        <v>INSERT INTO tblDayAttendanceLog VALUES (seqDayAttendanceLog.nextval, 67, TO_DATE('2025-08-05', 'YYYY-MM-DD'), TO_DATE('2025-08-05 08:50:00', 'YYYY-MM-DD HH24:MI:SS'), TO_DATE('2025-08-05 17:55:00', 'YYYY-MM-DD HH24:MI:SS'));</v>
      </c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</row>
    <row r="405">
      <c r="A405" s="25" t="s">
        <v>206</v>
      </c>
      <c r="B405" s="26">
        <v>68.0</v>
      </c>
      <c r="C405" s="27">
        <v>45874.0</v>
      </c>
      <c r="D405" s="28">
        <v>45874.38680555556</v>
      </c>
      <c r="E405" s="28">
        <v>45874.74652777778</v>
      </c>
      <c r="F405" s="21" t="s">
        <v>189</v>
      </c>
      <c r="G405" s="23"/>
      <c r="H405" s="23" t="str">
        <f t="shared" si="1"/>
        <v>INSERT INTO tblDayAttendanceLog VALUES (seqDayAttendanceLog.nextval, 68, TO_DATE('2025-08-05', 'YYYY-MM-DD'), TO_DATE('2025-08-05 09:17:00', 'YYYY-MM-DD HH24:MI:SS'), TO_DATE('2025-08-05 17:55:00', 'YYYY-MM-DD HH24:MI:SS'));</v>
      </c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</row>
    <row r="406">
      <c r="A406" s="25" t="s">
        <v>206</v>
      </c>
      <c r="B406" s="26">
        <v>69.0</v>
      </c>
      <c r="C406" s="27">
        <v>45874.0</v>
      </c>
      <c r="D406" s="28">
        <v>45874.364583333336</v>
      </c>
      <c r="E406" s="28">
        <v>45874.745833333334</v>
      </c>
      <c r="F406" s="21" t="s">
        <v>184</v>
      </c>
      <c r="G406" s="23"/>
      <c r="H406" s="23" t="str">
        <f t="shared" si="1"/>
        <v>INSERT INTO tblDayAttendanceLog VALUES (seqDayAttendanceLog.nextval, 69, TO_DATE('2025-08-05', 'YYYY-MM-DD'), TO_DATE('2025-08-05 08:45:00', 'YYYY-MM-DD HH24:MI:SS'), TO_DATE('2025-08-05 17:54:00', 'YYYY-MM-DD HH24:MI:SS'));</v>
      </c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</row>
    <row r="407">
      <c r="A407" s="25" t="s">
        <v>206</v>
      </c>
      <c r="B407" s="26">
        <v>70.0</v>
      </c>
      <c r="C407" s="27">
        <v>45874.0</v>
      </c>
      <c r="D407" s="28">
        <v>45874.353472222225</v>
      </c>
      <c r="E407" s="28">
        <v>45874.745833333334</v>
      </c>
      <c r="F407" s="21" t="s">
        <v>184</v>
      </c>
      <c r="G407" s="23"/>
      <c r="H407" s="23" t="str">
        <f t="shared" si="1"/>
        <v>INSERT INTO tblDayAttendanceLog VALUES (seqDayAttendanceLog.nextval, 70, TO_DATE('2025-08-05', 'YYYY-MM-DD'), TO_DATE('2025-08-05 08:29:00', 'YYYY-MM-DD HH24:MI:SS'), TO_DATE('2025-08-05 17:54:00', 'YYYY-MM-DD HH24:MI:SS'));</v>
      </c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</row>
    <row r="408">
      <c r="A408" s="25" t="s">
        <v>206</v>
      </c>
      <c r="B408" s="26">
        <v>71.0</v>
      </c>
      <c r="C408" s="27">
        <v>45874.0</v>
      </c>
      <c r="D408" s="28">
        <v>45874.36666666667</v>
      </c>
      <c r="E408" s="28">
        <v>45874.74791666667</v>
      </c>
      <c r="F408" s="21" t="s">
        <v>184</v>
      </c>
      <c r="G408" s="23"/>
      <c r="H408" s="23" t="str">
        <f t="shared" si="1"/>
        <v>INSERT INTO tblDayAttendanceLog VALUES (seqDayAttendanceLog.nextval, 71, TO_DATE('2025-08-05', 'YYYY-MM-DD'), TO_DATE('2025-08-05 08:48:00', 'YYYY-MM-DD HH24:MI:SS'), TO_DATE('2025-08-05 17:57:00', 'YYYY-MM-DD HH24:MI:SS'));</v>
      </c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</row>
    <row r="409">
      <c r="A409" s="25" t="s">
        <v>206</v>
      </c>
      <c r="B409" s="26">
        <v>72.0</v>
      </c>
      <c r="C409" s="27">
        <v>45874.0</v>
      </c>
      <c r="D409" s="28">
        <v>45874.376388888886</v>
      </c>
      <c r="E409" s="28">
        <v>45874.74375</v>
      </c>
      <c r="F409" s="21" t="s">
        <v>189</v>
      </c>
      <c r="G409" s="23"/>
      <c r="H409" s="23" t="str">
        <f t="shared" si="1"/>
        <v>INSERT INTO tblDayAttendanceLog VALUES (seqDayAttendanceLog.nextval, 72, TO_DATE('2025-08-05', 'YYYY-MM-DD'), TO_DATE('2025-08-05 09:02:00', 'YYYY-MM-DD HH24:MI:SS'), TO_DATE('2025-08-05 17:51:00', 'YYYY-MM-DD HH24:MI:SS'));</v>
      </c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</row>
    <row r="410">
      <c r="A410" s="25" t="s">
        <v>206</v>
      </c>
      <c r="B410" s="26">
        <v>73.0</v>
      </c>
      <c r="C410" s="27">
        <v>45874.0</v>
      </c>
      <c r="D410" s="28">
        <v>45874.34027777778</v>
      </c>
      <c r="E410" s="28">
        <v>45874.74375</v>
      </c>
      <c r="F410" s="21" t="s">
        <v>184</v>
      </c>
      <c r="G410" s="23"/>
      <c r="H410" s="23" t="str">
        <f t="shared" si="1"/>
        <v>INSERT INTO tblDayAttendanceLog VALUES (seqDayAttendanceLog.nextval, 73, TO_DATE('2025-08-05', 'YYYY-MM-DD'), TO_DATE('2025-08-05 08:10:00', 'YYYY-MM-DD HH24:MI:SS'), TO_DATE('2025-08-05 17:51:00', 'YYYY-MM-DD HH24:MI:SS'));</v>
      </c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</row>
    <row r="411">
      <c r="A411" s="25" t="s">
        <v>206</v>
      </c>
      <c r="B411" s="26">
        <v>74.0</v>
      </c>
      <c r="C411" s="27">
        <v>45874.0</v>
      </c>
      <c r="D411" s="28">
        <v>45874.37291666667</v>
      </c>
      <c r="E411" s="28">
        <v>45874.74513888889</v>
      </c>
      <c r="F411" s="21" t="s">
        <v>184</v>
      </c>
      <c r="G411" s="23"/>
      <c r="H411" s="23" t="str">
        <f t="shared" si="1"/>
        <v>INSERT INTO tblDayAttendanceLog VALUES (seqDayAttendanceLog.nextval, 74, TO_DATE('2025-08-05', 'YYYY-MM-DD'), TO_DATE('2025-08-05 08:57:00', 'YYYY-MM-DD HH24:MI:SS'), TO_DATE('2025-08-05 17:53:00', 'YYYY-MM-DD HH24:MI:SS'));</v>
      </c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</row>
    <row r="412">
      <c r="A412" s="25" t="s">
        <v>206</v>
      </c>
      <c r="B412" s="26">
        <v>75.0</v>
      </c>
      <c r="C412" s="27">
        <v>45874.0</v>
      </c>
      <c r="D412" s="28">
        <v>45874.3625</v>
      </c>
      <c r="E412" s="28">
        <v>45874.748611111114</v>
      </c>
      <c r="F412" s="21" t="s">
        <v>184</v>
      </c>
      <c r="G412" s="23"/>
      <c r="H412" s="23" t="str">
        <f t="shared" si="1"/>
        <v>INSERT INTO tblDayAttendanceLog VALUES (seqDayAttendanceLog.nextval, 75, TO_DATE('2025-08-05', 'YYYY-MM-DD'), TO_DATE('2025-08-05 08:42:00', 'YYYY-MM-DD HH24:MI:SS'), TO_DATE('2025-08-05 17:58:00', 'YYYY-MM-DD HH24:MI:SS'));</v>
      </c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</row>
    <row r="413">
      <c r="A413" s="25" t="s">
        <v>206</v>
      </c>
      <c r="B413" s="26">
        <v>76.0</v>
      </c>
      <c r="C413" s="27">
        <v>45874.0</v>
      </c>
      <c r="D413" s="28">
        <v>45874.38888888889</v>
      </c>
      <c r="E413" s="28">
        <v>45874.74930555555</v>
      </c>
      <c r="F413" s="21" t="s">
        <v>189</v>
      </c>
      <c r="G413" s="23"/>
      <c r="H413" s="23" t="str">
        <f t="shared" si="1"/>
        <v>INSERT INTO tblDayAttendanceLog VALUES (seqDayAttendanceLog.nextval, 76, TO_DATE('2025-08-05', 'YYYY-MM-DD'), TO_DATE('2025-08-05 09:20:00', 'YYYY-MM-DD HH24:MI:SS'), TO_DATE('2025-08-05 17:59:00', 'YYYY-MM-DD HH24:MI:SS'));</v>
      </c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</row>
    <row r="414">
      <c r="A414" s="25" t="s">
        <v>206</v>
      </c>
      <c r="B414" s="26">
        <v>77.0</v>
      </c>
      <c r="C414" s="27">
        <v>45874.0</v>
      </c>
      <c r="D414" s="28">
        <v>45874.35138888889</v>
      </c>
      <c r="E414" s="28">
        <v>45874.74444444444</v>
      </c>
      <c r="F414" s="21" t="s">
        <v>184</v>
      </c>
      <c r="G414" s="23"/>
      <c r="H414" s="23" t="str">
        <f t="shared" si="1"/>
        <v>INSERT INTO tblDayAttendanceLog VALUES (seqDayAttendanceLog.nextval, 77, TO_DATE('2025-08-05', 'YYYY-MM-DD'), TO_DATE('2025-08-05 08:26:00', 'YYYY-MM-DD HH24:MI:SS'), TO_DATE('2025-08-05 17:52:00', 'YYYY-MM-DD HH24:MI:SS'));</v>
      </c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</row>
    <row r="415">
      <c r="A415" s="25" t="s">
        <v>206</v>
      </c>
      <c r="B415" s="26">
        <v>78.0</v>
      </c>
      <c r="C415" s="27">
        <v>45874.0</v>
      </c>
      <c r="D415" s="28">
        <v>45874.350694444445</v>
      </c>
      <c r="E415" s="28">
        <v>45874.748611111114</v>
      </c>
      <c r="F415" s="21" t="s">
        <v>184</v>
      </c>
      <c r="G415" s="23"/>
      <c r="H415" s="23" t="str">
        <f t="shared" si="1"/>
        <v>INSERT INTO tblDayAttendanceLog VALUES (seqDayAttendanceLog.nextval, 78, TO_DATE('2025-08-05', 'YYYY-MM-DD'), TO_DATE('2025-08-05 08:25:00', 'YYYY-MM-DD HH24:MI:SS'), TO_DATE('2025-08-05 17:58:00', 'YYYY-MM-DD HH24:MI:SS'));</v>
      </c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</row>
    <row r="416">
      <c r="A416" s="25" t="s">
        <v>206</v>
      </c>
      <c r="B416" s="26">
        <v>79.0</v>
      </c>
      <c r="C416" s="27">
        <v>45874.0</v>
      </c>
      <c r="D416" s="28">
        <v>45874.3375</v>
      </c>
      <c r="E416" s="28">
        <v>45874.745833333334</v>
      </c>
      <c r="F416" s="21" t="s">
        <v>184</v>
      </c>
      <c r="G416" s="23"/>
      <c r="H416" s="23" t="str">
        <f t="shared" si="1"/>
        <v>INSERT INTO tblDayAttendanceLog VALUES (seqDayAttendanceLog.nextval, 79, TO_DATE('2025-08-05', 'YYYY-MM-DD'), TO_DATE('2025-08-05 08:06:00', 'YYYY-MM-DD HH24:MI:SS'), TO_DATE('2025-08-05 17:54:00', 'YYYY-MM-DD HH24:MI:SS'));</v>
      </c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</row>
    <row r="417">
      <c r="A417" s="25" t="s">
        <v>206</v>
      </c>
      <c r="B417" s="26">
        <v>80.0</v>
      </c>
      <c r="C417" s="27">
        <v>45874.0</v>
      </c>
      <c r="D417" s="28">
        <v>45874.37986111111</v>
      </c>
      <c r="E417" s="28">
        <v>45874.74444444444</v>
      </c>
      <c r="F417" s="21" t="s">
        <v>189</v>
      </c>
      <c r="G417" s="23"/>
      <c r="H417" s="23" t="str">
        <f t="shared" si="1"/>
        <v>INSERT INTO tblDayAttendanceLog VALUES (seqDayAttendanceLog.nextval, 80, TO_DATE('2025-08-05', 'YYYY-MM-DD'), TO_DATE('2025-08-05 09:07:00', 'YYYY-MM-DD HH24:MI:SS'), TO_DATE('2025-08-05 17:52:00', 'YYYY-MM-DD HH24:MI:SS'));</v>
      </c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</row>
    <row r="418">
      <c r="A418" s="25" t="s">
        <v>206</v>
      </c>
      <c r="B418" s="26">
        <v>81.0</v>
      </c>
      <c r="C418" s="27">
        <v>45874.0</v>
      </c>
      <c r="D418" s="28">
        <v>45874.34722222222</v>
      </c>
      <c r="E418" s="28">
        <v>45874.745833333334</v>
      </c>
      <c r="F418" s="21" t="s">
        <v>184</v>
      </c>
      <c r="G418" s="23"/>
      <c r="H418" s="23" t="str">
        <f t="shared" si="1"/>
        <v>INSERT INTO tblDayAttendanceLog VALUES (seqDayAttendanceLog.nextval, 81, TO_DATE('2025-08-05', 'YYYY-MM-DD'), TO_DATE('2025-08-05 08:20:00', 'YYYY-MM-DD HH24:MI:SS'), TO_DATE('2025-08-05 17:54:00', 'YYYY-MM-DD HH24:MI:SS'));</v>
      </c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</row>
    <row r="419">
      <c r="A419" s="25" t="s">
        <v>206</v>
      </c>
      <c r="B419" s="26">
        <v>82.0</v>
      </c>
      <c r="C419" s="27">
        <v>45874.0</v>
      </c>
      <c r="D419" s="28">
        <v>45874.38958333333</v>
      </c>
      <c r="E419" s="28">
        <v>45874.74930555555</v>
      </c>
      <c r="F419" s="21" t="s">
        <v>189</v>
      </c>
      <c r="G419" s="23"/>
      <c r="H419" s="23" t="str">
        <f t="shared" si="1"/>
        <v>INSERT INTO tblDayAttendanceLog VALUES (seqDayAttendanceLog.nextval, 82, TO_DATE('2025-08-05', 'YYYY-MM-DD'), TO_DATE('2025-08-05 09:21:00', 'YYYY-MM-DD HH24:MI:SS'), TO_DATE('2025-08-05 17:59:00', 'YYYY-MM-DD HH24:MI:SS'));</v>
      </c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</row>
    <row r="420">
      <c r="A420" s="25" t="s">
        <v>206</v>
      </c>
      <c r="B420" s="26">
        <v>83.0</v>
      </c>
      <c r="C420" s="27">
        <v>45874.0</v>
      </c>
      <c r="D420" s="28">
        <v>45874.34583333333</v>
      </c>
      <c r="E420" s="28">
        <v>45874.74722222222</v>
      </c>
      <c r="F420" s="21" t="s">
        <v>184</v>
      </c>
      <c r="G420" s="23"/>
      <c r="H420" s="23" t="str">
        <f t="shared" si="1"/>
        <v>INSERT INTO tblDayAttendanceLog VALUES (seqDayAttendanceLog.nextval, 83, TO_DATE('2025-08-05', 'YYYY-MM-DD'), TO_DATE('2025-08-05 08:18:00', 'YYYY-MM-DD HH24:MI:SS'), TO_DATE('2025-08-05 17:56:00', 'YYYY-MM-DD HH24:MI:SS'));</v>
      </c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</row>
    <row r="421">
      <c r="A421" s="25" t="s">
        <v>206</v>
      </c>
      <c r="B421" s="26">
        <v>84.0</v>
      </c>
      <c r="C421" s="27">
        <v>45874.0</v>
      </c>
      <c r="D421" s="28">
        <v>45874.36319444444</v>
      </c>
      <c r="E421" s="28">
        <v>45874.74444444444</v>
      </c>
      <c r="F421" s="21" t="s">
        <v>184</v>
      </c>
      <c r="G421" s="23"/>
      <c r="H421" s="23" t="str">
        <f t="shared" si="1"/>
        <v>INSERT INTO tblDayAttendanceLog VALUES (seqDayAttendanceLog.nextval, 84, TO_DATE('2025-08-05', 'YYYY-MM-DD'), TO_DATE('2025-08-05 08:43:00', 'YYYY-MM-DD HH24:MI:SS'), TO_DATE('2025-08-05 17:52:00', 'YYYY-MM-DD HH24:MI:SS'));</v>
      </c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</row>
    <row r="422">
      <c r="A422" s="25" t="s">
        <v>206</v>
      </c>
      <c r="B422" s="26">
        <v>85.0</v>
      </c>
      <c r="C422" s="27">
        <v>45874.0</v>
      </c>
      <c r="D422" s="28">
        <v>45874.37291666667</v>
      </c>
      <c r="E422" s="28">
        <v>45874.748611111114</v>
      </c>
      <c r="F422" s="21" t="s">
        <v>184</v>
      </c>
      <c r="G422" s="23"/>
      <c r="H422" s="23" t="str">
        <f t="shared" si="1"/>
        <v>INSERT INTO tblDayAttendanceLog VALUES (seqDayAttendanceLog.nextval, 85, TO_DATE('2025-08-05', 'YYYY-MM-DD'), TO_DATE('2025-08-05 08:57:00', 'YYYY-MM-DD HH24:MI:SS'), TO_DATE('2025-08-05 17:58:00', 'YYYY-MM-DD HH24:MI:SS'));</v>
      </c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</row>
    <row r="423">
      <c r="A423" s="25" t="s">
        <v>206</v>
      </c>
      <c r="B423" s="26">
        <v>86.0</v>
      </c>
      <c r="C423" s="27">
        <v>45874.0</v>
      </c>
      <c r="D423" s="28">
        <v>45874.37291666667</v>
      </c>
      <c r="E423" s="28">
        <v>45874.74652777778</v>
      </c>
      <c r="F423" s="21" t="s">
        <v>184</v>
      </c>
      <c r="G423" s="23"/>
      <c r="H423" s="23" t="str">
        <f t="shared" si="1"/>
        <v>INSERT INTO tblDayAttendanceLog VALUES (seqDayAttendanceLog.nextval, 86, TO_DATE('2025-08-05', 'YYYY-MM-DD'), TO_DATE('2025-08-05 08:57:00', 'YYYY-MM-DD HH24:MI:SS'), TO_DATE('2025-08-05 17:55:00', 'YYYY-MM-DD HH24:MI:SS'));</v>
      </c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</row>
    <row r="424">
      <c r="A424" s="25" t="s">
        <v>206</v>
      </c>
      <c r="B424" s="26">
        <v>87.0</v>
      </c>
      <c r="C424" s="27">
        <v>45874.0</v>
      </c>
      <c r="D424" s="28">
        <v>45874.368055555555</v>
      </c>
      <c r="E424" s="28">
        <v>45874.74652777778</v>
      </c>
      <c r="F424" s="21" t="s">
        <v>184</v>
      </c>
      <c r="G424" s="23"/>
      <c r="H424" s="23" t="str">
        <f t="shared" si="1"/>
        <v>INSERT INTO tblDayAttendanceLog VALUES (seqDayAttendanceLog.nextval, 87, TO_DATE('2025-08-05', 'YYYY-MM-DD'), TO_DATE('2025-08-05 08:50:00', 'YYYY-MM-DD HH24:MI:SS'), TO_DATE('2025-08-05 17:55:00', 'YYYY-MM-DD HH24:MI:SS'));</v>
      </c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</row>
    <row r="425">
      <c r="A425" s="25" t="s">
        <v>206</v>
      </c>
      <c r="B425" s="26">
        <v>88.0</v>
      </c>
      <c r="C425" s="27">
        <v>45874.0</v>
      </c>
      <c r="D425" s="28">
        <v>45874.34097222222</v>
      </c>
      <c r="E425" s="28">
        <v>45874.603472222225</v>
      </c>
      <c r="F425" s="21" t="s">
        <v>187</v>
      </c>
      <c r="G425" s="23"/>
      <c r="H425" s="23" t="str">
        <f t="shared" si="1"/>
        <v>INSERT INTO tblDayAttendanceLog VALUES (seqDayAttendanceLog.nextval, 88, TO_DATE('2025-08-05', 'YYYY-MM-DD'), TO_DATE('2025-08-05 08:11:00', 'YYYY-MM-DD HH24:MI:SS'), TO_DATE('2025-08-05 14:29:00', 'YYYY-MM-DD HH24:MI:SS'));</v>
      </c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</row>
    <row r="426">
      <c r="A426" s="25" t="s">
        <v>206</v>
      </c>
      <c r="B426" s="26">
        <v>89.0</v>
      </c>
      <c r="C426" s="27">
        <v>45874.0</v>
      </c>
      <c r="D426" s="28">
        <v>45874.34652777778</v>
      </c>
      <c r="E426" s="28">
        <v>45874.74375</v>
      </c>
      <c r="F426" s="21" t="s">
        <v>184</v>
      </c>
      <c r="G426" s="23"/>
      <c r="H426" s="23" t="str">
        <f t="shared" si="1"/>
        <v>INSERT INTO tblDayAttendanceLog VALUES (seqDayAttendanceLog.nextval, 89, TO_DATE('2025-08-05', 'YYYY-MM-DD'), TO_DATE('2025-08-05 08:19:00', 'YYYY-MM-DD HH24:MI:SS'), TO_DATE('2025-08-05 17:51:00', 'YYYY-MM-DD HH24:MI:SS'));</v>
      </c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</row>
    <row r="427">
      <c r="A427" s="25" t="s">
        <v>206</v>
      </c>
      <c r="B427" s="26">
        <v>90.0</v>
      </c>
      <c r="C427" s="27">
        <v>45874.0</v>
      </c>
      <c r="D427" s="28">
        <v>45874.35833333333</v>
      </c>
      <c r="E427" s="28">
        <v>45874.74444444444</v>
      </c>
      <c r="F427" s="21" t="s">
        <v>184</v>
      </c>
      <c r="G427" s="23"/>
      <c r="H427" s="23" t="str">
        <f t="shared" si="1"/>
        <v>INSERT INTO tblDayAttendanceLog VALUES (seqDayAttendanceLog.nextval, 90, TO_DATE('2025-08-05', 'YYYY-MM-DD'), TO_DATE('2025-08-05 08:36:00', 'YYYY-MM-DD HH24:MI:SS'), TO_DATE('2025-08-05 17:52:00', 'YYYY-MM-DD HH24:MI:SS'));</v>
      </c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</row>
    <row r="428">
      <c r="A428" s="25" t="s">
        <v>206</v>
      </c>
      <c r="B428" s="26">
        <v>91.0</v>
      </c>
      <c r="C428" s="27">
        <v>45874.0</v>
      </c>
      <c r="D428" s="28">
        <v>45874.41458333333</v>
      </c>
      <c r="E428" s="28">
        <v>45874.74444444444</v>
      </c>
      <c r="F428" s="21" t="s">
        <v>189</v>
      </c>
      <c r="G428" s="23"/>
      <c r="H428" s="23" t="str">
        <f t="shared" si="1"/>
        <v>INSERT INTO tblDayAttendanceLog VALUES (seqDayAttendanceLog.nextval, 91, TO_DATE('2025-08-05', 'YYYY-MM-DD'), TO_DATE('2025-08-05 09:57:00', 'YYYY-MM-DD HH24:MI:SS'), TO_DATE('2025-08-05 17:52:00', 'YYYY-MM-DD HH24:MI:SS'));</v>
      </c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</row>
    <row r="429">
      <c r="A429" s="25" t="s">
        <v>206</v>
      </c>
      <c r="B429" s="26">
        <v>92.0</v>
      </c>
      <c r="C429" s="27">
        <v>45874.0</v>
      </c>
      <c r="D429" s="28">
        <v>45874.368055555555</v>
      </c>
      <c r="E429" s="28">
        <v>45874.745833333334</v>
      </c>
      <c r="F429" s="21" t="s">
        <v>184</v>
      </c>
      <c r="G429" s="23"/>
      <c r="H429" s="23" t="str">
        <f t="shared" si="1"/>
        <v>INSERT INTO tblDayAttendanceLog VALUES (seqDayAttendanceLog.nextval, 92, TO_DATE('2025-08-05', 'YYYY-MM-DD'), TO_DATE('2025-08-05 08:50:00', 'YYYY-MM-DD HH24:MI:SS'), TO_DATE('2025-08-05 17:54:00', 'YYYY-MM-DD HH24:MI:SS'));</v>
      </c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</row>
    <row r="430">
      <c r="A430" s="25" t="s">
        <v>206</v>
      </c>
      <c r="B430" s="26">
        <v>93.0</v>
      </c>
      <c r="C430" s="27">
        <v>45874.0</v>
      </c>
      <c r="D430" s="28">
        <v>45874.34722222222</v>
      </c>
      <c r="E430" s="28">
        <v>45874.74652777778</v>
      </c>
      <c r="F430" s="21" t="s">
        <v>184</v>
      </c>
      <c r="G430" s="23"/>
      <c r="H430" s="23" t="str">
        <f t="shared" si="1"/>
        <v>INSERT INTO tblDayAttendanceLog VALUES (seqDayAttendanceLog.nextval, 93, TO_DATE('2025-08-05', 'YYYY-MM-DD'), TO_DATE('2025-08-05 08:20:00', 'YYYY-MM-DD HH24:MI:SS'), TO_DATE('2025-08-05 17:55:00', 'YYYY-MM-DD HH24:MI:SS'));</v>
      </c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</row>
    <row r="431">
      <c r="A431" s="25" t="s">
        <v>206</v>
      </c>
      <c r="B431" s="26">
        <v>94.0</v>
      </c>
      <c r="C431" s="27">
        <v>45874.0</v>
      </c>
      <c r="D431" s="28">
        <v>45874.37013888889</v>
      </c>
      <c r="E431" s="28">
        <v>45874.74444444444</v>
      </c>
      <c r="F431" s="21" t="s">
        <v>184</v>
      </c>
      <c r="G431" s="23"/>
      <c r="H431" s="23" t="str">
        <f t="shared" si="1"/>
        <v>INSERT INTO tblDayAttendanceLog VALUES (seqDayAttendanceLog.nextval, 94, TO_DATE('2025-08-05', 'YYYY-MM-DD'), TO_DATE('2025-08-05 08:53:00', 'YYYY-MM-DD HH24:MI:SS'), TO_DATE('2025-08-05 17:52:00', 'YYYY-MM-DD HH24:MI:SS'));</v>
      </c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</row>
    <row r="432">
      <c r="A432" s="25" t="s">
        <v>206</v>
      </c>
      <c r="B432" s="26">
        <v>95.0</v>
      </c>
      <c r="C432" s="27">
        <v>45874.0</v>
      </c>
      <c r="D432" s="28">
        <v>45874.37847222222</v>
      </c>
      <c r="E432" s="28">
        <v>45874.74791666667</v>
      </c>
      <c r="F432" s="21" t="s">
        <v>189</v>
      </c>
      <c r="G432" s="23"/>
      <c r="H432" s="23" t="str">
        <f t="shared" si="1"/>
        <v>INSERT INTO tblDayAttendanceLog VALUES (seqDayAttendanceLog.nextval, 95, TO_DATE('2025-08-05', 'YYYY-MM-DD'), TO_DATE('2025-08-05 09:05:00', 'YYYY-MM-DD HH24:MI:SS'), TO_DATE('2025-08-05 17:57:00', 'YYYY-MM-DD HH24:MI:SS'));</v>
      </c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</row>
    <row r="433">
      <c r="A433" s="25" t="s">
        <v>206</v>
      </c>
      <c r="B433" s="26">
        <v>96.0</v>
      </c>
      <c r="C433" s="27">
        <v>45874.0</v>
      </c>
      <c r="D433" s="28">
        <v>45874.41388888889</v>
      </c>
      <c r="E433" s="28">
        <v>45874.74791666667</v>
      </c>
      <c r="F433" s="21" t="s">
        <v>189</v>
      </c>
      <c r="G433" s="23"/>
      <c r="H433" s="23" t="str">
        <f t="shared" si="1"/>
        <v>INSERT INTO tblDayAttendanceLog VALUES (seqDayAttendanceLog.nextval, 96, TO_DATE('2025-08-05', 'YYYY-MM-DD'), TO_DATE('2025-08-05 09:56:00', 'YYYY-MM-DD HH24:MI:SS'), TO_DATE('2025-08-05 17:57:00', 'YYYY-MM-DD HH24:MI:SS'));</v>
      </c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</row>
    <row r="434">
      <c r="A434" s="25" t="s">
        <v>206</v>
      </c>
      <c r="B434" s="26">
        <v>97.0</v>
      </c>
      <c r="C434" s="27">
        <v>45874.0</v>
      </c>
      <c r="D434" s="28">
        <v>45874.34652777778</v>
      </c>
      <c r="E434" s="28">
        <v>45874.743055555555</v>
      </c>
      <c r="F434" s="21" t="s">
        <v>184</v>
      </c>
      <c r="G434" s="23"/>
      <c r="H434" s="23" t="str">
        <f t="shared" si="1"/>
        <v>INSERT INTO tblDayAttendanceLog VALUES (seqDayAttendanceLog.nextval, 97, TO_DATE('2025-08-05', 'YYYY-MM-DD'), TO_DATE('2025-08-05 08:19:00', 'YYYY-MM-DD HH24:MI:SS'), TO_DATE('2025-08-05 17:50:00', 'YYYY-MM-DD HH24:MI:SS'));</v>
      </c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</row>
    <row r="435">
      <c r="A435" s="25" t="s">
        <v>206</v>
      </c>
      <c r="B435" s="26">
        <v>98.0</v>
      </c>
      <c r="C435" s="27">
        <v>45874.0</v>
      </c>
      <c r="D435" s="28">
        <v>45874.4125</v>
      </c>
      <c r="E435" s="28">
        <v>45874.74722222222</v>
      </c>
      <c r="F435" s="21" t="s">
        <v>189</v>
      </c>
      <c r="G435" s="23"/>
      <c r="H435" s="23" t="str">
        <f t="shared" si="1"/>
        <v>INSERT INTO tblDayAttendanceLog VALUES (seqDayAttendanceLog.nextval, 98, TO_DATE('2025-08-05', 'YYYY-MM-DD'), TO_DATE('2025-08-05 09:54:00', 'YYYY-MM-DD HH24:MI:SS'), TO_DATE('2025-08-05 17:56:00', 'YYYY-MM-DD HH24:MI:SS'));</v>
      </c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</row>
    <row r="436">
      <c r="A436" s="25" t="s">
        <v>206</v>
      </c>
      <c r="B436" s="26">
        <v>99.0</v>
      </c>
      <c r="C436" s="27">
        <v>45874.0</v>
      </c>
      <c r="D436" s="28">
        <v>45874.35763888889</v>
      </c>
      <c r="E436" s="28">
        <v>45874.74722222222</v>
      </c>
      <c r="F436" s="21" t="s">
        <v>184</v>
      </c>
      <c r="G436" s="23"/>
      <c r="H436" s="23" t="str">
        <f t="shared" si="1"/>
        <v>INSERT INTO tblDayAttendanceLog VALUES (seqDayAttendanceLog.nextval, 99, TO_DATE('2025-08-05', 'YYYY-MM-DD'), TO_DATE('2025-08-05 08:35:00', 'YYYY-MM-DD HH24:MI:SS'), TO_DATE('2025-08-05 17:56:00', 'YYYY-MM-DD HH24:MI:SS'));</v>
      </c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</row>
    <row r="437">
      <c r="A437" s="25" t="s">
        <v>206</v>
      </c>
      <c r="B437" s="26">
        <v>100.0</v>
      </c>
      <c r="C437" s="27">
        <v>45874.0</v>
      </c>
      <c r="D437" s="28">
        <v>45874.39236111111</v>
      </c>
      <c r="E437" s="28">
        <v>45874.74375</v>
      </c>
      <c r="F437" s="21" t="s">
        <v>189</v>
      </c>
      <c r="G437" s="23"/>
      <c r="H437" s="23" t="str">
        <f t="shared" si="1"/>
        <v>INSERT INTO tblDayAttendanceLog VALUES (seqDayAttendanceLog.nextval, 100, TO_DATE('2025-08-05', 'YYYY-MM-DD'), TO_DATE('2025-08-05 09:25:00', 'YYYY-MM-DD HH24:MI:SS'), TO_DATE('2025-08-05 17:51:00', 'YYYY-MM-DD HH24:MI:SS'));</v>
      </c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</row>
    <row r="438">
      <c r="A438" s="25" t="s">
        <v>206</v>
      </c>
      <c r="B438" s="26">
        <v>101.0</v>
      </c>
      <c r="C438" s="27">
        <v>45874.0</v>
      </c>
      <c r="D438" s="28">
        <v>45874.38680555556</v>
      </c>
      <c r="E438" s="28">
        <v>45874.74444444444</v>
      </c>
      <c r="F438" s="21" t="s">
        <v>189</v>
      </c>
      <c r="G438" s="23"/>
      <c r="H438" s="23" t="str">
        <f t="shared" si="1"/>
        <v>INSERT INTO tblDayAttendanceLog VALUES (seqDayAttendanceLog.nextval, 101, TO_DATE('2025-08-05', 'YYYY-MM-DD'), TO_DATE('2025-08-05 09:17:00', 'YYYY-MM-DD HH24:MI:SS'), TO_DATE('2025-08-05 17:52:00', 'YYYY-MM-DD HH24:MI:SS'));</v>
      </c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</row>
    <row r="439">
      <c r="A439" s="25" t="s">
        <v>206</v>
      </c>
      <c r="B439" s="26">
        <v>102.0</v>
      </c>
      <c r="C439" s="27">
        <v>45874.0</v>
      </c>
      <c r="D439" s="28">
        <v>45874.365277777775</v>
      </c>
      <c r="E439" s="28">
        <v>45874.74513888889</v>
      </c>
      <c r="F439" s="21" t="s">
        <v>184</v>
      </c>
      <c r="G439" s="23"/>
      <c r="H439" s="23" t="str">
        <f t="shared" si="1"/>
        <v>INSERT INTO tblDayAttendanceLog VALUES (seqDayAttendanceLog.nextval, 102, TO_DATE('2025-08-05', 'YYYY-MM-DD'), TO_DATE('2025-08-05 08:46:00', 'YYYY-MM-DD HH24:MI:SS'), TO_DATE('2025-08-05 17:53:00', 'YYYY-MM-DD HH24:MI:SS'));</v>
      </c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</row>
    <row r="440">
      <c r="A440" s="25" t="s">
        <v>206</v>
      </c>
      <c r="B440" s="26">
        <v>103.0</v>
      </c>
      <c r="C440" s="27">
        <v>45874.0</v>
      </c>
      <c r="D440" s="29"/>
      <c r="E440" s="29"/>
      <c r="F440" s="21" t="s">
        <v>186</v>
      </c>
      <c r="G440" s="23"/>
      <c r="H440" s="23" t="str">
        <f t="shared" si="1"/>
        <v>INSERT INTO tblDayAttendanceLog VALUES (seqDayAttendanceLog.nextval, 103, TO_DATE('2025-08-05', 'YYYY-MM-DD'), NULL, NULL);</v>
      </c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</row>
    <row r="441">
      <c r="A441" s="25" t="s">
        <v>206</v>
      </c>
      <c r="B441" s="26">
        <v>104.0</v>
      </c>
      <c r="C441" s="27">
        <v>45874.0</v>
      </c>
      <c r="D441" s="28">
        <v>45874.354166666664</v>
      </c>
      <c r="E441" s="28">
        <v>45874.74652777778</v>
      </c>
      <c r="F441" s="21" t="s">
        <v>184</v>
      </c>
      <c r="G441" s="23"/>
      <c r="H441" s="23" t="str">
        <f t="shared" si="1"/>
        <v>INSERT INTO tblDayAttendanceLog VALUES (seqDayAttendanceLog.nextval, 104, TO_DATE('2025-08-05', 'YYYY-MM-DD'), TO_DATE('2025-08-05 08:30:00', 'YYYY-MM-DD HH24:MI:SS'), TO_DATE('2025-08-05 17:55:00', 'YYYY-MM-DD HH24:MI:SS'));</v>
      </c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</row>
    <row r="442">
      <c r="A442" s="25" t="s">
        <v>206</v>
      </c>
      <c r="B442" s="26">
        <v>105.0</v>
      </c>
      <c r="C442" s="27">
        <v>45874.0</v>
      </c>
      <c r="D442" s="28">
        <v>45874.4</v>
      </c>
      <c r="E442" s="28">
        <v>45874.748611111114</v>
      </c>
      <c r="F442" s="21" t="s">
        <v>189</v>
      </c>
      <c r="G442" s="23"/>
      <c r="H442" s="23" t="str">
        <f t="shared" si="1"/>
        <v>INSERT INTO tblDayAttendanceLog VALUES (seqDayAttendanceLog.nextval, 105, TO_DATE('2025-08-05', 'YYYY-MM-DD'), TO_DATE('2025-08-05 09:36:00', 'YYYY-MM-DD HH24:MI:SS'), TO_DATE('2025-08-05 17:58:00', 'YYYY-MM-DD HH24:MI:SS'));</v>
      </c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</row>
    <row r="443">
      <c r="A443" s="25" t="s">
        <v>206</v>
      </c>
      <c r="B443" s="26">
        <v>106.0</v>
      </c>
      <c r="C443" s="27">
        <v>45874.0</v>
      </c>
      <c r="D443" s="28">
        <v>45874.34861111111</v>
      </c>
      <c r="E443" s="28">
        <v>45874.745833333334</v>
      </c>
      <c r="F443" s="21" t="s">
        <v>184</v>
      </c>
      <c r="G443" s="23"/>
      <c r="H443" s="23" t="str">
        <f t="shared" si="1"/>
        <v>INSERT INTO tblDayAttendanceLog VALUES (seqDayAttendanceLog.nextval, 106, TO_DATE('2025-08-05', 'YYYY-MM-DD'), TO_DATE('2025-08-05 08:22:00', 'YYYY-MM-DD HH24:MI:SS'), TO_DATE('2025-08-05 17:54:00', 'YYYY-MM-DD HH24:MI:SS'));</v>
      </c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</row>
    <row r="444">
      <c r="A444" s="25" t="s">
        <v>206</v>
      </c>
      <c r="B444" s="26">
        <v>107.0</v>
      </c>
      <c r="C444" s="27">
        <v>45874.0</v>
      </c>
      <c r="D444" s="28">
        <v>45874.34166666667</v>
      </c>
      <c r="E444" s="28">
        <v>45874.74722222222</v>
      </c>
      <c r="F444" s="21" t="s">
        <v>184</v>
      </c>
      <c r="G444" s="23"/>
      <c r="H444" s="23" t="str">
        <f t="shared" si="1"/>
        <v>INSERT INTO tblDayAttendanceLog VALUES (seqDayAttendanceLog.nextval, 107, TO_DATE('2025-08-05', 'YYYY-MM-DD'), TO_DATE('2025-08-05 08:12:00', 'YYYY-MM-DD HH24:MI:SS'), TO_DATE('2025-08-05 17:56:00', 'YYYY-MM-DD HH24:MI:SS'));</v>
      </c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</row>
    <row r="445">
      <c r="A445" s="25" t="s">
        <v>206</v>
      </c>
      <c r="B445" s="26">
        <v>108.0</v>
      </c>
      <c r="C445" s="27">
        <v>45874.0</v>
      </c>
      <c r="D445" s="28">
        <v>45874.393055555556</v>
      </c>
      <c r="E445" s="28">
        <v>45874.74930555555</v>
      </c>
      <c r="F445" s="21" t="s">
        <v>189</v>
      </c>
      <c r="G445" s="23"/>
      <c r="H445" s="23" t="str">
        <f t="shared" si="1"/>
        <v>INSERT INTO tblDayAttendanceLog VALUES (seqDayAttendanceLog.nextval, 108, TO_DATE('2025-08-05', 'YYYY-MM-DD'), TO_DATE('2025-08-05 09:26:00', 'YYYY-MM-DD HH24:MI:SS'), TO_DATE('2025-08-05 17:59:00', 'YYYY-MM-DD HH24:MI:SS'));</v>
      </c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</row>
    <row r="446">
      <c r="A446" s="25" t="s">
        <v>206</v>
      </c>
      <c r="B446" s="26">
        <v>109.0</v>
      </c>
      <c r="C446" s="27">
        <v>45874.0</v>
      </c>
      <c r="D446" s="28">
        <v>45874.39236111111</v>
      </c>
      <c r="E446" s="28">
        <v>45874.748611111114</v>
      </c>
      <c r="F446" s="21" t="s">
        <v>189</v>
      </c>
      <c r="G446" s="23"/>
      <c r="H446" s="23" t="str">
        <f t="shared" si="1"/>
        <v>INSERT INTO tblDayAttendanceLog VALUES (seqDayAttendanceLog.nextval, 109, TO_DATE('2025-08-05', 'YYYY-MM-DD'), TO_DATE('2025-08-05 09:25:00', 'YYYY-MM-DD HH24:MI:SS'), TO_DATE('2025-08-05 17:58:00', 'YYYY-MM-DD HH24:MI:SS'));</v>
      </c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</row>
    <row r="447">
      <c r="A447" s="25" t="s">
        <v>206</v>
      </c>
      <c r="B447" s="26">
        <v>110.0</v>
      </c>
      <c r="C447" s="27">
        <v>45874.0</v>
      </c>
      <c r="D447" s="28">
        <v>45874.34583333333</v>
      </c>
      <c r="E447" s="28">
        <v>45874.74791666667</v>
      </c>
      <c r="F447" s="21" t="s">
        <v>184</v>
      </c>
      <c r="G447" s="23"/>
      <c r="H447" s="23" t="str">
        <f t="shared" si="1"/>
        <v>INSERT INTO tblDayAttendanceLog VALUES (seqDayAttendanceLog.nextval, 110, TO_DATE('2025-08-05', 'YYYY-MM-DD'), TO_DATE('2025-08-05 08:18:00', 'YYYY-MM-DD HH24:MI:SS'), TO_DATE('2025-08-05 17:57:00', 'YYYY-MM-DD HH24:MI:SS'));</v>
      </c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</row>
    <row r="448">
      <c r="A448" s="25" t="s">
        <v>206</v>
      </c>
      <c r="B448" s="26">
        <v>111.0</v>
      </c>
      <c r="C448" s="27">
        <v>45874.0</v>
      </c>
      <c r="D448" s="28">
        <v>45874.34305555555</v>
      </c>
      <c r="E448" s="28">
        <v>45874.74652777778</v>
      </c>
      <c r="F448" s="21" t="s">
        <v>184</v>
      </c>
      <c r="G448" s="23"/>
      <c r="H448" s="23" t="str">
        <f t="shared" si="1"/>
        <v>INSERT INTO tblDayAttendanceLog VALUES (seqDayAttendanceLog.nextval, 111, TO_DATE('2025-08-05', 'YYYY-MM-DD'), TO_DATE('2025-08-05 08:14:00', 'YYYY-MM-DD HH24:MI:SS'), TO_DATE('2025-08-05 17:55:00', 'YYYY-MM-DD HH24:MI:SS'));</v>
      </c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</row>
    <row r="449">
      <c r="A449" s="25" t="s">
        <v>206</v>
      </c>
      <c r="B449" s="26">
        <v>112.0</v>
      </c>
      <c r="C449" s="27">
        <v>45874.0</v>
      </c>
      <c r="D449" s="28">
        <v>45874.3875</v>
      </c>
      <c r="E449" s="28">
        <v>45874.74513888889</v>
      </c>
      <c r="F449" s="21" t="s">
        <v>189</v>
      </c>
      <c r="G449" s="23"/>
      <c r="H449" s="23" t="str">
        <f t="shared" si="1"/>
        <v>INSERT INTO tblDayAttendanceLog VALUES (seqDayAttendanceLog.nextval, 112, TO_DATE('2025-08-05', 'YYYY-MM-DD'), TO_DATE('2025-08-05 09:18:00', 'YYYY-MM-DD HH24:MI:SS'), TO_DATE('2025-08-05 17:53:00', 'YYYY-MM-DD HH24:MI:SS'));</v>
      </c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</row>
    <row r="450">
      <c r="A450" s="25" t="s">
        <v>206</v>
      </c>
      <c r="B450" s="26">
        <v>113.0</v>
      </c>
      <c r="C450" s="27">
        <v>45874.0</v>
      </c>
      <c r="D450" s="28">
        <v>45874.38402777778</v>
      </c>
      <c r="E450" s="28">
        <v>45874.74652777778</v>
      </c>
      <c r="F450" s="21" t="s">
        <v>189</v>
      </c>
      <c r="G450" s="23"/>
      <c r="H450" s="23" t="str">
        <f t="shared" si="1"/>
        <v>INSERT INTO tblDayAttendanceLog VALUES (seqDayAttendanceLog.nextval, 113, TO_DATE('2025-08-05', 'YYYY-MM-DD'), TO_DATE('2025-08-05 09:13:00', 'YYYY-MM-DD HH24:MI:SS'), TO_DATE('2025-08-05 17:55:00', 'YYYY-MM-DD HH24:MI:SS'));</v>
      </c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</row>
    <row r="451">
      <c r="A451" s="25" t="s">
        <v>206</v>
      </c>
      <c r="B451" s="26">
        <v>114.0</v>
      </c>
      <c r="C451" s="27">
        <v>45874.0</v>
      </c>
      <c r="D451" s="28">
        <v>45874.395833333336</v>
      </c>
      <c r="E451" s="28">
        <v>45874.74375</v>
      </c>
      <c r="F451" s="21" t="s">
        <v>189</v>
      </c>
      <c r="G451" s="23"/>
      <c r="H451" s="23" t="str">
        <f t="shared" si="1"/>
        <v>INSERT INTO tblDayAttendanceLog VALUES (seqDayAttendanceLog.nextval, 114, TO_DATE('2025-08-05', 'YYYY-MM-DD'), TO_DATE('2025-08-05 09:30:00', 'YYYY-MM-DD HH24:MI:SS'), TO_DATE('2025-08-05 17:51:00', 'YYYY-MM-DD HH24:MI:SS'));</v>
      </c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</row>
    <row r="452">
      <c r="A452" s="25" t="s">
        <v>206</v>
      </c>
      <c r="B452" s="26">
        <v>115.0</v>
      </c>
      <c r="C452" s="27">
        <v>45874.0</v>
      </c>
      <c r="D452" s="28">
        <v>45874.365277777775</v>
      </c>
      <c r="E452" s="28">
        <v>45874.74652777778</v>
      </c>
      <c r="F452" s="21" t="s">
        <v>184</v>
      </c>
      <c r="G452" s="23"/>
      <c r="H452" s="23" t="str">
        <f t="shared" si="1"/>
        <v>INSERT INTO tblDayAttendanceLog VALUES (seqDayAttendanceLog.nextval, 115, TO_DATE('2025-08-05', 'YYYY-MM-DD'), TO_DATE('2025-08-05 08:46:00', 'YYYY-MM-DD HH24:MI:SS'), TO_DATE('2025-08-05 17:55:00', 'YYYY-MM-DD HH24:MI:SS'));</v>
      </c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</row>
    <row r="453">
      <c r="A453" s="25" t="s">
        <v>206</v>
      </c>
      <c r="B453" s="26">
        <v>116.0</v>
      </c>
      <c r="C453" s="27">
        <v>45874.0</v>
      </c>
      <c r="D453" s="28">
        <v>45874.361805555556</v>
      </c>
      <c r="E453" s="28">
        <v>45874.74652777778</v>
      </c>
      <c r="F453" s="21" t="s">
        <v>184</v>
      </c>
      <c r="G453" s="23"/>
      <c r="H453" s="23" t="str">
        <f t="shared" si="1"/>
        <v>INSERT INTO tblDayAttendanceLog VALUES (seqDayAttendanceLog.nextval, 116, TO_DATE('2025-08-05', 'YYYY-MM-DD'), TO_DATE('2025-08-05 08:41:00', 'YYYY-MM-DD HH24:MI:SS'), TO_DATE('2025-08-05 17:55:00', 'YYYY-MM-DD HH24:MI:SS'));</v>
      </c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</row>
    <row r="454">
      <c r="A454" s="25" t="s">
        <v>206</v>
      </c>
      <c r="B454" s="26">
        <v>117.0</v>
      </c>
      <c r="C454" s="27">
        <v>45874.0</v>
      </c>
      <c r="D454" s="29"/>
      <c r="E454" s="29"/>
      <c r="F454" s="21" t="s">
        <v>186</v>
      </c>
      <c r="G454" s="23"/>
      <c r="H454" s="23" t="str">
        <f t="shared" si="1"/>
        <v>INSERT INTO tblDayAttendanceLog VALUES (seqDayAttendanceLog.nextval, 117, TO_DATE('2025-08-05', 'YYYY-MM-DD'), NULL, NULL);</v>
      </c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</row>
    <row r="455">
      <c r="A455" s="25" t="s">
        <v>206</v>
      </c>
      <c r="B455" s="26">
        <v>118.0</v>
      </c>
      <c r="C455" s="27">
        <v>45874.0</v>
      </c>
      <c r="D455" s="28">
        <v>45874.333333333336</v>
      </c>
      <c r="E455" s="28">
        <v>45874.743055555555</v>
      </c>
      <c r="F455" s="21" t="s">
        <v>184</v>
      </c>
      <c r="G455" s="23"/>
      <c r="H455" s="23" t="str">
        <f t="shared" si="1"/>
        <v>INSERT INTO tblDayAttendanceLog VALUES (seqDayAttendanceLog.nextval, 118, TO_DATE('2025-08-05', 'YYYY-MM-DD'), TO_DATE('2025-08-05 08:00:00', 'YYYY-MM-DD HH24:MI:SS'), TO_DATE('2025-08-05 17:50:00', 'YYYY-MM-DD HH24:MI:SS'));</v>
      </c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</row>
    <row r="456">
      <c r="A456" s="25" t="s">
        <v>206</v>
      </c>
      <c r="B456" s="26">
        <v>119.0</v>
      </c>
      <c r="C456" s="27">
        <v>45874.0</v>
      </c>
      <c r="D456" s="28">
        <v>45874.34722222222</v>
      </c>
      <c r="E456" s="28">
        <v>45874.74375</v>
      </c>
      <c r="F456" s="21" t="s">
        <v>184</v>
      </c>
      <c r="G456" s="23"/>
      <c r="H456" s="23" t="str">
        <f t="shared" si="1"/>
        <v>INSERT INTO tblDayAttendanceLog VALUES (seqDayAttendanceLog.nextval, 119, TO_DATE('2025-08-05', 'YYYY-MM-DD'), TO_DATE('2025-08-05 08:20:00', 'YYYY-MM-DD HH24:MI:SS'), TO_DATE('2025-08-05 17:51:00', 'YYYY-MM-DD HH24:MI:SS'));</v>
      </c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</row>
    <row r="457">
      <c r="A457" s="25" t="s">
        <v>206</v>
      </c>
      <c r="B457" s="26">
        <v>120.0</v>
      </c>
      <c r="C457" s="27">
        <v>45874.0</v>
      </c>
      <c r="D457" s="28">
        <v>45874.36319444444</v>
      </c>
      <c r="E457" s="28">
        <v>45874.748611111114</v>
      </c>
      <c r="F457" s="21" t="s">
        <v>184</v>
      </c>
      <c r="G457" s="23"/>
      <c r="H457" s="23" t="str">
        <f t="shared" si="1"/>
        <v>INSERT INTO tblDayAttendanceLog VALUES (seqDayAttendanceLog.nextval, 120, TO_DATE('2025-08-05', 'YYYY-MM-DD'), TO_DATE('2025-08-05 08:43:00', 'YYYY-MM-DD HH24:MI:SS'), TO_DATE('2025-08-05 17:58:00', 'YYYY-MM-DD HH24:MI:SS'));</v>
      </c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</row>
    <row r="458">
      <c r="A458" s="25" t="s">
        <v>206</v>
      </c>
      <c r="B458" s="26">
        <v>121.0</v>
      </c>
      <c r="C458" s="27">
        <v>45874.0</v>
      </c>
      <c r="D458" s="28">
        <v>45874.38125</v>
      </c>
      <c r="E458" s="28">
        <v>45874.74652777778</v>
      </c>
      <c r="F458" s="21" t="s">
        <v>189</v>
      </c>
      <c r="G458" s="23"/>
      <c r="H458" s="23" t="str">
        <f t="shared" si="1"/>
        <v>INSERT INTO tblDayAttendanceLog VALUES (seqDayAttendanceLog.nextval, 121, TO_DATE('2025-08-05', 'YYYY-MM-DD'), TO_DATE('2025-08-05 09:09:00', 'YYYY-MM-DD HH24:MI:SS'), TO_DATE('2025-08-05 17:55:00', 'YYYY-MM-DD HH24:MI:SS'));</v>
      </c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</row>
    <row r="459">
      <c r="A459" s="25" t="s">
        <v>206</v>
      </c>
      <c r="B459" s="26">
        <v>122.0</v>
      </c>
      <c r="C459" s="27">
        <v>45874.0</v>
      </c>
      <c r="D459" s="28">
        <v>45874.41458333333</v>
      </c>
      <c r="E459" s="28">
        <v>45874.74791666667</v>
      </c>
      <c r="F459" s="21" t="s">
        <v>189</v>
      </c>
      <c r="G459" s="23"/>
      <c r="H459" s="23" t="str">
        <f t="shared" si="1"/>
        <v>INSERT INTO tblDayAttendanceLog VALUES (seqDayAttendanceLog.nextval, 122, TO_DATE('2025-08-05', 'YYYY-MM-DD'), TO_DATE('2025-08-05 09:57:00', 'YYYY-MM-DD HH24:MI:SS'), TO_DATE('2025-08-05 17:57:00', 'YYYY-MM-DD HH24:MI:SS'));</v>
      </c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</row>
    <row r="460">
      <c r="A460" s="25" t="s">
        <v>206</v>
      </c>
      <c r="B460" s="26">
        <v>123.0</v>
      </c>
      <c r="C460" s="27">
        <v>45874.0</v>
      </c>
      <c r="D460" s="28">
        <v>45874.34305555555</v>
      </c>
      <c r="E460" s="28">
        <v>45874.74722222222</v>
      </c>
      <c r="F460" s="21" t="s">
        <v>184</v>
      </c>
      <c r="G460" s="23"/>
      <c r="H460" s="23" t="str">
        <f t="shared" si="1"/>
        <v>INSERT INTO tblDayAttendanceLog VALUES (seqDayAttendanceLog.nextval, 123, TO_DATE('2025-08-05', 'YYYY-MM-DD'), TO_DATE('2025-08-05 08:14:00', 'YYYY-MM-DD HH24:MI:SS'), TO_DATE('2025-08-05 17:56:00', 'YYYY-MM-DD HH24:MI:SS'));</v>
      </c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</row>
    <row r="461">
      <c r="A461" s="25" t="s">
        <v>206</v>
      </c>
      <c r="B461" s="26">
        <v>124.0</v>
      </c>
      <c r="C461" s="27">
        <v>45874.0</v>
      </c>
      <c r="D461" s="28">
        <v>45874.385416666664</v>
      </c>
      <c r="E461" s="28">
        <v>45874.745833333334</v>
      </c>
      <c r="F461" s="21" t="s">
        <v>189</v>
      </c>
      <c r="G461" s="23"/>
      <c r="H461" s="23" t="str">
        <f t="shared" si="1"/>
        <v>INSERT INTO tblDayAttendanceLog VALUES (seqDayAttendanceLog.nextval, 124, TO_DATE('2025-08-05', 'YYYY-MM-DD'), TO_DATE('2025-08-05 09:15:00', 'YYYY-MM-DD HH24:MI:SS'), TO_DATE('2025-08-05 17:54:00', 'YYYY-MM-DD HH24:MI:SS'));</v>
      </c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</row>
    <row r="462">
      <c r="A462" s="25" t="s">
        <v>206</v>
      </c>
      <c r="B462" s="26">
        <v>125.0</v>
      </c>
      <c r="C462" s="27">
        <v>45874.0</v>
      </c>
      <c r="D462" s="28">
        <v>45874.40833333333</v>
      </c>
      <c r="E462" s="28">
        <v>45874.74652777778</v>
      </c>
      <c r="F462" s="21" t="s">
        <v>189</v>
      </c>
      <c r="G462" s="23"/>
      <c r="H462" s="23" t="str">
        <f t="shared" si="1"/>
        <v>INSERT INTO tblDayAttendanceLog VALUES (seqDayAttendanceLog.nextval, 125, TO_DATE('2025-08-05', 'YYYY-MM-DD'), TO_DATE('2025-08-05 09:48:00', 'YYYY-MM-DD HH24:MI:SS'), TO_DATE('2025-08-05 17:55:00', 'YYYY-MM-DD HH24:MI:SS'));</v>
      </c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</row>
    <row r="463">
      <c r="A463" s="25" t="s">
        <v>206</v>
      </c>
      <c r="B463" s="26">
        <v>126.0</v>
      </c>
      <c r="C463" s="27">
        <v>45874.0</v>
      </c>
      <c r="D463" s="28">
        <v>45874.40972222222</v>
      </c>
      <c r="E463" s="28">
        <v>45874.74513888889</v>
      </c>
      <c r="F463" s="21" t="s">
        <v>189</v>
      </c>
      <c r="G463" s="23"/>
      <c r="H463" s="23" t="str">
        <f t="shared" si="1"/>
        <v>INSERT INTO tblDayAttendanceLog VALUES (seqDayAttendanceLog.nextval, 126, TO_DATE('2025-08-05', 'YYYY-MM-DD'), TO_DATE('2025-08-05 09:50:00', 'YYYY-MM-DD HH24:MI:SS'), TO_DATE('2025-08-05 17:53:00', 'YYYY-MM-DD HH24:MI:SS'));</v>
      </c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</row>
    <row r="464">
      <c r="A464" s="25" t="s">
        <v>206</v>
      </c>
      <c r="B464" s="26">
        <v>127.0</v>
      </c>
      <c r="C464" s="27">
        <v>45874.0</v>
      </c>
      <c r="D464" s="28">
        <v>45874.33541666667</v>
      </c>
      <c r="E464" s="28">
        <v>45874.748611111114</v>
      </c>
      <c r="F464" s="21" t="s">
        <v>184</v>
      </c>
      <c r="G464" s="23"/>
      <c r="H464" s="23" t="str">
        <f t="shared" si="1"/>
        <v>INSERT INTO tblDayAttendanceLog VALUES (seqDayAttendanceLog.nextval, 127, TO_DATE('2025-08-05', 'YYYY-MM-DD'), TO_DATE('2025-08-05 08:03:00', 'YYYY-MM-DD HH24:MI:SS'), TO_DATE('2025-08-05 17:58:00', 'YYYY-MM-DD HH24:MI:SS'));</v>
      </c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</row>
    <row r="465">
      <c r="A465" s="25" t="s">
        <v>206</v>
      </c>
      <c r="B465" s="26">
        <v>128.0</v>
      </c>
      <c r="C465" s="27">
        <v>45874.0</v>
      </c>
      <c r="D465" s="28">
        <v>45874.34097222222</v>
      </c>
      <c r="E465" s="28">
        <v>45874.74722222222</v>
      </c>
      <c r="F465" s="21" t="s">
        <v>184</v>
      </c>
      <c r="G465" s="23"/>
      <c r="H465" s="23" t="str">
        <f t="shared" si="1"/>
        <v>INSERT INTO tblDayAttendanceLog VALUES (seqDayAttendanceLog.nextval, 128, TO_DATE('2025-08-05', 'YYYY-MM-DD'), TO_DATE('2025-08-05 08:11:00', 'YYYY-MM-DD HH24:MI:SS'), TO_DATE('2025-08-05 17:56:00', 'YYYY-MM-DD HH24:MI:SS'));</v>
      </c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</row>
    <row r="466">
      <c r="A466" s="25" t="s">
        <v>206</v>
      </c>
      <c r="B466" s="26">
        <v>129.0</v>
      </c>
      <c r="C466" s="27">
        <v>45874.0</v>
      </c>
      <c r="D466" s="28">
        <v>45874.38055555556</v>
      </c>
      <c r="E466" s="28">
        <v>45874.74722222222</v>
      </c>
      <c r="F466" s="21" t="s">
        <v>189</v>
      </c>
      <c r="G466" s="23"/>
      <c r="H466" s="23" t="str">
        <f t="shared" si="1"/>
        <v>INSERT INTO tblDayAttendanceLog VALUES (seqDayAttendanceLog.nextval, 129, TO_DATE('2025-08-05', 'YYYY-MM-DD'), TO_DATE('2025-08-05 09:08:00', 'YYYY-MM-DD HH24:MI:SS'), TO_DATE('2025-08-05 17:56:00', 'YYYY-MM-DD HH24:MI:SS'));</v>
      </c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</row>
    <row r="467">
      <c r="A467" s="25" t="s">
        <v>206</v>
      </c>
      <c r="B467" s="26">
        <v>130.0</v>
      </c>
      <c r="C467" s="27">
        <v>45874.0</v>
      </c>
      <c r="D467" s="28">
        <v>45874.41458333333</v>
      </c>
      <c r="E467" s="28">
        <v>45874.74444444444</v>
      </c>
      <c r="F467" s="21" t="s">
        <v>189</v>
      </c>
      <c r="G467" s="23"/>
      <c r="H467" s="23" t="str">
        <f t="shared" si="1"/>
        <v>INSERT INTO tblDayAttendanceLog VALUES (seqDayAttendanceLog.nextval, 130, TO_DATE('2025-08-05', 'YYYY-MM-DD'), TO_DATE('2025-08-05 09:57:00', 'YYYY-MM-DD HH24:MI:SS'), TO_DATE('2025-08-05 17:52:00', 'YYYY-MM-DD HH24:MI:SS'));</v>
      </c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</row>
    <row r="468">
      <c r="A468" s="25" t="s">
        <v>206</v>
      </c>
      <c r="B468" s="26">
        <v>131.0</v>
      </c>
      <c r="C468" s="27">
        <v>45874.0</v>
      </c>
      <c r="D468" s="28">
        <v>45874.41458333333</v>
      </c>
      <c r="E468" s="28">
        <v>45874.74722222222</v>
      </c>
      <c r="F468" s="21" t="s">
        <v>189</v>
      </c>
      <c r="G468" s="23"/>
      <c r="H468" s="23" t="str">
        <f t="shared" si="1"/>
        <v>INSERT INTO tblDayAttendanceLog VALUES (seqDayAttendanceLog.nextval, 131, TO_DATE('2025-08-05', 'YYYY-MM-DD'), TO_DATE('2025-08-05 09:57:00', 'YYYY-MM-DD HH24:MI:SS'), TO_DATE('2025-08-05 17:56:00', 'YYYY-MM-DD HH24:MI:SS'));</v>
      </c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</row>
    <row r="469">
      <c r="A469" s="25" t="s">
        <v>206</v>
      </c>
      <c r="B469" s="26">
        <v>132.0</v>
      </c>
      <c r="C469" s="27">
        <v>45874.0</v>
      </c>
      <c r="D469" s="28">
        <v>45874.36597222222</v>
      </c>
      <c r="E469" s="28">
        <v>45874.74513888889</v>
      </c>
      <c r="F469" s="21" t="s">
        <v>184</v>
      </c>
      <c r="G469" s="23"/>
      <c r="H469" s="23" t="str">
        <f t="shared" si="1"/>
        <v>INSERT INTO tblDayAttendanceLog VALUES (seqDayAttendanceLog.nextval, 132, TO_DATE('2025-08-05', 'YYYY-MM-DD'), TO_DATE('2025-08-05 08:47:00', 'YYYY-MM-DD HH24:MI:SS'), TO_DATE('2025-08-05 17:53:00', 'YYYY-MM-DD HH24:MI:SS'));</v>
      </c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</row>
    <row r="470">
      <c r="A470" s="25" t="s">
        <v>206</v>
      </c>
      <c r="B470" s="26">
        <v>133.0</v>
      </c>
      <c r="C470" s="27">
        <v>45874.0</v>
      </c>
      <c r="D470" s="28">
        <v>45874.34166666667</v>
      </c>
      <c r="E470" s="28">
        <v>45874.74652777778</v>
      </c>
      <c r="F470" s="21" t="s">
        <v>184</v>
      </c>
      <c r="G470" s="23"/>
      <c r="H470" s="23" t="str">
        <f t="shared" si="1"/>
        <v>INSERT INTO tblDayAttendanceLog VALUES (seqDayAttendanceLog.nextval, 133, TO_DATE('2025-08-05', 'YYYY-MM-DD'), TO_DATE('2025-08-05 08:12:00', 'YYYY-MM-DD HH24:MI:SS'), TO_DATE('2025-08-05 17:55:00', 'YYYY-MM-DD HH24:MI:SS'));</v>
      </c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</row>
    <row r="471">
      <c r="A471" s="25" t="s">
        <v>206</v>
      </c>
      <c r="B471" s="26">
        <v>134.0</v>
      </c>
      <c r="C471" s="27">
        <v>45874.0</v>
      </c>
      <c r="D471" s="28">
        <v>45874.36736111111</v>
      </c>
      <c r="E471" s="28">
        <v>45874.74652777778</v>
      </c>
      <c r="F471" s="21" t="s">
        <v>184</v>
      </c>
      <c r="G471" s="23"/>
      <c r="H471" s="23" t="str">
        <f t="shared" si="1"/>
        <v>INSERT INTO tblDayAttendanceLog VALUES (seqDayAttendanceLog.nextval, 134, TO_DATE('2025-08-05', 'YYYY-MM-DD'), TO_DATE('2025-08-05 08:49:00', 'YYYY-MM-DD HH24:MI:SS'), TO_DATE('2025-08-05 17:55:00', 'YYYY-MM-DD HH24:MI:SS'));</v>
      </c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</row>
    <row r="472">
      <c r="A472" s="25" t="s">
        <v>206</v>
      </c>
      <c r="B472" s="26">
        <v>135.0</v>
      </c>
      <c r="C472" s="27">
        <v>45874.0</v>
      </c>
      <c r="D472" s="28">
        <v>45874.35902777778</v>
      </c>
      <c r="E472" s="28">
        <v>45874.74652777778</v>
      </c>
      <c r="F472" s="21" t="s">
        <v>184</v>
      </c>
      <c r="G472" s="23"/>
      <c r="H472" s="23" t="str">
        <f t="shared" si="1"/>
        <v>INSERT INTO tblDayAttendanceLog VALUES (seqDayAttendanceLog.nextval, 135, TO_DATE('2025-08-05', 'YYYY-MM-DD'), TO_DATE('2025-08-05 08:37:00', 'YYYY-MM-DD HH24:MI:SS'), TO_DATE('2025-08-05 17:55:00', 'YYYY-MM-DD HH24:MI:SS'));</v>
      </c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</row>
    <row r="473">
      <c r="A473" s="25" t="s">
        <v>206</v>
      </c>
      <c r="B473" s="26">
        <v>136.0</v>
      </c>
      <c r="C473" s="27">
        <v>45874.0</v>
      </c>
      <c r="D473" s="28">
        <v>45874.39097222222</v>
      </c>
      <c r="E473" s="28">
        <v>45874.74444444444</v>
      </c>
      <c r="F473" s="21" t="s">
        <v>189</v>
      </c>
      <c r="G473" s="23"/>
      <c r="H473" s="23" t="str">
        <f t="shared" si="1"/>
        <v>INSERT INTO tblDayAttendanceLog VALUES (seqDayAttendanceLog.nextval, 136, TO_DATE('2025-08-05', 'YYYY-MM-DD'), TO_DATE('2025-08-05 09:23:00', 'YYYY-MM-DD HH24:MI:SS'), TO_DATE('2025-08-05 17:52:00', 'YYYY-MM-DD HH24:MI:SS'));</v>
      </c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</row>
    <row r="474">
      <c r="A474" s="25" t="s">
        <v>206</v>
      </c>
      <c r="B474" s="26">
        <v>137.0</v>
      </c>
      <c r="C474" s="27">
        <v>45874.0</v>
      </c>
      <c r="D474" s="28">
        <v>45874.342361111114</v>
      </c>
      <c r="E474" s="28">
        <v>45874.743055555555</v>
      </c>
      <c r="F474" s="21" t="s">
        <v>184</v>
      </c>
      <c r="G474" s="23"/>
      <c r="H474" s="23" t="str">
        <f t="shared" si="1"/>
        <v>INSERT INTO tblDayAttendanceLog VALUES (seqDayAttendanceLog.nextval, 137, TO_DATE('2025-08-05', 'YYYY-MM-DD'), TO_DATE('2025-08-05 08:13:00', 'YYYY-MM-DD HH24:MI:SS'), TO_DATE('2025-08-05 17:50:00', 'YYYY-MM-DD HH24:MI:SS'));</v>
      </c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</row>
    <row r="475">
      <c r="A475" s="25" t="s">
        <v>206</v>
      </c>
      <c r="B475" s="26">
        <v>138.0</v>
      </c>
      <c r="C475" s="27">
        <v>45874.0</v>
      </c>
      <c r="D475" s="28">
        <v>45874.37152777778</v>
      </c>
      <c r="E475" s="28">
        <v>45874.743055555555</v>
      </c>
      <c r="F475" s="21" t="s">
        <v>184</v>
      </c>
      <c r="G475" s="23"/>
      <c r="H475" s="23" t="str">
        <f t="shared" si="1"/>
        <v>INSERT INTO tblDayAttendanceLog VALUES (seqDayAttendanceLog.nextval, 138, TO_DATE('2025-08-05', 'YYYY-MM-DD'), TO_DATE('2025-08-05 08:55:00', 'YYYY-MM-DD HH24:MI:SS'), TO_DATE('2025-08-05 17:50:00', 'YYYY-MM-DD HH24:MI:SS'));</v>
      </c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</row>
    <row r="476">
      <c r="A476" s="25" t="s">
        <v>206</v>
      </c>
      <c r="B476" s="26">
        <v>139.0</v>
      </c>
      <c r="C476" s="27">
        <v>45874.0</v>
      </c>
      <c r="D476" s="28">
        <v>45874.40069444444</v>
      </c>
      <c r="E476" s="28">
        <v>45874.74930555555</v>
      </c>
      <c r="F476" s="21" t="s">
        <v>189</v>
      </c>
      <c r="G476" s="23"/>
      <c r="H476" s="23" t="str">
        <f t="shared" si="1"/>
        <v>INSERT INTO tblDayAttendanceLog VALUES (seqDayAttendanceLog.nextval, 139, TO_DATE('2025-08-05', 'YYYY-MM-DD'), TO_DATE('2025-08-05 09:37:00', 'YYYY-MM-DD HH24:MI:SS'), TO_DATE('2025-08-05 17:59:00', 'YYYY-MM-DD HH24:MI:SS'));</v>
      </c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</row>
    <row r="477">
      <c r="A477" s="25" t="s">
        <v>206</v>
      </c>
      <c r="B477" s="26">
        <v>140.0</v>
      </c>
      <c r="C477" s="27">
        <v>45874.0</v>
      </c>
      <c r="D477" s="28">
        <v>45874.34861111111</v>
      </c>
      <c r="E477" s="28">
        <v>45874.74375</v>
      </c>
      <c r="F477" s="21" t="s">
        <v>184</v>
      </c>
      <c r="G477" s="23"/>
      <c r="H477" s="23" t="str">
        <f t="shared" si="1"/>
        <v>INSERT INTO tblDayAttendanceLog VALUES (seqDayAttendanceLog.nextval, 140, TO_DATE('2025-08-05', 'YYYY-MM-DD'), TO_DATE('2025-08-05 08:22:00', 'YYYY-MM-DD HH24:MI:SS'), TO_DATE('2025-08-05 17:51:00', 'YYYY-MM-DD HH24:MI:SS'));</v>
      </c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</row>
    <row r="478">
      <c r="A478" s="25" t="s">
        <v>206</v>
      </c>
      <c r="B478" s="26">
        <v>141.0</v>
      </c>
      <c r="C478" s="27">
        <v>45874.0</v>
      </c>
      <c r="D478" s="28">
        <v>45874.38125</v>
      </c>
      <c r="E478" s="28">
        <v>45874.745833333334</v>
      </c>
      <c r="F478" s="21" t="s">
        <v>189</v>
      </c>
      <c r="G478" s="23"/>
      <c r="H478" s="23" t="str">
        <f t="shared" si="1"/>
        <v>INSERT INTO tblDayAttendanceLog VALUES (seqDayAttendanceLog.nextval, 141, TO_DATE('2025-08-05', 'YYYY-MM-DD'), TO_DATE('2025-08-05 09:09:00', 'YYYY-MM-DD HH24:MI:SS'), TO_DATE('2025-08-05 17:54:00', 'YYYY-MM-DD HH24:MI:SS'));</v>
      </c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</row>
    <row r="479">
      <c r="A479" s="25" t="s">
        <v>206</v>
      </c>
      <c r="B479" s="26">
        <v>142.0</v>
      </c>
      <c r="C479" s="27">
        <v>45874.0</v>
      </c>
      <c r="D479" s="28">
        <v>45874.37569444445</v>
      </c>
      <c r="E479" s="28">
        <v>45874.74652777778</v>
      </c>
      <c r="F479" s="21" t="s">
        <v>189</v>
      </c>
      <c r="G479" s="23"/>
      <c r="H479" s="23" t="str">
        <f t="shared" si="1"/>
        <v>INSERT INTO tblDayAttendanceLog VALUES (seqDayAttendanceLog.nextval, 142, TO_DATE('2025-08-05', 'YYYY-MM-DD'), TO_DATE('2025-08-05 09:01:00', 'YYYY-MM-DD HH24:MI:SS'), TO_DATE('2025-08-05 17:55:00', 'YYYY-MM-DD HH24:MI:SS'));</v>
      </c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</row>
    <row r="480">
      <c r="A480" s="25" t="s">
        <v>206</v>
      </c>
      <c r="B480" s="26">
        <v>143.0</v>
      </c>
      <c r="C480" s="27">
        <v>45874.0</v>
      </c>
      <c r="D480" s="28">
        <v>45874.399305555555</v>
      </c>
      <c r="E480" s="28">
        <v>45874.74375</v>
      </c>
      <c r="F480" s="21" t="s">
        <v>189</v>
      </c>
      <c r="G480" s="23"/>
      <c r="H480" s="23" t="str">
        <f t="shared" si="1"/>
        <v>INSERT INTO tblDayAttendanceLog VALUES (seqDayAttendanceLog.nextval, 143, TO_DATE('2025-08-05', 'YYYY-MM-DD'), TO_DATE('2025-08-05 09:35:00', 'YYYY-MM-DD HH24:MI:SS'), TO_DATE('2025-08-05 17:51:00', 'YYYY-MM-DD HH24:MI:SS'));</v>
      </c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</row>
    <row r="481">
      <c r="A481" s="25" t="s">
        <v>206</v>
      </c>
      <c r="B481" s="26">
        <v>144.0</v>
      </c>
      <c r="C481" s="27">
        <v>45874.0</v>
      </c>
      <c r="D481" s="28">
        <v>45874.39375</v>
      </c>
      <c r="E481" s="28">
        <v>45874.74513888889</v>
      </c>
      <c r="F481" s="21" t="s">
        <v>189</v>
      </c>
      <c r="G481" s="23"/>
      <c r="H481" s="23" t="str">
        <f t="shared" si="1"/>
        <v>INSERT INTO tblDayAttendanceLog VALUES (seqDayAttendanceLog.nextval, 144, TO_DATE('2025-08-05', 'YYYY-MM-DD'), TO_DATE('2025-08-05 09:27:00', 'YYYY-MM-DD HH24:MI:SS'), TO_DATE('2025-08-05 17:53:00', 'YYYY-MM-DD HH24:MI:SS'));</v>
      </c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</row>
    <row r="482">
      <c r="A482" s="25" t="s">
        <v>206</v>
      </c>
      <c r="B482" s="26">
        <v>145.0</v>
      </c>
      <c r="C482" s="27">
        <v>45874.0</v>
      </c>
      <c r="D482" s="28">
        <v>45874.40625</v>
      </c>
      <c r="E482" s="28">
        <v>45874.74444444444</v>
      </c>
      <c r="F482" s="21" t="s">
        <v>189</v>
      </c>
      <c r="G482" s="23"/>
      <c r="H482" s="23" t="str">
        <f t="shared" si="1"/>
        <v>INSERT INTO tblDayAttendanceLog VALUES (seqDayAttendanceLog.nextval, 145, TO_DATE('2025-08-05', 'YYYY-MM-DD'), TO_DATE('2025-08-05 09:45:00', 'YYYY-MM-DD HH24:MI:SS'), TO_DATE('2025-08-05 17:52:00', 'YYYY-MM-DD HH24:MI:SS'));</v>
      </c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</row>
    <row r="483">
      <c r="A483" s="25" t="s">
        <v>206</v>
      </c>
      <c r="B483" s="26">
        <v>146.0</v>
      </c>
      <c r="C483" s="27">
        <v>45874.0</v>
      </c>
      <c r="D483" s="28">
        <v>45874.384722222225</v>
      </c>
      <c r="E483" s="28">
        <v>45874.74444444444</v>
      </c>
      <c r="F483" s="21" t="s">
        <v>189</v>
      </c>
      <c r="G483" s="23"/>
      <c r="H483" s="23" t="str">
        <f t="shared" si="1"/>
        <v>INSERT INTO tblDayAttendanceLog VALUES (seqDayAttendanceLog.nextval, 146, TO_DATE('2025-08-05', 'YYYY-MM-DD'), TO_DATE('2025-08-05 09:14:00', 'YYYY-MM-DD HH24:MI:SS'), TO_DATE('2025-08-05 17:52:00', 'YYYY-MM-DD HH24:MI:SS'));</v>
      </c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</row>
    <row r="484">
      <c r="A484" s="25" t="s">
        <v>206</v>
      </c>
      <c r="B484" s="26">
        <v>147.0</v>
      </c>
      <c r="C484" s="27">
        <v>45874.0</v>
      </c>
      <c r="D484" s="28">
        <v>45874.370833333334</v>
      </c>
      <c r="E484" s="28">
        <v>45874.74444444444</v>
      </c>
      <c r="F484" s="21" t="s">
        <v>184</v>
      </c>
      <c r="G484" s="23"/>
      <c r="H484" s="23" t="str">
        <f t="shared" si="1"/>
        <v>INSERT INTO tblDayAttendanceLog VALUES (seqDayAttendanceLog.nextval, 147, TO_DATE('2025-08-05', 'YYYY-MM-DD'), TO_DATE('2025-08-05 08:54:00', 'YYYY-MM-DD HH24:MI:SS'), TO_DATE('2025-08-05 17:52:00', 'YYYY-MM-DD HH24:MI:SS'));</v>
      </c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</row>
    <row r="485">
      <c r="A485" s="25" t="s">
        <v>206</v>
      </c>
      <c r="B485" s="26">
        <v>148.0</v>
      </c>
      <c r="C485" s="27">
        <v>45874.0</v>
      </c>
      <c r="D485" s="28">
        <v>45874.413194444445</v>
      </c>
      <c r="E485" s="28">
        <v>45874.74722222222</v>
      </c>
      <c r="F485" s="21" t="s">
        <v>189</v>
      </c>
      <c r="G485" s="23"/>
      <c r="H485" s="23" t="str">
        <f t="shared" si="1"/>
        <v>INSERT INTO tblDayAttendanceLog VALUES (seqDayAttendanceLog.nextval, 148, TO_DATE('2025-08-05', 'YYYY-MM-DD'), TO_DATE('2025-08-05 09:55:00', 'YYYY-MM-DD HH24:MI:SS'), TO_DATE('2025-08-05 17:56:00', 'YYYY-MM-DD HH24:MI:SS'));</v>
      </c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</row>
    <row r="486">
      <c r="A486" s="25" t="s">
        <v>206</v>
      </c>
      <c r="B486" s="26">
        <v>149.0</v>
      </c>
      <c r="C486" s="27">
        <v>45874.0</v>
      </c>
      <c r="D486" s="28">
        <v>45874.35208333333</v>
      </c>
      <c r="E486" s="28">
        <v>45874.74791666667</v>
      </c>
      <c r="F486" s="21" t="s">
        <v>184</v>
      </c>
      <c r="G486" s="23"/>
      <c r="H486" s="23" t="str">
        <f t="shared" si="1"/>
        <v>INSERT INTO tblDayAttendanceLog VALUES (seqDayAttendanceLog.nextval, 149, TO_DATE('2025-08-05', 'YYYY-MM-DD'), TO_DATE('2025-08-05 08:27:00', 'YYYY-MM-DD HH24:MI:SS'), TO_DATE('2025-08-05 17:57:00', 'YYYY-MM-DD HH24:MI:SS'));</v>
      </c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</row>
    <row r="487">
      <c r="A487" s="25" t="s">
        <v>206</v>
      </c>
      <c r="B487" s="26">
        <v>150.0</v>
      </c>
      <c r="C487" s="27">
        <v>45874.0</v>
      </c>
      <c r="D487" s="28">
        <v>45874.34930555556</v>
      </c>
      <c r="E487" s="28">
        <v>45874.74930555555</v>
      </c>
      <c r="F487" s="21" t="s">
        <v>184</v>
      </c>
      <c r="G487" s="23"/>
      <c r="H487" s="23" t="str">
        <f t="shared" si="1"/>
        <v>INSERT INTO tblDayAttendanceLog VALUES (seqDayAttendanceLog.nextval, 150, TO_DATE('2025-08-05', 'YYYY-MM-DD'), TO_DATE('2025-08-05 08:23:00', 'YYYY-MM-DD HH24:MI:SS'), TO_DATE('2025-08-05 17:59:00', 'YYYY-MM-DD HH24:MI:SS'));</v>
      </c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</row>
    <row r="488">
      <c r="A488" s="25" t="s">
        <v>206</v>
      </c>
      <c r="B488" s="26">
        <v>151.0</v>
      </c>
      <c r="C488" s="27">
        <v>45874.0</v>
      </c>
      <c r="D488" s="28">
        <v>45874.39097222222</v>
      </c>
      <c r="E488" s="28">
        <v>45874.74652777778</v>
      </c>
      <c r="F488" s="21" t="s">
        <v>189</v>
      </c>
      <c r="G488" s="23"/>
      <c r="H488" s="23" t="str">
        <f t="shared" si="1"/>
        <v>INSERT INTO tblDayAttendanceLog VALUES (seqDayAttendanceLog.nextval, 151, TO_DATE('2025-08-05', 'YYYY-MM-DD'), TO_DATE('2025-08-05 09:23:00', 'YYYY-MM-DD HH24:MI:SS'), TO_DATE('2025-08-05 17:55:00', 'YYYY-MM-DD HH24:MI:SS'));</v>
      </c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</row>
    <row r="489">
      <c r="A489" s="25" t="s">
        <v>206</v>
      </c>
      <c r="B489" s="26">
        <v>152.0</v>
      </c>
      <c r="C489" s="27">
        <v>45874.0</v>
      </c>
      <c r="D489" s="28">
        <v>45874.38680555556</v>
      </c>
      <c r="E489" s="28">
        <v>45874.743055555555</v>
      </c>
      <c r="F489" s="21" t="s">
        <v>189</v>
      </c>
      <c r="G489" s="23"/>
      <c r="H489" s="23" t="str">
        <f t="shared" si="1"/>
        <v>INSERT INTO tblDayAttendanceLog VALUES (seqDayAttendanceLog.nextval, 152, TO_DATE('2025-08-05', 'YYYY-MM-DD'), TO_DATE('2025-08-05 09:17:00', 'YYYY-MM-DD HH24:MI:SS'), TO_DATE('2025-08-05 17:50:00', 'YYYY-MM-DD HH24:MI:SS'));</v>
      </c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</row>
    <row r="490">
      <c r="A490" s="25" t="s">
        <v>206</v>
      </c>
      <c r="B490" s="26">
        <v>153.0</v>
      </c>
      <c r="C490" s="27">
        <v>45874.0</v>
      </c>
      <c r="D490" s="28">
        <v>45874.365277777775</v>
      </c>
      <c r="E490" s="28">
        <v>45874.748611111114</v>
      </c>
      <c r="F490" s="21" t="s">
        <v>184</v>
      </c>
      <c r="G490" s="23"/>
      <c r="H490" s="23" t="str">
        <f t="shared" si="1"/>
        <v>INSERT INTO tblDayAttendanceLog VALUES (seqDayAttendanceLog.nextval, 153, TO_DATE('2025-08-05', 'YYYY-MM-DD'), TO_DATE('2025-08-05 08:46:00', 'YYYY-MM-DD HH24:MI:SS'), TO_DATE('2025-08-05 17:58:00', 'YYYY-MM-DD HH24:MI:SS'));</v>
      </c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</row>
    <row r="491">
      <c r="A491" s="25" t="s">
        <v>206</v>
      </c>
      <c r="B491" s="26">
        <v>154.0</v>
      </c>
      <c r="C491" s="27">
        <v>45874.0</v>
      </c>
      <c r="D491" s="28">
        <v>45874.38263888889</v>
      </c>
      <c r="E491" s="28">
        <v>45874.74930555555</v>
      </c>
      <c r="F491" s="21" t="s">
        <v>189</v>
      </c>
      <c r="G491" s="23"/>
      <c r="H491" s="23" t="str">
        <f t="shared" si="1"/>
        <v>INSERT INTO tblDayAttendanceLog VALUES (seqDayAttendanceLog.nextval, 154, TO_DATE('2025-08-05', 'YYYY-MM-DD'), TO_DATE('2025-08-05 09:11:00', 'YYYY-MM-DD HH24:MI:SS'), TO_DATE('2025-08-05 17:59:00', 'YYYY-MM-DD HH24:MI:SS'));</v>
      </c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</row>
    <row r="492">
      <c r="A492" s="25" t="s">
        <v>206</v>
      </c>
      <c r="B492" s="26">
        <v>155.0</v>
      </c>
      <c r="C492" s="27">
        <v>45874.0</v>
      </c>
      <c r="D492" s="28">
        <v>45874.342361111114</v>
      </c>
      <c r="E492" s="28">
        <v>45874.74791666667</v>
      </c>
      <c r="F492" s="21" t="s">
        <v>184</v>
      </c>
      <c r="G492" s="23"/>
      <c r="H492" s="23" t="str">
        <f t="shared" si="1"/>
        <v>INSERT INTO tblDayAttendanceLog VALUES (seqDayAttendanceLog.nextval, 155, TO_DATE('2025-08-05', 'YYYY-MM-DD'), TO_DATE('2025-08-05 08:13:00', 'YYYY-MM-DD HH24:MI:SS'), TO_DATE('2025-08-05 17:57:00', 'YYYY-MM-DD HH24:MI:SS'));</v>
      </c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</row>
    <row r="493">
      <c r="A493" s="25" t="s">
        <v>206</v>
      </c>
      <c r="B493" s="26">
        <v>156.0</v>
      </c>
      <c r="C493" s="27">
        <v>45874.0</v>
      </c>
      <c r="D493" s="28">
        <v>45874.39861111111</v>
      </c>
      <c r="E493" s="28">
        <v>45874.743055555555</v>
      </c>
      <c r="F493" s="21" t="s">
        <v>189</v>
      </c>
      <c r="G493" s="23"/>
      <c r="H493" s="23" t="str">
        <f t="shared" si="1"/>
        <v>INSERT INTO tblDayAttendanceLog VALUES (seqDayAttendanceLog.nextval, 156, TO_DATE('2025-08-05', 'YYYY-MM-DD'), TO_DATE('2025-08-05 09:34:00', 'YYYY-MM-DD HH24:MI:SS'), TO_DATE('2025-08-05 17:50:00', 'YYYY-MM-DD HH24:MI:SS'));</v>
      </c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</row>
    <row r="494">
      <c r="A494" s="25" t="s">
        <v>206</v>
      </c>
      <c r="B494" s="26">
        <v>157.0</v>
      </c>
      <c r="C494" s="27">
        <v>45874.0</v>
      </c>
      <c r="D494" s="28">
        <v>45874.395833333336</v>
      </c>
      <c r="E494" s="28">
        <v>45874.745833333334</v>
      </c>
      <c r="F494" s="21" t="s">
        <v>189</v>
      </c>
      <c r="G494" s="23"/>
      <c r="H494" s="23" t="str">
        <f t="shared" si="1"/>
        <v>INSERT INTO tblDayAttendanceLog VALUES (seqDayAttendanceLog.nextval, 157, TO_DATE('2025-08-05', 'YYYY-MM-DD'), TO_DATE('2025-08-05 09:30:00', 'YYYY-MM-DD HH24:MI:SS'), TO_DATE('2025-08-05 17:54:00', 'YYYY-MM-DD HH24:MI:SS'));</v>
      </c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</row>
    <row r="495">
      <c r="A495" s="25" t="s">
        <v>206</v>
      </c>
      <c r="B495" s="26">
        <v>158.0</v>
      </c>
      <c r="C495" s="27">
        <v>45874.0</v>
      </c>
      <c r="D495" s="28">
        <v>45874.39236111111</v>
      </c>
      <c r="E495" s="28">
        <v>45874.743055555555</v>
      </c>
      <c r="F495" s="21" t="s">
        <v>189</v>
      </c>
      <c r="G495" s="23"/>
      <c r="H495" s="23" t="str">
        <f t="shared" si="1"/>
        <v>INSERT INTO tblDayAttendanceLog VALUES (seqDayAttendanceLog.nextval, 158, TO_DATE('2025-08-05', 'YYYY-MM-DD'), TO_DATE('2025-08-05 09:25:00', 'YYYY-MM-DD HH24:MI:SS'), TO_DATE('2025-08-05 17:50:00', 'YYYY-MM-DD HH24:MI:SS'));</v>
      </c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</row>
    <row r="496">
      <c r="A496" s="25" t="s">
        <v>206</v>
      </c>
      <c r="B496" s="26">
        <v>159.0</v>
      </c>
      <c r="C496" s="27">
        <v>45874.0</v>
      </c>
      <c r="D496" s="28">
        <v>45874.41388888889</v>
      </c>
      <c r="E496" s="28">
        <v>45874.74652777778</v>
      </c>
      <c r="F496" s="21" t="s">
        <v>189</v>
      </c>
      <c r="G496" s="23"/>
      <c r="H496" s="23" t="str">
        <f t="shared" si="1"/>
        <v>INSERT INTO tblDayAttendanceLog VALUES (seqDayAttendanceLog.nextval, 159, TO_DATE('2025-08-05', 'YYYY-MM-DD'), TO_DATE('2025-08-05 09:56:00', 'YYYY-MM-DD HH24:MI:SS'), TO_DATE('2025-08-05 17:55:00', 'YYYY-MM-DD HH24:MI:SS'));</v>
      </c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</row>
    <row r="497">
      <c r="A497" s="25" t="s">
        <v>206</v>
      </c>
      <c r="B497" s="26">
        <v>160.0</v>
      </c>
      <c r="C497" s="27">
        <v>45874.0</v>
      </c>
      <c r="D497" s="28">
        <v>45874.33472222222</v>
      </c>
      <c r="E497" s="28">
        <v>45874.745833333334</v>
      </c>
      <c r="F497" s="21" t="s">
        <v>184</v>
      </c>
      <c r="G497" s="23"/>
      <c r="H497" s="23" t="str">
        <f t="shared" si="1"/>
        <v>INSERT INTO tblDayAttendanceLog VALUES (seqDayAttendanceLog.nextval, 160, TO_DATE('2025-08-05', 'YYYY-MM-DD'), TO_DATE('2025-08-05 08:02:00', 'YYYY-MM-DD HH24:MI:SS'), TO_DATE('2025-08-05 17:54:00', 'YYYY-MM-DD HH24:MI:SS'));</v>
      </c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</row>
    <row r="498">
      <c r="A498" s="25" t="s">
        <v>206</v>
      </c>
      <c r="B498" s="26">
        <v>161.0</v>
      </c>
      <c r="C498" s="27">
        <v>45874.0</v>
      </c>
      <c r="D498" s="28">
        <v>45874.396527777775</v>
      </c>
      <c r="E498" s="28">
        <v>45874.74722222222</v>
      </c>
      <c r="F498" s="21" t="s">
        <v>189</v>
      </c>
      <c r="G498" s="23"/>
      <c r="H498" s="23" t="str">
        <f t="shared" si="1"/>
        <v>INSERT INTO tblDayAttendanceLog VALUES (seqDayAttendanceLog.nextval, 161, TO_DATE('2025-08-05', 'YYYY-MM-DD'), TO_DATE('2025-08-05 09:31:00', 'YYYY-MM-DD HH24:MI:SS'), TO_DATE('2025-08-05 17:56:00', 'YYYY-MM-DD HH24:MI:SS'));</v>
      </c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</row>
    <row r="499">
      <c r="A499" s="25" t="s">
        <v>206</v>
      </c>
      <c r="B499" s="26">
        <v>162.0</v>
      </c>
      <c r="C499" s="27">
        <v>45874.0</v>
      </c>
      <c r="D499" s="28">
        <v>45874.36666666667</v>
      </c>
      <c r="E499" s="28">
        <v>45874.748611111114</v>
      </c>
      <c r="F499" s="21" t="s">
        <v>184</v>
      </c>
      <c r="G499" s="23"/>
      <c r="H499" s="23" t="str">
        <f t="shared" si="1"/>
        <v>INSERT INTO tblDayAttendanceLog VALUES (seqDayAttendanceLog.nextval, 162, TO_DATE('2025-08-05', 'YYYY-MM-DD'), TO_DATE('2025-08-05 08:48:00', 'YYYY-MM-DD HH24:MI:SS'), TO_DATE('2025-08-05 17:58:00', 'YYYY-MM-DD HH24:MI:SS'));</v>
      </c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</row>
    <row r="500">
      <c r="A500" s="25" t="s">
        <v>206</v>
      </c>
      <c r="B500" s="26">
        <v>163.0</v>
      </c>
      <c r="C500" s="27">
        <v>45874.0</v>
      </c>
      <c r="D500" s="28">
        <v>45874.37569444445</v>
      </c>
      <c r="E500" s="28">
        <v>45874.74375</v>
      </c>
      <c r="F500" s="21" t="s">
        <v>189</v>
      </c>
      <c r="G500" s="23"/>
      <c r="H500" s="23" t="str">
        <f t="shared" si="1"/>
        <v>INSERT INTO tblDayAttendanceLog VALUES (seqDayAttendanceLog.nextval, 163, TO_DATE('2025-08-05', 'YYYY-MM-DD'), TO_DATE('2025-08-05 09:01:00', 'YYYY-MM-DD HH24:MI:SS'), TO_DATE('2025-08-05 17:51:00', 'YYYY-MM-DD HH24:MI:SS'));</v>
      </c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</row>
    <row r="501">
      <c r="A501" s="25" t="s">
        <v>206</v>
      </c>
      <c r="B501" s="26">
        <v>164.0</v>
      </c>
      <c r="C501" s="27">
        <v>45874.0</v>
      </c>
      <c r="D501" s="28">
        <v>45874.33888888889</v>
      </c>
      <c r="E501" s="28">
        <v>45874.743055555555</v>
      </c>
      <c r="F501" s="21" t="s">
        <v>184</v>
      </c>
      <c r="G501" s="23"/>
      <c r="H501" s="23" t="str">
        <f t="shared" si="1"/>
        <v>INSERT INTO tblDayAttendanceLog VALUES (seqDayAttendanceLog.nextval, 164, TO_DATE('2025-08-05', 'YYYY-MM-DD'), TO_DATE('2025-08-05 08:08:00', 'YYYY-MM-DD HH24:MI:SS'), TO_DATE('2025-08-05 17:50:00', 'YYYY-MM-DD HH24:MI:SS'));</v>
      </c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</row>
    <row r="502">
      <c r="A502" s="25" t="s">
        <v>206</v>
      </c>
      <c r="B502" s="26">
        <v>165.0</v>
      </c>
      <c r="C502" s="27">
        <v>45874.0</v>
      </c>
      <c r="D502" s="28">
        <v>45874.396527777775</v>
      </c>
      <c r="E502" s="28">
        <v>45874.743055555555</v>
      </c>
      <c r="F502" s="21" t="s">
        <v>189</v>
      </c>
      <c r="G502" s="23"/>
      <c r="H502" s="23" t="str">
        <f t="shared" si="1"/>
        <v>INSERT INTO tblDayAttendanceLog VALUES (seqDayAttendanceLog.nextval, 165, TO_DATE('2025-08-05', 'YYYY-MM-DD'), TO_DATE('2025-08-05 09:31:00', 'YYYY-MM-DD HH24:MI:SS'), TO_DATE('2025-08-05 17:50:00', 'YYYY-MM-DD HH24:MI:SS'));</v>
      </c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</row>
    <row r="503">
      <c r="A503" s="25" t="s">
        <v>206</v>
      </c>
      <c r="B503" s="26">
        <v>166.0</v>
      </c>
      <c r="C503" s="27">
        <v>45874.0</v>
      </c>
      <c r="D503" s="28">
        <v>45874.413194444445</v>
      </c>
      <c r="E503" s="28">
        <v>45874.74444444444</v>
      </c>
      <c r="F503" s="21" t="s">
        <v>189</v>
      </c>
      <c r="G503" s="23"/>
      <c r="H503" s="23" t="str">
        <f t="shared" si="1"/>
        <v>INSERT INTO tblDayAttendanceLog VALUES (seqDayAttendanceLog.nextval, 166, TO_DATE('2025-08-05', 'YYYY-MM-DD'), TO_DATE('2025-08-05 09:55:00', 'YYYY-MM-DD HH24:MI:SS'), TO_DATE('2025-08-05 17:52:00', 'YYYY-MM-DD HH24:MI:SS'));</v>
      </c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</row>
    <row r="504">
      <c r="A504" s="25" t="s">
        <v>206</v>
      </c>
      <c r="B504" s="26">
        <v>167.0</v>
      </c>
      <c r="C504" s="27">
        <v>45874.0</v>
      </c>
      <c r="D504" s="28">
        <v>45874.39236111111</v>
      </c>
      <c r="E504" s="28">
        <v>45874.74513888889</v>
      </c>
      <c r="F504" s="21" t="s">
        <v>189</v>
      </c>
      <c r="G504" s="23"/>
      <c r="H504" s="23" t="str">
        <f t="shared" si="1"/>
        <v>INSERT INTO tblDayAttendanceLog VALUES (seqDayAttendanceLog.nextval, 167, TO_DATE('2025-08-05', 'YYYY-MM-DD'), TO_DATE('2025-08-05 09:25:00', 'YYYY-MM-DD HH24:MI:SS'), TO_DATE('2025-08-05 17:53:00', 'YYYY-MM-DD HH24:MI:SS'));</v>
      </c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</row>
    <row r="505">
      <c r="A505" s="25" t="s">
        <v>206</v>
      </c>
      <c r="B505" s="26">
        <v>168.0</v>
      </c>
      <c r="C505" s="27">
        <v>45874.0</v>
      </c>
      <c r="D505" s="28">
        <v>45874.336805555555</v>
      </c>
      <c r="E505" s="28">
        <v>45874.745833333334</v>
      </c>
      <c r="F505" s="21" t="s">
        <v>184</v>
      </c>
      <c r="G505" s="23"/>
      <c r="H505" s="23" t="str">
        <f t="shared" si="1"/>
        <v>INSERT INTO tblDayAttendanceLog VALUES (seqDayAttendanceLog.nextval, 168, TO_DATE('2025-08-05', 'YYYY-MM-DD'), TO_DATE('2025-08-05 08:05:00', 'YYYY-MM-DD HH24:MI:SS'), TO_DATE('2025-08-05 17:54:00', 'YYYY-MM-DD HH24:MI:SS'));</v>
      </c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</row>
    <row r="506">
      <c r="A506" s="25" t="s">
        <v>206</v>
      </c>
      <c r="B506" s="26">
        <v>1.0</v>
      </c>
      <c r="C506" s="27">
        <v>45875.0</v>
      </c>
      <c r="D506" s="28">
        <v>45875.350694444445</v>
      </c>
      <c r="E506" s="28">
        <v>45875.745833333334</v>
      </c>
      <c r="F506" s="21" t="s">
        <v>184</v>
      </c>
      <c r="G506" s="23"/>
      <c r="H506" s="23" t="str">
        <f t="shared" si="1"/>
        <v>INSERT INTO tblDayAttendanceLog VALUES (seqDayAttendanceLog.nextval, 1, TO_DATE('2025-08-06', 'YYYY-MM-DD'), TO_DATE('2025-08-06 08:25:00', 'YYYY-MM-DD HH24:MI:SS'), TO_DATE('2025-08-06 17:54:00', 'YYYY-MM-DD HH24:MI:SS'));</v>
      </c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</row>
    <row r="507">
      <c r="A507" s="25" t="s">
        <v>206</v>
      </c>
      <c r="B507" s="26">
        <v>2.0</v>
      </c>
      <c r="C507" s="27">
        <v>45875.0</v>
      </c>
      <c r="D507" s="28">
        <v>45875.339583333334</v>
      </c>
      <c r="E507" s="28">
        <v>45875.743055555555</v>
      </c>
      <c r="F507" s="21" t="s">
        <v>184</v>
      </c>
      <c r="G507" s="23"/>
      <c r="H507" s="23" t="str">
        <f t="shared" si="1"/>
        <v>INSERT INTO tblDayAttendanceLog VALUES (seqDayAttendanceLog.nextval, 2, TO_DATE('2025-08-06', 'YYYY-MM-DD'), TO_DATE('2025-08-06 08:09:00', 'YYYY-MM-DD HH24:MI:SS'), TO_DATE('2025-08-06 17:50:00', 'YYYY-MM-DD HH24:MI:SS'));</v>
      </c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</row>
    <row r="508">
      <c r="A508" s="25" t="s">
        <v>206</v>
      </c>
      <c r="B508" s="26">
        <v>3.0</v>
      </c>
      <c r="C508" s="27">
        <v>45875.0</v>
      </c>
      <c r="D508" s="28">
        <v>45875.38888888889</v>
      </c>
      <c r="E508" s="28">
        <v>45875.74444444444</v>
      </c>
      <c r="F508" s="21" t="s">
        <v>189</v>
      </c>
      <c r="G508" s="23"/>
      <c r="H508" s="23" t="str">
        <f t="shared" si="1"/>
        <v>INSERT INTO tblDayAttendanceLog VALUES (seqDayAttendanceLog.nextval, 3, TO_DATE('2025-08-06', 'YYYY-MM-DD'), TO_DATE('2025-08-06 09:20:00', 'YYYY-MM-DD HH24:MI:SS'), TO_DATE('2025-08-06 17:52:00', 'YYYY-MM-DD HH24:MI:SS'));</v>
      </c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</row>
    <row r="509">
      <c r="A509" s="25" t="s">
        <v>206</v>
      </c>
      <c r="B509" s="26">
        <v>4.0</v>
      </c>
      <c r="C509" s="27">
        <v>45875.0</v>
      </c>
      <c r="D509" s="28">
        <v>45875.40555555555</v>
      </c>
      <c r="E509" s="28">
        <v>45875.745833333334</v>
      </c>
      <c r="F509" s="21" t="s">
        <v>189</v>
      </c>
      <c r="G509" s="23"/>
      <c r="H509" s="23" t="str">
        <f t="shared" si="1"/>
        <v>INSERT INTO tblDayAttendanceLog VALUES (seqDayAttendanceLog.nextval, 4, TO_DATE('2025-08-06', 'YYYY-MM-DD'), TO_DATE('2025-08-06 09:44:00', 'YYYY-MM-DD HH24:MI:SS'), TO_DATE('2025-08-06 17:54:00', 'YYYY-MM-DD HH24:MI:SS'));</v>
      </c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</row>
    <row r="510">
      <c r="A510" s="25" t="s">
        <v>206</v>
      </c>
      <c r="B510" s="26">
        <v>5.0</v>
      </c>
      <c r="C510" s="27">
        <v>45875.0</v>
      </c>
      <c r="D510" s="28">
        <v>45875.37569444445</v>
      </c>
      <c r="E510" s="28">
        <v>45875.74375</v>
      </c>
      <c r="F510" s="21" t="s">
        <v>189</v>
      </c>
      <c r="G510" s="23"/>
      <c r="H510" s="23" t="str">
        <f t="shared" si="1"/>
        <v>INSERT INTO tblDayAttendanceLog VALUES (seqDayAttendanceLog.nextval, 5, TO_DATE('2025-08-06', 'YYYY-MM-DD'), TO_DATE('2025-08-06 09:01:00', 'YYYY-MM-DD HH24:MI:SS'), TO_DATE('2025-08-06 17:51:00', 'YYYY-MM-DD HH24:MI:SS'));</v>
      </c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</row>
    <row r="511">
      <c r="A511" s="25" t="s">
        <v>206</v>
      </c>
      <c r="B511" s="26">
        <v>6.0</v>
      </c>
      <c r="C511" s="27">
        <v>45875.0</v>
      </c>
      <c r="D511" s="28">
        <v>45875.39236111111</v>
      </c>
      <c r="E511" s="28">
        <v>45875.743055555555</v>
      </c>
      <c r="F511" s="21" t="s">
        <v>189</v>
      </c>
      <c r="G511" s="23"/>
      <c r="H511" s="23" t="str">
        <f t="shared" si="1"/>
        <v>INSERT INTO tblDayAttendanceLog VALUES (seqDayAttendanceLog.nextval, 6, TO_DATE('2025-08-06', 'YYYY-MM-DD'), TO_DATE('2025-08-06 09:25:00', 'YYYY-MM-DD HH24:MI:SS'), TO_DATE('2025-08-06 17:50:00', 'YYYY-MM-DD HH24:MI:SS'));</v>
      </c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</row>
    <row r="512">
      <c r="A512" s="25" t="s">
        <v>206</v>
      </c>
      <c r="B512" s="26">
        <v>7.0</v>
      </c>
      <c r="C512" s="27">
        <v>45875.0</v>
      </c>
      <c r="D512" s="28">
        <v>45875.36319444444</v>
      </c>
      <c r="E512" s="28">
        <v>45875.743055555555</v>
      </c>
      <c r="F512" s="21" t="s">
        <v>184</v>
      </c>
      <c r="G512" s="23"/>
      <c r="H512" s="23" t="str">
        <f t="shared" si="1"/>
        <v>INSERT INTO tblDayAttendanceLog VALUES (seqDayAttendanceLog.nextval, 7, TO_DATE('2025-08-06', 'YYYY-MM-DD'), TO_DATE('2025-08-06 08:43:00', 'YYYY-MM-DD HH24:MI:SS'), TO_DATE('2025-08-06 17:50:00', 'YYYY-MM-DD HH24:MI:SS'));</v>
      </c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</row>
    <row r="513">
      <c r="A513" s="25" t="s">
        <v>206</v>
      </c>
      <c r="B513" s="26">
        <v>8.0</v>
      </c>
      <c r="C513" s="27">
        <v>45875.0</v>
      </c>
      <c r="D513" s="28">
        <v>45875.40277777778</v>
      </c>
      <c r="E513" s="28">
        <v>45875.745833333334</v>
      </c>
      <c r="F513" s="21" t="s">
        <v>189</v>
      </c>
      <c r="G513" s="23"/>
      <c r="H513" s="23" t="str">
        <f t="shared" si="1"/>
        <v>INSERT INTO tblDayAttendanceLog VALUES (seqDayAttendanceLog.nextval, 8, TO_DATE('2025-08-06', 'YYYY-MM-DD'), TO_DATE('2025-08-06 09:40:00', 'YYYY-MM-DD HH24:MI:SS'), TO_DATE('2025-08-06 17:54:00', 'YYYY-MM-DD HH24:MI:SS'));</v>
      </c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</row>
    <row r="514">
      <c r="A514" s="25" t="s">
        <v>206</v>
      </c>
      <c r="B514" s="26">
        <v>9.0</v>
      </c>
      <c r="C514" s="27">
        <v>45875.0</v>
      </c>
      <c r="D514" s="28">
        <v>45875.35972222222</v>
      </c>
      <c r="E514" s="28">
        <v>45875.74513888889</v>
      </c>
      <c r="F514" s="21" t="s">
        <v>184</v>
      </c>
      <c r="G514" s="23"/>
      <c r="H514" s="23" t="str">
        <f t="shared" si="1"/>
        <v>INSERT INTO tblDayAttendanceLog VALUES (seqDayAttendanceLog.nextval, 9, TO_DATE('2025-08-06', 'YYYY-MM-DD'), TO_DATE('2025-08-06 08:38:00', 'YYYY-MM-DD HH24:MI:SS'), TO_DATE('2025-08-06 17:53:00', 'YYYY-MM-DD HH24:MI:SS'));</v>
      </c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</row>
    <row r="515">
      <c r="A515" s="25" t="s">
        <v>206</v>
      </c>
      <c r="B515" s="26">
        <v>10.0</v>
      </c>
      <c r="C515" s="27">
        <v>45875.0</v>
      </c>
      <c r="D515" s="28">
        <v>45875.34652777778</v>
      </c>
      <c r="E515" s="28">
        <v>45875.745833333334</v>
      </c>
      <c r="F515" s="21" t="s">
        <v>184</v>
      </c>
      <c r="G515" s="23"/>
      <c r="H515" s="23" t="str">
        <f t="shared" si="1"/>
        <v>INSERT INTO tblDayAttendanceLog VALUES (seqDayAttendanceLog.nextval, 10, TO_DATE('2025-08-06', 'YYYY-MM-DD'), TO_DATE('2025-08-06 08:19:00', 'YYYY-MM-DD HH24:MI:SS'), TO_DATE('2025-08-06 17:54:00', 'YYYY-MM-DD HH24:MI:SS'));</v>
      </c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</row>
    <row r="516">
      <c r="A516" s="25" t="s">
        <v>206</v>
      </c>
      <c r="B516" s="26">
        <v>11.0</v>
      </c>
      <c r="C516" s="27">
        <v>45875.0</v>
      </c>
      <c r="D516" s="28">
        <v>45875.36319444444</v>
      </c>
      <c r="E516" s="28">
        <v>45875.74722222222</v>
      </c>
      <c r="F516" s="21" t="s">
        <v>184</v>
      </c>
      <c r="G516" s="23"/>
      <c r="H516" s="23" t="str">
        <f t="shared" si="1"/>
        <v>INSERT INTO tblDayAttendanceLog VALUES (seqDayAttendanceLog.nextval, 11, TO_DATE('2025-08-06', 'YYYY-MM-DD'), TO_DATE('2025-08-06 08:43:00', 'YYYY-MM-DD HH24:MI:SS'), TO_DATE('2025-08-06 17:56:00', 'YYYY-MM-DD HH24:MI:SS'));</v>
      </c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</row>
    <row r="517">
      <c r="A517" s="25" t="s">
        <v>206</v>
      </c>
      <c r="B517" s="26">
        <v>12.0</v>
      </c>
      <c r="C517" s="27">
        <v>45875.0</v>
      </c>
      <c r="D517" s="28">
        <v>45875.36875</v>
      </c>
      <c r="E517" s="28">
        <v>45875.748611111114</v>
      </c>
      <c r="F517" s="21" t="s">
        <v>184</v>
      </c>
      <c r="G517" s="23"/>
      <c r="H517" s="23" t="str">
        <f t="shared" si="1"/>
        <v>INSERT INTO tblDayAttendanceLog VALUES (seqDayAttendanceLog.nextval, 12, TO_DATE('2025-08-06', 'YYYY-MM-DD'), TO_DATE('2025-08-06 08:51:00', 'YYYY-MM-DD HH24:MI:SS'), TO_DATE('2025-08-06 17:58:00', 'YYYY-MM-DD HH24:MI:SS'));</v>
      </c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</row>
    <row r="518">
      <c r="A518" s="25" t="s">
        <v>206</v>
      </c>
      <c r="B518" s="26">
        <v>13.0</v>
      </c>
      <c r="C518" s="27">
        <v>45875.0</v>
      </c>
      <c r="D518" s="28">
        <v>45875.38055555556</v>
      </c>
      <c r="E518" s="28">
        <v>45875.743055555555</v>
      </c>
      <c r="F518" s="21" t="s">
        <v>189</v>
      </c>
      <c r="G518" s="23"/>
      <c r="H518" s="23" t="str">
        <f t="shared" si="1"/>
        <v>INSERT INTO tblDayAttendanceLog VALUES (seqDayAttendanceLog.nextval, 13, TO_DATE('2025-08-06', 'YYYY-MM-DD'), TO_DATE('2025-08-06 09:08:00', 'YYYY-MM-DD HH24:MI:SS'), TO_DATE('2025-08-06 17:50:00', 'YYYY-MM-DD HH24:MI:SS'));</v>
      </c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</row>
    <row r="519">
      <c r="A519" s="25" t="s">
        <v>206</v>
      </c>
      <c r="B519" s="26">
        <v>14.0</v>
      </c>
      <c r="C519" s="27">
        <v>45875.0</v>
      </c>
      <c r="D519" s="28">
        <v>45875.40625</v>
      </c>
      <c r="E519" s="28">
        <v>45875.743055555555</v>
      </c>
      <c r="F519" s="21" t="s">
        <v>189</v>
      </c>
      <c r="G519" s="23"/>
      <c r="H519" s="23" t="str">
        <f t="shared" si="1"/>
        <v>INSERT INTO tblDayAttendanceLog VALUES (seqDayAttendanceLog.nextval, 14, TO_DATE('2025-08-06', 'YYYY-MM-DD'), TO_DATE('2025-08-06 09:45:00', 'YYYY-MM-DD HH24:MI:SS'), TO_DATE('2025-08-06 17:50:00', 'YYYY-MM-DD HH24:MI:SS'));</v>
      </c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</row>
    <row r="520">
      <c r="A520" s="25" t="s">
        <v>206</v>
      </c>
      <c r="B520" s="26">
        <v>15.0</v>
      </c>
      <c r="C520" s="27">
        <v>45875.0</v>
      </c>
      <c r="D520" s="28">
        <v>45875.345138888886</v>
      </c>
      <c r="E520" s="28">
        <v>45875.74652777778</v>
      </c>
      <c r="F520" s="21" t="s">
        <v>184</v>
      </c>
      <c r="G520" s="23"/>
      <c r="H520" s="23" t="str">
        <f t="shared" si="1"/>
        <v>INSERT INTO tblDayAttendanceLog VALUES (seqDayAttendanceLog.nextval, 15, TO_DATE('2025-08-06', 'YYYY-MM-DD'), TO_DATE('2025-08-06 08:17:00', 'YYYY-MM-DD HH24:MI:SS'), TO_DATE('2025-08-06 17:55:00', 'YYYY-MM-DD HH24:MI:SS'));</v>
      </c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</row>
    <row r="521">
      <c r="A521" s="25" t="s">
        <v>206</v>
      </c>
      <c r="B521" s="26">
        <v>16.0</v>
      </c>
      <c r="C521" s="27">
        <v>45875.0</v>
      </c>
      <c r="D521" s="28">
        <v>45875.39791666667</v>
      </c>
      <c r="E521" s="28">
        <v>45875.74375</v>
      </c>
      <c r="F521" s="21" t="s">
        <v>189</v>
      </c>
      <c r="G521" s="23"/>
      <c r="H521" s="23" t="str">
        <f t="shared" si="1"/>
        <v>INSERT INTO tblDayAttendanceLog VALUES (seqDayAttendanceLog.nextval, 16, TO_DATE('2025-08-06', 'YYYY-MM-DD'), TO_DATE('2025-08-06 09:33:00', 'YYYY-MM-DD HH24:MI:SS'), TO_DATE('2025-08-06 17:51:00', 'YYYY-MM-DD HH24:MI:SS'));</v>
      </c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</row>
    <row r="522">
      <c r="A522" s="25" t="s">
        <v>206</v>
      </c>
      <c r="B522" s="26">
        <v>17.0</v>
      </c>
      <c r="C522" s="27">
        <v>45875.0</v>
      </c>
      <c r="D522" s="28">
        <v>45875.347916666666</v>
      </c>
      <c r="E522" s="28">
        <v>45875.74444444444</v>
      </c>
      <c r="F522" s="21" t="s">
        <v>184</v>
      </c>
      <c r="G522" s="23"/>
      <c r="H522" s="23" t="str">
        <f t="shared" si="1"/>
        <v>INSERT INTO tblDayAttendanceLog VALUES (seqDayAttendanceLog.nextval, 17, TO_DATE('2025-08-06', 'YYYY-MM-DD'), TO_DATE('2025-08-06 08:21:00', 'YYYY-MM-DD HH24:MI:SS'), TO_DATE('2025-08-06 17:52:00', 'YYYY-MM-DD HH24:MI:SS'));</v>
      </c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</row>
    <row r="523">
      <c r="A523" s="25" t="s">
        <v>206</v>
      </c>
      <c r="B523" s="26">
        <v>18.0</v>
      </c>
      <c r="C523" s="27">
        <v>45875.0</v>
      </c>
      <c r="D523" s="28">
        <v>45875.353472222225</v>
      </c>
      <c r="E523" s="28">
        <v>45875.74791666667</v>
      </c>
      <c r="F523" s="21" t="s">
        <v>184</v>
      </c>
      <c r="G523" s="23"/>
      <c r="H523" s="23" t="str">
        <f t="shared" si="1"/>
        <v>INSERT INTO tblDayAttendanceLog VALUES (seqDayAttendanceLog.nextval, 18, TO_DATE('2025-08-06', 'YYYY-MM-DD'), TO_DATE('2025-08-06 08:29:00', 'YYYY-MM-DD HH24:MI:SS'), TO_DATE('2025-08-06 17:57:00', 'YYYY-MM-DD HH24:MI:SS'));</v>
      </c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</row>
    <row r="524">
      <c r="A524" s="25" t="s">
        <v>206</v>
      </c>
      <c r="B524" s="26">
        <v>19.0</v>
      </c>
      <c r="C524" s="27">
        <v>45875.0</v>
      </c>
      <c r="D524" s="28">
        <v>45875.407638888886</v>
      </c>
      <c r="E524" s="28">
        <v>45875.74513888889</v>
      </c>
      <c r="F524" s="21" t="s">
        <v>189</v>
      </c>
      <c r="G524" s="23"/>
      <c r="H524" s="23" t="str">
        <f t="shared" si="1"/>
        <v>INSERT INTO tblDayAttendanceLog VALUES (seqDayAttendanceLog.nextval, 19, TO_DATE('2025-08-06', 'YYYY-MM-DD'), TO_DATE('2025-08-06 09:47:00', 'YYYY-MM-DD HH24:MI:SS'), TO_DATE('2025-08-06 17:53:00', 'YYYY-MM-DD HH24:MI:SS'));</v>
      </c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</row>
    <row r="525">
      <c r="A525" s="25" t="s">
        <v>206</v>
      </c>
      <c r="B525" s="26">
        <v>20.0</v>
      </c>
      <c r="C525" s="27">
        <v>45875.0</v>
      </c>
      <c r="D525" s="28">
        <v>45875.40138888889</v>
      </c>
      <c r="E525" s="28">
        <v>45875.74513888889</v>
      </c>
      <c r="F525" s="21" t="s">
        <v>189</v>
      </c>
      <c r="G525" s="23"/>
      <c r="H525" s="23" t="str">
        <f t="shared" si="1"/>
        <v>INSERT INTO tblDayAttendanceLog VALUES (seqDayAttendanceLog.nextval, 20, TO_DATE('2025-08-06', 'YYYY-MM-DD'), TO_DATE('2025-08-06 09:38:00', 'YYYY-MM-DD HH24:MI:SS'), TO_DATE('2025-08-06 17:53:00', 'YYYY-MM-DD HH24:MI:SS'));</v>
      </c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</row>
    <row r="526">
      <c r="A526" s="25" t="s">
        <v>206</v>
      </c>
      <c r="B526" s="26">
        <v>21.0</v>
      </c>
      <c r="C526" s="27">
        <v>45875.0</v>
      </c>
      <c r="D526" s="28">
        <v>45875.415972222225</v>
      </c>
      <c r="E526" s="28">
        <v>45875.74444444444</v>
      </c>
      <c r="F526" s="21" t="s">
        <v>189</v>
      </c>
      <c r="G526" s="23"/>
      <c r="H526" s="23" t="str">
        <f t="shared" si="1"/>
        <v>INSERT INTO tblDayAttendanceLog VALUES (seqDayAttendanceLog.nextval, 21, TO_DATE('2025-08-06', 'YYYY-MM-DD'), TO_DATE('2025-08-06 09:59:00', 'YYYY-MM-DD HH24:MI:SS'), TO_DATE('2025-08-06 17:52:00', 'YYYY-MM-DD HH24:MI:SS'));</v>
      </c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</row>
    <row r="527">
      <c r="A527" s="25" t="s">
        <v>206</v>
      </c>
      <c r="B527" s="26">
        <v>22.0</v>
      </c>
      <c r="C527" s="27">
        <v>45875.0</v>
      </c>
      <c r="D527" s="28">
        <v>45875.336805555555</v>
      </c>
      <c r="E527" s="28">
        <v>45875.74444444444</v>
      </c>
      <c r="F527" s="21" t="s">
        <v>184</v>
      </c>
      <c r="G527" s="23"/>
      <c r="H527" s="23" t="str">
        <f t="shared" si="1"/>
        <v>INSERT INTO tblDayAttendanceLog VALUES (seqDayAttendanceLog.nextval, 22, TO_DATE('2025-08-06', 'YYYY-MM-DD'), TO_DATE('2025-08-06 08:05:00', 'YYYY-MM-DD HH24:MI:SS'), TO_DATE('2025-08-06 17:52:00', 'YYYY-MM-DD HH24:MI:SS'));</v>
      </c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</row>
    <row r="528">
      <c r="A528" s="25" t="s">
        <v>206</v>
      </c>
      <c r="B528" s="26">
        <v>23.0</v>
      </c>
      <c r="C528" s="27">
        <v>45875.0</v>
      </c>
      <c r="D528" s="28">
        <v>45875.364583333336</v>
      </c>
      <c r="E528" s="28">
        <v>45875.74513888889</v>
      </c>
      <c r="F528" s="21" t="s">
        <v>184</v>
      </c>
      <c r="G528" s="23"/>
      <c r="H528" s="23" t="str">
        <f t="shared" si="1"/>
        <v>INSERT INTO tblDayAttendanceLog VALUES (seqDayAttendanceLog.nextval, 23, TO_DATE('2025-08-06', 'YYYY-MM-DD'), TO_DATE('2025-08-06 08:45:00', 'YYYY-MM-DD HH24:MI:SS'), TO_DATE('2025-08-06 17:53:00', 'YYYY-MM-DD HH24:MI:SS'));</v>
      </c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</row>
    <row r="529">
      <c r="A529" s="25" t="s">
        <v>206</v>
      </c>
      <c r="B529" s="26">
        <v>24.0</v>
      </c>
      <c r="C529" s="27">
        <v>45875.0</v>
      </c>
      <c r="D529" s="28">
        <v>45875.37847222222</v>
      </c>
      <c r="E529" s="28">
        <v>45875.74930555555</v>
      </c>
      <c r="F529" s="21" t="s">
        <v>189</v>
      </c>
      <c r="G529" s="23"/>
      <c r="H529" s="23" t="str">
        <f t="shared" si="1"/>
        <v>INSERT INTO tblDayAttendanceLog VALUES (seqDayAttendanceLog.nextval, 24, TO_DATE('2025-08-06', 'YYYY-MM-DD'), TO_DATE('2025-08-06 09:05:00', 'YYYY-MM-DD HH24:MI:SS'), TO_DATE('2025-08-06 17:59:00', 'YYYY-MM-DD HH24:MI:SS'));</v>
      </c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</row>
    <row r="530">
      <c r="A530" s="25" t="s">
        <v>206</v>
      </c>
      <c r="B530" s="26">
        <v>25.0</v>
      </c>
      <c r="C530" s="27">
        <v>45875.0</v>
      </c>
      <c r="D530" s="28">
        <v>45875.37569444445</v>
      </c>
      <c r="E530" s="28">
        <v>45875.74930555555</v>
      </c>
      <c r="F530" s="21" t="s">
        <v>189</v>
      </c>
      <c r="G530" s="23"/>
      <c r="H530" s="23" t="str">
        <f t="shared" si="1"/>
        <v>INSERT INTO tblDayAttendanceLog VALUES (seqDayAttendanceLog.nextval, 25, TO_DATE('2025-08-06', 'YYYY-MM-DD'), TO_DATE('2025-08-06 09:01:00', 'YYYY-MM-DD HH24:MI:SS'), TO_DATE('2025-08-06 17:59:00', 'YYYY-MM-DD HH24:MI:SS'));</v>
      </c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</row>
    <row r="531">
      <c r="A531" s="25" t="s">
        <v>206</v>
      </c>
      <c r="B531" s="26">
        <v>26.0</v>
      </c>
      <c r="C531" s="27">
        <v>45875.0</v>
      </c>
      <c r="D531" s="28">
        <v>45875.336805555555</v>
      </c>
      <c r="E531" s="28">
        <v>45875.74652777778</v>
      </c>
      <c r="F531" s="21" t="s">
        <v>184</v>
      </c>
      <c r="G531" s="23"/>
      <c r="H531" s="23" t="str">
        <f t="shared" si="1"/>
        <v>INSERT INTO tblDayAttendanceLog VALUES (seqDayAttendanceLog.nextval, 26, TO_DATE('2025-08-06', 'YYYY-MM-DD'), TO_DATE('2025-08-06 08:05:00', 'YYYY-MM-DD HH24:MI:SS'), TO_DATE('2025-08-06 17:55:00', 'YYYY-MM-DD HH24:MI:SS'));</v>
      </c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</row>
    <row r="532">
      <c r="A532" s="25" t="s">
        <v>206</v>
      </c>
      <c r="B532" s="26">
        <v>27.0</v>
      </c>
      <c r="C532" s="27">
        <v>45875.0</v>
      </c>
      <c r="D532" s="28">
        <v>45875.40694444445</v>
      </c>
      <c r="E532" s="28">
        <v>45875.74375</v>
      </c>
      <c r="F532" s="21" t="s">
        <v>189</v>
      </c>
      <c r="G532" s="23"/>
      <c r="H532" s="23" t="str">
        <f t="shared" si="1"/>
        <v>INSERT INTO tblDayAttendanceLog VALUES (seqDayAttendanceLog.nextval, 27, TO_DATE('2025-08-06', 'YYYY-MM-DD'), TO_DATE('2025-08-06 09:46:00', 'YYYY-MM-DD HH24:MI:SS'), TO_DATE('2025-08-06 17:51:00', 'YYYY-MM-DD HH24:MI:SS'));</v>
      </c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</row>
    <row r="533">
      <c r="A533" s="25" t="s">
        <v>206</v>
      </c>
      <c r="B533" s="26">
        <v>28.0</v>
      </c>
      <c r="C533" s="27">
        <v>45875.0</v>
      </c>
      <c r="D533" s="28">
        <v>45875.38680555556</v>
      </c>
      <c r="E533" s="28">
        <v>45875.74375</v>
      </c>
      <c r="F533" s="21" t="s">
        <v>189</v>
      </c>
      <c r="G533" s="23"/>
      <c r="H533" s="23" t="str">
        <f t="shared" si="1"/>
        <v>INSERT INTO tblDayAttendanceLog VALUES (seqDayAttendanceLog.nextval, 28, TO_DATE('2025-08-06', 'YYYY-MM-DD'), TO_DATE('2025-08-06 09:17:00', 'YYYY-MM-DD HH24:MI:SS'), TO_DATE('2025-08-06 17:51:00', 'YYYY-MM-DD HH24:MI:SS'));</v>
      </c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</row>
    <row r="534">
      <c r="A534" s="25" t="s">
        <v>206</v>
      </c>
      <c r="B534" s="26">
        <v>29.0</v>
      </c>
      <c r="C534" s="27">
        <v>45875.0</v>
      </c>
      <c r="D534" s="29"/>
      <c r="E534" s="29"/>
      <c r="F534" s="21" t="s">
        <v>186</v>
      </c>
      <c r="G534" s="23"/>
      <c r="H534" s="23" t="str">
        <f t="shared" si="1"/>
        <v>INSERT INTO tblDayAttendanceLog VALUES (seqDayAttendanceLog.nextval, 29, TO_DATE('2025-08-06', 'YYYY-MM-DD'), NULL, NULL);</v>
      </c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</row>
    <row r="535">
      <c r="A535" s="25" t="s">
        <v>206</v>
      </c>
      <c r="B535" s="26">
        <v>30.0</v>
      </c>
      <c r="C535" s="27">
        <v>45875.0</v>
      </c>
      <c r="D535" s="28">
        <v>45875.356944444444</v>
      </c>
      <c r="E535" s="28">
        <v>45875.74513888889</v>
      </c>
      <c r="F535" s="21" t="s">
        <v>184</v>
      </c>
      <c r="G535" s="23"/>
      <c r="H535" s="23" t="str">
        <f t="shared" si="1"/>
        <v>INSERT INTO tblDayAttendanceLog VALUES (seqDayAttendanceLog.nextval, 30, TO_DATE('2025-08-06', 'YYYY-MM-DD'), TO_DATE('2025-08-06 08:34:00', 'YYYY-MM-DD HH24:MI:SS'), TO_DATE('2025-08-06 17:53:00', 'YYYY-MM-DD HH24:MI:SS'));</v>
      </c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</row>
    <row r="536">
      <c r="A536" s="25" t="s">
        <v>206</v>
      </c>
      <c r="B536" s="26">
        <v>31.0</v>
      </c>
      <c r="C536" s="27">
        <v>45875.0</v>
      </c>
      <c r="D536" s="28">
        <v>45875.385416666664</v>
      </c>
      <c r="E536" s="28">
        <v>45875.74791666667</v>
      </c>
      <c r="F536" s="21" t="s">
        <v>189</v>
      </c>
      <c r="G536" s="23"/>
      <c r="H536" s="23" t="str">
        <f t="shared" si="1"/>
        <v>INSERT INTO tblDayAttendanceLog VALUES (seqDayAttendanceLog.nextval, 31, TO_DATE('2025-08-06', 'YYYY-MM-DD'), TO_DATE('2025-08-06 09:15:00', 'YYYY-MM-DD HH24:MI:SS'), TO_DATE('2025-08-06 17:57:00', 'YYYY-MM-DD HH24:MI:SS'));</v>
      </c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</row>
    <row r="537">
      <c r="A537" s="25" t="s">
        <v>206</v>
      </c>
      <c r="B537" s="26">
        <v>32.0</v>
      </c>
      <c r="C537" s="27">
        <v>45875.0</v>
      </c>
      <c r="D537" s="28">
        <v>45875.41458333333</v>
      </c>
      <c r="E537" s="28">
        <v>45875.74375</v>
      </c>
      <c r="F537" s="21" t="s">
        <v>189</v>
      </c>
      <c r="G537" s="23"/>
      <c r="H537" s="23" t="str">
        <f t="shared" si="1"/>
        <v>INSERT INTO tblDayAttendanceLog VALUES (seqDayAttendanceLog.nextval, 32, TO_DATE('2025-08-06', 'YYYY-MM-DD'), TO_DATE('2025-08-06 09:57:00', 'YYYY-MM-DD HH24:MI:SS'), TO_DATE('2025-08-06 17:51:00', 'YYYY-MM-DD HH24:MI:SS'));</v>
      </c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</row>
    <row r="538">
      <c r="A538" s="25" t="s">
        <v>206</v>
      </c>
      <c r="B538" s="26">
        <v>33.0</v>
      </c>
      <c r="C538" s="27">
        <v>45875.0</v>
      </c>
      <c r="D538" s="28">
        <v>45875.41388888889</v>
      </c>
      <c r="E538" s="28">
        <v>45875.745833333334</v>
      </c>
      <c r="F538" s="21" t="s">
        <v>189</v>
      </c>
      <c r="G538" s="23"/>
      <c r="H538" s="23" t="str">
        <f t="shared" si="1"/>
        <v>INSERT INTO tblDayAttendanceLog VALUES (seqDayAttendanceLog.nextval, 33, TO_DATE('2025-08-06', 'YYYY-MM-DD'), TO_DATE('2025-08-06 09:56:00', 'YYYY-MM-DD HH24:MI:SS'), TO_DATE('2025-08-06 17:54:00', 'YYYY-MM-DD HH24:MI:SS'));</v>
      </c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</row>
    <row r="539">
      <c r="A539" s="25" t="s">
        <v>206</v>
      </c>
      <c r="B539" s="26">
        <v>34.0</v>
      </c>
      <c r="C539" s="27">
        <v>45875.0</v>
      </c>
      <c r="D539" s="28">
        <v>45875.413194444445</v>
      </c>
      <c r="E539" s="28">
        <v>45875.74444444444</v>
      </c>
      <c r="F539" s="21" t="s">
        <v>189</v>
      </c>
      <c r="G539" s="23"/>
      <c r="H539" s="23" t="str">
        <f t="shared" si="1"/>
        <v>INSERT INTO tblDayAttendanceLog VALUES (seqDayAttendanceLog.nextval, 34, TO_DATE('2025-08-06', 'YYYY-MM-DD'), TO_DATE('2025-08-06 09:55:00', 'YYYY-MM-DD HH24:MI:SS'), TO_DATE('2025-08-06 17:52:00', 'YYYY-MM-DD HH24:MI:SS'));</v>
      </c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</row>
    <row r="540">
      <c r="A540" s="25" t="s">
        <v>206</v>
      </c>
      <c r="B540" s="26">
        <v>35.0</v>
      </c>
      <c r="C540" s="27">
        <v>45875.0</v>
      </c>
      <c r="D540" s="28">
        <v>45875.35486111111</v>
      </c>
      <c r="E540" s="28">
        <v>45875.748611111114</v>
      </c>
      <c r="F540" s="21" t="s">
        <v>184</v>
      </c>
      <c r="G540" s="23"/>
      <c r="H540" s="23" t="str">
        <f t="shared" si="1"/>
        <v>INSERT INTO tblDayAttendanceLog VALUES (seqDayAttendanceLog.nextval, 35, TO_DATE('2025-08-06', 'YYYY-MM-DD'), TO_DATE('2025-08-06 08:31:00', 'YYYY-MM-DD HH24:MI:SS'), TO_DATE('2025-08-06 17:58:00', 'YYYY-MM-DD HH24:MI:SS'));</v>
      </c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</row>
    <row r="541">
      <c r="A541" s="25" t="s">
        <v>206</v>
      </c>
      <c r="B541" s="26">
        <v>36.0</v>
      </c>
      <c r="C541" s="27">
        <v>45875.0</v>
      </c>
      <c r="D541" s="28">
        <v>45875.373611111114</v>
      </c>
      <c r="E541" s="28">
        <v>45875.74444444444</v>
      </c>
      <c r="F541" s="21" t="s">
        <v>184</v>
      </c>
      <c r="G541" s="23"/>
      <c r="H541" s="23" t="str">
        <f t="shared" si="1"/>
        <v>INSERT INTO tblDayAttendanceLog VALUES (seqDayAttendanceLog.nextval, 36, TO_DATE('2025-08-06', 'YYYY-MM-DD'), TO_DATE('2025-08-06 08:58:00', 'YYYY-MM-DD HH24:MI:SS'), TO_DATE('2025-08-06 17:52:00', 'YYYY-MM-DD HH24:MI:SS'));</v>
      </c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</row>
    <row r="542">
      <c r="A542" s="25" t="s">
        <v>206</v>
      </c>
      <c r="B542" s="26">
        <v>37.0</v>
      </c>
      <c r="C542" s="27">
        <v>45875.0</v>
      </c>
      <c r="D542" s="28">
        <v>45875.415972222225</v>
      </c>
      <c r="E542" s="28">
        <v>45875.74375</v>
      </c>
      <c r="F542" s="21" t="s">
        <v>189</v>
      </c>
      <c r="G542" s="23"/>
      <c r="H542" s="23" t="str">
        <f t="shared" si="1"/>
        <v>INSERT INTO tblDayAttendanceLog VALUES (seqDayAttendanceLog.nextval, 37, TO_DATE('2025-08-06', 'YYYY-MM-DD'), TO_DATE('2025-08-06 09:59:00', 'YYYY-MM-DD HH24:MI:SS'), TO_DATE('2025-08-06 17:51:00', 'YYYY-MM-DD HH24:MI:SS'));</v>
      </c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</row>
    <row r="543">
      <c r="A543" s="25" t="s">
        <v>206</v>
      </c>
      <c r="B543" s="26">
        <v>38.0</v>
      </c>
      <c r="C543" s="27">
        <v>45875.0</v>
      </c>
      <c r="D543" s="28">
        <v>45875.39027777778</v>
      </c>
      <c r="E543" s="28">
        <v>45875.74513888889</v>
      </c>
      <c r="F543" s="21" t="s">
        <v>189</v>
      </c>
      <c r="G543" s="23"/>
      <c r="H543" s="23" t="str">
        <f t="shared" si="1"/>
        <v>INSERT INTO tblDayAttendanceLog VALUES (seqDayAttendanceLog.nextval, 38, TO_DATE('2025-08-06', 'YYYY-MM-DD'), TO_DATE('2025-08-06 09:22:00', 'YYYY-MM-DD HH24:MI:SS'), TO_DATE('2025-08-06 17:53:00', 'YYYY-MM-DD HH24:MI:SS'));</v>
      </c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</row>
    <row r="544">
      <c r="A544" s="25" t="s">
        <v>206</v>
      </c>
      <c r="B544" s="26">
        <v>39.0</v>
      </c>
      <c r="C544" s="27">
        <v>45875.0</v>
      </c>
      <c r="D544" s="28">
        <v>45875.34166666667</v>
      </c>
      <c r="E544" s="28">
        <v>45875.745833333334</v>
      </c>
      <c r="F544" s="21" t="s">
        <v>184</v>
      </c>
      <c r="G544" s="23"/>
      <c r="H544" s="23" t="str">
        <f t="shared" si="1"/>
        <v>INSERT INTO tblDayAttendanceLog VALUES (seqDayAttendanceLog.nextval, 39, TO_DATE('2025-08-06', 'YYYY-MM-DD'), TO_DATE('2025-08-06 08:12:00', 'YYYY-MM-DD HH24:MI:SS'), TO_DATE('2025-08-06 17:54:00', 'YYYY-MM-DD HH24:MI:SS'));</v>
      </c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</row>
    <row r="545">
      <c r="A545" s="25" t="s">
        <v>206</v>
      </c>
      <c r="B545" s="26">
        <v>40.0</v>
      </c>
      <c r="C545" s="27">
        <v>45875.0</v>
      </c>
      <c r="D545" s="28">
        <v>45875.40555555555</v>
      </c>
      <c r="E545" s="28">
        <v>45875.74791666667</v>
      </c>
      <c r="F545" s="21" t="s">
        <v>189</v>
      </c>
      <c r="G545" s="23"/>
      <c r="H545" s="23" t="str">
        <f t="shared" si="1"/>
        <v>INSERT INTO tblDayAttendanceLog VALUES (seqDayAttendanceLog.nextval, 40, TO_DATE('2025-08-06', 'YYYY-MM-DD'), TO_DATE('2025-08-06 09:44:00', 'YYYY-MM-DD HH24:MI:SS'), TO_DATE('2025-08-06 17:57:00', 'YYYY-MM-DD HH24:MI:SS'));</v>
      </c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</row>
    <row r="546">
      <c r="A546" s="25" t="s">
        <v>206</v>
      </c>
      <c r="B546" s="26">
        <v>41.0</v>
      </c>
      <c r="C546" s="27">
        <v>45875.0</v>
      </c>
      <c r="D546" s="28">
        <v>45875.39444444444</v>
      </c>
      <c r="E546" s="28">
        <v>45875.743055555555</v>
      </c>
      <c r="F546" s="21" t="s">
        <v>189</v>
      </c>
      <c r="G546" s="23"/>
      <c r="H546" s="23" t="str">
        <f t="shared" si="1"/>
        <v>INSERT INTO tblDayAttendanceLog VALUES (seqDayAttendanceLog.nextval, 41, TO_DATE('2025-08-06', 'YYYY-MM-DD'), TO_DATE('2025-08-06 09:28:00', 'YYYY-MM-DD HH24:MI:SS'), TO_DATE('2025-08-06 17:50:00', 'YYYY-MM-DD HH24:MI:SS'));</v>
      </c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</row>
    <row r="547">
      <c r="A547" s="25" t="s">
        <v>206</v>
      </c>
      <c r="B547" s="26">
        <v>42.0</v>
      </c>
      <c r="C547" s="27">
        <v>45875.0</v>
      </c>
      <c r="D547" s="28">
        <v>45875.34652777778</v>
      </c>
      <c r="E547" s="28">
        <v>45875.74652777778</v>
      </c>
      <c r="F547" s="21" t="s">
        <v>184</v>
      </c>
      <c r="G547" s="23"/>
      <c r="H547" s="23" t="str">
        <f t="shared" si="1"/>
        <v>INSERT INTO tblDayAttendanceLog VALUES (seqDayAttendanceLog.nextval, 42, TO_DATE('2025-08-06', 'YYYY-MM-DD'), TO_DATE('2025-08-06 08:19:00', 'YYYY-MM-DD HH24:MI:SS'), TO_DATE('2025-08-06 17:55:00', 'YYYY-MM-DD HH24:MI:SS'));</v>
      </c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</row>
    <row r="548">
      <c r="A548" s="25" t="s">
        <v>206</v>
      </c>
      <c r="B548" s="26">
        <v>43.0</v>
      </c>
      <c r="C548" s="27">
        <v>45875.0</v>
      </c>
      <c r="D548" s="28">
        <v>45875.365277777775</v>
      </c>
      <c r="E548" s="28">
        <v>45875.748611111114</v>
      </c>
      <c r="F548" s="21" t="s">
        <v>184</v>
      </c>
      <c r="G548" s="23"/>
      <c r="H548" s="23" t="str">
        <f t="shared" si="1"/>
        <v>INSERT INTO tblDayAttendanceLog VALUES (seqDayAttendanceLog.nextval, 43, TO_DATE('2025-08-06', 'YYYY-MM-DD'), TO_DATE('2025-08-06 08:46:00', 'YYYY-MM-DD HH24:MI:SS'), TO_DATE('2025-08-06 17:58:00', 'YYYY-MM-DD HH24:MI:SS'));</v>
      </c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</row>
    <row r="549">
      <c r="A549" s="25" t="s">
        <v>206</v>
      </c>
      <c r="B549" s="26">
        <v>44.0</v>
      </c>
      <c r="C549" s="27">
        <v>45875.0</v>
      </c>
      <c r="D549" s="28">
        <v>45875.40277777778</v>
      </c>
      <c r="E549" s="28">
        <v>45875.74652777778</v>
      </c>
      <c r="F549" s="21" t="s">
        <v>189</v>
      </c>
      <c r="G549" s="23"/>
      <c r="H549" s="23" t="str">
        <f t="shared" si="1"/>
        <v>INSERT INTO tblDayAttendanceLog VALUES (seqDayAttendanceLog.nextval, 44, TO_DATE('2025-08-06', 'YYYY-MM-DD'), TO_DATE('2025-08-06 09:40:00', 'YYYY-MM-DD HH24:MI:SS'), TO_DATE('2025-08-06 17:55:00', 'YYYY-MM-DD HH24:MI:SS'));</v>
      </c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</row>
    <row r="550">
      <c r="A550" s="25" t="s">
        <v>206</v>
      </c>
      <c r="B550" s="26">
        <v>45.0</v>
      </c>
      <c r="C550" s="27">
        <v>45875.0</v>
      </c>
      <c r="D550" s="28">
        <v>45875.35625</v>
      </c>
      <c r="E550" s="28">
        <v>45875.74652777778</v>
      </c>
      <c r="F550" s="21" t="s">
        <v>184</v>
      </c>
      <c r="G550" s="23"/>
      <c r="H550" s="23" t="str">
        <f t="shared" si="1"/>
        <v>INSERT INTO tblDayAttendanceLog VALUES (seqDayAttendanceLog.nextval, 45, TO_DATE('2025-08-06', 'YYYY-MM-DD'), TO_DATE('2025-08-06 08:33:00', 'YYYY-MM-DD HH24:MI:SS'), TO_DATE('2025-08-06 17:55:00', 'YYYY-MM-DD HH24:MI:SS'));</v>
      </c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</row>
    <row r="551">
      <c r="A551" s="25" t="s">
        <v>206</v>
      </c>
      <c r="B551" s="26">
        <v>46.0</v>
      </c>
      <c r="C551" s="27">
        <v>45875.0</v>
      </c>
      <c r="D551" s="28">
        <v>45875.38055555556</v>
      </c>
      <c r="E551" s="28">
        <v>45875.74652777778</v>
      </c>
      <c r="F551" s="21" t="s">
        <v>189</v>
      </c>
      <c r="G551" s="23"/>
      <c r="H551" s="23" t="str">
        <f t="shared" si="1"/>
        <v>INSERT INTO tblDayAttendanceLog VALUES (seqDayAttendanceLog.nextval, 46, TO_DATE('2025-08-06', 'YYYY-MM-DD'), TO_DATE('2025-08-06 09:08:00', 'YYYY-MM-DD HH24:MI:SS'), TO_DATE('2025-08-06 17:55:00', 'YYYY-MM-DD HH24:MI:SS'));</v>
      </c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</row>
    <row r="552">
      <c r="A552" s="25" t="s">
        <v>206</v>
      </c>
      <c r="B552" s="26">
        <v>47.0</v>
      </c>
      <c r="C552" s="27">
        <v>45875.0</v>
      </c>
      <c r="D552" s="28">
        <v>45875.345138888886</v>
      </c>
      <c r="E552" s="28">
        <v>45875.74722222222</v>
      </c>
      <c r="F552" s="21" t="s">
        <v>184</v>
      </c>
      <c r="G552" s="23"/>
      <c r="H552" s="23" t="str">
        <f t="shared" si="1"/>
        <v>INSERT INTO tblDayAttendanceLog VALUES (seqDayAttendanceLog.nextval, 47, TO_DATE('2025-08-06', 'YYYY-MM-DD'), TO_DATE('2025-08-06 08:17:00', 'YYYY-MM-DD HH24:MI:SS'), TO_DATE('2025-08-06 17:56:00', 'YYYY-MM-DD HH24:MI:SS'));</v>
      </c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</row>
    <row r="553">
      <c r="A553" s="25" t="s">
        <v>206</v>
      </c>
      <c r="B553" s="26">
        <v>48.0</v>
      </c>
      <c r="C553" s="27">
        <v>45875.0</v>
      </c>
      <c r="D553" s="28">
        <v>45875.37222222222</v>
      </c>
      <c r="E553" s="28">
        <v>45875.74722222222</v>
      </c>
      <c r="F553" s="21" t="s">
        <v>184</v>
      </c>
      <c r="G553" s="23"/>
      <c r="H553" s="23" t="str">
        <f t="shared" si="1"/>
        <v>INSERT INTO tblDayAttendanceLog VALUES (seqDayAttendanceLog.nextval, 48, TO_DATE('2025-08-06', 'YYYY-MM-DD'), TO_DATE('2025-08-06 08:56:00', 'YYYY-MM-DD HH24:MI:SS'), TO_DATE('2025-08-06 17:56:00', 'YYYY-MM-DD HH24:MI:SS'));</v>
      </c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</row>
    <row r="554">
      <c r="A554" s="25" t="s">
        <v>206</v>
      </c>
      <c r="B554" s="26">
        <v>49.0</v>
      </c>
      <c r="C554" s="27">
        <v>45875.0</v>
      </c>
      <c r="D554" s="28">
        <v>45875.345138888886</v>
      </c>
      <c r="E554" s="28">
        <v>45875.74791666667</v>
      </c>
      <c r="F554" s="21" t="s">
        <v>184</v>
      </c>
      <c r="G554" s="23"/>
      <c r="H554" s="23" t="str">
        <f t="shared" si="1"/>
        <v>INSERT INTO tblDayAttendanceLog VALUES (seqDayAttendanceLog.nextval, 49, TO_DATE('2025-08-06', 'YYYY-MM-DD'), TO_DATE('2025-08-06 08:17:00', 'YYYY-MM-DD HH24:MI:SS'), TO_DATE('2025-08-06 17:57:00', 'YYYY-MM-DD HH24:MI:SS'));</v>
      </c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</row>
    <row r="555">
      <c r="A555" s="25" t="s">
        <v>206</v>
      </c>
      <c r="B555" s="26">
        <v>50.0</v>
      </c>
      <c r="C555" s="27">
        <v>45875.0</v>
      </c>
      <c r="D555" s="28">
        <v>45875.373611111114</v>
      </c>
      <c r="E555" s="28">
        <v>45875.74652777778</v>
      </c>
      <c r="F555" s="21" t="s">
        <v>184</v>
      </c>
      <c r="G555" s="23"/>
      <c r="H555" s="23" t="str">
        <f t="shared" si="1"/>
        <v>INSERT INTO tblDayAttendanceLog VALUES (seqDayAttendanceLog.nextval, 50, TO_DATE('2025-08-06', 'YYYY-MM-DD'), TO_DATE('2025-08-06 08:58:00', 'YYYY-MM-DD HH24:MI:SS'), TO_DATE('2025-08-06 17:55:00', 'YYYY-MM-DD HH24:MI:SS'));</v>
      </c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</row>
    <row r="556">
      <c r="A556" s="25" t="s">
        <v>206</v>
      </c>
      <c r="B556" s="26">
        <v>51.0</v>
      </c>
      <c r="C556" s="27">
        <v>45875.0</v>
      </c>
      <c r="D556" s="28">
        <v>45875.36111111111</v>
      </c>
      <c r="E556" s="28">
        <v>45875.74375</v>
      </c>
      <c r="F556" s="21" t="s">
        <v>184</v>
      </c>
      <c r="G556" s="23"/>
      <c r="H556" s="23" t="str">
        <f t="shared" si="1"/>
        <v>INSERT INTO tblDayAttendanceLog VALUES (seqDayAttendanceLog.nextval, 51, TO_DATE('2025-08-06', 'YYYY-MM-DD'), TO_DATE('2025-08-06 08:40:00', 'YYYY-MM-DD HH24:MI:SS'), TO_DATE('2025-08-06 17:51:00', 'YYYY-MM-DD HH24:MI:SS'));</v>
      </c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</row>
    <row r="557">
      <c r="A557" s="25" t="s">
        <v>206</v>
      </c>
      <c r="B557" s="26">
        <v>52.0</v>
      </c>
      <c r="C557" s="27">
        <v>45875.0</v>
      </c>
      <c r="D557" s="28">
        <v>45875.34444444445</v>
      </c>
      <c r="E557" s="28">
        <v>45875.74375</v>
      </c>
      <c r="F557" s="21" t="s">
        <v>184</v>
      </c>
      <c r="G557" s="23"/>
      <c r="H557" s="23" t="str">
        <f t="shared" si="1"/>
        <v>INSERT INTO tblDayAttendanceLog VALUES (seqDayAttendanceLog.nextval, 52, TO_DATE('2025-08-06', 'YYYY-MM-DD'), TO_DATE('2025-08-06 08:16:00', 'YYYY-MM-DD HH24:MI:SS'), TO_DATE('2025-08-06 17:51:00', 'YYYY-MM-DD HH24:MI:SS'));</v>
      </c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</row>
    <row r="558">
      <c r="A558" s="25" t="s">
        <v>206</v>
      </c>
      <c r="B558" s="26">
        <v>53.0</v>
      </c>
      <c r="C558" s="27">
        <v>45875.0</v>
      </c>
      <c r="D558" s="28">
        <v>45875.41111111111</v>
      </c>
      <c r="E558" s="28">
        <v>45875.74652777778</v>
      </c>
      <c r="F558" s="21" t="s">
        <v>189</v>
      </c>
      <c r="G558" s="23"/>
      <c r="H558" s="23" t="str">
        <f t="shared" si="1"/>
        <v>INSERT INTO tblDayAttendanceLog VALUES (seqDayAttendanceLog.nextval, 53, TO_DATE('2025-08-06', 'YYYY-MM-DD'), TO_DATE('2025-08-06 09:52:00', 'YYYY-MM-DD HH24:MI:SS'), TO_DATE('2025-08-06 17:55:00', 'YYYY-MM-DD HH24:MI:SS'));</v>
      </c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</row>
    <row r="559">
      <c r="A559" s="25" t="s">
        <v>206</v>
      </c>
      <c r="B559" s="26">
        <v>54.0</v>
      </c>
      <c r="C559" s="27">
        <v>45875.0</v>
      </c>
      <c r="D559" s="28">
        <v>45875.388194444444</v>
      </c>
      <c r="E559" s="28">
        <v>45875.74513888889</v>
      </c>
      <c r="F559" s="21" t="s">
        <v>189</v>
      </c>
      <c r="G559" s="23"/>
      <c r="H559" s="23" t="str">
        <f t="shared" si="1"/>
        <v>INSERT INTO tblDayAttendanceLog VALUES (seqDayAttendanceLog.nextval, 54, TO_DATE('2025-08-06', 'YYYY-MM-DD'), TO_DATE('2025-08-06 09:19:00', 'YYYY-MM-DD HH24:MI:SS'), TO_DATE('2025-08-06 17:53:00', 'YYYY-MM-DD HH24:MI:SS'));</v>
      </c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</row>
    <row r="560">
      <c r="A560" s="25" t="s">
        <v>206</v>
      </c>
      <c r="B560" s="26">
        <v>55.0</v>
      </c>
      <c r="C560" s="27">
        <v>45875.0</v>
      </c>
      <c r="D560" s="28">
        <v>45875.407638888886</v>
      </c>
      <c r="E560" s="28">
        <v>45875.74930555555</v>
      </c>
      <c r="F560" s="21" t="s">
        <v>189</v>
      </c>
      <c r="G560" s="23"/>
      <c r="H560" s="23" t="str">
        <f t="shared" si="1"/>
        <v>INSERT INTO tblDayAttendanceLog VALUES (seqDayAttendanceLog.nextval, 55, TO_DATE('2025-08-06', 'YYYY-MM-DD'), TO_DATE('2025-08-06 09:47:00', 'YYYY-MM-DD HH24:MI:SS'), TO_DATE('2025-08-06 17:59:00', 'YYYY-MM-DD HH24:MI:SS'));</v>
      </c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</row>
    <row r="561">
      <c r="A561" s="25" t="s">
        <v>206</v>
      </c>
      <c r="B561" s="26">
        <v>56.0</v>
      </c>
      <c r="C561" s="27">
        <v>45875.0</v>
      </c>
      <c r="D561" s="28">
        <v>45875.339583333334</v>
      </c>
      <c r="E561" s="28">
        <v>45875.74722222222</v>
      </c>
      <c r="F561" s="21" t="s">
        <v>184</v>
      </c>
      <c r="G561" s="23"/>
      <c r="H561" s="23" t="str">
        <f t="shared" si="1"/>
        <v>INSERT INTO tblDayAttendanceLog VALUES (seqDayAttendanceLog.nextval, 56, TO_DATE('2025-08-06', 'YYYY-MM-DD'), TO_DATE('2025-08-06 08:09:00', 'YYYY-MM-DD HH24:MI:SS'), TO_DATE('2025-08-06 17:56:00', 'YYYY-MM-DD HH24:MI:SS'));</v>
      </c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</row>
    <row r="562">
      <c r="A562" s="25" t="s">
        <v>206</v>
      </c>
      <c r="B562" s="26">
        <v>57.0</v>
      </c>
      <c r="C562" s="27">
        <v>45875.0</v>
      </c>
      <c r="D562" s="28">
        <v>45875.36041666667</v>
      </c>
      <c r="E562" s="28">
        <v>45875.74375</v>
      </c>
      <c r="F562" s="21" t="s">
        <v>184</v>
      </c>
      <c r="G562" s="23"/>
      <c r="H562" s="23" t="str">
        <f t="shared" si="1"/>
        <v>INSERT INTO tblDayAttendanceLog VALUES (seqDayAttendanceLog.nextval, 57, TO_DATE('2025-08-06', 'YYYY-MM-DD'), TO_DATE('2025-08-06 08:39:00', 'YYYY-MM-DD HH24:MI:SS'), TO_DATE('2025-08-06 17:51:00', 'YYYY-MM-DD HH24:MI:SS'));</v>
      </c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</row>
    <row r="563">
      <c r="A563" s="25" t="s">
        <v>206</v>
      </c>
      <c r="B563" s="26">
        <v>58.0</v>
      </c>
      <c r="C563" s="27">
        <v>45875.0</v>
      </c>
      <c r="D563" s="28">
        <v>45875.376388888886</v>
      </c>
      <c r="E563" s="28">
        <v>45875.748611111114</v>
      </c>
      <c r="F563" s="21" t="s">
        <v>189</v>
      </c>
      <c r="G563" s="23"/>
      <c r="H563" s="23" t="str">
        <f t="shared" si="1"/>
        <v>INSERT INTO tblDayAttendanceLog VALUES (seqDayAttendanceLog.nextval, 58, TO_DATE('2025-08-06', 'YYYY-MM-DD'), TO_DATE('2025-08-06 09:02:00', 'YYYY-MM-DD HH24:MI:SS'), TO_DATE('2025-08-06 17:58:00', 'YYYY-MM-DD HH24:MI:SS'));</v>
      </c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</row>
    <row r="564">
      <c r="A564" s="25" t="s">
        <v>206</v>
      </c>
      <c r="B564" s="26">
        <v>59.0</v>
      </c>
      <c r="C564" s="27">
        <v>45875.0</v>
      </c>
      <c r="D564" s="28">
        <v>45875.35902777778</v>
      </c>
      <c r="E564" s="28">
        <v>45875.74375</v>
      </c>
      <c r="F564" s="21" t="s">
        <v>184</v>
      </c>
      <c r="G564" s="23"/>
      <c r="H564" s="23" t="str">
        <f t="shared" si="1"/>
        <v>INSERT INTO tblDayAttendanceLog VALUES (seqDayAttendanceLog.nextval, 59, TO_DATE('2025-08-06', 'YYYY-MM-DD'), TO_DATE('2025-08-06 08:37:00', 'YYYY-MM-DD HH24:MI:SS'), TO_DATE('2025-08-06 17:51:00', 'YYYY-MM-DD HH24:MI:SS'));</v>
      </c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</row>
    <row r="565">
      <c r="A565" s="25" t="s">
        <v>206</v>
      </c>
      <c r="B565" s="26">
        <v>60.0</v>
      </c>
      <c r="C565" s="27">
        <v>45875.0</v>
      </c>
      <c r="D565" s="28">
        <v>45875.3625</v>
      </c>
      <c r="E565" s="28">
        <v>45875.74375</v>
      </c>
      <c r="F565" s="21" t="s">
        <v>184</v>
      </c>
      <c r="G565" s="23"/>
      <c r="H565" s="23" t="str">
        <f t="shared" si="1"/>
        <v>INSERT INTO tblDayAttendanceLog VALUES (seqDayAttendanceLog.nextval, 60, TO_DATE('2025-08-06', 'YYYY-MM-DD'), TO_DATE('2025-08-06 08:42:00', 'YYYY-MM-DD HH24:MI:SS'), TO_DATE('2025-08-06 17:51:00', 'YYYY-MM-DD HH24:MI:SS'));</v>
      </c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</row>
    <row r="566">
      <c r="A566" s="25" t="s">
        <v>206</v>
      </c>
      <c r="B566" s="26">
        <v>61.0</v>
      </c>
      <c r="C566" s="27">
        <v>45875.0</v>
      </c>
      <c r="D566" s="28">
        <v>45875.37986111111</v>
      </c>
      <c r="E566" s="28">
        <v>45875.74930555555</v>
      </c>
      <c r="F566" s="21" t="s">
        <v>189</v>
      </c>
      <c r="G566" s="23"/>
      <c r="H566" s="23" t="str">
        <f t="shared" si="1"/>
        <v>INSERT INTO tblDayAttendanceLog VALUES (seqDayAttendanceLog.nextval, 61, TO_DATE('2025-08-06', 'YYYY-MM-DD'), TO_DATE('2025-08-06 09:07:00', 'YYYY-MM-DD HH24:MI:SS'), TO_DATE('2025-08-06 17:59:00', 'YYYY-MM-DD HH24:MI:SS'));</v>
      </c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</row>
    <row r="567">
      <c r="A567" s="25" t="s">
        <v>206</v>
      </c>
      <c r="B567" s="26">
        <v>62.0</v>
      </c>
      <c r="C567" s="27">
        <v>45875.0</v>
      </c>
      <c r="D567" s="28">
        <v>45875.39375</v>
      </c>
      <c r="E567" s="28">
        <v>45875.74652777778</v>
      </c>
      <c r="F567" s="21" t="s">
        <v>189</v>
      </c>
      <c r="G567" s="23"/>
      <c r="H567" s="23" t="str">
        <f t="shared" si="1"/>
        <v>INSERT INTO tblDayAttendanceLog VALUES (seqDayAttendanceLog.nextval, 62, TO_DATE('2025-08-06', 'YYYY-MM-DD'), TO_DATE('2025-08-06 09:27:00', 'YYYY-MM-DD HH24:MI:SS'), TO_DATE('2025-08-06 17:55:00', 'YYYY-MM-DD HH24:MI:SS'));</v>
      </c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</row>
    <row r="568">
      <c r="A568" s="25" t="s">
        <v>206</v>
      </c>
      <c r="B568" s="26">
        <v>63.0</v>
      </c>
      <c r="C568" s="27">
        <v>45875.0</v>
      </c>
      <c r="D568" s="28">
        <v>45875.40694444445</v>
      </c>
      <c r="E568" s="28">
        <v>45875.74375</v>
      </c>
      <c r="F568" s="21" t="s">
        <v>189</v>
      </c>
      <c r="G568" s="23"/>
      <c r="H568" s="23" t="str">
        <f t="shared" si="1"/>
        <v>INSERT INTO tblDayAttendanceLog VALUES (seqDayAttendanceLog.nextval, 63, TO_DATE('2025-08-06', 'YYYY-MM-DD'), TO_DATE('2025-08-06 09:46:00', 'YYYY-MM-DD HH24:MI:SS'), TO_DATE('2025-08-06 17:51:00', 'YYYY-MM-DD HH24:MI:SS'));</v>
      </c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</row>
    <row r="569">
      <c r="A569" s="25" t="s">
        <v>206</v>
      </c>
      <c r="B569" s="26">
        <v>64.0</v>
      </c>
      <c r="C569" s="27">
        <v>45875.0</v>
      </c>
      <c r="D569" s="28">
        <v>45875.415972222225</v>
      </c>
      <c r="E569" s="28">
        <v>45875.74652777778</v>
      </c>
      <c r="F569" s="21" t="s">
        <v>189</v>
      </c>
      <c r="G569" s="23"/>
      <c r="H569" s="23" t="str">
        <f t="shared" si="1"/>
        <v>INSERT INTO tblDayAttendanceLog VALUES (seqDayAttendanceLog.nextval, 64, TO_DATE('2025-08-06', 'YYYY-MM-DD'), TO_DATE('2025-08-06 09:59:00', 'YYYY-MM-DD HH24:MI:SS'), TO_DATE('2025-08-06 17:55:00', 'YYYY-MM-DD HH24:MI:SS'));</v>
      </c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</row>
    <row r="570">
      <c r="A570" s="25" t="s">
        <v>206</v>
      </c>
      <c r="B570" s="26">
        <v>65.0</v>
      </c>
      <c r="C570" s="27">
        <v>45875.0</v>
      </c>
      <c r="D570" s="29"/>
      <c r="E570" s="29"/>
      <c r="F570" s="21" t="s">
        <v>186</v>
      </c>
      <c r="G570" s="23"/>
      <c r="H570" s="23" t="str">
        <f t="shared" si="1"/>
        <v>INSERT INTO tblDayAttendanceLog VALUES (seqDayAttendanceLog.nextval, 65, TO_DATE('2025-08-06', 'YYYY-MM-DD'), NULL, NULL);</v>
      </c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</row>
    <row r="571">
      <c r="A571" s="25" t="s">
        <v>206</v>
      </c>
      <c r="B571" s="26">
        <v>66.0</v>
      </c>
      <c r="C571" s="27">
        <v>45875.0</v>
      </c>
      <c r="D571" s="28">
        <v>45875.347916666666</v>
      </c>
      <c r="E571" s="28">
        <v>45875.74722222222</v>
      </c>
      <c r="F571" s="21" t="s">
        <v>184</v>
      </c>
      <c r="G571" s="23"/>
      <c r="H571" s="23" t="str">
        <f t="shared" si="1"/>
        <v>INSERT INTO tblDayAttendanceLog VALUES (seqDayAttendanceLog.nextval, 66, TO_DATE('2025-08-06', 'YYYY-MM-DD'), TO_DATE('2025-08-06 08:21:00', 'YYYY-MM-DD HH24:MI:SS'), TO_DATE('2025-08-06 17:56:00', 'YYYY-MM-DD HH24:MI:SS'));</v>
      </c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</row>
    <row r="572">
      <c r="A572" s="25" t="s">
        <v>206</v>
      </c>
      <c r="B572" s="26">
        <v>67.0</v>
      </c>
      <c r="C572" s="27">
        <v>45875.0</v>
      </c>
      <c r="D572" s="28">
        <v>45875.36319444444</v>
      </c>
      <c r="E572" s="28">
        <v>45875.74930555555</v>
      </c>
      <c r="F572" s="21" t="s">
        <v>184</v>
      </c>
      <c r="G572" s="23"/>
      <c r="H572" s="23" t="str">
        <f t="shared" si="1"/>
        <v>INSERT INTO tblDayAttendanceLog VALUES (seqDayAttendanceLog.nextval, 67, TO_DATE('2025-08-06', 'YYYY-MM-DD'), TO_DATE('2025-08-06 08:43:00', 'YYYY-MM-DD HH24:MI:SS'), TO_DATE('2025-08-06 17:59:00', 'YYYY-MM-DD HH24:MI:SS'));</v>
      </c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</row>
    <row r="573">
      <c r="A573" s="25" t="s">
        <v>206</v>
      </c>
      <c r="B573" s="26">
        <v>68.0</v>
      </c>
      <c r="C573" s="27">
        <v>45875.0</v>
      </c>
      <c r="D573" s="28">
        <v>45875.36944444444</v>
      </c>
      <c r="E573" s="28">
        <v>45875.74930555555</v>
      </c>
      <c r="F573" s="21" t="s">
        <v>184</v>
      </c>
      <c r="G573" s="23"/>
      <c r="H573" s="23" t="str">
        <f t="shared" si="1"/>
        <v>INSERT INTO tblDayAttendanceLog VALUES (seqDayAttendanceLog.nextval, 68, TO_DATE('2025-08-06', 'YYYY-MM-DD'), TO_DATE('2025-08-06 08:52:00', 'YYYY-MM-DD HH24:MI:SS'), TO_DATE('2025-08-06 17:59:00', 'YYYY-MM-DD HH24:MI:SS'));</v>
      </c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</row>
    <row r="574">
      <c r="A574" s="25" t="s">
        <v>206</v>
      </c>
      <c r="B574" s="26">
        <v>69.0</v>
      </c>
      <c r="C574" s="27">
        <v>45875.0</v>
      </c>
      <c r="D574" s="28">
        <v>45875.36111111111</v>
      </c>
      <c r="E574" s="28">
        <v>45875.74375</v>
      </c>
      <c r="F574" s="21" t="s">
        <v>184</v>
      </c>
      <c r="G574" s="23"/>
      <c r="H574" s="23" t="str">
        <f t="shared" si="1"/>
        <v>INSERT INTO tblDayAttendanceLog VALUES (seqDayAttendanceLog.nextval, 69, TO_DATE('2025-08-06', 'YYYY-MM-DD'), TO_DATE('2025-08-06 08:40:00', 'YYYY-MM-DD HH24:MI:SS'), TO_DATE('2025-08-06 17:51:00', 'YYYY-MM-DD HH24:MI:SS'));</v>
      </c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</row>
    <row r="575">
      <c r="A575" s="25" t="s">
        <v>206</v>
      </c>
      <c r="B575" s="26">
        <v>70.0</v>
      </c>
      <c r="C575" s="27">
        <v>45875.0</v>
      </c>
      <c r="D575" s="28">
        <v>45875.350694444445</v>
      </c>
      <c r="E575" s="28">
        <v>45875.74513888889</v>
      </c>
      <c r="F575" s="21" t="s">
        <v>184</v>
      </c>
      <c r="G575" s="23"/>
      <c r="H575" s="23" t="str">
        <f t="shared" si="1"/>
        <v>INSERT INTO tblDayAttendanceLog VALUES (seqDayAttendanceLog.nextval, 70, TO_DATE('2025-08-06', 'YYYY-MM-DD'), TO_DATE('2025-08-06 08:25:00', 'YYYY-MM-DD HH24:MI:SS'), TO_DATE('2025-08-06 17:53:00', 'YYYY-MM-DD HH24:MI:SS'));</v>
      </c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</row>
    <row r="576">
      <c r="A576" s="25" t="s">
        <v>206</v>
      </c>
      <c r="B576" s="26">
        <v>71.0</v>
      </c>
      <c r="C576" s="27">
        <v>45875.0</v>
      </c>
      <c r="D576" s="28">
        <v>45875.365277777775</v>
      </c>
      <c r="E576" s="28">
        <v>45875.74930555555</v>
      </c>
      <c r="F576" s="21" t="s">
        <v>184</v>
      </c>
      <c r="G576" s="23"/>
      <c r="H576" s="23" t="str">
        <f t="shared" si="1"/>
        <v>INSERT INTO tblDayAttendanceLog VALUES (seqDayAttendanceLog.nextval, 71, TO_DATE('2025-08-06', 'YYYY-MM-DD'), TO_DATE('2025-08-06 08:46:00', 'YYYY-MM-DD HH24:MI:SS'), TO_DATE('2025-08-06 17:59:00', 'YYYY-MM-DD HH24:MI:SS'));</v>
      </c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</row>
    <row r="577">
      <c r="A577" s="25" t="s">
        <v>206</v>
      </c>
      <c r="B577" s="26">
        <v>72.0</v>
      </c>
      <c r="C577" s="27">
        <v>45875.0</v>
      </c>
      <c r="D577" s="28">
        <v>45875.39861111111</v>
      </c>
      <c r="E577" s="28">
        <v>45875.74791666667</v>
      </c>
      <c r="F577" s="21" t="s">
        <v>189</v>
      </c>
      <c r="G577" s="23"/>
      <c r="H577" s="23" t="str">
        <f t="shared" si="1"/>
        <v>INSERT INTO tblDayAttendanceLog VALUES (seqDayAttendanceLog.nextval, 72, TO_DATE('2025-08-06', 'YYYY-MM-DD'), TO_DATE('2025-08-06 09:34:00', 'YYYY-MM-DD HH24:MI:SS'), TO_DATE('2025-08-06 17:57:00', 'YYYY-MM-DD HH24:MI:SS'));</v>
      </c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</row>
    <row r="578">
      <c r="A578" s="25" t="s">
        <v>206</v>
      </c>
      <c r="B578" s="26">
        <v>73.0</v>
      </c>
      <c r="C578" s="27">
        <v>45875.0</v>
      </c>
      <c r="D578" s="29"/>
      <c r="E578" s="29"/>
      <c r="F578" s="21" t="s">
        <v>186</v>
      </c>
      <c r="G578" s="23"/>
      <c r="H578" s="23" t="str">
        <f t="shared" si="1"/>
        <v>INSERT INTO tblDayAttendanceLog VALUES (seqDayAttendanceLog.nextval, 73, TO_DATE('2025-08-06', 'YYYY-MM-DD'), NULL, NULL);</v>
      </c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</row>
    <row r="579">
      <c r="A579" s="25" t="s">
        <v>206</v>
      </c>
      <c r="B579" s="26">
        <v>74.0</v>
      </c>
      <c r="C579" s="27">
        <v>45875.0</v>
      </c>
      <c r="D579" s="28">
        <v>45875.36319444444</v>
      </c>
      <c r="E579" s="28">
        <v>45875.74791666667</v>
      </c>
      <c r="F579" s="21" t="s">
        <v>184</v>
      </c>
      <c r="G579" s="23"/>
      <c r="H579" s="23" t="str">
        <f t="shared" si="1"/>
        <v>INSERT INTO tblDayAttendanceLog VALUES (seqDayAttendanceLog.nextval, 74, TO_DATE('2025-08-06', 'YYYY-MM-DD'), TO_DATE('2025-08-06 08:43:00', 'YYYY-MM-DD HH24:MI:SS'), TO_DATE('2025-08-06 17:57:00', 'YYYY-MM-DD HH24:MI:SS'));</v>
      </c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</row>
    <row r="580">
      <c r="A580" s="25" t="s">
        <v>206</v>
      </c>
      <c r="B580" s="26">
        <v>75.0</v>
      </c>
      <c r="C580" s="27">
        <v>45875.0</v>
      </c>
      <c r="D580" s="28">
        <v>45875.37152777778</v>
      </c>
      <c r="E580" s="28">
        <v>45875.74652777778</v>
      </c>
      <c r="F580" s="21" t="s">
        <v>184</v>
      </c>
      <c r="G580" s="23"/>
      <c r="H580" s="23" t="str">
        <f t="shared" si="1"/>
        <v>INSERT INTO tblDayAttendanceLog VALUES (seqDayAttendanceLog.nextval, 75, TO_DATE('2025-08-06', 'YYYY-MM-DD'), TO_DATE('2025-08-06 08:55:00', 'YYYY-MM-DD HH24:MI:SS'), TO_DATE('2025-08-06 17:55:00', 'YYYY-MM-DD HH24:MI:SS'));</v>
      </c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</row>
    <row r="581">
      <c r="A581" s="25" t="s">
        <v>206</v>
      </c>
      <c r="B581" s="26">
        <v>76.0</v>
      </c>
      <c r="C581" s="27">
        <v>45875.0</v>
      </c>
      <c r="D581" s="28">
        <v>45875.370833333334</v>
      </c>
      <c r="E581" s="28">
        <v>45875.74930555555</v>
      </c>
      <c r="F581" s="21" t="s">
        <v>184</v>
      </c>
      <c r="G581" s="23"/>
      <c r="H581" s="23" t="str">
        <f t="shared" si="1"/>
        <v>INSERT INTO tblDayAttendanceLog VALUES (seqDayAttendanceLog.nextval, 76, TO_DATE('2025-08-06', 'YYYY-MM-DD'), TO_DATE('2025-08-06 08:54:00', 'YYYY-MM-DD HH24:MI:SS'), TO_DATE('2025-08-06 17:59:00', 'YYYY-MM-DD HH24:MI:SS'));</v>
      </c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</row>
    <row r="582">
      <c r="A582" s="25" t="s">
        <v>206</v>
      </c>
      <c r="B582" s="26">
        <v>77.0</v>
      </c>
      <c r="C582" s="27">
        <v>45875.0</v>
      </c>
      <c r="D582" s="28">
        <v>45875.34583333333</v>
      </c>
      <c r="E582" s="28">
        <v>45875.74930555555</v>
      </c>
      <c r="F582" s="21" t="s">
        <v>184</v>
      </c>
      <c r="G582" s="23"/>
      <c r="H582" s="23" t="str">
        <f t="shared" si="1"/>
        <v>INSERT INTO tblDayAttendanceLog VALUES (seqDayAttendanceLog.nextval, 77, TO_DATE('2025-08-06', 'YYYY-MM-DD'), TO_DATE('2025-08-06 08:18:00', 'YYYY-MM-DD HH24:MI:SS'), TO_DATE('2025-08-06 17:59:00', 'YYYY-MM-DD HH24:MI:SS'));</v>
      </c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</row>
    <row r="583">
      <c r="A583" s="25" t="s">
        <v>206</v>
      </c>
      <c r="B583" s="26">
        <v>78.0</v>
      </c>
      <c r="C583" s="27">
        <v>45875.0</v>
      </c>
      <c r="D583" s="28">
        <v>45875.413194444445</v>
      </c>
      <c r="E583" s="28">
        <v>45875.74930555555</v>
      </c>
      <c r="F583" s="21" t="s">
        <v>189</v>
      </c>
      <c r="G583" s="23"/>
      <c r="H583" s="23" t="str">
        <f t="shared" si="1"/>
        <v>INSERT INTO tblDayAttendanceLog VALUES (seqDayAttendanceLog.nextval, 78, TO_DATE('2025-08-06', 'YYYY-MM-DD'), TO_DATE('2025-08-06 09:55:00', 'YYYY-MM-DD HH24:MI:SS'), TO_DATE('2025-08-06 17:59:00', 'YYYY-MM-DD HH24:MI:SS'));</v>
      </c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</row>
    <row r="584">
      <c r="A584" s="25" t="s">
        <v>206</v>
      </c>
      <c r="B584" s="26">
        <v>79.0</v>
      </c>
      <c r="C584" s="27">
        <v>45875.0</v>
      </c>
      <c r="D584" s="29"/>
      <c r="E584" s="29"/>
      <c r="F584" s="21" t="s">
        <v>186</v>
      </c>
      <c r="G584" s="23"/>
      <c r="H584" s="23" t="str">
        <f t="shared" si="1"/>
        <v>INSERT INTO tblDayAttendanceLog VALUES (seqDayAttendanceLog.nextval, 79, TO_DATE('2025-08-06', 'YYYY-MM-DD'), NULL, NULL);</v>
      </c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</row>
    <row r="585">
      <c r="A585" s="25" t="s">
        <v>206</v>
      </c>
      <c r="B585" s="26">
        <v>80.0</v>
      </c>
      <c r="C585" s="27">
        <v>45875.0</v>
      </c>
      <c r="D585" s="28">
        <v>45875.356944444444</v>
      </c>
      <c r="E585" s="28">
        <v>45875.748611111114</v>
      </c>
      <c r="F585" s="21" t="s">
        <v>184</v>
      </c>
      <c r="G585" s="23"/>
      <c r="H585" s="23" t="str">
        <f t="shared" si="1"/>
        <v>INSERT INTO tblDayAttendanceLog VALUES (seqDayAttendanceLog.nextval, 80, TO_DATE('2025-08-06', 'YYYY-MM-DD'), TO_DATE('2025-08-06 08:34:00', 'YYYY-MM-DD HH24:MI:SS'), TO_DATE('2025-08-06 17:58:00', 'YYYY-MM-DD HH24:MI:SS'));</v>
      </c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</row>
    <row r="586">
      <c r="A586" s="25" t="s">
        <v>206</v>
      </c>
      <c r="B586" s="26">
        <v>81.0</v>
      </c>
      <c r="C586" s="27">
        <v>45875.0</v>
      </c>
      <c r="D586" s="28">
        <v>45875.333333333336</v>
      </c>
      <c r="E586" s="28">
        <v>45875.74791666667</v>
      </c>
      <c r="F586" s="21" t="s">
        <v>184</v>
      </c>
      <c r="G586" s="23"/>
      <c r="H586" s="23" t="str">
        <f t="shared" si="1"/>
        <v>INSERT INTO tblDayAttendanceLog VALUES (seqDayAttendanceLog.nextval, 81, TO_DATE('2025-08-06', 'YYYY-MM-DD'), TO_DATE('2025-08-06 08:00:00', 'YYYY-MM-DD HH24:MI:SS'), TO_DATE('2025-08-06 17:57:00', 'YYYY-MM-DD HH24:MI:SS'));</v>
      </c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</row>
    <row r="587">
      <c r="A587" s="25" t="s">
        <v>206</v>
      </c>
      <c r="B587" s="26">
        <v>82.0</v>
      </c>
      <c r="C587" s="27">
        <v>45875.0</v>
      </c>
      <c r="D587" s="28">
        <v>45875.38611111111</v>
      </c>
      <c r="E587" s="28">
        <v>45875.74930555555</v>
      </c>
      <c r="F587" s="21" t="s">
        <v>189</v>
      </c>
      <c r="G587" s="23"/>
      <c r="H587" s="23" t="str">
        <f t="shared" si="1"/>
        <v>INSERT INTO tblDayAttendanceLog VALUES (seqDayAttendanceLog.nextval, 82, TO_DATE('2025-08-06', 'YYYY-MM-DD'), TO_DATE('2025-08-06 09:16:00', 'YYYY-MM-DD HH24:MI:SS'), TO_DATE('2025-08-06 17:59:00', 'YYYY-MM-DD HH24:MI:SS'));</v>
      </c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</row>
    <row r="588">
      <c r="A588" s="25" t="s">
        <v>206</v>
      </c>
      <c r="B588" s="26">
        <v>83.0</v>
      </c>
      <c r="C588" s="27">
        <v>45875.0</v>
      </c>
      <c r="D588" s="28">
        <v>45875.415972222225</v>
      </c>
      <c r="E588" s="28">
        <v>45875.745833333334</v>
      </c>
      <c r="F588" s="21" t="s">
        <v>189</v>
      </c>
      <c r="G588" s="23"/>
      <c r="H588" s="23" t="str">
        <f t="shared" si="1"/>
        <v>INSERT INTO tblDayAttendanceLog VALUES (seqDayAttendanceLog.nextval, 83, TO_DATE('2025-08-06', 'YYYY-MM-DD'), TO_DATE('2025-08-06 09:59:00', 'YYYY-MM-DD HH24:MI:SS'), TO_DATE('2025-08-06 17:54:00', 'YYYY-MM-DD HH24:MI:SS'));</v>
      </c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</row>
    <row r="589">
      <c r="A589" s="25" t="s">
        <v>206</v>
      </c>
      <c r="B589" s="26">
        <v>84.0</v>
      </c>
      <c r="C589" s="27">
        <v>45875.0</v>
      </c>
      <c r="D589" s="28">
        <v>45875.40277777778</v>
      </c>
      <c r="E589" s="28">
        <v>45875.74513888889</v>
      </c>
      <c r="F589" s="21" t="s">
        <v>189</v>
      </c>
      <c r="G589" s="23"/>
      <c r="H589" s="23" t="str">
        <f t="shared" si="1"/>
        <v>INSERT INTO tblDayAttendanceLog VALUES (seqDayAttendanceLog.nextval, 84, TO_DATE('2025-08-06', 'YYYY-MM-DD'), TO_DATE('2025-08-06 09:40:00', 'YYYY-MM-DD HH24:MI:SS'), TO_DATE('2025-08-06 17:53:00', 'YYYY-MM-DD HH24:MI:SS'));</v>
      </c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</row>
    <row r="590">
      <c r="A590" s="25" t="s">
        <v>206</v>
      </c>
      <c r="B590" s="26">
        <v>85.0</v>
      </c>
      <c r="C590" s="27">
        <v>45875.0</v>
      </c>
      <c r="D590" s="28">
        <v>45875.36597222222</v>
      </c>
      <c r="E590" s="28">
        <v>45875.74444444444</v>
      </c>
      <c r="F590" s="21" t="s">
        <v>184</v>
      </c>
      <c r="G590" s="23"/>
      <c r="H590" s="23" t="str">
        <f t="shared" si="1"/>
        <v>INSERT INTO tblDayAttendanceLog VALUES (seqDayAttendanceLog.nextval, 85, TO_DATE('2025-08-06', 'YYYY-MM-DD'), TO_DATE('2025-08-06 08:47:00', 'YYYY-MM-DD HH24:MI:SS'), TO_DATE('2025-08-06 17:52:00', 'YYYY-MM-DD HH24:MI:SS'));</v>
      </c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</row>
    <row r="591">
      <c r="A591" s="25" t="s">
        <v>206</v>
      </c>
      <c r="B591" s="26">
        <v>86.0</v>
      </c>
      <c r="C591" s="27">
        <v>45875.0</v>
      </c>
      <c r="D591" s="28">
        <v>45875.39444444444</v>
      </c>
      <c r="E591" s="28">
        <v>45875.74930555555</v>
      </c>
      <c r="F591" s="21" t="s">
        <v>189</v>
      </c>
      <c r="G591" s="23"/>
      <c r="H591" s="23" t="str">
        <f t="shared" si="1"/>
        <v>INSERT INTO tblDayAttendanceLog VALUES (seqDayAttendanceLog.nextval, 86, TO_DATE('2025-08-06', 'YYYY-MM-DD'), TO_DATE('2025-08-06 09:28:00', 'YYYY-MM-DD HH24:MI:SS'), TO_DATE('2025-08-06 17:59:00', 'YYYY-MM-DD HH24:MI:SS'));</v>
      </c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</row>
    <row r="592">
      <c r="A592" s="25" t="s">
        <v>206</v>
      </c>
      <c r="B592" s="26">
        <v>87.0</v>
      </c>
      <c r="C592" s="27">
        <v>45875.0</v>
      </c>
      <c r="D592" s="29"/>
      <c r="E592" s="29"/>
      <c r="F592" s="21" t="s">
        <v>186</v>
      </c>
      <c r="G592" s="23"/>
      <c r="H592" s="23" t="str">
        <f t="shared" si="1"/>
        <v>INSERT INTO tblDayAttendanceLog VALUES (seqDayAttendanceLog.nextval, 87, TO_DATE('2025-08-06', 'YYYY-MM-DD'), NULL, NULL);</v>
      </c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</row>
    <row r="593">
      <c r="A593" s="25" t="s">
        <v>206</v>
      </c>
      <c r="B593" s="26">
        <v>88.0</v>
      </c>
      <c r="C593" s="27">
        <v>45875.0</v>
      </c>
      <c r="D593" s="28">
        <v>45875.37708333333</v>
      </c>
      <c r="E593" s="28">
        <v>45875.743055555555</v>
      </c>
      <c r="F593" s="21" t="s">
        <v>189</v>
      </c>
      <c r="G593" s="23"/>
      <c r="H593" s="23" t="str">
        <f t="shared" si="1"/>
        <v>INSERT INTO tblDayAttendanceLog VALUES (seqDayAttendanceLog.nextval, 88, TO_DATE('2025-08-06', 'YYYY-MM-DD'), TO_DATE('2025-08-06 09:03:00', 'YYYY-MM-DD HH24:MI:SS'), TO_DATE('2025-08-06 17:50:00', 'YYYY-MM-DD HH24:MI:SS'));</v>
      </c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</row>
    <row r="594">
      <c r="A594" s="25" t="s">
        <v>206</v>
      </c>
      <c r="B594" s="26">
        <v>89.0</v>
      </c>
      <c r="C594" s="27">
        <v>45875.0</v>
      </c>
      <c r="D594" s="28">
        <v>45875.37708333333</v>
      </c>
      <c r="E594" s="28">
        <v>45875.74930555555</v>
      </c>
      <c r="F594" s="21" t="s">
        <v>189</v>
      </c>
      <c r="G594" s="23"/>
      <c r="H594" s="23" t="str">
        <f t="shared" si="1"/>
        <v>INSERT INTO tblDayAttendanceLog VALUES (seqDayAttendanceLog.nextval, 89, TO_DATE('2025-08-06', 'YYYY-MM-DD'), TO_DATE('2025-08-06 09:03:00', 'YYYY-MM-DD HH24:MI:SS'), TO_DATE('2025-08-06 17:59:00', 'YYYY-MM-DD HH24:MI:SS'));</v>
      </c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</row>
    <row r="595">
      <c r="A595" s="25" t="s">
        <v>206</v>
      </c>
      <c r="B595" s="26">
        <v>90.0</v>
      </c>
      <c r="C595" s="27">
        <v>45875.0</v>
      </c>
      <c r="D595" s="28">
        <v>45875.41527777778</v>
      </c>
      <c r="E595" s="28">
        <v>45875.74513888889</v>
      </c>
      <c r="F595" s="21" t="s">
        <v>189</v>
      </c>
      <c r="G595" s="23"/>
      <c r="H595" s="23" t="str">
        <f t="shared" si="1"/>
        <v>INSERT INTO tblDayAttendanceLog VALUES (seqDayAttendanceLog.nextval, 90, TO_DATE('2025-08-06', 'YYYY-MM-DD'), TO_DATE('2025-08-06 09:58:00', 'YYYY-MM-DD HH24:MI:SS'), TO_DATE('2025-08-06 17:53:00', 'YYYY-MM-DD HH24:MI:SS'));</v>
      </c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</row>
    <row r="596">
      <c r="A596" s="25" t="s">
        <v>206</v>
      </c>
      <c r="B596" s="26">
        <v>91.0</v>
      </c>
      <c r="C596" s="27">
        <v>45875.0</v>
      </c>
      <c r="D596" s="29"/>
      <c r="E596" s="29"/>
      <c r="F596" s="21" t="s">
        <v>186</v>
      </c>
      <c r="G596" s="23"/>
      <c r="H596" s="23" t="str">
        <f t="shared" si="1"/>
        <v>INSERT INTO tblDayAttendanceLog VALUES (seqDayAttendanceLog.nextval, 91, TO_DATE('2025-08-06', 'YYYY-MM-DD'), NULL, NULL);</v>
      </c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</row>
    <row r="597">
      <c r="A597" s="25" t="s">
        <v>206</v>
      </c>
      <c r="B597" s="26">
        <v>92.0</v>
      </c>
      <c r="C597" s="27">
        <v>45875.0</v>
      </c>
      <c r="D597" s="28">
        <v>45875.37569444445</v>
      </c>
      <c r="E597" s="28">
        <v>45875.743055555555</v>
      </c>
      <c r="F597" s="21" t="s">
        <v>189</v>
      </c>
      <c r="G597" s="23"/>
      <c r="H597" s="23" t="str">
        <f t="shared" si="1"/>
        <v>INSERT INTO tblDayAttendanceLog VALUES (seqDayAttendanceLog.nextval, 92, TO_DATE('2025-08-06', 'YYYY-MM-DD'), TO_DATE('2025-08-06 09:01:00', 'YYYY-MM-DD HH24:MI:SS'), TO_DATE('2025-08-06 17:50:00', 'YYYY-MM-DD HH24:MI:SS'));</v>
      </c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</row>
    <row r="598">
      <c r="A598" s="25" t="s">
        <v>206</v>
      </c>
      <c r="B598" s="26">
        <v>93.0</v>
      </c>
      <c r="C598" s="27">
        <v>45875.0</v>
      </c>
      <c r="D598" s="29"/>
      <c r="E598" s="29"/>
      <c r="F598" s="21" t="s">
        <v>186</v>
      </c>
      <c r="G598" s="23"/>
      <c r="H598" s="23" t="str">
        <f t="shared" si="1"/>
        <v>INSERT INTO tblDayAttendanceLog VALUES (seqDayAttendanceLog.nextval, 93, TO_DATE('2025-08-06', 'YYYY-MM-DD'), NULL, NULL);</v>
      </c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</row>
    <row r="599">
      <c r="A599" s="25" t="s">
        <v>206</v>
      </c>
      <c r="B599" s="26">
        <v>94.0</v>
      </c>
      <c r="C599" s="27">
        <v>45875.0</v>
      </c>
      <c r="D599" s="29"/>
      <c r="E599" s="29"/>
      <c r="F599" s="21" t="s">
        <v>186</v>
      </c>
      <c r="G599" s="23"/>
      <c r="H599" s="23" t="str">
        <f t="shared" si="1"/>
        <v>INSERT INTO tblDayAttendanceLog VALUES (seqDayAttendanceLog.nextval, 94, TO_DATE('2025-08-06', 'YYYY-MM-DD'), NULL, NULL);</v>
      </c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</row>
    <row r="600">
      <c r="A600" s="25" t="s">
        <v>206</v>
      </c>
      <c r="B600" s="26">
        <v>95.0</v>
      </c>
      <c r="C600" s="27">
        <v>45875.0</v>
      </c>
      <c r="D600" s="28">
        <v>45875.3375</v>
      </c>
      <c r="E600" s="28">
        <v>45875.74444444444</v>
      </c>
      <c r="F600" s="21" t="s">
        <v>184</v>
      </c>
      <c r="G600" s="23"/>
      <c r="H600" s="23" t="str">
        <f t="shared" si="1"/>
        <v>INSERT INTO tblDayAttendanceLog VALUES (seqDayAttendanceLog.nextval, 95, TO_DATE('2025-08-06', 'YYYY-MM-DD'), TO_DATE('2025-08-06 08:06:00', 'YYYY-MM-DD HH24:MI:SS'), TO_DATE('2025-08-06 17:52:00', 'YYYY-MM-DD HH24:MI:SS'));</v>
      </c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</row>
    <row r="601">
      <c r="A601" s="25" t="s">
        <v>206</v>
      </c>
      <c r="B601" s="26">
        <v>96.0</v>
      </c>
      <c r="C601" s="27">
        <v>45875.0</v>
      </c>
      <c r="D601" s="28">
        <v>45875.39444444444</v>
      </c>
      <c r="E601" s="28">
        <v>45875.74375</v>
      </c>
      <c r="F601" s="21" t="s">
        <v>189</v>
      </c>
      <c r="G601" s="23"/>
      <c r="H601" s="23" t="str">
        <f t="shared" si="1"/>
        <v>INSERT INTO tblDayAttendanceLog VALUES (seqDayAttendanceLog.nextval, 96, TO_DATE('2025-08-06', 'YYYY-MM-DD'), TO_DATE('2025-08-06 09:28:00', 'YYYY-MM-DD HH24:MI:SS'), TO_DATE('2025-08-06 17:51:00', 'YYYY-MM-DD HH24:MI:SS'));</v>
      </c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</row>
    <row r="602">
      <c r="A602" s="25" t="s">
        <v>206</v>
      </c>
      <c r="B602" s="26">
        <v>97.0</v>
      </c>
      <c r="C602" s="27">
        <v>45875.0</v>
      </c>
      <c r="D602" s="28">
        <v>45875.37847222222</v>
      </c>
      <c r="E602" s="28">
        <v>45875.74791666667</v>
      </c>
      <c r="F602" s="21" t="s">
        <v>189</v>
      </c>
      <c r="G602" s="23"/>
      <c r="H602" s="23" t="str">
        <f t="shared" si="1"/>
        <v>INSERT INTO tblDayAttendanceLog VALUES (seqDayAttendanceLog.nextval, 97, TO_DATE('2025-08-06', 'YYYY-MM-DD'), TO_DATE('2025-08-06 09:05:00', 'YYYY-MM-DD HH24:MI:SS'), TO_DATE('2025-08-06 17:57:00', 'YYYY-MM-DD HH24:MI:SS'));</v>
      </c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</row>
    <row r="603">
      <c r="A603" s="25" t="s">
        <v>206</v>
      </c>
      <c r="B603" s="26">
        <v>98.0</v>
      </c>
      <c r="C603" s="27">
        <v>45875.0</v>
      </c>
      <c r="D603" s="28">
        <v>45875.35138888889</v>
      </c>
      <c r="E603" s="28">
        <v>45875.74930555555</v>
      </c>
      <c r="F603" s="21" t="s">
        <v>184</v>
      </c>
      <c r="G603" s="23"/>
      <c r="H603" s="23" t="str">
        <f t="shared" si="1"/>
        <v>INSERT INTO tblDayAttendanceLog VALUES (seqDayAttendanceLog.nextval, 98, TO_DATE('2025-08-06', 'YYYY-MM-DD'), TO_DATE('2025-08-06 08:26:00', 'YYYY-MM-DD HH24:MI:SS'), TO_DATE('2025-08-06 17:59:00', 'YYYY-MM-DD HH24:MI:SS'));</v>
      </c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</row>
    <row r="604">
      <c r="A604" s="25" t="s">
        <v>206</v>
      </c>
      <c r="B604" s="26">
        <v>99.0</v>
      </c>
      <c r="C604" s="27">
        <v>45875.0</v>
      </c>
      <c r="D604" s="28">
        <v>45875.37291666667</v>
      </c>
      <c r="E604" s="28">
        <v>45875.748611111114</v>
      </c>
      <c r="F604" s="21" t="s">
        <v>184</v>
      </c>
      <c r="G604" s="23"/>
      <c r="H604" s="23" t="str">
        <f t="shared" si="1"/>
        <v>INSERT INTO tblDayAttendanceLog VALUES (seqDayAttendanceLog.nextval, 99, TO_DATE('2025-08-06', 'YYYY-MM-DD'), TO_DATE('2025-08-06 08:57:00', 'YYYY-MM-DD HH24:MI:SS'), TO_DATE('2025-08-06 17:58:00', 'YYYY-MM-DD HH24:MI:SS'));</v>
      </c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</row>
    <row r="605">
      <c r="A605" s="25" t="s">
        <v>206</v>
      </c>
      <c r="B605" s="26">
        <v>100.0</v>
      </c>
      <c r="C605" s="27">
        <v>45875.0</v>
      </c>
      <c r="D605" s="28">
        <v>45875.350694444445</v>
      </c>
      <c r="E605" s="28">
        <v>45875.74444444444</v>
      </c>
      <c r="F605" s="21" t="s">
        <v>184</v>
      </c>
      <c r="G605" s="23"/>
      <c r="H605" s="23" t="str">
        <f t="shared" si="1"/>
        <v>INSERT INTO tblDayAttendanceLog VALUES (seqDayAttendanceLog.nextval, 100, TO_DATE('2025-08-06', 'YYYY-MM-DD'), TO_DATE('2025-08-06 08:25:00', 'YYYY-MM-DD HH24:MI:SS'), TO_DATE('2025-08-06 17:52:00', 'YYYY-MM-DD HH24:MI:SS'));</v>
      </c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</row>
    <row r="606">
      <c r="A606" s="25" t="s">
        <v>206</v>
      </c>
      <c r="B606" s="26">
        <v>101.0</v>
      </c>
      <c r="C606" s="27">
        <v>45875.0</v>
      </c>
      <c r="D606" s="28">
        <v>45875.361805555556</v>
      </c>
      <c r="E606" s="28">
        <v>45875.745833333334</v>
      </c>
      <c r="F606" s="21" t="s">
        <v>184</v>
      </c>
      <c r="G606" s="23"/>
      <c r="H606" s="23" t="str">
        <f t="shared" si="1"/>
        <v>INSERT INTO tblDayAttendanceLog VALUES (seqDayAttendanceLog.nextval, 101, TO_DATE('2025-08-06', 'YYYY-MM-DD'), TO_DATE('2025-08-06 08:41:00', 'YYYY-MM-DD HH24:MI:SS'), TO_DATE('2025-08-06 17:54:00', 'YYYY-MM-DD HH24:MI:SS'));</v>
      </c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</row>
    <row r="607">
      <c r="A607" s="25" t="s">
        <v>206</v>
      </c>
      <c r="B607" s="26">
        <v>102.0</v>
      </c>
      <c r="C607" s="27">
        <v>45875.0</v>
      </c>
      <c r="D607" s="28">
        <v>45875.395833333336</v>
      </c>
      <c r="E607" s="28">
        <v>45875.745833333334</v>
      </c>
      <c r="F607" s="21" t="s">
        <v>189</v>
      </c>
      <c r="G607" s="23"/>
      <c r="H607" s="23" t="str">
        <f t="shared" si="1"/>
        <v>INSERT INTO tblDayAttendanceLog VALUES (seqDayAttendanceLog.nextval, 102, TO_DATE('2025-08-06', 'YYYY-MM-DD'), TO_DATE('2025-08-06 09:30:00', 'YYYY-MM-DD HH24:MI:SS'), TO_DATE('2025-08-06 17:54:00', 'YYYY-MM-DD HH24:MI:SS'));</v>
      </c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</row>
    <row r="608">
      <c r="A608" s="25" t="s">
        <v>206</v>
      </c>
      <c r="B608" s="26">
        <v>103.0</v>
      </c>
      <c r="C608" s="27">
        <v>45875.0</v>
      </c>
      <c r="D608" s="28">
        <v>45875.36666666667</v>
      </c>
      <c r="E608" s="28">
        <v>45875.743055555555</v>
      </c>
      <c r="F608" s="21" t="s">
        <v>184</v>
      </c>
      <c r="G608" s="23"/>
      <c r="H608" s="23" t="str">
        <f t="shared" si="1"/>
        <v>INSERT INTO tblDayAttendanceLog VALUES (seqDayAttendanceLog.nextval, 103, TO_DATE('2025-08-06', 'YYYY-MM-DD'), TO_DATE('2025-08-06 08:48:00', 'YYYY-MM-DD HH24:MI:SS'), TO_DATE('2025-08-06 17:50:00', 'YYYY-MM-DD HH24:MI:SS'));</v>
      </c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</row>
    <row r="609">
      <c r="A609" s="25" t="s">
        <v>206</v>
      </c>
      <c r="B609" s="26">
        <v>104.0</v>
      </c>
      <c r="C609" s="27">
        <v>45875.0</v>
      </c>
      <c r="D609" s="28">
        <v>45875.37986111111</v>
      </c>
      <c r="E609" s="28">
        <v>45875.74375</v>
      </c>
      <c r="F609" s="21" t="s">
        <v>189</v>
      </c>
      <c r="G609" s="23"/>
      <c r="H609" s="23" t="str">
        <f t="shared" si="1"/>
        <v>INSERT INTO tblDayAttendanceLog VALUES (seqDayAttendanceLog.nextval, 104, TO_DATE('2025-08-06', 'YYYY-MM-DD'), TO_DATE('2025-08-06 09:07:00', 'YYYY-MM-DD HH24:MI:SS'), TO_DATE('2025-08-06 17:51:00', 'YYYY-MM-DD HH24:MI:SS'));</v>
      </c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</row>
    <row r="610">
      <c r="A610" s="25" t="s">
        <v>206</v>
      </c>
      <c r="B610" s="26">
        <v>105.0</v>
      </c>
      <c r="C610" s="27">
        <v>45875.0</v>
      </c>
      <c r="D610" s="28">
        <v>45875.334027777775</v>
      </c>
      <c r="E610" s="28">
        <v>45875.743055555555</v>
      </c>
      <c r="F610" s="21" t="s">
        <v>184</v>
      </c>
      <c r="G610" s="23"/>
      <c r="H610" s="23" t="str">
        <f t="shared" si="1"/>
        <v>INSERT INTO tblDayAttendanceLog VALUES (seqDayAttendanceLog.nextval, 105, TO_DATE('2025-08-06', 'YYYY-MM-DD'), TO_DATE('2025-08-06 08:01:00', 'YYYY-MM-DD HH24:MI:SS'), TO_DATE('2025-08-06 17:50:00', 'YYYY-MM-DD HH24:MI:SS'));</v>
      </c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</row>
    <row r="611">
      <c r="A611" s="25" t="s">
        <v>206</v>
      </c>
      <c r="B611" s="26">
        <v>106.0</v>
      </c>
      <c r="C611" s="27">
        <v>45875.0</v>
      </c>
      <c r="D611" s="28">
        <v>45875.373611111114</v>
      </c>
      <c r="E611" s="28">
        <v>45875.74444444444</v>
      </c>
      <c r="F611" s="21" t="s">
        <v>184</v>
      </c>
      <c r="G611" s="23"/>
      <c r="H611" s="23" t="str">
        <f t="shared" si="1"/>
        <v>INSERT INTO tblDayAttendanceLog VALUES (seqDayAttendanceLog.nextval, 106, TO_DATE('2025-08-06', 'YYYY-MM-DD'), TO_DATE('2025-08-06 08:58:00', 'YYYY-MM-DD HH24:MI:SS'), TO_DATE('2025-08-06 17:52:00', 'YYYY-MM-DD HH24:MI:SS'));</v>
      </c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</row>
    <row r="612">
      <c r="A612" s="25" t="s">
        <v>206</v>
      </c>
      <c r="B612" s="26">
        <v>107.0</v>
      </c>
      <c r="C612" s="27">
        <v>45875.0</v>
      </c>
      <c r="D612" s="28">
        <v>45875.37708333333</v>
      </c>
      <c r="E612" s="28">
        <v>45875.74652777778</v>
      </c>
      <c r="F612" s="21" t="s">
        <v>189</v>
      </c>
      <c r="G612" s="23"/>
      <c r="H612" s="23" t="str">
        <f t="shared" si="1"/>
        <v>INSERT INTO tblDayAttendanceLog VALUES (seqDayAttendanceLog.nextval, 107, TO_DATE('2025-08-06', 'YYYY-MM-DD'), TO_DATE('2025-08-06 09:03:00', 'YYYY-MM-DD HH24:MI:SS'), TO_DATE('2025-08-06 17:55:00', 'YYYY-MM-DD HH24:MI:SS'));</v>
      </c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</row>
    <row r="613">
      <c r="A613" s="25" t="s">
        <v>206</v>
      </c>
      <c r="B613" s="26">
        <v>108.0</v>
      </c>
      <c r="C613" s="27">
        <v>45875.0</v>
      </c>
      <c r="D613" s="28">
        <v>45875.376388888886</v>
      </c>
      <c r="E613" s="28">
        <v>45875.748611111114</v>
      </c>
      <c r="F613" s="21" t="s">
        <v>189</v>
      </c>
      <c r="G613" s="23"/>
      <c r="H613" s="23" t="str">
        <f t="shared" si="1"/>
        <v>INSERT INTO tblDayAttendanceLog VALUES (seqDayAttendanceLog.nextval, 108, TO_DATE('2025-08-06', 'YYYY-MM-DD'), TO_DATE('2025-08-06 09:02:00', 'YYYY-MM-DD HH24:MI:SS'), TO_DATE('2025-08-06 17:58:00', 'YYYY-MM-DD HH24:MI:SS'));</v>
      </c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</row>
    <row r="614">
      <c r="A614" s="25" t="s">
        <v>206</v>
      </c>
      <c r="B614" s="26">
        <v>109.0</v>
      </c>
      <c r="C614" s="27">
        <v>45875.0</v>
      </c>
      <c r="D614" s="28">
        <v>45875.38333333333</v>
      </c>
      <c r="E614" s="28">
        <v>45875.74375</v>
      </c>
      <c r="F614" s="21" t="s">
        <v>189</v>
      </c>
      <c r="G614" s="23"/>
      <c r="H614" s="23" t="str">
        <f t="shared" si="1"/>
        <v>INSERT INTO tblDayAttendanceLog VALUES (seqDayAttendanceLog.nextval, 109, TO_DATE('2025-08-06', 'YYYY-MM-DD'), TO_DATE('2025-08-06 09:12:00', 'YYYY-MM-DD HH24:MI:SS'), TO_DATE('2025-08-06 17:51:00', 'YYYY-MM-DD HH24:MI:SS'));</v>
      </c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</row>
    <row r="615">
      <c r="A615" s="25" t="s">
        <v>206</v>
      </c>
      <c r="B615" s="26">
        <v>110.0</v>
      </c>
      <c r="C615" s="27">
        <v>45875.0</v>
      </c>
      <c r="D615" s="28">
        <v>45875.4</v>
      </c>
      <c r="E615" s="28">
        <v>45875.74444444444</v>
      </c>
      <c r="F615" s="21" t="s">
        <v>189</v>
      </c>
      <c r="G615" s="23"/>
      <c r="H615" s="23" t="str">
        <f t="shared" si="1"/>
        <v>INSERT INTO tblDayAttendanceLog VALUES (seqDayAttendanceLog.nextval, 110, TO_DATE('2025-08-06', 'YYYY-MM-DD'), TO_DATE('2025-08-06 09:36:00', 'YYYY-MM-DD HH24:MI:SS'), TO_DATE('2025-08-06 17:52:00', 'YYYY-MM-DD HH24:MI:SS'));</v>
      </c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</row>
    <row r="616">
      <c r="A616" s="25" t="s">
        <v>206</v>
      </c>
      <c r="B616" s="26">
        <v>111.0</v>
      </c>
      <c r="C616" s="27">
        <v>45875.0</v>
      </c>
      <c r="D616" s="28">
        <v>45875.342361111114</v>
      </c>
      <c r="E616" s="28">
        <v>45875.74791666667</v>
      </c>
      <c r="F616" s="21" t="s">
        <v>184</v>
      </c>
      <c r="G616" s="23"/>
      <c r="H616" s="23" t="str">
        <f t="shared" si="1"/>
        <v>INSERT INTO tblDayAttendanceLog VALUES (seqDayAttendanceLog.nextval, 111, TO_DATE('2025-08-06', 'YYYY-MM-DD'), TO_DATE('2025-08-06 08:13:00', 'YYYY-MM-DD HH24:MI:SS'), TO_DATE('2025-08-06 17:57:00', 'YYYY-MM-DD HH24:MI:SS'));</v>
      </c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</row>
    <row r="617">
      <c r="A617" s="25" t="s">
        <v>206</v>
      </c>
      <c r="B617" s="26">
        <v>112.0</v>
      </c>
      <c r="C617" s="27">
        <v>45875.0</v>
      </c>
      <c r="D617" s="28">
        <v>45875.36319444444</v>
      </c>
      <c r="E617" s="28">
        <v>45875.74375</v>
      </c>
      <c r="F617" s="21" t="s">
        <v>184</v>
      </c>
      <c r="G617" s="23"/>
      <c r="H617" s="23" t="str">
        <f t="shared" si="1"/>
        <v>INSERT INTO tblDayAttendanceLog VALUES (seqDayAttendanceLog.nextval, 112, TO_DATE('2025-08-06', 'YYYY-MM-DD'), TO_DATE('2025-08-06 08:43:00', 'YYYY-MM-DD HH24:MI:SS'), TO_DATE('2025-08-06 17:51:00', 'YYYY-MM-DD HH24:MI:SS'));</v>
      </c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</row>
    <row r="618">
      <c r="A618" s="25" t="s">
        <v>206</v>
      </c>
      <c r="B618" s="26">
        <v>113.0</v>
      </c>
      <c r="C618" s="27">
        <v>45875.0</v>
      </c>
      <c r="D618" s="28">
        <v>45875.35833333333</v>
      </c>
      <c r="E618" s="28">
        <v>45875.74652777778</v>
      </c>
      <c r="F618" s="21" t="s">
        <v>184</v>
      </c>
      <c r="G618" s="23"/>
      <c r="H618" s="23" t="str">
        <f t="shared" si="1"/>
        <v>INSERT INTO tblDayAttendanceLog VALUES (seqDayAttendanceLog.nextval, 113, TO_DATE('2025-08-06', 'YYYY-MM-DD'), TO_DATE('2025-08-06 08:36:00', 'YYYY-MM-DD HH24:MI:SS'), TO_DATE('2025-08-06 17:55:00', 'YYYY-MM-DD HH24:MI:SS'));</v>
      </c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</row>
    <row r="619">
      <c r="A619" s="25" t="s">
        <v>206</v>
      </c>
      <c r="B619" s="26">
        <v>114.0</v>
      </c>
      <c r="C619" s="27">
        <v>45875.0</v>
      </c>
      <c r="D619" s="28">
        <v>45875.354166666664</v>
      </c>
      <c r="E619" s="28">
        <v>45875.745833333334</v>
      </c>
      <c r="F619" s="21" t="s">
        <v>184</v>
      </c>
      <c r="G619" s="23"/>
      <c r="H619" s="23" t="str">
        <f t="shared" si="1"/>
        <v>INSERT INTO tblDayAttendanceLog VALUES (seqDayAttendanceLog.nextval, 114, TO_DATE('2025-08-06', 'YYYY-MM-DD'), TO_DATE('2025-08-06 08:30:00', 'YYYY-MM-DD HH24:MI:SS'), TO_DATE('2025-08-06 17:54:00', 'YYYY-MM-DD HH24:MI:SS'));</v>
      </c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</row>
    <row r="620">
      <c r="A620" s="25" t="s">
        <v>206</v>
      </c>
      <c r="B620" s="26">
        <v>115.0</v>
      </c>
      <c r="C620" s="27">
        <v>45875.0</v>
      </c>
      <c r="D620" s="28">
        <v>45875.36875</v>
      </c>
      <c r="E620" s="28">
        <v>45875.74722222222</v>
      </c>
      <c r="F620" s="21" t="s">
        <v>184</v>
      </c>
      <c r="G620" s="23"/>
      <c r="H620" s="23" t="str">
        <f t="shared" si="1"/>
        <v>INSERT INTO tblDayAttendanceLog VALUES (seqDayAttendanceLog.nextval, 115, TO_DATE('2025-08-06', 'YYYY-MM-DD'), TO_DATE('2025-08-06 08:51:00', 'YYYY-MM-DD HH24:MI:SS'), TO_DATE('2025-08-06 17:56:00', 'YYYY-MM-DD HH24:MI:SS'));</v>
      </c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</row>
    <row r="621">
      <c r="A621" s="25" t="s">
        <v>206</v>
      </c>
      <c r="B621" s="26">
        <v>116.0</v>
      </c>
      <c r="C621" s="27">
        <v>45875.0</v>
      </c>
      <c r="D621" s="28">
        <v>45875.38055555556</v>
      </c>
      <c r="E621" s="28">
        <v>45875.745833333334</v>
      </c>
      <c r="F621" s="21" t="s">
        <v>189</v>
      </c>
      <c r="G621" s="23"/>
      <c r="H621" s="23" t="str">
        <f t="shared" si="1"/>
        <v>INSERT INTO tblDayAttendanceLog VALUES (seqDayAttendanceLog.nextval, 116, TO_DATE('2025-08-06', 'YYYY-MM-DD'), TO_DATE('2025-08-06 09:08:00', 'YYYY-MM-DD HH24:MI:SS'), TO_DATE('2025-08-06 17:54:00', 'YYYY-MM-DD HH24:MI:SS'));</v>
      </c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</row>
    <row r="622">
      <c r="A622" s="25" t="s">
        <v>206</v>
      </c>
      <c r="B622" s="26">
        <v>117.0</v>
      </c>
      <c r="C622" s="27">
        <v>45875.0</v>
      </c>
      <c r="D622" s="28">
        <v>45875.393055555556</v>
      </c>
      <c r="E622" s="28">
        <v>45875.743055555555</v>
      </c>
      <c r="F622" s="21" t="s">
        <v>189</v>
      </c>
      <c r="G622" s="23"/>
      <c r="H622" s="23" t="str">
        <f t="shared" si="1"/>
        <v>INSERT INTO tblDayAttendanceLog VALUES (seqDayAttendanceLog.nextval, 117, TO_DATE('2025-08-06', 'YYYY-MM-DD'), TO_DATE('2025-08-06 09:26:00', 'YYYY-MM-DD HH24:MI:SS'), TO_DATE('2025-08-06 17:50:00', 'YYYY-MM-DD HH24:MI:SS'));</v>
      </c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</row>
    <row r="623">
      <c r="A623" s="25" t="s">
        <v>206</v>
      </c>
      <c r="B623" s="26">
        <v>118.0</v>
      </c>
      <c r="C623" s="27">
        <v>45875.0</v>
      </c>
      <c r="D623" s="28">
        <v>45875.39236111111</v>
      </c>
      <c r="E623" s="28">
        <v>45875.748611111114</v>
      </c>
      <c r="F623" s="21" t="s">
        <v>189</v>
      </c>
      <c r="G623" s="23"/>
      <c r="H623" s="23" t="str">
        <f t="shared" si="1"/>
        <v>INSERT INTO tblDayAttendanceLog VALUES (seqDayAttendanceLog.nextval, 118, TO_DATE('2025-08-06', 'YYYY-MM-DD'), TO_DATE('2025-08-06 09:25:00', 'YYYY-MM-DD HH24:MI:SS'), TO_DATE('2025-08-06 17:58:00', 'YYYY-MM-DD HH24:MI:SS'));</v>
      </c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</row>
    <row r="624">
      <c r="A624" s="25" t="s">
        <v>206</v>
      </c>
      <c r="B624" s="26">
        <v>119.0</v>
      </c>
      <c r="C624" s="27">
        <v>45875.0</v>
      </c>
      <c r="D624" s="28">
        <v>45875.35763888889</v>
      </c>
      <c r="E624" s="28">
        <v>45875.743055555555</v>
      </c>
      <c r="F624" s="21" t="s">
        <v>184</v>
      </c>
      <c r="G624" s="23"/>
      <c r="H624" s="23" t="str">
        <f t="shared" si="1"/>
        <v>INSERT INTO tblDayAttendanceLog VALUES (seqDayAttendanceLog.nextval, 119, TO_DATE('2025-08-06', 'YYYY-MM-DD'), TO_DATE('2025-08-06 08:35:00', 'YYYY-MM-DD HH24:MI:SS'), TO_DATE('2025-08-06 17:50:00', 'YYYY-MM-DD HH24:MI:SS'));</v>
      </c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</row>
    <row r="625">
      <c r="A625" s="25" t="s">
        <v>206</v>
      </c>
      <c r="B625" s="26">
        <v>120.0</v>
      </c>
      <c r="C625" s="27">
        <v>45875.0</v>
      </c>
      <c r="D625" s="28">
        <v>45875.37708333333</v>
      </c>
      <c r="E625" s="28">
        <v>45875.74652777778</v>
      </c>
      <c r="F625" s="21" t="s">
        <v>189</v>
      </c>
      <c r="G625" s="23"/>
      <c r="H625" s="23" t="str">
        <f t="shared" si="1"/>
        <v>INSERT INTO tblDayAttendanceLog VALUES (seqDayAttendanceLog.nextval, 120, TO_DATE('2025-08-06', 'YYYY-MM-DD'), TO_DATE('2025-08-06 09:03:00', 'YYYY-MM-DD HH24:MI:SS'), TO_DATE('2025-08-06 17:55:00', 'YYYY-MM-DD HH24:MI:SS'));</v>
      </c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</row>
    <row r="626">
      <c r="A626" s="25" t="s">
        <v>206</v>
      </c>
      <c r="B626" s="26">
        <v>121.0</v>
      </c>
      <c r="C626" s="27">
        <v>45875.0</v>
      </c>
      <c r="D626" s="28">
        <v>45875.342361111114</v>
      </c>
      <c r="E626" s="28">
        <v>45875.74444444444</v>
      </c>
      <c r="F626" s="21" t="s">
        <v>184</v>
      </c>
      <c r="G626" s="23"/>
      <c r="H626" s="23" t="str">
        <f t="shared" si="1"/>
        <v>INSERT INTO tblDayAttendanceLog VALUES (seqDayAttendanceLog.nextval, 121, TO_DATE('2025-08-06', 'YYYY-MM-DD'), TO_DATE('2025-08-06 08:13:00', 'YYYY-MM-DD HH24:MI:SS'), TO_DATE('2025-08-06 17:52:00', 'YYYY-MM-DD HH24:MI:SS'));</v>
      </c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</row>
    <row r="627">
      <c r="A627" s="25" t="s">
        <v>206</v>
      </c>
      <c r="B627" s="26">
        <v>122.0</v>
      </c>
      <c r="C627" s="27">
        <v>45875.0</v>
      </c>
      <c r="D627" s="28">
        <v>45875.402083333334</v>
      </c>
      <c r="E627" s="28">
        <v>45875.74722222222</v>
      </c>
      <c r="F627" s="21" t="s">
        <v>189</v>
      </c>
      <c r="G627" s="23"/>
      <c r="H627" s="23" t="str">
        <f t="shared" si="1"/>
        <v>INSERT INTO tblDayAttendanceLog VALUES (seqDayAttendanceLog.nextval, 122, TO_DATE('2025-08-06', 'YYYY-MM-DD'), TO_DATE('2025-08-06 09:39:00', 'YYYY-MM-DD HH24:MI:SS'), TO_DATE('2025-08-06 17:56:00', 'YYYY-MM-DD HH24:MI:SS'));</v>
      </c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</row>
    <row r="628">
      <c r="A628" s="25" t="s">
        <v>206</v>
      </c>
      <c r="B628" s="26">
        <v>123.0</v>
      </c>
      <c r="C628" s="27">
        <v>45875.0</v>
      </c>
      <c r="D628" s="28">
        <v>45875.40972222222</v>
      </c>
      <c r="E628" s="28">
        <v>45875.74513888889</v>
      </c>
      <c r="F628" s="21" t="s">
        <v>189</v>
      </c>
      <c r="G628" s="23"/>
      <c r="H628" s="23" t="str">
        <f t="shared" si="1"/>
        <v>INSERT INTO tblDayAttendanceLog VALUES (seqDayAttendanceLog.nextval, 123, TO_DATE('2025-08-06', 'YYYY-MM-DD'), TO_DATE('2025-08-06 09:50:00', 'YYYY-MM-DD HH24:MI:SS'), TO_DATE('2025-08-06 17:53:00', 'YYYY-MM-DD HH24:MI:SS'));</v>
      </c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</row>
    <row r="629">
      <c r="A629" s="25" t="s">
        <v>206</v>
      </c>
      <c r="B629" s="26">
        <v>124.0</v>
      </c>
      <c r="C629" s="27">
        <v>45875.0</v>
      </c>
      <c r="D629" s="28">
        <v>45875.37569444445</v>
      </c>
      <c r="E629" s="28">
        <v>45875.74513888889</v>
      </c>
      <c r="F629" s="21" t="s">
        <v>189</v>
      </c>
      <c r="G629" s="23"/>
      <c r="H629" s="23" t="str">
        <f t="shared" si="1"/>
        <v>INSERT INTO tblDayAttendanceLog VALUES (seqDayAttendanceLog.nextval, 124, TO_DATE('2025-08-06', 'YYYY-MM-DD'), TO_DATE('2025-08-06 09:01:00', 'YYYY-MM-DD HH24:MI:SS'), TO_DATE('2025-08-06 17:53:00', 'YYYY-MM-DD HH24:MI:SS'));</v>
      </c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</row>
    <row r="630">
      <c r="A630" s="25" t="s">
        <v>206</v>
      </c>
      <c r="B630" s="26">
        <v>125.0</v>
      </c>
      <c r="C630" s="27">
        <v>45875.0</v>
      </c>
      <c r="D630" s="28">
        <v>45875.35555555556</v>
      </c>
      <c r="E630" s="28">
        <v>45875.745833333334</v>
      </c>
      <c r="F630" s="21" t="s">
        <v>184</v>
      </c>
      <c r="G630" s="23"/>
      <c r="H630" s="23" t="str">
        <f t="shared" si="1"/>
        <v>INSERT INTO tblDayAttendanceLog VALUES (seqDayAttendanceLog.nextval, 125, TO_DATE('2025-08-06', 'YYYY-MM-DD'), TO_DATE('2025-08-06 08:32:00', 'YYYY-MM-DD HH24:MI:SS'), TO_DATE('2025-08-06 17:54:00', 'YYYY-MM-DD HH24:MI:SS'));</v>
      </c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</row>
    <row r="631">
      <c r="A631" s="25" t="s">
        <v>206</v>
      </c>
      <c r="B631" s="26">
        <v>126.0</v>
      </c>
      <c r="C631" s="27">
        <v>45875.0</v>
      </c>
      <c r="D631" s="28">
        <v>45875.40069444444</v>
      </c>
      <c r="E631" s="28">
        <v>45875.74791666667</v>
      </c>
      <c r="F631" s="21" t="s">
        <v>189</v>
      </c>
      <c r="G631" s="23"/>
      <c r="H631" s="23" t="str">
        <f t="shared" si="1"/>
        <v>INSERT INTO tblDayAttendanceLog VALUES (seqDayAttendanceLog.nextval, 126, TO_DATE('2025-08-06', 'YYYY-MM-DD'), TO_DATE('2025-08-06 09:37:00', 'YYYY-MM-DD HH24:MI:SS'), TO_DATE('2025-08-06 17:57:00', 'YYYY-MM-DD HH24:MI:SS'));</v>
      </c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</row>
    <row r="632">
      <c r="A632" s="25" t="s">
        <v>206</v>
      </c>
      <c r="B632" s="26">
        <v>127.0</v>
      </c>
      <c r="C632" s="27">
        <v>45875.0</v>
      </c>
      <c r="D632" s="28">
        <v>45875.385416666664</v>
      </c>
      <c r="E632" s="28">
        <v>45875.74444444444</v>
      </c>
      <c r="F632" s="21" t="s">
        <v>189</v>
      </c>
      <c r="G632" s="23"/>
      <c r="H632" s="23" t="str">
        <f t="shared" si="1"/>
        <v>INSERT INTO tblDayAttendanceLog VALUES (seqDayAttendanceLog.nextval, 127, TO_DATE('2025-08-06', 'YYYY-MM-DD'), TO_DATE('2025-08-06 09:15:00', 'YYYY-MM-DD HH24:MI:SS'), TO_DATE('2025-08-06 17:52:00', 'YYYY-MM-DD HH24:MI:SS'));</v>
      </c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</row>
    <row r="633">
      <c r="A633" s="25" t="s">
        <v>206</v>
      </c>
      <c r="B633" s="26">
        <v>128.0</v>
      </c>
      <c r="C633" s="27">
        <v>45875.0</v>
      </c>
      <c r="D633" s="28">
        <v>45875.342361111114</v>
      </c>
      <c r="E633" s="28">
        <v>45875.74513888889</v>
      </c>
      <c r="F633" s="21" t="s">
        <v>184</v>
      </c>
      <c r="G633" s="23"/>
      <c r="H633" s="23" t="str">
        <f t="shared" si="1"/>
        <v>INSERT INTO tblDayAttendanceLog VALUES (seqDayAttendanceLog.nextval, 128, TO_DATE('2025-08-06', 'YYYY-MM-DD'), TO_DATE('2025-08-06 08:13:00', 'YYYY-MM-DD HH24:MI:SS'), TO_DATE('2025-08-06 17:53:00', 'YYYY-MM-DD HH24:MI:SS'));</v>
      </c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</row>
    <row r="634">
      <c r="A634" s="25" t="s">
        <v>206</v>
      </c>
      <c r="B634" s="26">
        <v>129.0</v>
      </c>
      <c r="C634" s="27">
        <v>45875.0</v>
      </c>
      <c r="D634" s="28">
        <v>45875.37708333333</v>
      </c>
      <c r="E634" s="28">
        <v>45875.74513888889</v>
      </c>
      <c r="F634" s="21" t="s">
        <v>189</v>
      </c>
      <c r="G634" s="23"/>
      <c r="H634" s="23" t="str">
        <f t="shared" si="1"/>
        <v>INSERT INTO tblDayAttendanceLog VALUES (seqDayAttendanceLog.nextval, 129, TO_DATE('2025-08-06', 'YYYY-MM-DD'), TO_DATE('2025-08-06 09:03:00', 'YYYY-MM-DD HH24:MI:SS'), TO_DATE('2025-08-06 17:53:00', 'YYYY-MM-DD HH24:MI:SS'));</v>
      </c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</row>
    <row r="635">
      <c r="A635" s="25" t="s">
        <v>206</v>
      </c>
      <c r="B635" s="26">
        <v>130.0</v>
      </c>
      <c r="C635" s="27">
        <v>45875.0</v>
      </c>
      <c r="D635" s="28">
        <v>45875.34097222222</v>
      </c>
      <c r="E635" s="28">
        <v>45875.745833333334</v>
      </c>
      <c r="F635" s="21" t="s">
        <v>184</v>
      </c>
      <c r="G635" s="23"/>
      <c r="H635" s="23" t="str">
        <f t="shared" si="1"/>
        <v>INSERT INTO tblDayAttendanceLog VALUES (seqDayAttendanceLog.nextval, 130, TO_DATE('2025-08-06', 'YYYY-MM-DD'), TO_DATE('2025-08-06 08:11:00', 'YYYY-MM-DD HH24:MI:SS'), TO_DATE('2025-08-06 17:54:00', 'YYYY-MM-DD HH24:MI:SS'));</v>
      </c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</row>
    <row r="636">
      <c r="A636" s="25" t="s">
        <v>206</v>
      </c>
      <c r="B636" s="26">
        <v>131.0</v>
      </c>
      <c r="C636" s="27">
        <v>45875.0</v>
      </c>
      <c r="D636" s="28">
        <v>45875.399305555555</v>
      </c>
      <c r="E636" s="28">
        <v>45875.74513888889</v>
      </c>
      <c r="F636" s="21" t="s">
        <v>189</v>
      </c>
      <c r="G636" s="23"/>
      <c r="H636" s="23" t="str">
        <f t="shared" si="1"/>
        <v>INSERT INTO tblDayAttendanceLog VALUES (seqDayAttendanceLog.nextval, 131, TO_DATE('2025-08-06', 'YYYY-MM-DD'), TO_DATE('2025-08-06 09:35:00', 'YYYY-MM-DD HH24:MI:SS'), TO_DATE('2025-08-06 17:53:00', 'YYYY-MM-DD HH24:MI:SS'));</v>
      </c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</row>
    <row r="637">
      <c r="A637" s="25" t="s">
        <v>206</v>
      </c>
      <c r="B637" s="26">
        <v>132.0</v>
      </c>
      <c r="C637" s="27">
        <v>45875.0</v>
      </c>
      <c r="D637" s="28">
        <v>45875.35486111111</v>
      </c>
      <c r="E637" s="28">
        <v>45875.743055555555</v>
      </c>
      <c r="F637" s="21" t="s">
        <v>184</v>
      </c>
      <c r="G637" s="23"/>
      <c r="H637" s="23" t="str">
        <f t="shared" si="1"/>
        <v>INSERT INTO tblDayAttendanceLog VALUES (seqDayAttendanceLog.nextval, 132, TO_DATE('2025-08-06', 'YYYY-MM-DD'), TO_DATE('2025-08-06 08:31:00', 'YYYY-MM-DD HH24:MI:SS'), TO_DATE('2025-08-06 17:50:00', 'YYYY-MM-DD HH24:MI:SS'));</v>
      </c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</row>
    <row r="638">
      <c r="A638" s="25" t="s">
        <v>206</v>
      </c>
      <c r="B638" s="26">
        <v>133.0</v>
      </c>
      <c r="C638" s="27">
        <v>45875.0</v>
      </c>
      <c r="D638" s="28">
        <v>45875.40972222222</v>
      </c>
      <c r="E638" s="28">
        <v>45875.748611111114</v>
      </c>
      <c r="F638" s="21" t="s">
        <v>189</v>
      </c>
      <c r="G638" s="23"/>
      <c r="H638" s="23" t="str">
        <f t="shared" si="1"/>
        <v>INSERT INTO tblDayAttendanceLog VALUES (seqDayAttendanceLog.nextval, 133, TO_DATE('2025-08-06', 'YYYY-MM-DD'), TO_DATE('2025-08-06 09:50:00', 'YYYY-MM-DD HH24:MI:SS'), TO_DATE('2025-08-06 17:58:00', 'YYYY-MM-DD HH24:MI:SS'));</v>
      </c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</row>
    <row r="639">
      <c r="A639" s="25" t="s">
        <v>206</v>
      </c>
      <c r="B639" s="26">
        <v>134.0</v>
      </c>
      <c r="C639" s="27">
        <v>45875.0</v>
      </c>
      <c r="D639" s="28">
        <v>45875.381944444445</v>
      </c>
      <c r="E639" s="28">
        <v>45875.74444444444</v>
      </c>
      <c r="F639" s="21" t="s">
        <v>189</v>
      </c>
      <c r="G639" s="23"/>
      <c r="H639" s="23" t="str">
        <f t="shared" si="1"/>
        <v>INSERT INTO tblDayAttendanceLog VALUES (seqDayAttendanceLog.nextval, 134, TO_DATE('2025-08-06', 'YYYY-MM-DD'), TO_DATE('2025-08-06 09:10:00', 'YYYY-MM-DD HH24:MI:SS'), TO_DATE('2025-08-06 17:52:00', 'YYYY-MM-DD HH24:MI:SS'));</v>
      </c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</row>
    <row r="640">
      <c r="A640" s="25" t="s">
        <v>206</v>
      </c>
      <c r="B640" s="26">
        <v>135.0</v>
      </c>
      <c r="C640" s="27">
        <v>45875.0</v>
      </c>
      <c r="D640" s="28">
        <v>45875.40625</v>
      </c>
      <c r="E640" s="28">
        <v>45875.74444444444</v>
      </c>
      <c r="F640" s="21" t="s">
        <v>189</v>
      </c>
      <c r="G640" s="23"/>
      <c r="H640" s="23" t="str">
        <f t="shared" si="1"/>
        <v>INSERT INTO tblDayAttendanceLog VALUES (seqDayAttendanceLog.nextval, 135, TO_DATE('2025-08-06', 'YYYY-MM-DD'), TO_DATE('2025-08-06 09:45:00', 'YYYY-MM-DD HH24:MI:SS'), TO_DATE('2025-08-06 17:52:00', 'YYYY-MM-DD HH24:MI:SS'));</v>
      </c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</row>
    <row r="641">
      <c r="A641" s="25" t="s">
        <v>206</v>
      </c>
      <c r="B641" s="26">
        <v>136.0</v>
      </c>
      <c r="C641" s="27">
        <v>45875.0</v>
      </c>
      <c r="D641" s="28">
        <v>45875.39166666667</v>
      </c>
      <c r="E641" s="28">
        <v>45875.74375</v>
      </c>
      <c r="F641" s="21" t="s">
        <v>189</v>
      </c>
      <c r="G641" s="23"/>
      <c r="H641" s="23" t="str">
        <f t="shared" si="1"/>
        <v>INSERT INTO tblDayAttendanceLog VALUES (seqDayAttendanceLog.nextval, 136, TO_DATE('2025-08-06', 'YYYY-MM-DD'), TO_DATE('2025-08-06 09:24:00', 'YYYY-MM-DD HH24:MI:SS'), TO_DATE('2025-08-06 17:51:00', 'YYYY-MM-DD HH24:MI:SS'));</v>
      </c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</row>
    <row r="642">
      <c r="A642" s="25" t="s">
        <v>206</v>
      </c>
      <c r="B642" s="26">
        <v>137.0</v>
      </c>
      <c r="C642" s="27">
        <v>45875.0</v>
      </c>
      <c r="D642" s="28">
        <v>45875.33888888889</v>
      </c>
      <c r="E642" s="28">
        <v>45875.743055555555</v>
      </c>
      <c r="F642" s="21" t="s">
        <v>184</v>
      </c>
      <c r="G642" s="23"/>
      <c r="H642" s="23" t="str">
        <f t="shared" si="1"/>
        <v>INSERT INTO tblDayAttendanceLog VALUES (seqDayAttendanceLog.nextval, 137, TO_DATE('2025-08-06', 'YYYY-MM-DD'), TO_DATE('2025-08-06 08:08:00', 'YYYY-MM-DD HH24:MI:SS'), TO_DATE('2025-08-06 17:50:00', 'YYYY-MM-DD HH24:MI:SS'));</v>
      </c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</row>
    <row r="643">
      <c r="A643" s="25" t="s">
        <v>206</v>
      </c>
      <c r="B643" s="26">
        <v>138.0</v>
      </c>
      <c r="C643" s="27">
        <v>45875.0</v>
      </c>
      <c r="D643" s="28">
        <v>45875.38888888889</v>
      </c>
      <c r="E643" s="28">
        <v>45875.74375</v>
      </c>
      <c r="F643" s="21" t="s">
        <v>189</v>
      </c>
      <c r="G643" s="23"/>
      <c r="H643" s="23" t="str">
        <f t="shared" si="1"/>
        <v>INSERT INTO tblDayAttendanceLog VALUES (seqDayAttendanceLog.nextval, 138, TO_DATE('2025-08-06', 'YYYY-MM-DD'), TO_DATE('2025-08-06 09:20:00', 'YYYY-MM-DD HH24:MI:SS'), TO_DATE('2025-08-06 17:51:00', 'YYYY-MM-DD HH24:MI:SS'));</v>
      </c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</row>
    <row r="644">
      <c r="A644" s="25" t="s">
        <v>206</v>
      </c>
      <c r="B644" s="26">
        <v>139.0</v>
      </c>
      <c r="C644" s="27">
        <v>45875.0</v>
      </c>
      <c r="D644" s="28">
        <v>45875.34583333333</v>
      </c>
      <c r="E644" s="28">
        <v>45875.74444444444</v>
      </c>
      <c r="F644" s="21" t="s">
        <v>184</v>
      </c>
      <c r="G644" s="23"/>
      <c r="H644" s="23" t="str">
        <f t="shared" si="1"/>
        <v>INSERT INTO tblDayAttendanceLog VALUES (seqDayAttendanceLog.nextval, 139, TO_DATE('2025-08-06', 'YYYY-MM-DD'), TO_DATE('2025-08-06 08:18:00', 'YYYY-MM-DD HH24:MI:SS'), TO_DATE('2025-08-06 17:52:00', 'YYYY-MM-DD HH24:MI:SS'));</v>
      </c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</row>
    <row r="645">
      <c r="A645" s="25" t="s">
        <v>206</v>
      </c>
      <c r="B645" s="26">
        <v>140.0</v>
      </c>
      <c r="C645" s="27">
        <v>45875.0</v>
      </c>
      <c r="D645" s="28">
        <v>45875.36319444444</v>
      </c>
      <c r="E645" s="28">
        <v>45875.748611111114</v>
      </c>
      <c r="F645" s="21" t="s">
        <v>184</v>
      </c>
      <c r="G645" s="23"/>
      <c r="H645" s="23" t="str">
        <f t="shared" si="1"/>
        <v>INSERT INTO tblDayAttendanceLog VALUES (seqDayAttendanceLog.nextval, 140, TO_DATE('2025-08-06', 'YYYY-MM-DD'), TO_DATE('2025-08-06 08:43:00', 'YYYY-MM-DD HH24:MI:SS'), TO_DATE('2025-08-06 17:58:00', 'YYYY-MM-DD HH24:MI:SS'));</v>
      </c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</row>
    <row r="646">
      <c r="A646" s="25" t="s">
        <v>206</v>
      </c>
      <c r="B646" s="26">
        <v>141.0</v>
      </c>
      <c r="C646" s="27">
        <v>45875.0</v>
      </c>
      <c r="D646" s="28">
        <v>45875.396527777775</v>
      </c>
      <c r="E646" s="28">
        <v>45875.74375</v>
      </c>
      <c r="F646" s="21" t="s">
        <v>189</v>
      </c>
      <c r="G646" s="23"/>
      <c r="H646" s="23" t="str">
        <f t="shared" si="1"/>
        <v>INSERT INTO tblDayAttendanceLog VALUES (seqDayAttendanceLog.nextval, 141, TO_DATE('2025-08-06', 'YYYY-MM-DD'), TO_DATE('2025-08-06 09:31:00', 'YYYY-MM-DD HH24:MI:SS'), TO_DATE('2025-08-06 17:51:00', 'YYYY-MM-DD HH24:MI:SS'));</v>
      </c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</row>
    <row r="647">
      <c r="A647" s="25" t="s">
        <v>206</v>
      </c>
      <c r="B647" s="26">
        <v>142.0</v>
      </c>
      <c r="C647" s="27">
        <v>45875.0</v>
      </c>
      <c r="D647" s="28">
        <v>45875.393055555556</v>
      </c>
      <c r="E647" s="28">
        <v>45875.745833333334</v>
      </c>
      <c r="F647" s="21" t="s">
        <v>189</v>
      </c>
      <c r="G647" s="23"/>
      <c r="H647" s="23" t="str">
        <f t="shared" si="1"/>
        <v>INSERT INTO tblDayAttendanceLog VALUES (seqDayAttendanceLog.nextval, 142, TO_DATE('2025-08-06', 'YYYY-MM-DD'), TO_DATE('2025-08-06 09:26:00', 'YYYY-MM-DD HH24:MI:SS'), TO_DATE('2025-08-06 17:54:00', 'YYYY-MM-DD HH24:MI:SS'));</v>
      </c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</row>
    <row r="648">
      <c r="A648" s="25" t="s">
        <v>206</v>
      </c>
      <c r="B648" s="26">
        <v>143.0</v>
      </c>
      <c r="C648" s="27">
        <v>45875.0</v>
      </c>
      <c r="D648" s="28">
        <v>45875.396527777775</v>
      </c>
      <c r="E648" s="28">
        <v>45875.74652777778</v>
      </c>
      <c r="F648" s="21" t="s">
        <v>189</v>
      </c>
      <c r="G648" s="23"/>
      <c r="H648" s="23" t="str">
        <f t="shared" si="1"/>
        <v>INSERT INTO tblDayAttendanceLog VALUES (seqDayAttendanceLog.nextval, 143, TO_DATE('2025-08-06', 'YYYY-MM-DD'), TO_DATE('2025-08-06 09:31:00', 'YYYY-MM-DD HH24:MI:SS'), TO_DATE('2025-08-06 17:55:00', 'YYYY-MM-DD HH24:MI:SS'));</v>
      </c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</row>
    <row r="649">
      <c r="A649" s="25" t="s">
        <v>206</v>
      </c>
      <c r="B649" s="26">
        <v>144.0</v>
      </c>
      <c r="C649" s="27">
        <v>45875.0</v>
      </c>
      <c r="D649" s="28">
        <v>45875.4</v>
      </c>
      <c r="E649" s="28">
        <v>45875.74444444444</v>
      </c>
      <c r="F649" s="21" t="s">
        <v>189</v>
      </c>
      <c r="G649" s="23"/>
      <c r="H649" s="23" t="str">
        <f t="shared" si="1"/>
        <v>INSERT INTO tblDayAttendanceLog VALUES (seqDayAttendanceLog.nextval, 144, TO_DATE('2025-08-06', 'YYYY-MM-DD'), TO_DATE('2025-08-06 09:36:00', 'YYYY-MM-DD HH24:MI:SS'), TO_DATE('2025-08-06 17:52:00', 'YYYY-MM-DD HH24:MI:SS'));</v>
      </c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</row>
    <row r="650">
      <c r="A650" s="25" t="s">
        <v>206</v>
      </c>
      <c r="B650" s="26">
        <v>145.0</v>
      </c>
      <c r="C650" s="27">
        <v>45875.0</v>
      </c>
      <c r="D650" s="28">
        <v>45875.34027777778</v>
      </c>
      <c r="E650" s="28">
        <v>45875.74513888889</v>
      </c>
      <c r="F650" s="21" t="s">
        <v>184</v>
      </c>
      <c r="G650" s="23"/>
      <c r="H650" s="23" t="str">
        <f t="shared" si="1"/>
        <v>INSERT INTO tblDayAttendanceLog VALUES (seqDayAttendanceLog.nextval, 145, TO_DATE('2025-08-06', 'YYYY-MM-DD'), TO_DATE('2025-08-06 08:10:00', 'YYYY-MM-DD HH24:MI:SS'), TO_DATE('2025-08-06 17:53:00', 'YYYY-MM-DD HH24:MI:SS'));</v>
      </c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</row>
    <row r="651">
      <c r="A651" s="25" t="s">
        <v>206</v>
      </c>
      <c r="B651" s="26">
        <v>146.0</v>
      </c>
      <c r="C651" s="27">
        <v>45875.0</v>
      </c>
      <c r="D651" s="28">
        <v>45875.41180555556</v>
      </c>
      <c r="E651" s="28">
        <v>45875.74930555555</v>
      </c>
      <c r="F651" s="21" t="s">
        <v>189</v>
      </c>
      <c r="G651" s="23"/>
      <c r="H651" s="23" t="str">
        <f t="shared" si="1"/>
        <v>INSERT INTO tblDayAttendanceLog VALUES (seqDayAttendanceLog.nextval, 146, TO_DATE('2025-08-06', 'YYYY-MM-DD'), TO_DATE('2025-08-06 09:53:00', 'YYYY-MM-DD HH24:MI:SS'), TO_DATE('2025-08-06 17:59:00', 'YYYY-MM-DD HH24:MI:SS'));</v>
      </c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</row>
    <row r="652">
      <c r="A652" s="25" t="s">
        <v>206</v>
      </c>
      <c r="B652" s="26">
        <v>147.0</v>
      </c>
      <c r="C652" s="27">
        <v>45875.0</v>
      </c>
      <c r="D652" s="28">
        <v>45875.35763888889</v>
      </c>
      <c r="E652" s="28">
        <v>45875.74652777778</v>
      </c>
      <c r="F652" s="21" t="s">
        <v>184</v>
      </c>
      <c r="G652" s="23"/>
      <c r="H652" s="23" t="str">
        <f t="shared" si="1"/>
        <v>INSERT INTO tblDayAttendanceLog VALUES (seqDayAttendanceLog.nextval, 147, TO_DATE('2025-08-06', 'YYYY-MM-DD'), TO_DATE('2025-08-06 08:35:00', 'YYYY-MM-DD HH24:MI:SS'), TO_DATE('2025-08-06 17:55:00', 'YYYY-MM-DD HH24:MI:SS'));</v>
      </c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</row>
    <row r="653">
      <c r="A653" s="25" t="s">
        <v>206</v>
      </c>
      <c r="B653" s="26">
        <v>148.0</v>
      </c>
      <c r="C653" s="27">
        <v>45875.0</v>
      </c>
      <c r="D653" s="28">
        <v>45875.38680555556</v>
      </c>
      <c r="E653" s="28">
        <v>45875.743055555555</v>
      </c>
      <c r="F653" s="21" t="s">
        <v>189</v>
      </c>
      <c r="G653" s="23"/>
      <c r="H653" s="23" t="str">
        <f t="shared" si="1"/>
        <v>INSERT INTO tblDayAttendanceLog VALUES (seqDayAttendanceLog.nextval, 148, TO_DATE('2025-08-06', 'YYYY-MM-DD'), TO_DATE('2025-08-06 09:17:00', 'YYYY-MM-DD HH24:MI:SS'), TO_DATE('2025-08-06 17:50:00', 'YYYY-MM-DD HH24:MI:SS'));</v>
      </c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</row>
    <row r="654">
      <c r="A654" s="25" t="s">
        <v>206</v>
      </c>
      <c r="B654" s="26">
        <v>149.0</v>
      </c>
      <c r="C654" s="27">
        <v>45875.0</v>
      </c>
      <c r="D654" s="28">
        <v>45875.38263888889</v>
      </c>
      <c r="E654" s="28">
        <v>45875.74722222222</v>
      </c>
      <c r="F654" s="21" t="s">
        <v>189</v>
      </c>
      <c r="G654" s="23"/>
      <c r="H654" s="23" t="str">
        <f t="shared" si="1"/>
        <v>INSERT INTO tblDayAttendanceLog VALUES (seqDayAttendanceLog.nextval, 149, TO_DATE('2025-08-06', 'YYYY-MM-DD'), TO_DATE('2025-08-06 09:11:00', 'YYYY-MM-DD HH24:MI:SS'), TO_DATE('2025-08-06 17:56:00', 'YYYY-MM-DD HH24:MI:SS'));</v>
      </c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</row>
    <row r="655">
      <c r="A655" s="25" t="s">
        <v>206</v>
      </c>
      <c r="B655" s="26">
        <v>150.0</v>
      </c>
      <c r="C655" s="27">
        <v>45875.0</v>
      </c>
      <c r="D655" s="28">
        <v>45875.39236111111</v>
      </c>
      <c r="E655" s="28">
        <v>45875.74652777778</v>
      </c>
      <c r="F655" s="21" t="s">
        <v>189</v>
      </c>
      <c r="G655" s="23"/>
      <c r="H655" s="23" t="str">
        <f t="shared" si="1"/>
        <v>INSERT INTO tblDayAttendanceLog VALUES (seqDayAttendanceLog.nextval, 150, TO_DATE('2025-08-06', 'YYYY-MM-DD'), TO_DATE('2025-08-06 09:25:00', 'YYYY-MM-DD HH24:MI:SS'), TO_DATE('2025-08-06 17:55:00', 'YYYY-MM-DD HH24:MI:SS'));</v>
      </c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</row>
    <row r="656">
      <c r="A656" s="25" t="s">
        <v>206</v>
      </c>
      <c r="B656" s="26">
        <v>151.0</v>
      </c>
      <c r="C656" s="27">
        <v>45875.0</v>
      </c>
      <c r="D656" s="28">
        <v>45875.375</v>
      </c>
      <c r="E656" s="28">
        <v>45875.743055555555</v>
      </c>
      <c r="F656" s="21" t="s">
        <v>189</v>
      </c>
      <c r="G656" s="23"/>
      <c r="H656" s="23" t="str">
        <f t="shared" si="1"/>
        <v>INSERT INTO tblDayAttendanceLog VALUES (seqDayAttendanceLog.nextval, 151, TO_DATE('2025-08-06', 'YYYY-MM-DD'), TO_DATE('2025-08-06 09:00:00', 'YYYY-MM-DD HH24:MI:SS'), TO_DATE('2025-08-06 17:50:00', 'YYYY-MM-DD HH24:MI:SS'));</v>
      </c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</row>
    <row r="657">
      <c r="A657" s="25" t="s">
        <v>206</v>
      </c>
      <c r="B657" s="26">
        <v>152.0</v>
      </c>
      <c r="C657" s="27">
        <v>45875.0</v>
      </c>
      <c r="D657" s="28">
        <v>45875.34166666667</v>
      </c>
      <c r="E657" s="28">
        <v>45875.74722222222</v>
      </c>
      <c r="F657" s="21" t="s">
        <v>184</v>
      </c>
      <c r="G657" s="23"/>
      <c r="H657" s="23" t="str">
        <f t="shared" si="1"/>
        <v>INSERT INTO tblDayAttendanceLog VALUES (seqDayAttendanceLog.nextval, 152, TO_DATE('2025-08-06', 'YYYY-MM-DD'), TO_DATE('2025-08-06 08:12:00', 'YYYY-MM-DD HH24:MI:SS'), TO_DATE('2025-08-06 17:56:00', 'YYYY-MM-DD HH24:MI:SS'));</v>
      </c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</row>
    <row r="658">
      <c r="A658" s="25" t="s">
        <v>206</v>
      </c>
      <c r="B658" s="26">
        <v>153.0</v>
      </c>
      <c r="C658" s="27">
        <v>45875.0</v>
      </c>
      <c r="D658" s="29"/>
      <c r="E658" s="29"/>
      <c r="F658" s="21" t="s">
        <v>186</v>
      </c>
      <c r="G658" s="23"/>
      <c r="H658" s="23" t="str">
        <f t="shared" si="1"/>
        <v>INSERT INTO tblDayAttendanceLog VALUES (seqDayAttendanceLog.nextval, 153, TO_DATE('2025-08-06', 'YYYY-MM-DD'), NULL, NULL);</v>
      </c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</row>
    <row r="659">
      <c r="A659" s="25" t="s">
        <v>206</v>
      </c>
      <c r="B659" s="26">
        <v>154.0</v>
      </c>
      <c r="C659" s="27">
        <v>45875.0</v>
      </c>
      <c r="D659" s="28">
        <v>45875.39444444444</v>
      </c>
      <c r="E659" s="28">
        <v>45875.74930555555</v>
      </c>
      <c r="F659" s="21" t="s">
        <v>189</v>
      </c>
      <c r="G659" s="23"/>
      <c r="H659" s="23" t="str">
        <f t="shared" si="1"/>
        <v>INSERT INTO tblDayAttendanceLog VALUES (seqDayAttendanceLog.nextval, 154, TO_DATE('2025-08-06', 'YYYY-MM-DD'), TO_DATE('2025-08-06 09:28:00', 'YYYY-MM-DD HH24:MI:SS'), TO_DATE('2025-08-06 17:59:00', 'YYYY-MM-DD HH24:MI:SS'));</v>
      </c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</row>
    <row r="660">
      <c r="A660" s="25" t="s">
        <v>206</v>
      </c>
      <c r="B660" s="26">
        <v>155.0</v>
      </c>
      <c r="C660" s="27">
        <v>45875.0</v>
      </c>
      <c r="D660" s="28">
        <v>45875.34027777778</v>
      </c>
      <c r="E660" s="28">
        <v>45875.74513888889</v>
      </c>
      <c r="F660" s="21" t="s">
        <v>184</v>
      </c>
      <c r="G660" s="23"/>
      <c r="H660" s="23" t="str">
        <f t="shared" si="1"/>
        <v>INSERT INTO tblDayAttendanceLog VALUES (seqDayAttendanceLog.nextval, 155, TO_DATE('2025-08-06', 'YYYY-MM-DD'), TO_DATE('2025-08-06 08:10:00', 'YYYY-MM-DD HH24:MI:SS'), TO_DATE('2025-08-06 17:53:00', 'YYYY-MM-DD HH24:MI:SS'));</v>
      </c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</row>
    <row r="661">
      <c r="A661" s="25" t="s">
        <v>206</v>
      </c>
      <c r="B661" s="26">
        <v>156.0</v>
      </c>
      <c r="C661" s="27">
        <v>45875.0</v>
      </c>
      <c r="D661" s="28">
        <v>45875.37152777778</v>
      </c>
      <c r="E661" s="28">
        <v>45875.67916666667</v>
      </c>
      <c r="F661" s="21" t="s">
        <v>187</v>
      </c>
      <c r="G661" s="23"/>
      <c r="H661" s="23" t="str">
        <f t="shared" si="1"/>
        <v>INSERT INTO tblDayAttendanceLog VALUES (seqDayAttendanceLog.nextval, 156, TO_DATE('2025-08-06', 'YYYY-MM-DD'), TO_DATE('2025-08-06 08:55:00', 'YYYY-MM-DD HH24:MI:SS'), TO_DATE('2025-08-06 16:18:00', 'YYYY-MM-DD HH24:MI:SS'));</v>
      </c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</row>
    <row r="662">
      <c r="A662" s="25" t="s">
        <v>206</v>
      </c>
      <c r="B662" s="26">
        <v>157.0</v>
      </c>
      <c r="C662" s="27">
        <v>45875.0</v>
      </c>
      <c r="D662" s="28">
        <v>45875.38125</v>
      </c>
      <c r="E662" s="28">
        <v>45875.74513888889</v>
      </c>
      <c r="F662" s="21" t="s">
        <v>189</v>
      </c>
      <c r="G662" s="23"/>
      <c r="H662" s="23" t="str">
        <f t="shared" si="1"/>
        <v>INSERT INTO tblDayAttendanceLog VALUES (seqDayAttendanceLog.nextval, 157, TO_DATE('2025-08-06', 'YYYY-MM-DD'), TO_DATE('2025-08-06 09:09:00', 'YYYY-MM-DD HH24:MI:SS'), TO_DATE('2025-08-06 17:53:00', 'YYYY-MM-DD HH24:MI:SS'));</v>
      </c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</row>
    <row r="663">
      <c r="A663" s="25" t="s">
        <v>206</v>
      </c>
      <c r="B663" s="26">
        <v>158.0</v>
      </c>
      <c r="C663" s="27">
        <v>45875.0</v>
      </c>
      <c r="D663" s="28">
        <v>45875.3875</v>
      </c>
      <c r="E663" s="28">
        <v>45875.74513888889</v>
      </c>
      <c r="F663" s="21" t="s">
        <v>189</v>
      </c>
      <c r="G663" s="23"/>
      <c r="H663" s="23" t="str">
        <f t="shared" si="1"/>
        <v>INSERT INTO tblDayAttendanceLog VALUES (seqDayAttendanceLog.nextval, 158, TO_DATE('2025-08-06', 'YYYY-MM-DD'), TO_DATE('2025-08-06 09:18:00', 'YYYY-MM-DD HH24:MI:SS'), TO_DATE('2025-08-06 17:53:00', 'YYYY-MM-DD HH24:MI:SS'));</v>
      </c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</row>
    <row r="664">
      <c r="A664" s="25" t="s">
        <v>206</v>
      </c>
      <c r="B664" s="26">
        <v>159.0</v>
      </c>
      <c r="C664" s="27">
        <v>45875.0</v>
      </c>
      <c r="D664" s="28">
        <v>45875.365277777775</v>
      </c>
      <c r="E664" s="28">
        <v>45875.74375</v>
      </c>
      <c r="F664" s="21" t="s">
        <v>184</v>
      </c>
      <c r="G664" s="23"/>
      <c r="H664" s="23" t="str">
        <f t="shared" si="1"/>
        <v>INSERT INTO tblDayAttendanceLog VALUES (seqDayAttendanceLog.nextval, 159, TO_DATE('2025-08-06', 'YYYY-MM-DD'), TO_DATE('2025-08-06 08:46:00', 'YYYY-MM-DD HH24:MI:SS'), TO_DATE('2025-08-06 17:51:00', 'YYYY-MM-DD HH24:MI:SS'));</v>
      </c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</row>
    <row r="665">
      <c r="A665" s="25" t="s">
        <v>206</v>
      </c>
      <c r="B665" s="26">
        <v>160.0</v>
      </c>
      <c r="C665" s="27">
        <v>45875.0</v>
      </c>
      <c r="D665" s="28">
        <v>45875.385416666664</v>
      </c>
      <c r="E665" s="28">
        <v>45875.74513888889</v>
      </c>
      <c r="F665" s="21" t="s">
        <v>189</v>
      </c>
      <c r="G665" s="23"/>
      <c r="H665" s="23" t="str">
        <f t="shared" si="1"/>
        <v>INSERT INTO tblDayAttendanceLog VALUES (seqDayAttendanceLog.nextval, 160, TO_DATE('2025-08-06', 'YYYY-MM-DD'), TO_DATE('2025-08-06 09:15:00', 'YYYY-MM-DD HH24:MI:SS'), TO_DATE('2025-08-06 17:53:00', 'YYYY-MM-DD HH24:MI:SS'));</v>
      </c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</row>
    <row r="666">
      <c r="A666" s="25" t="s">
        <v>206</v>
      </c>
      <c r="B666" s="26">
        <v>161.0</v>
      </c>
      <c r="C666" s="27">
        <v>45875.0</v>
      </c>
      <c r="D666" s="28">
        <v>45875.37222222222</v>
      </c>
      <c r="E666" s="28">
        <v>45875.74375</v>
      </c>
      <c r="F666" s="21" t="s">
        <v>184</v>
      </c>
      <c r="G666" s="23"/>
      <c r="H666" s="23" t="str">
        <f t="shared" si="1"/>
        <v>INSERT INTO tblDayAttendanceLog VALUES (seqDayAttendanceLog.nextval, 161, TO_DATE('2025-08-06', 'YYYY-MM-DD'), TO_DATE('2025-08-06 08:56:00', 'YYYY-MM-DD HH24:MI:SS'), TO_DATE('2025-08-06 17:51:00', 'YYYY-MM-DD HH24:MI:SS'));</v>
      </c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</row>
    <row r="667">
      <c r="A667" s="25" t="s">
        <v>206</v>
      </c>
      <c r="B667" s="26">
        <v>162.0</v>
      </c>
      <c r="C667" s="27">
        <v>45875.0</v>
      </c>
      <c r="D667" s="28">
        <v>45875.38333333333</v>
      </c>
      <c r="E667" s="28">
        <v>45875.74375</v>
      </c>
      <c r="F667" s="21" t="s">
        <v>189</v>
      </c>
      <c r="G667" s="23"/>
      <c r="H667" s="23" t="str">
        <f t="shared" si="1"/>
        <v>INSERT INTO tblDayAttendanceLog VALUES (seqDayAttendanceLog.nextval, 162, TO_DATE('2025-08-06', 'YYYY-MM-DD'), TO_DATE('2025-08-06 09:12:00', 'YYYY-MM-DD HH24:MI:SS'), TO_DATE('2025-08-06 17:51:00', 'YYYY-MM-DD HH24:MI:SS'));</v>
      </c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</row>
    <row r="668">
      <c r="A668" s="25" t="s">
        <v>206</v>
      </c>
      <c r="B668" s="26">
        <v>163.0</v>
      </c>
      <c r="C668" s="27">
        <v>45875.0</v>
      </c>
      <c r="D668" s="28">
        <v>45875.402083333334</v>
      </c>
      <c r="E668" s="28">
        <v>45875.745833333334</v>
      </c>
      <c r="F668" s="21" t="s">
        <v>189</v>
      </c>
      <c r="G668" s="23"/>
      <c r="H668" s="23" t="str">
        <f t="shared" si="1"/>
        <v>INSERT INTO tblDayAttendanceLog VALUES (seqDayAttendanceLog.nextval, 163, TO_DATE('2025-08-06', 'YYYY-MM-DD'), TO_DATE('2025-08-06 09:39:00', 'YYYY-MM-DD HH24:MI:SS'), TO_DATE('2025-08-06 17:54:00', 'YYYY-MM-DD HH24:MI:SS'));</v>
      </c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</row>
    <row r="669">
      <c r="A669" s="25" t="s">
        <v>206</v>
      </c>
      <c r="B669" s="26">
        <v>164.0</v>
      </c>
      <c r="C669" s="27">
        <v>45875.0</v>
      </c>
      <c r="D669" s="28">
        <v>45875.34861111111</v>
      </c>
      <c r="E669" s="28">
        <v>45875.74791666667</v>
      </c>
      <c r="F669" s="21" t="s">
        <v>184</v>
      </c>
      <c r="G669" s="23"/>
      <c r="H669" s="23" t="str">
        <f t="shared" si="1"/>
        <v>INSERT INTO tblDayAttendanceLog VALUES (seqDayAttendanceLog.nextval, 164, TO_DATE('2025-08-06', 'YYYY-MM-DD'), TO_DATE('2025-08-06 08:22:00', 'YYYY-MM-DD HH24:MI:SS'), TO_DATE('2025-08-06 17:57:00', 'YYYY-MM-DD HH24:MI:SS'));</v>
      </c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</row>
    <row r="670">
      <c r="A670" s="25" t="s">
        <v>206</v>
      </c>
      <c r="B670" s="26">
        <v>165.0</v>
      </c>
      <c r="C670" s="27">
        <v>45875.0</v>
      </c>
      <c r="D670" s="28">
        <v>45875.350694444445</v>
      </c>
      <c r="E670" s="28">
        <v>45875.74375</v>
      </c>
      <c r="F670" s="21" t="s">
        <v>184</v>
      </c>
      <c r="G670" s="23"/>
      <c r="H670" s="23" t="str">
        <f t="shared" si="1"/>
        <v>INSERT INTO tblDayAttendanceLog VALUES (seqDayAttendanceLog.nextval, 165, TO_DATE('2025-08-06', 'YYYY-MM-DD'), TO_DATE('2025-08-06 08:25:00', 'YYYY-MM-DD HH24:MI:SS'), TO_DATE('2025-08-06 17:51:00', 'YYYY-MM-DD HH24:MI:SS'));</v>
      </c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</row>
    <row r="671">
      <c r="A671" s="25" t="s">
        <v>206</v>
      </c>
      <c r="B671" s="26">
        <v>166.0</v>
      </c>
      <c r="C671" s="27">
        <v>45875.0</v>
      </c>
      <c r="D671" s="28">
        <v>45875.4</v>
      </c>
      <c r="E671" s="28">
        <v>45875.74652777778</v>
      </c>
      <c r="F671" s="21" t="s">
        <v>189</v>
      </c>
      <c r="G671" s="23"/>
      <c r="H671" s="23" t="str">
        <f t="shared" si="1"/>
        <v>INSERT INTO tblDayAttendanceLog VALUES (seqDayAttendanceLog.nextval, 166, TO_DATE('2025-08-06', 'YYYY-MM-DD'), TO_DATE('2025-08-06 09:36:00', 'YYYY-MM-DD HH24:MI:SS'), TO_DATE('2025-08-06 17:55:00', 'YYYY-MM-DD HH24:MI:SS'));</v>
      </c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</row>
    <row r="672">
      <c r="A672" s="25" t="s">
        <v>206</v>
      </c>
      <c r="B672" s="26">
        <v>167.0</v>
      </c>
      <c r="C672" s="27">
        <v>45875.0</v>
      </c>
      <c r="D672" s="28">
        <v>45875.404861111114</v>
      </c>
      <c r="E672" s="28">
        <v>45875.743055555555</v>
      </c>
      <c r="F672" s="21" t="s">
        <v>189</v>
      </c>
      <c r="G672" s="23"/>
      <c r="H672" s="23" t="str">
        <f t="shared" si="1"/>
        <v>INSERT INTO tblDayAttendanceLog VALUES (seqDayAttendanceLog.nextval, 167, TO_DATE('2025-08-06', 'YYYY-MM-DD'), TO_DATE('2025-08-06 09:43:00', 'YYYY-MM-DD HH24:MI:SS'), TO_DATE('2025-08-06 17:50:00', 'YYYY-MM-DD HH24:MI:SS'));</v>
      </c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</row>
    <row r="673">
      <c r="A673" s="25" t="s">
        <v>206</v>
      </c>
      <c r="B673" s="26">
        <v>168.0</v>
      </c>
      <c r="C673" s="27">
        <v>45875.0</v>
      </c>
      <c r="D673" s="28">
        <v>45875.339583333334</v>
      </c>
      <c r="E673" s="28">
        <v>45875.743055555555</v>
      </c>
      <c r="F673" s="21" t="s">
        <v>184</v>
      </c>
      <c r="G673" s="23"/>
      <c r="H673" s="23" t="str">
        <f t="shared" si="1"/>
        <v>INSERT INTO tblDayAttendanceLog VALUES (seqDayAttendanceLog.nextval, 168, TO_DATE('2025-08-06', 'YYYY-MM-DD'), TO_DATE('2025-08-06 08:09:00', 'YYYY-MM-DD HH24:MI:SS'), TO_DATE('2025-08-06 17:50:00', 'YYYY-MM-DD HH24:MI:SS'));</v>
      </c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</row>
    <row r="674">
      <c r="A674" s="25" t="s">
        <v>206</v>
      </c>
      <c r="B674" s="26">
        <v>1.0</v>
      </c>
      <c r="C674" s="27">
        <v>45876.0</v>
      </c>
      <c r="D674" s="28">
        <v>45876.35972222222</v>
      </c>
      <c r="E674" s="28">
        <v>45876.74652777778</v>
      </c>
      <c r="F674" s="21" t="s">
        <v>184</v>
      </c>
      <c r="G674" s="23"/>
      <c r="H674" s="23" t="str">
        <f t="shared" si="1"/>
        <v>INSERT INTO tblDayAttendanceLog VALUES (seqDayAttendanceLog.nextval, 1, TO_DATE('2025-08-07', 'YYYY-MM-DD'), TO_DATE('2025-08-07 08:38:00', 'YYYY-MM-DD HH24:MI:SS'), TO_DATE('2025-08-07 17:55:00', 'YYYY-MM-DD HH24:MI:SS'));</v>
      </c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</row>
    <row r="675">
      <c r="A675" s="25" t="s">
        <v>206</v>
      </c>
      <c r="B675" s="26">
        <v>2.0</v>
      </c>
      <c r="C675" s="27">
        <v>45876.0</v>
      </c>
      <c r="D675" s="28">
        <v>45876.33611111111</v>
      </c>
      <c r="E675" s="28">
        <v>45876.74791666667</v>
      </c>
      <c r="F675" s="21" t="s">
        <v>184</v>
      </c>
      <c r="G675" s="23"/>
      <c r="H675" s="23" t="str">
        <f t="shared" si="1"/>
        <v>INSERT INTO tblDayAttendanceLog VALUES (seqDayAttendanceLog.nextval, 2, TO_DATE('2025-08-07', 'YYYY-MM-DD'), TO_DATE('2025-08-07 08:04:00', 'YYYY-MM-DD HH24:MI:SS'), TO_DATE('2025-08-07 17:57:00', 'YYYY-MM-DD HH24:MI:SS'));</v>
      </c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</row>
    <row r="676">
      <c r="A676" s="25" t="s">
        <v>206</v>
      </c>
      <c r="B676" s="26">
        <v>3.0</v>
      </c>
      <c r="C676" s="27">
        <v>45876.0</v>
      </c>
      <c r="D676" s="28">
        <v>45876.35555555556</v>
      </c>
      <c r="E676" s="28">
        <v>45876.74930555555</v>
      </c>
      <c r="F676" s="21" t="s">
        <v>184</v>
      </c>
      <c r="G676" s="23"/>
      <c r="H676" s="23" t="str">
        <f t="shared" si="1"/>
        <v>INSERT INTO tblDayAttendanceLog VALUES (seqDayAttendanceLog.nextval, 3, TO_DATE('2025-08-07', 'YYYY-MM-DD'), TO_DATE('2025-08-07 08:32:00', 'YYYY-MM-DD HH24:MI:SS'), TO_DATE('2025-08-07 17:59:00', 'YYYY-MM-DD HH24:MI:SS'));</v>
      </c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</row>
    <row r="677">
      <c r="A677" s="25" t="s">
        <v>206</v>
      </c>
      <c r="B677" s="26">
        <v>4.0</v>
      </c>
      <c r="C677" s="27">
        <v>45876.0</v>
      </c>
      <c r="D677" s="29"/>
      <c r="E677" s="29"/>
      <c r="F677" s="21" t="s">
        <v>186</v>
      </c>
      <c r="G677" s="23"/>
      <c r="H677" s="23" t="str">
        <f t="shared" si="1"/>
        <v>INSERT INTO tblDayAttendanceLog VALUES (seqDayAttendanceLog.nextval, 4, TO_DATE('2025-08-07', 'YYYY-MM-DD'), NULL, NULL);</v>
      </c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</row>
    <row r="678">
      <c r="A678" s="25" t="s">
        <v>206</v>
      </c>
      <c r="B678" s="26">
        <v>5.0</v>
      </c>
      <c r="C678" s="27">
        <v>45876.0</v>
      </c>
      <c r="D678" s="28">
        <v>45876.342361111114</v>
      </c>
      <c r="E678" s="28">
        <v>45876.74375</v>
      </c>
      <c r="F678" s="21" t="s">
        <v>184</v>
      </c>
      <c r="G678" s="23"/>
      <c r="H678" s="23" t="str">
        <f t="shared" si="1"/>
        <v>INSERT INTO tblDayAttendanceLog VALUES (seqDayAttendanceLog.nextval, 5, TO_DATE('2025-08-07', 'YYYY-MM-DD'), TO_DATE('2025-08-07 08:13:00', 'YYYY-MM-DD HH24:MI:SS'), TO_DATE('2025-08-07 17:51:00', 'YYYY-MM-DD HH24:MI:SS'));</v>
      </c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</row>
    <row r="679">
      <c r="A679" s="25" t="s">
        <v>206</v>
      </c>
      <c r="B679" s="26">
        <v>6.0</v>
      </c>
      <c r="C679" s="27">
        <v>45876.0</v>
      </c>
      <c r="D679" s="28">
        <v>45876.34444444445</v>
      </c>
      <c r="E679" s="28">
        <v>45876.74791666667</v>
      </c>
      <c r="F679" s="21" t="s">
        <v>184</v>
      </c>
      <c r="G679" s="23"/>
      <c r="H679" s="23" t="str">
        <f t="shared" si="1"/>
        <v>INSERT INTO tblDayAttendanceLog VALUES (seqDayAttendanceLog.nextval, 6, TO_DATE('2025-08-07', 'YYYY-MM-DD'), TO_DATE('2025-08-07 08:16:00', 'YYYY-MM-DD HH24:MI:SS'), TO_DATE('2025-08-07 17:57:00', 'YYYY-MM-DD HH24:MI:SS'));</v>
      </c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</row>
    <row r="680">
      <c r="A680" s="25" t="s">
        <v>206</v>
      </c>
      <c r="B680" s="26">
        <v>7.0</v>
      </c>
      <c r="C680" s="27">
        <v>45876.0</v>
      </c>
      <c r="D680" s="28">
        <v>45876.38263888889</v>
      </c>
      <c r="E680" s="28">
        <v>45876.74722222222</v>
      </c>
      <c r="F680" s="21" t="s">
        <v>189</v>
      </c>
      <c r="G680" s="23"/>
      <c r="H680" s="23" t="str">
        <f t="shared" si="1"/>
        <v>INSERT INTO tblDayAttendanceLog VALUES (seqDayAttendanceLog.nextval, 7, TO_DATE('2025-08-07', 'YYYY-MM-DD'), TO_DATE('2025-08-07 09:11:00', 'YYYY-MM-DD HH24:MI:SS'), TO_DATE('2025-08-07 17:56:00', 'YYYY-MM-DD HH24:MI:SS'));</v>
      </c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</row>
    <row r="681">
      <c r="A681" s="25" t="s">
        <v>206</v>
      </c>
      <c r="B681" s="26">
        <v>8.0</v>
      </c>
      <c r="C681" s="27">
        <v>45876.0</v>
      </c>
      <c r="D681" s="28">
        <v>45876.3625</v>
      </c>
      <c r="E681" s="28">
        <v>45876.74930555555</v>
      </c>
      <c r="F681" s="21" t="s">
        <v>184</v>
      </c>
      <c r="G681" s="23"/>
      <c r="H681" s="23" t="str">
        <f t="shared" si="1"/>
        <v>INSERT INTO tblDayAttendanceLog VALUES (seqDayAttendanceLog.nextval, 8, TO_DATE('2025-08-07', 'YYYY-MM-DD'), TO_DATE('2025-08-07 08:42:00', 'YYYY-MM-DD HH24:MI:SS'), TO_DATE('2025-08-07 17:59:00', 'YYYY-MM-DD HH24:MI:SS'));</v>
      </c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</row>
    <row r="682">
      <c r="A682" s="25" t="s">
        <v>206</v>
      </c>
      <c r="B682" s="26">
        <v>9.0</v>
      </c>
      <c r="C682" s="27">
        <v>45876.0</v>
      </c>
      <c r="D682" s="28">
        <v>45876.38611111111</v>
      </c>
      <c r="E682" s="28">
        <v>45876.74513888889</v>
      </c>
      <c r="F682" s="21" t="s">
        <v>189</v>
      </c>
      <c r="G682" s="23"/>
      <c r="H682" s="23" t="str">
        <f t="shared" si="1"/>
        <v>INSERT INTO tblDayAttendanceLog VALUES (seqDayAttendanceLog.nextval, 9, TO_DATE('2025-08-07', 'YYYY-MM-DD'), TO_DATE('2025-08-07 09:16:00', 'YYYY-MM-DD HH24:MI:SS'), TO_DATE('2025-08-07 17:53:00', 'YYYY-MM-DD HH24:MI:SS'));</v>
      </c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</row>
    <row r="683">
      <c r="A683" s="25" t="s">
        <v>206</v>
      </c>
      <c r="B683" s="26">
        <v>10.0</v>
      </c>
      <c r="C683" s="27">
        <v>45876.0</v>
      </c>
      <c r="D683" s="28">
        <v>45876.35763888889</v>
      </c>
      <c r="E683" s="28">
        <v>45876.74375</v>
      </c>
      <c r="F683" s="21" t="s">
        <v>184</v>
      </c>
      <c r="G683" s="23"/>
      <c r="H683" s="23" t="str">
        <f t="shared" si="1"/>
        <v>INSERT INTO tblDayAttendanceLog VALUES (seqDayAttendanceLog.nextval, 10, TO_DATE('2025-08-07', 'YYYY-MM-DD'), TO_DATE('2025-08-07 08:35:00', 'YYYY-MM-DD HH24:MI:SS'), TO_DATE('2025-08-07 17:51:00', 'YYYY-MM-DD HH24:MI:SS'));</v>
      </c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</row>
    <row r="684">
      <c r="A684" s="25" t="s">
        <v>206</v>
      </c>
      <c r="B684" s="26">
        <v>11.0</v>
      </c>
      <c r="C684" s="27">
        <v>45876.0</v>
      </c>
      <c r="D684" s="28">
        <v>45876.35763888889</v>
      </c>
      <c r="E684" s="28">
        <v>45876.74722222222</v>
      </c>
      <c r="F684" s="21" t="s">
        <v>184</v>
      </c>
      <c r="G684" s="23"/>
      <c r="H684" s="23" t="str">
        <f t="shared" si="1"/>
        <v>INSERT INTO tblDayAttendanceLog VALUES (seqDayAttendanceLog.nextval, 11, TO_DATE('2025-08-07', 'YYYY-MM-DD'), TO_DATE('2025-08-07 08:35:00', 'YYYY-MM-DD HH24:MI:SS'), TO_DATE('2025-08-07 17:56:00', 'YYYY-MM-DD HH24:MI:SS'));</v>
      </c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</row>
    <row r="685">
      <c r="A685" s="25" t="s">
        <v>206</v>
      </c>
      <c r="B685" s="26">
        <v>12.0</v>
      </c>
      <c r="C685" s="27">
        <v>45876.0</v>
      </c>
      <c r="D685" s="28">
        <v>45876.39861111111</v>
      </c>
      <c r="E685" s="28">
        <v>45876.748611111114</v>
      </c>
      <c r="F685" s="21" t="s">
        <v>189</v>
      </c>
      <c r="G685" s="23"/>
      <c r="H685" s="23" t="str">
        <f t="shared" si="1"/>
        <v>INSERT INTO tblDayAttendanceLog VALUES (seqDayAttendanceLog.nextval, 12, TO_DATE('2025-08-07', 'YYYY-MM-DD'), TO_DATE('2025-08-07 09:34:00', 'YYYY-MM-DD HH24:MI:SS'), TO_DATE('2025-08-07 17:58:00', 'YYYY-MM-DD HH24:MI:SS'));</v>
      </c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</row>
    <row r="686">
      <c r="A686" s="25" t="s">
        <v>206</v>
      </c>
      <c r="B686" s="26">
        <v>13.0</v>
      </c>
      <c r="C686" s="27">
        <v>45876.0</v>
      </c>
      <c r="D686" s="28">
        <v>45876.41458333333</v>
      </c>
      <c r="E686" s="28">
        <v>45876.74791666667</v>
      </c>
      <c r="F686" s="21" t="s">
        <v>189</v>
      </c>
      <c r="G686" s="23"/>
      <c r="H686" s="23" t="str">
        <f t="shared" si="1"/>
        <v>INSERT INTO tblDayAttendanceLog VALUES (seqDayAttendanceLog.nextval, 13, TO_DATE('2025-08-07', 'YYYY-MM-DD'), TO_DATE('2025-08-07 09:57:00', 'YYYY-MM-DD HH24:MI:SS'), TO_DATE('2025-08-07 17:57:00', 'YYYY-MM-DD HH24:MI:SS'));</v>
      </c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</row>
    <row r="687">
      <c r="A687" s="25" t="s">
        <v>206</v>
      </c>
      <c r="B687" s="26">
        <v>14.0</v>
      </c>
      <c r="C687" s="27">
        <v>45876.0</v>
      </c>
      <c r="D687" s="28">
        <v>45876.381944444445</v>
      </c>
      <c r="E687" s="28">
        <v>45876.74722222222</v>
      </c>
      <c r="F687" s="21" t="s">
        <v>189</v>
      </c>
      <c r="G687" s="23"/>
      <c r="H687" s="23" t="str">
        <f t="shared" si="1"/>
        <v>INSERT INTO tblDayAttendanceLog VALUES (seqDayAttendanceLog.nextval, 14, TO_DATE('2025-08-07', 'YYYY-MM-DD'), TO_DATE('2025-08-07 09:10:00', 'YYYY-MM-DD HH24:MI:SS'), TO_DATE('2025-08-07 17:56:00', 'YYYY-MM-DD HH24:MI:SS'));</v>
      </c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</row>
    <row r="688">
      <c r="A688" s="25" t="s">
        <v>206</v>
      </c>
      <c r="B688" s="26">
        <v>15.0</v>
      </c>
      <c r="C688" s="27">
        <v>45876.0</v>
      </c>
      <c r="D688" s="28">
        <v>45876.345138888886</v>
      </c>
      <c r="E688" s="28">
        <v>45876.74722222222</v>
      </c>
      <c r="F688" s="21" t="s">
        <v>184</v>
      </c>
      <c r="G688" s="23"/>
      <c r="H688" s="23" t="str">
        <f t="shared" si="1"/>
        <v>INSERT INTO tblDayAttendanceLog VALUES (seqDayAttendanceLog.nextval, 15, TO_DATE('2025-08-07', 'YYYY-MM-DD'), TO_DATE('2025-08-07 08:17:00', 'YYYY-MM-DD HH24:MI:SS'), TO_DATE('2025-08-07 17:56:00', 'YYYY-MM-DD HH24:MI:SS'));</v>
      </c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</row>
    <row r="689">
      <c r="A689" s="25" t="s">
        <v>206</v>
      </c>
      <c r="B689" s="26">
        <v>16.0</v>
      </c>
      <c r="C689" s="27">
        <v>45876.0</v>
      </c>
      <c r="D689" s="28">
        <v>45876.41180555556</v>
      </c>
      <c r="E689" s="28">
        <v>45876.74652777778</v>
      </c>
      <c r="F689" s="21" t="s">
        <v>189</v>
      </c>
      <c r="G689" s="23"/>
      <c r="H689" s="23" t="str">
        <f t="shared" si="1"/>
        <v>INSERT INTO tblDayAttendanceLog VALUES (seqDayAttendanceLog.nextval, 16, TO_DATE('2025-08-07', 'YYYY-MM-DD'), TO_DATE('2025-08-07 09:53:00', 'YYYY-MM-DD HH24:MI:SS'), TO_DATE('2025-08-07 17:55:00', 'YYYY-MM-DD HH24:MI:SS'));</v>
      </c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</row>
    <row r="690">
      <c r="A690" s="25" t="s">
        <v>206</v>
      </c>
      <c r="B690" s="26">
        <v>17.0</v>
      </c>
      <c r="C690" s="27">
        <v>45876.0</v>
      </c>
      <c r="D690" s="29"/>
      <c r="E690" s="29"/>
      <c r="F690" s="21" t="s">
        <v>186</v>
      </c>
      <c r="G690" s="23"/>
      <c r="H690" s="23" t="str">
        <f t="shared" si="1"/>
        <v>INSERT INTO tblDayAttendanceLog VALUES (seqDayAttendanceLog.nextval, 17, TO_DATE('2025-08-07', 'YYYY-MM-DD'), NULL, NULL);</v>
      </c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</row>
    <row r="691">
      <c r="A691" s="25" t="s">
        <v>206</v>
      </c>
      <c r="B691" s="26">
        <v>18.0</v>
      </c>
      <c r="C691" s="27">
        <v>45876.0</v>
      </c>
      <c r="D691" s="28">
        <v>45876.3875</v>
      </c>
      <c r="E691" s="28">
        <v>45876.743055555555</v>
      </c>
      <c r="F691" s="21" t="s">
        <v>189</v>
      </c>
      <c r="G691" s="23"/>
      <c r="H691" s="23" t="str">
        <f t="shared" si="1"/>
        <v>INSERT INTO tblDayAttendanceLog VALUES (seqDayAttendanceLog.nextval, 18, TO_DATE('2025-08-07', 'YYYY-MM-DD'), TO_DATE('2025-08-07 09:18:00', 'YYYY-MM-DD HH24:MI:SS'), TO_DATE('2025-08-07 17:50:00', 'YYYY-MM-DD HH24:MI:SS'));</v>
      </c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</row>
    <row r="692">
      <c r="A692" s="25" t="s">
        <v>206</v>
      </c>
      <c r="B692" s="26">
        <v>19.0</v>
      </c>
      <c r="C692" s="27">
        <v>45876.0</v>
      </c>
      <c r="D692" s="28">
        <v>45876.376388888886</v>
      </c>
      <c r="E692" s="28">
        <v>45876.74930555555</v>
      </c>
      <c r="F692" s="21" t="s">
        <v>189</v>
      </c>
      <c r="G692" s="23"/>
      <c r="H692" s="23" t="str">
        <f t="shared" si="1"/>
        <v>INSERT INTO tblDayAttendanceLog VALUES (seqDayAttendanceLog.nextval, 19, TO_DATE('2025-08-07', 'YYYY-MM-DD'), TO_DATE('2025-08-07 09:02:00', 'YYYY-MM-DD HH24:MI:SS'), TO_DATE('2025-08-07 17:59:00', 'YYYY-MM-DD HH24:MI:SS'));</v>
      </c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</row>
    <row r="693">
      <c r="A693" s="25" t="s">
        <v>206</v>
      </c>
      <c r="B693" s="26">
        <v>20.0</v>
      </c>
      <c r="C693" s="27">
        <v>45876.0</v>
      </c>
      <c r="D693" s="28">
        <v>45876.413194444445</v>
      </c>
      <c r="E693" s="28">
        <v>45876.74791666667</v>
      </c>
      <c r="F693" s="21" t="s">
        <v>189</v>
      </c>
      <c r="G693" s="23"/>
      <c r="H693" s="23" t="str">
        <f t="shared" si="1"/>
        <v>INSERT INTO tblDayAttendanceLog VALUES (seqDayAttendanceLog.nextval, 20, TO_DATE('2025-08-07', 'YYYY-MM-DD'), TO_DATE('2025-08-07 09:55:00', 'YYYY-MM-DD HH24:MI:SS'), TO_DATE('2025-08-07 17:57:00', 'YYYY-MM-DD HH24:MI:SS'));</v>
      </c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</row>
    <row r="694">
      <c r="A694" s="25" t="s">
        <v>206</v>
      </c>
      <c r="B694" s="26">
        <v>21.0</v>
      </c>
      <c r="C694" s="27">
        <v>45876.0</v>
      </c>
      <c r="D694" s="28">
        <v>45876.40694444445</v>
      </c>
      <c r="E694" s="28">
        <v>45876.74375</v>
      </c>
      <c r="F694" s="21" t="s">
        <v>189</v>
      </c>
      <c r="G694" s="23"/>
      <c r="H694" s="23" t="str">
        <f t="shared" si="1"/>
        <v>INSERT INTO tblDayAttendanceLog VALUES (seqDayAttendanceLog.nextval, 21, TO_DATE('2025-08-07', 'YYYY-MM-DD'), TO_DATE('2025-08-07 09:46:00', 'YYYY-MM-DD HH24:MI:SS'), TO_DATE('2025-08-07 17:51:00', 'YYYY-MM-DD HH24:MI:SS'));</v>
      </c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</row>
    <row r="695">
      <c r="A695" s="25" t="s">
        <v>206</v>
      </c>
      <c r="B695" s="26">
        <v>22.0</v>
      </c>
      <c r="C695" s="27">
        <v>45876.0</v>
      </c>
      <c r="D695" s="28">
        <v>45876.36666666667</v>
      </c>
      <c r="E695" s="28">
        <v>45876.748611111114</v>
      </c>
      <c r="F695" s="21" t="s">
        <v>184</v>
      </c>
      <c r="G695" s="23"/>
      <c r="H695" s="23" t="str">
        <f t="shared" si="1"/>
        <v>INSERT INTO tblDayAttendanceLog VALUES (seqDayAttendanceLog.nextval, 22, TO_DATE('2025-08-07', 'YYYY-MM-DD'), TO_DATE('2025-08-07 08:48:00', 'YYYY-MM-DD HH24:MI:SS'), TO_DATE('2025-08-07 17:58:00', 'YYYY-MM-DD HH24:MI:SS'));</v>
      </c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</row>
    <row r="696">
      <c r="A696" s="25" t="s">
        <v>206</v>
      </c>
      <c r="B696" s="26">
        <v>23.0</v>
      </c>
      <c r="C696" s="27">
        <v>45876.0</v>
      </c>
      <c r="D696" s="28">
        <v>45876.34722222222</v>
      </c>
      <c r="E696" s="28">
        <v>45876.743055555555</v>
      </c>
      <c r="F696" s="21" t="s">
        <v>184</v>
      </c>
      <c r="G696" s="23"/>
      <c r="H696" s="23" t="str">
        <f t="shared" si="1"/>
        <v>INSERT INTO tblDayAttendanceLog VALUES (seqDayAttendanceLog.nextval, 23, TO_DATE('2025-08-07', 'YYYY-MM-DD'), TO_DATE('2025-08-07 08:20:00', 'YYYY-MM-DD HH24:MI:SS'), TO_DATE('2025-08-07 17:50:00', 'YYYY-MM-DD HH24:MI:SS'));</v>
      </c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</row>
    <row r="697">
      <c r="A697" s="25" t="s">
        <v>206</v>
      </c>
      <c r="B697" s="26">
        <v>24.0</v>
      </c>
      <c r="C697" s="27">
        <v>45876.0</v>
      </c>
      <c r="D697" s="28">
        <v>45876.37569444445</v>
      </c>
      <c r="E697" s="28">
        <v>45876.74375</v>
      </c>
      <c r="F697" s="21" t="s">
        <v>189</v>
      </c>
      <c r="G697" s="23"/>
      <c r="H697" s="23" t="str">
        <f t="shared" si="1"/>
        <v>INSERT INTO tblDayAttendanceLog VALUES (seqDayAttendanceLog.nextval, 24, TO_DATE('2025-08-07', 'YYYY-MM-DD'), TO_DATE('2025-08-07 09:01:00', 'YYYY-MM-DD HH24:MI:SS'), TO_DATE('2025-08-07 17:51:00', 'YYYY-MM-DD HH24:MI:SS'));</v>
      </c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</row>
    <row r="698">
      <c r="A698" s="25" t="s">
        <v>206</v>
      </c>
      <c r="B698" s="26">
        <v>25.0</v>
      </c>
      <c r="C698" s="27">
        <v>45876.0</v>
      </c>
      <c r="D698" s="28">
        <v>45876.35</v>
      </c>
      <c r="E698" s="28">
        <v>45876.748611111114</v>
      </c>
      <c r="F698" s="21" t="s">
        <v>184</v>
      </c>
      <c r="G698" s="23"/>
      <c r="H698" s="23" t="str">
        <f t="shared" si="1"/>
        <v>INSERT INTO tblDayAttendanceLog VALUES (seqDayAttendanceLog.nextval, 25, TO_DATE('2025-08-07', 'YYYY-MM-DD'), TO_DATE('2025-08-07 08:24:00', 'YYYY-MM-DD HH24:MI:SS'), TO_DATE('2025-08-07 17:58:00', 'YYYY-MM-DD HH24:MI:SS'));</v>
      </c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</row>
    <row r="699">
      <c r="A699" s="25" t="s">
        <v>206</v>
      </c>
      <c r="B699" s="26">
        <v>26.0</v>
      </c>
      <c r="C699" s="27">
        <v>45876.0</v>
      </c>
      <c r="D699" s="28">
        <v>45876.34166666667</v>
      </c>
      <c r="E699" s="28">
        <v>45876.74444444444</v>
      </c>
      <c r="F699" s="21" t="s">
        <v>184</v>
      </c>
      <c r="G699" s="23"/>
      <c r="H699" s="23" t="str">
        <f t="shared" si="1"/>
        <v>INSERT INTO tblDayAttendanceLog VALUES (seqDayAttendanceLog.nextval, 26, TO_DATE('2025-08-07', 'YYYY-MM-DD'), TO_DATE('2025-08-07 08:12:00', 'YYYY-MM-DD HH24:MI:SS'), TO_DATE('2025-08-07 17:52:00', 'YYYY-MM-DD HH24:MI:SS'));</v>
      </c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</row>
    <row r="700">
      <c r="A700" s="25" t="s">
        <v>206</v>
      </c>
      <c r="B700" s="26">
        <v>27.0</v>
      </c>
      <c r="C700" s="27">
        <v>45876.0</v>
      </c>
      <c r="D700" s="28">
        <v>45876.34861111111</v>
      </c>
      <c r="E700" s="28">
        <v>45876.745833333334</v>
      </c>
      <c r="F700" s="21" t="s">
        <v>184</v>
      </c>
      <c r="G700" s="23"/>
      <c r="H700" s="23" t="str">
        <f t="shared" si="1"/>
        <v>INSERT INTO tblDayAttendanceLog VALUES (seqDayAttendanceLog.nextval, 27, TO_DATE('2025-08-07', 'YYYY-MM-DD'), TO_DATE('2025-08-07 08:22:00', 'YYYY-MM-DD HH24:MI:SS'), TO_DATE('2025-08-07 17:54:00', 'YYYY-MM-DD HH24:MI:SS'));</v>
      </c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</row>
    <row r="701">
      <c r="A701" s="25" t="s">
        <v>206</v>
      </c>
      <c r="B701" s="26">
        <v>28.0</v>
      </c>
      <c r="C701" s="27">
        <v>45876.0</v>
      </c>
      <c r="D701" s="28">
        <v>45876.38263888889</v>
      </c>
      <c r="E701" s="28">
        <v>45876.74791666667</v>
      </c>
      <c r="F701" s="21" t="s">
        <v>189</v>
      </c>
      <c r="G701" s="23"/>
      <c r="H701" s="23" t="str">
        <f t="shared" si="1"/>
        <v>INSERT INTO tblDayAttendanceLog VALUES (seqDayAttendanceLog.nextval, 28, TO_DATE('2025-08-07', 'YYYY-MM-DD'), TO_DATE('2025-08-07 09:11:00', 'YYYY-MM-DD HH24:MI:SS'), TO_DATE('2025-08-07 17:57:00', 'YYYY-MM-DD HH24:MI:SS'));</v>
      </c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</row>
    <row r="702">
      <c r="A702" s="25" t="s">
        <v>206</v>
      </c>
      <c r="B702" s="26">
        <v>29.0</v>
      </c>
      <c r="C702" s="27">
        <v>45876.0</v>
      </c>
      <c r="D702" s="28">
        <v>45876.3375</v>
      </c>
      <c r="E702" s="28">
        <v>45876.74375</v>
      </c>
      <c r="F702" s="21" t="s">
        <v>184</v>
      </c>
      <c r="G702" s="23"/>
      <c r="H702" s="23" t="str">
        <f t="shared" si="1"/>
        <v>INSERT INTO tblDayAttendanceLog VALUES (seqDayAttendanceLog.nextval, 29, TO_DATE('2025-08-07', 'YYYY-MM-DD'), TO_DATE('2025-08-07 08:06:00', 'YYYY-MM-DD HH24:MI:SS'), TO_DATE('2025-08-07 17:51:00', 'YYYY-MM-DD HH24:MI:SS'));</v>
      </c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</row>
    <row r="703">
      <c r="A703" s="25" t="s">
        <v>206</v>
      </c>
      <c r="B703" s="26">
        <v>30.0</v>
      </c>
      <c r="C703" s="27">
        <v>45876.0</v>
      </c>
      <c r="D703" s="28">
        <v>45876.33819444444</v>
      </c>
      <c r="E703" s="28">
        <v>45876.74791666667</v>
      </c>
      <c r="F703" s="21" t="s">
        <v>184</v>
      </c>
      <c r="G703" s="23"/>
      <c r="H703" s="23" t="str">
        <f t="shared" si="1"/>
        <v>INSERT INTO tblDayAttendanceLog VALUES (seqDayAttendanceLog.nextval, 30, TO_DATE('2025-08-07', 'YYYY-MM-DD'), TO_DATE('2025-08-07 08:07:00', 'YYYY-MM-DD HH24:MI:SS'), TO_DATE('2025-08-07 17:57:00', 'YYYY-MM-DD HH24:MI:SS'));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</row>
    <row r="704">
      <c r="A704" s="25" t="s">
        <v>206</v>
      </c>
      <c r="B704" s="26">
        <v>31.0</v>
      </c>
      <c r="C704" s="27">
        <v>45876.0</v>
      </c>
      <c r="D704" s="28">
        <v>45876.35277777778</v>
      </c>
      <c r="E704" s="28">
        <v>45876.74444444444</v>
      </c>
      <c r="F704" s="21" t="s">
        <v>184</v>
      </c>
      <c r="G704" s="23"/>
      <c r="H704" s="23" t="str">
        <f t="shared" si="1"/>
        <v>INSERT INTO tblDayAttendanceLog VALUES (seqDayAttendanceLog.nextval, 31, TO_DATE('2025-08-07', 'YYYY-MM-DD'), TO_DATE('2025-08-07 08:28:00', 'YYYY-MM-DD HH24:MI:SS'), TO_DATE('2025-08-07 17:52:00', 'YYYY-MM-DD HH24:MI:SS'));</v>
      </c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</row>
    <row r="705">
      <c r="A705" s="25" t="s">
        <v>206</v>
      </c>
      <c r="B705" s="26">
        <v>32.0</v>
      </c>
      <c r="C705" s="27">
        <v>45876.0</v>
      </c>
      <c r="D705" s="28">
        <v>45876.41388888889</v>
      </c>
      <c r="E705" s="28">
        <v>45876.74513888889</v>
      </c>
      <c r="F705" s="21" t="s">
        <v>189</v>
      </c>
      <c r="G705" s="23"/>
      <c r="H705" s="23" t="str">
        <f t="shared" si="1"/>
        <v>INSERT INTO tblDayAttendanceLog VALUES (seqDayAttendanceLog.nextval, 32, TO_DATE('2025-08-07', 'YYYY-MM-DD'), TO_DATE('2025-08-07 09:56:00', 'YYYY-MM-DD HH24:MI:SS'), TO_DATE('2025-08-07 17:53:00', 'YYYY-MM-DD HH24:MI:SS'));</v>
      </c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</row>
    <row r="706">
      <c r="A706" s="25" t="s">
        <v>206</v>
      </c>
      <c r="B706" s="26">
        <v>33.0</v>
      </c>
      <c r="C706" s="27">
        <v>45876.0</v>
      </c>
      <c r="D706" s="28">
        <v>45876.339583333334</v>
      </c>
      <c r="E706" s="28">
        <v>45876.74791666667</v>
      </c>
      <c r="F706" s="21" t="s">
        <v>184</v>
      </c>
      <c r="G706" s="23"/>
      <c r="H706" s="23" t="str">
        <f t="shared" si="1"/>
        <v>INSERT INTO tblDayAttendanceLog VALUES (seqDayAttendanceLog.nextval, 33, TO_DATE('2025-08-07', 'YYYY-MM-DD'), TO_DATE('2025-08-07 08:09:00', 'YYYY-MM-DD HH24:MI:SS'), TO_DATE('2025-08-07 17:57:00', 'YYYY-MM-DD HH24:MI:SS'));</v>
      </c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</row>
    <row r="707">
      <c r="A707" s="25" t="s">
        <v>206</v>
      </c>
      <c r="B707" s="26">
        <v>34.0</v>
      </c>
      <c r="C707" s="27">
        <v>45876.0</v>
      </c>
      <c r="D707" s="28">
        <v>45876.34652777778</v>
      </c>
      <c r="E707" s="28">
        <v>45876.74513888889</v>
      </c>
      <c r="F707" s="21" t="s">
        <v>184</v>
      </c>
      <c r="G707" s="23"/>
      <c r="H707" s="23" t="str">
        <f t="shared" si="1"/>
        <v>INSERT INTO tblDayAttendanceLog VALUES (seqDayAttendanceLog.nextval, 34, TO_DATE('2025-08-07', 'YYYY-MM-DD'), TO_DATE('2025-08-07 08:19:00', 'YYYY-MM-DD HH24:MI:SS'), TO_DATE('2025-08-07 17:53:00', 'YYYY-MM-DD HH24:MI:SS'));</v>
      </c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</row>
    <row r="708">
      <c r="A708" s="25" t="s">
        <v>206</v>
      </c>
      <c r="B708" s="26">
        <v>35.0</v>
      </c>
      <c r="C708" s="27">
        <v>45876.0</v>
      </c>
      <c r="D708" s="28">
        <v>45876.35625</v>
      </c>
      <c r="E708" s="28">
        <v>45876.748611111114</v>
      </c>
      <c r="F708" s="21" t="s">
        <v>184</v>
      </c>
      <c r="G708" s="23"/>
      <c r="H708" s="23" t="str">
        <f t="shared" si="1"/>
        <v>INSERT INTO tblDayAttendanceLog VALUES (seqDayAttendanceLog.nextval, 35, TO_DATE('2025-08-07', 'YYYY-MM-DD'), TO_DATE('2025-08-07 08:33:00', 'YYYY-MM-DD HH24:MI:SS'), TO_DATE('2025-08-07 17:58:00', 'YYYY-MM-DD HH24:MI:SS'));</v>
      </c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</row>
    <row r="709">
      <c r="A709" s="25" t="s">
        <v>206</v>
      </c>
      <c r="B709" s="26">
        <v>36.0</v>
      </c>
      <c r="C709" s="27">
        <v>45876.0</v>
      </c>
      <c r="D709" s="28">
        <v>45876.33611111111</v>
      </c>
      <c r="E709" s="28">
        <v>45876.74652777778</v>
      </c>
      <c r="F709" s="21" t="s">
        <v>184</v>
      </c>
      <c r="G709" s="23"/>
      <c r="H709" s="23" t="str">
        <f t="shared" si="1"/>
        <v>INSERT INTO tblDayAttendanceLog VALUES (seqDayAttendanceLog.nextval, 36, TO_DATE('2025-08-07', 'YYYY-MM-DD'), TO_DATE('2025-08-07 08:04:00', 'YYYY-MM-DD HH24:MI:SS'), TO_DATE('2025-08-07 17:55:00', 'YYYY-MM-DD HH24:MI:SS'));</v>
      </c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</row>
    <row r="710">
      <c r="A710" s="25" t="s">
        <v>206</v>
      </c>
      <c r="B710" s="26">
        <v>37.0</v>
      </c>
      <c r="C710" s="27">
        <v>45876.0</v>
      </c>
      <c r="D710" s="28">
        <v>45876.36388888889</v>
      </c>
      <c r="E710" s="28">
        <v>45876.74513888889</v>
      </c>
      <c r="F710" s="21" t="s">
        <v>184</v>
      </c>
      <c r="G710" s="23"/>
      <c r="H710" s="23" t="str">
        <f t="shared" si="1"/>
        <v>INSERT INTO tblDayAttendanceLog VALUES (seqDayAttendanceLog.nextval, 37, TO_DATE('2025-08-07', 'YYYY-MM-DD'), TO_DATE('2025-08-07 08:44:00', 'YYYY-MM-DD HH24:MI:SS'), TO_DATE('2025-08-07 17:53:00', 'YYYY-MM-DD HH24:MI:SS'));</v>
      </c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</row>
    <row r="711">
      <c r="A711" s="25" t="s">
        <v>206</v>
      </c>
      <c r="B711" s="26">
        <v>38.0</v>
      </c>
      <c r="C711" s="27">
        <v>45876.0</v>
      </c>
      <c r="D711" s="28">
        <v>45876.39791666667</v>
      </c>
      <c r="E711" s="28">
        <v>45876.74375</v>
      </c>
      <c r="F711" s="21" t="s">
        <v>189</v>
      </c>
      <c r="G711" s="23"/>
      <c r="H711" s="23" t="str">
        <f t="shared" si="1"/>
        <v>INSERT INTO tblDayAttendanceLog VALUES (seqDayAttendanceLog.nextval, 38, TO_DATE('2025-08-07', 'YYYY-MM-DD'), TO_DATE('2025-08-07 09:33:00', 'YYYY-MM-DD HH24:MI:SS'), TO_DATE('2025-08-07 17:51:00', 'YYYY-MM-DD HH24:MI:SS'));</v>
      </c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</row>
    <row r="712">
      <c r="A712" s="25" t="s">
        <v>206</v>
      </c>
      <c r="B712" s="26">
        <v>39.0</v>
      </c>
      <c r="C712" s="27">
        <v>45876.0</v>
      </c>
      <c r="D712" s="28">
        <v>45876.381944444445</v>
      </c>
      <c r="E712" s="28">
        <v>45876.74791666667</v>
      </c>
      <c r="F712" s="21" t="s">
        <v>189</v>
      </c>
      <c r="G712" s="23"/>
      <c r="H712" s="23" t="str">
        <f t="shared" si="1"/>
        <v>INSERT INTO tblDayAttendanceLog VALUES (seqDayAttendanceLog.nextval, 39, TO_DATE('2025-08-07', 'YYYY-MM-DD'), TO_DATE('2025-08-07 09:10:00', 'YYYY-MM-DD HH24:MI:SS'), TO_DATE('2025-08-07 17:57:00', 'YYYY-MM-DD HH24:MI:SS'));</v>
      </c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</row>
    <row r="713">
      <c r="A713" s="25" t="s">
        <v>206</v>
      </c>
      <c r="B713" s="26">
        <v>40.0</v>
      </c>
      <c r="C713" s="27">
        <v>45876.0</v>
      </c>
      <c r="D713" s="28">
        <v>45876.3375</v>
      </c>
      <c r="E713" s="28">
        <v>45876.74513888889</v>
      </c>
      <c r="F713" s="21" t="s">
        <v>184</v>
      </c>
      <c r="G713" s="23"/>
      <c r="H713" s="23" t="str">
        <f t="shared" si="1"/>
        <v>INSERT INTO tblDayAttendanceLog VALUES (seqDayAttendanceLog.nextval, 40, TO_DATE('2025-08-07', 'YYYY-MM-DD'), TO_DATE('2025-08-07 08:06:00', 'YYYY-MM-DD HH24:MI:SS'), TO_DATE('2025-08-07 17:53:00', 'YYYY-MM-DD HH24:MI:SS'));</v>
      </c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</row>
    <row r="714">
      <c r="A714" s="25" t="s">
        <v>206</v>
      </c>
      <c r="B714" s="26">
        <v>41.0</v>
      </c>
      <c r="C714" s="27">
        <v>45876.0</v>
      </c>
      <c r="D714" s="28">
        <v>45876.38333333333</v>
      </c>
      <c r="E714" s="28">
        <v>45876.74375</v>
      </c>
      <c r="F714" s="21" t="s">
        <v>189</v>
      </c>
      <c r="G714" s="23"/>
      <c r="H714" s="23" t="str">
        <f t="shared" si="1"/>
        <v>INSERT INTO tblDayAttendanceLog VALUES (seqDayAttendanceLog.nextval, 41, TO_DATE('2025-08-07', 'YYYY-MM-DD'), TO_DATE('2025-08-07 09:12:00', 'YYYY-MM-DD HH24:MI:SS'), TO_DATE('2025-08-07 17:51:00', 'YYYY-MM-DD HH24:MI:SS'));</v>
      </c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</row>
    <row r="715">
      <c r="A715" s="25" t="s">
        <v>206</v>
      </c>
      <c r="B715" s="26">
        <v>42.0</v>
      </c>
      <c r="C715" s="27">
        <v>45876.0</v>
      </c>
      <c r="D715" s="28">
        <v>45876.375</v>
      </c>
      <c r="E715" s="28">
        <v>45876.74722222222</v>
      </c>
      <c r="F715" s="21" t="s">
        <v>189</v>
      </c>
      <c r="G715" s="23"/>
      <c r="H715" s="23" t="str">
        <f t="shared" si="1"/>
        <v>INSERT INTO tblDayAttendanceLog VALUES (seqDayAttendanceLog.nextval, 42, TO_DATE('2025-08-07', 'YYYY-MM-DD'), TO_DATE('2025-08-07 09:00:00', 'YYYY-MM-DD HH24:MI:SS'), TO_DATE('2025-08-07 17:56:00', 'YYYY-MM-DD HH24:MI:SS'));</v>
      </c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</row>
    <row r="716">
      <c r="A716" s="25" t="s">
        <v>206</v>
      </c>
      <c r="B716" s="26">
        <v>43.0</v>
      </c>
      <c r="C716" s="27">
        <v>45876.0</v>
      </c>
      <c r="D716" s="28">
        <v>45876.40625</v>
      </c>
      <c r="E716" s="28">
        <v>45876.74513888889</v>
      </c>
      <c r="F716" s="21" t="s">
        <v>189</v>
      </c>
      <c r="G716" s="23"/>
      <c r="H716" s="23" t="str">
        <f t="shared" si="1"/>
        <v>INSERT INTO tblDayAttendanceLog VALUES (seqDayAttendanceLog.nextval, 43, TO_DATE('2025-08-07', 'YYYY-MM-DD'), TO_DATE('2025-08-07 09:45:00', 'YYYY-MM-DD HH24:MI:SS'), TO_DATE('2025-08-07 17:53:00', 'YYYY-MM-DD HH24:MI:SS'));</v>
      </c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</row>
    <row r="717">
      <c r="A717" s="25" t="s">
        <v>206</v>
      </c>
      <c r="B717" s="26">
        <v>44.0</v>
      </c>
      <c r="C717" s="27">
        <v>45876.0</v>
      </c>
      <c r="D717" s="28">
        <v>45876.37430555555</v>
      </c>
      <c r="E717" s="28">
        <v>45876.74652777778</v>
      </c>
      <c r="F717" s="21" t="s">
        <v>184</v>
      </c>
      <c r="G717" s="23"/>
      <c r="H717" s="23" t="str">
        <f t="shared" si="1"/>
        <v>INSERT INTO tblDayAttendanceLog VALUES (seqDayAttendanceLog.nextval, 44, TO_DATE('2025-08-07', 'YYYY-MM-DD'), TO_DATE('2025-08-07 08:59:00', 'YYYY-MM-DD HH24:MI:SS'), TO_DATE('2025-08-07 17:55:00', 'YYYY-MM-DD HH24:MI:SS'));</v>
      </c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</row>
    <row r="718">
      <c r="A718" s="25" t="s">
        <v>206</v>
      </c>
      <c r="B718" s="26">
        <v>45.0</v>
      </c>
      <c r="C718" s="27">
        <v>45876.0</v>
      </c>
      <c r="D718" s="28">
        <v>45876.41388888889</v>
      </c>
      <c r="E718" s="28">
        <v>45876.74375</v>
      </c>
      <c r="F718" s="21" t="s">
        <v>189</v>
      </c>
      <c r="G718" s="23"/>
      <c r="H718" s="23" t="str">
        <f t="shared" si="1"/>
        <v>INSERT INTO tblDayAttendanceLog VALUES (seqDayAttendanceLog.nextval, 45, TO_DATE('2025-08-07', 'YYYY-MM-DD'), TO_DATE('2025-08-07 09:56:00', 'YYYY-MM-DD HH24:MI:SS'), TO_DATE('2025-08-07 17:51:00', 'YYYY-MM-DD HH24:MI:SS'));</v>
      </c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</row>
    <row r="719">
      <c r="A719" s="25" t="s">
        <v>206</v>
      </c>
      <c r="B719" s="26">
        <v>46.0</v>
      </c>
      <c r="C719" s="27">
        <v>45876.0</v>
      </c>
      <c r="D719" s="28">
        <v>45876.41458333333</v>
      </c>
      <c r="E719" s="28">
        <v>45876.74722222222</v>
      </c>
      <c r="F719" s="21" t="s">
        <v>189</v>
      </c>
      <c r="G719" s="23"/>
      <c r="H719" s="23" t="str">
        <f t="shared" si="1"/>
        <v>INSERT INTO tblDayAttendanceLog VALUES (seqDayAttendanceLog.nextval, 46, TO_DATE('2025-08-07', 'YYYY-MM-DD'), TO_DATE('2025-08-07 09:57:00', 'YYYY-MM-DD HH24:MI:SS'), TO_DATE('2025-08-07 17:56:00', 'YYYY-MM-DD HH24:MI:SS'));</v>
      </c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</row>
    <row r="720">
      <c r="A720" s="25" t="s">
        <v>206</v>
      </c>
      <c r="B720" s="26">
        <v>47.0</v>
      </c>
      <c r="C720" s="27">
        <v>45876.0</v>
      </c>
      <c r="D720" s="28">
        <v>45876.396527777775</v>
      </c>
      <c r="E720" s="28">
        <v>45876.74513888889</v>
      </c>
      <c r="F720" s="21" t="s">
        <v>189</v>
      </c>
      <c r="G720" s="23"/>
      <c r="H720" s="23" t="str">
        <f t="shared" si="1"/>
        <v>INSERT INTO tblDayAttendanceLog VALUES (seqDayAttendanceLog.nextval, 47, TO_DATE('2025-08-07', 'YYYY-MM-DD'), TO_DATE('2025-08-07 09:31:00', 'YYYY-MM-DD HH24:MI:SS'), TO_DATE('2025-08-07 17:53:00', 'YYYY-MM-DD HH24:MI:SS'));</v>
      </c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</row>
    <row r="721">
      <c r="A721" s="25" t="s">
        <v>206</v>
      </c>
      <c r="B721" s="26">
        <v>48.0</v>
      </c>
      <c r="C721" s="27">
        <v>45876.0</v>
      </c>
      <c r="D721" s="28">
        <v>45876.35</v>
      </c>
      <c r="E721" s="28">
        <v>45876.74652777778</v>
      </c>
      <c r="F721" s="21" t="s">
        <v>184</v>
      </c>
      <c r="G721" s="23"/>
      <c r="H721" s="23" t="str">
        <f t="shared" si="1"/>
        <v>INSERT INTO tblDayAttendanceLog VALUES (seqDayAttendanceLog.nextval, 48, TO_DATE('2025-08-07', 'YYYY-MM-DD'), TO_DATE('2025-08-07 08:24:00', 'YYYY-MM-DD HH24:MI:SS'), TO_DATE('2025-08-07 17:55:00', 'YYYY-MM-DD HH24:MI:SS'));</v>
      </c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</row>
    <row r="722">
      <c r="A722" s="25" t="s">
        <v>206</v>
      </c>
      <c r="B722" s="26">
        <v>49.0</v>
      </c>
      <c r="C722" s="27">
        <v>45876.0</v>
      </c>
      <c r="D722" s="28">
        <v>45876.370833333334</v>
      </c>
      <c r="E722" s="28">
        <v>45876.745833333334</v>
      </c>
      <c r="F722" s="21" t="s">
        <v>184</v>
      </c>
      <c r="G722" s="23"/>
      <c r="H722" s="23" t="str">
        <f t="shared" si="1"/>
        <v>INSERT INTO tblDayAttendanceLog VALUES (seqDayAttendanceLog.nextval, 49, TO_DATE('2025-08-07', 'YYYY-MM-DD'), TO_DATE('2025-08-07 08:54:00', 'YYYY-MM-DD HH24:MI:SS'), TO_DATE('2025-08-07 17:54:00', 'YYYY-MM-DD HH24:MI:SS'));</v>
      </c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</row>
    <row r="723">
      <c r="A723" s="25" t="s">
        <v>206</v>
      </c>
      <c r="B723" s="26">
        <v>50.0</v>
      </c>
      <c r="C723" s="27">
        <v>45876.0</v>
      </c>
      <c r="D723" s="28">
        <v>45876.38888888889</v>
      </c>
      <c r="E723" s="28">
        <v>45876.74375</v>
      </c>
      <c r="F723" s="21" t="s">
        <v>189</v>
      </c>
      <c r="G723" s="23"/>
      <c r="H723" s="23" t="str">
        <f t="shared" si="1"/>
        <v>INSERT INTO tblDayAttendanceLog VALUES (seqDayAttendanceLog.nextval, 50, TO_DATE('2025-08-07', 'YYYY-MM-DD'), TO_DATE('2025-08-07 09:20:00', 'YYYY-MM-DD HH24:MI:SS'), TO_DATE('2025-08-07 17:51:00', 'YYYY-MM-DD HH24:MI:SS'));</v>
      </c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</row>
    <row r="724">
      <c r="A724" s="25" t="s">
        <v>206</v>
      </c>
      <c r="B724" s="26">
        <v>51.0</v>
      </c>
      <c r="C724" s="27">
        <v>45876.0</v>
      </c>
      <c r="D724" s="28">
        <v>45876.40625</v>
      </c>
      <c r="E724" s="28">
        <v>45876.74652777778</v>
      </c>
      <c r="F724" s="21" t="s">
        <v>189</v>
      </c>
      <c r="G724" s="23"/>
      <c r="H724" s="23" t="str">
        <f t="shared" si="1"/>
        <v>INSERT INTO tblDayAttendanceLog VALUES (seqDayAttendanceLog.nextval, 51, TO_DATE('2025-08-07', 'YYYY-MM-DD'), TO_DATE('2025-08-07 09:45:00', 'YYYY-MM-DD HH24:MI:SS'), TO_DATE('2025-08-07 17:55:00', 'YYYY-MM-DD HH24:MI:SS'));</v>
      </c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</row>
    <row r="725">
      <c r="A725" s="25" t="s">
        <v>206</v>
      </c>
      <c r="B725" s="26">
        <v>52.0</v>
      </c>
      <c r="C725" s="27">
        <v>45876.0</v>
      </c>
      <c r="D725" s="28">
        <v>45876.36875</v>
      </c>
      <c r="E725" s="28">
        <v>45876.74791666667</v>
      </c>
      <c r="F725" s="21" t="s">
        <v>184</v>
      </c>
      <c r="G725" s="23"/>
      <c r="H725" s="23" t="str">
        <f t="shared" si="1"/>
        <v>INSERT INTO tblDayAttendanceLog VALUES (seqDayAttendanceLog.nextval, 52, TO_DATE('2025-08-07', 'YYYY-MM-DD'), TO_DATE('2025-08-07 08:51:00', 'YYYY-MM-DD HH24:MI:SS'), TO_DATE('2025-08-07 17:57:00', 'YYYY-MM-DD HH24:MI:SS'));</v>
      </c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</row>
    <row r="726">
      <c r="A726" s="25" t="s">
        <v>206</v>
      </c>
      <c r="B726" s="26">
        <v>53.0</v>
      </c>
      <c r="C726" s="27">
        <v>45876.0</v>
      </c>
      <c r="D726" s="28">
        <v>45876.35972222222</v>
      </c>
      <c r="E726" s="28">
        <v>45876.74375</v>
      </c>
      <c r="F726" s="21" t="s">
        <v>184</v>
      </c>
      <c r="G726" s="23"/>
      <c r="H726" s="23" t="str">
        <f t="shared" si="1"/>
        <v>INSERT INTO tblDayAttendanceLog VALUES (seqDayAttendanceLog.nextval, 53, TO_DATE('2025-08-07', 'YYYY-MM-DD'), TO_DATE('2025-08-07 08:38:00', 'YYYY-MM-DD HH24:MI:SS'), TO_DATE('2025-08-07 17:51:00', 'YYYY-MM-DD HH24:MI:SS'));</v>
      </c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</row>
    <row r="727">
      <c r="A727" s="25" t="s">
        <v>206</v>
      </c>
      <c r="B727" s="26">
        <v>54.0</v>
      </c>
      <c r="C727" s="27">
        <v>45876.0</v>
      </c>
      <c r="D727" s="28">
        <v>45876.40069444444</v>
      </c>
      <c r="E727" s="28">
        <v>45876.74375</v>
      </c>
      <c r="F727" s="21" t="s">
        <v>189</v>
      </c>
      <c r="G727" s="23"/>
      <c r="H727" s="23" t="str">
        <f t="shared" si="1"/>
        <v>INSERT INTO tblDayAttendanceLog VALUES (seqDayAttendanceLog.nextval, 54, TO_DATE('2025-08-07', 'YYYY-MM-DD'), TO_DATE('2025-08-07 09:37:00', 'YYYY-MM-DD HH24:MI:SS'), TO_DATE('2025-08-07 17:51:00', 'YYYY-MM-DD HH24:MI:SS'));</v>
      </c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</row>
    <row r="728">
      <c r="A728" s="25" t="s">
        <v>206</v>
      </c>
      <c r="B728" s="26">
        <v>55.0</v>
      </c>
      <c r="C728" s="27">
        <v>45876.0</v>
      </c>
      <c r="D728" s="28">
        <v>45876.38611111111</v>
      </c>
      <c r="E728" s="28">
        <v>45876.74930555555</v>
      </c>
      <c r="F728" s="21" t="s">
        <v>189</v>
      </c>
      <c r="G728" s="23"/>
      <c r="H728" s="23" t="str">
        <f t="shared" si="1"/>
        <v>INSERT INTO tblDayAttendanceLog VALUES (seqDayAttendanceLog.nextval, 55, TO_DATE('2025-08-07', 'YYYY-MM-DD'), TO_DATE('2025-08-07 09:16:00', 'YYYY-MM-DD HH24:MI:SS'), TO_DATE('2025-08-07 17:59:00', 'YYYY-MM-DD HH24:MI:SS'));</v>
      </c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</row>
    <row r="729">
      <c r="A729" s="25" t="s">
        <v>206</v>
      </c>
      <c r="B729" s="26">
        <v>56.0</v>
      </c>
      <c r="C729" s="27">
        <v>45876.0</v>
      </c>
      <c r="D729" s="28">
        <v>45876.385416666664</v>
      </c>
      <c r="E729" s="28">
        <v>45876.74444444444</v>
      </c>
      <c r="F729" s="21" t="s">
        <v>189</v>
      </c>
      <c r="G729" s="23"/>
      <c r="H729" s="23" t="str">
        <f t="shared" si="1"/>
        <v>INSERT INTO tblDayAttendanceLog VALUES (seqDayAttendanceLog.nextval, 56, TO_DATE('2025-08-07', 'YYYY-MM-DD'), TO_DATE('2025-08-07 09:15:00', 'YYYY-MM-DD HH24:MI:SS'), TO_DATE('2025-08-07 17:52:00', 'YYYY-MM-DD HH24:MI:SS'));</v>
      </c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</row>
    <row r="730">
      <c r="A730" s="25" t="s">
        <v>206</v>
      </c>
      <c r="B730" s="26">
        <v>57.0</v>
      </c>
      <c r="C730" s="27">
        <v>45876.0</v>
      </c>
      <c r="D730" s="28">
        <v>45876.40416666667</v>
      </c>
      <c r="E730" s="28">
        <v>45876.74722222222</v>
      </c>
      <c r="F730" s="21" t="s">
        <v>189</v>
      </c>
      <c r="G730" s="23"/>
      <c r="H730" s="23" t="str">
        <f t="shared" si="1"/>
        <v>INSERT INTO tblDayAttendanceLog VALUES (seqDayAttendanceLog.nextval, 57, TO_DATE('2025-08-07', 'YYYY-MM-DD'), TO_DATE('2025-08-07 09:42:00', 'YYYY-MM-DD HH24:MI:SS'), TO_DATE('2025-08-07 17:56:00', 'YYYY-MM-DD HH24:MI:SS'));</v>
      </c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</row>
    <row r="731">
      <c r="A731" s="25" t="s">
        <v>206</v>
      </c>
      <c r="B731" s="26">
        <v>58.0</v>
      </c>
      <c r="C731" s="27">
        <v>45876.0</v>
      </c>
      <c r="D731" s="28">
        <v>45876.345138888886</v>
      </c>
      <c r="E731" s="28">
        <v>45876.743055555555</v>
      </c>
      <c r="F731" s="21" t="s">
        <v>184</v>
      </c>
      <c r="G731" s="23"/>
      <c r="H731" s="23" t="str">
        <f t="shared" si="1"/>
        <v>INSERT INTO tblDayAttendanceLog VALUES (seqDayAttendanceLog.nextval, 58, TO_DATE('2025-08-07', 'YYYY-MM-DD'), TO_DATE('2025-08-07 08:17:00', 'YYYY-MM-DD HH24:MI:SS'), TO_DATE('2025-08-07 17:50:00', 'YYYY-MM-DD HH24:MI:SS'));</v>
      </c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</row>
    <row r="732">
      <c r="A732" s="25" t="s">
        <v>206</v>
      </c>
      <c r="B732" s="26">
        <v>59.0</v>
      </c>
      <c r="C732" s="27">
        <v>45876.0</v>
      </c>
      <c r="D732" s="28">
        <v>45876.354166666664</v>
      </c>
      <c r="E732" s="28">
        <v>45876.74375</v>
      </c>
      <c r="F732" s="21" t="s">
        <v>184</v>
      </c>
      <c r="G732" s="23"/>
      <c r="H732" s="23" t="str">
        <f t="shared" si="1"/>
        <v>INSERT INTO tblDayAttendanceLog VALUES (seqDayAttendanceLog.nextval, 59, TO_DATE('2025-08-07', 'YYYY-MM-DD'), TO_DATE('2025-08-07 08:30:00', 'YYYY-MM-DD HH24:MI:SS'), TO_DATE('2025-08-07 17:51:00', 'YYYY-MM-DD HH24:MI:SS'));</v>
      </c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</row>
    <row r="733">
      <c r="A733" s="25" t="s">
        <v>206</v>
      </c>
      <c r="B733" s="26">
        <v>60.0</v>
      </c>
      <c r="C733" s="27">
        <v>45876.0</v>
      </c>
      <c r="D733" s="28">
        <v>45876.35972222222</v>
      </c>
      <c r="E733" s="28">
        <v>45876.74513888889</v>
      </c>
      <c r="F733" s="21" t="s">
        <v>184</v>
      </c>
      <c r="G733" s="23"/>
      <c r="H733" s="23" t="str">
        <f t="shared" si="1"/>
        <v>INSERT INTO tblDayAttendanceLog VALUES (seqDayAttendanceLog.nextval, 60, TO_DATE('2025-08-07', 'YYYY-MM-DD'), TO_DATE('2025-08-07 08:38:00', 'YYYY-MM-DD HH24:MI:SS'), TO_DATE('2025-08-07 17:53:00', 'YYYY-MM-DD HH24:MI:SS'));</v>
      </c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</row>
    <row r="734">
      <c r="A734" s="25" t="s">
        <v>206</v>
      </c>
      <c r="B734" s="26">
        <v>61.0</v>
      </c>
      <c r="C734" s="27">
        <v>45876.0</v>
      </c>
      <c r="D734" s="28">
        <v>45876.353472222225</v>
      </c>
      <c r="E734" s="28">
        <v>45876.74513888889</v>
      </c>
      <c r="F734" s="21" t="s">
        <v>184</v>
      </c>
      <c r="G734" s="23"/>
      <c r="H734" s="23" t="str">
        <f t="shared" si="1"/>
        <v>INSERT INTO tblDayAttendanceLog VALUES (seqDayAttendanceLog.nextval, 61, TO_DATE('2025-08-07', 'YYYY-MM-DD'), TO_DATE('2025-08-07 08:29:00', 'YYYY-MM-DD HH24:MI:SS'), TO_DATE('2025-08-07 17:53:00', 'YYYY-MM-DD HH24:MI:SS'));</v>
      </c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</row>
    <row r="735">
      <c r="A735" s="25" t="s">
        <v>206</v>
      </c>
      <c r="B735" s="26">
        <v>62.0</v>
      </c>
      <c r="C735" s="27">
        <v>45876.0</v>
      </c>
      <c r="D735" s="28">
        <v>45876.36875</v>
      </c>
      <c r="E735" s="28">
        <v>45876.74791666667</v>
      </c>
      <c r="F735" s="21" t="s">
        <v>184</v>
      </c>
      <c r="G735" s="23"/>
      <c r="H735" s="23" t="str">
        <f t="shared" si="1"/>
        <v>INSERT INTO tblDayAttendanceLog VALUES (seqDayAttendanceLog.nextval, 62, TO_DATE('2025-08-07', 'YYYY-MM-DD'), TO_DATE('2025-08-07 08:51:00', 'YYYY-MM-DD HH24:MI:SS'), TO_DATE('2025-08-07 17:57:00', 'YYYY-MM-DD HH24:MI:SS'));</v>
      </c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</row>
    <row r="736">
      <c r="A736" s="25" t="s">
        <v>206</v>
      </c>
      <c r="B736" s="26">
        <v>63.0</v>
      </c>
      <c r="C736" s="27">
        <v>45876.0</v>
      </c>
      <c r="D736" s="28">
        <v>45876.35625</v>
      </c>
      <c r="E736" s="28">
        <v>45876.745833333334</v>
      </c>
      <c r="F736" s="21" t="s">
        <v>184</v>
      </c>
      <c r="G736" s="23"/>
      <c r="H736" s="23" t="str">
        <f t="shared" si="1"/>
        <v>INSERT INTO tblDayAttendanceLog VALUES (seqDayAttendanceLog.nextval, 63, TO_DATE('2025-08-07', 'YYYY-MM-DD'), TO_DATE('2025-08-07 08:33:00', 'YYYY-MM-DD HH24:MI:SS'), TO_DATE('2025-08-07 17:54:00', 'YYYY-MM-DD HH24:MI:SS'));</v>
      </c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</row>
    <row r="737">
      <c r="A737" s="25" t="s">
        <v>206</v>
      </c>
      <c r="B737" s="26">
        <v>64.0</v>
      </c>
      <c r="C737" s="27">
        <v>45876.0</v>
      </c>
      <c r="D737" s="28">
        <v>45876.39236111111</v>
      </c>
      <c r="E737" s="28">
        <v>45876.743055555555</v>
      </c>
      <c r="F737" s="21" t="s">
        <v>189</v>
      </c>
      <c r="G737" s="23"/>
      <c r="H737" s="23" t="str">
        <f t="shared" si="1"/>
        <v>INSERT INTO tblDayAttendanceLog VALUES (seqDayAttendanceLog.nextval, 64, TO_DATE('2025-08-07', 'YYYY-MM-DD'), TO_DATE('2025-08-07 09:25:00', 'YYYY-MM-DD HH24:MI:SS'), TO_DATE('2025-08-07 17:50:00', 'YYYY-MM-DD HH24:MI:SS'));</v>
      </c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</row>
    <row r="738">
      <c r="A738" s="25" t="s">
        <v>206</v>
      </c>
      <c r="B738" s="26">
        <v>65.0</v>
      </c>
      <c r="C738" s="27">
        <v>45876.0</v>
      </c>
      <c r="D738" s="28">
        <v>45876.36666666667</v>
      </c>
      <c r="E738" s="28">
        <v>45876.74375</v>
      </c>
      <c r="F738" s="21" t="s">
        <v>184</v>
      </c>
      <c r="G738" s="23"/>
      <c r="H738" s="23" t="str">
        <f t="shared" si="1"/>
        <v>INSERT INTO tblDayAttendanceLog VALUES (seqDayAttendanceLog.nextval, 65, TO_DATE('2025-08-07', 'YYYY-MM-DD'), TO_DATE('2025-08-07 08:48:00', 'YYYY-MM-DD HH24:MI:SS'), TO_DATE('2025-08-07 17:51:00', 'YYYY-MM-DD HH24:MI:SS'));</v>
      </c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</row>
    <row r="739">
      <c r="A739" s="25" t="s">
        <v>206</v>
      </c>
      <c r="B739" s="26">
        <v>66.0</v>
      </c>
      <c r="C739" s="27">
        <v>45876.0</v>
      </c>
      <c r="D739" s="28">
        <v>45876.38958333333</v>
      </c>
      <c r="E739" s="28">
        <v>45876.743055555555</v>
      </c>
      <c r="F739" s="21" t="s">
        <v>189</v>
      </c>
      <c r="G739" s="23"/>
      <c r="H739" s="23" t="str">
        <f t="shared" si="1"/>
        <v>INSERT INTO tblDayAttendanceLog VALUES (seqDayAttendanceLog.nextval, 66, TO_DATE('2025-08-07', 'YYYY-MM-DD'), TO_DATE('2025-08-07 09:21:00', 'YYYY-MM-DD HH24:MI:SS'), TO_DATE('2025-08-07 17:50:00', 'YYYY-MM-DD HH24:MI:SS'));</v>
      </c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</row>
    <row r="740">
      <c r="A740" s="25" t="s">
        <v>206</v>
      </c>
      <c r="B740" s="26">
        <v>67.0</v>
      </c>
      <c r="C740" s="27">
        <v>45876.0</v>
      </c>
      <c r="D740" s="28">
        <v>45876.384722222225</v>
      </c>
      <c r="E740" s="28">
        <v>45876.74722222222</v>
      </c>
      <c r="F740" s="21" t="s">
        <v>189</v>
      </c>
      <c r="G740" s="23"/>
      <c r="H740" s="23" t="str">
        <f t="shared" si="1"/>
        <v>INSERT INTO tblDayAttendanceLog VALUES (seqDayAttendanceLog.nextval, 67, TO_DATE('2025-08-07', 'YYYY-MM-DD'), TO_DATE('2025-08-07 09:14:00', 'YYYY-MM-DD HH24:MI:SS'), TO_DATE('2025-08-07 17:56:00', 'YYYY-MM-DD HH24:MI:SS'));</v>
      </c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</row>
    <row r="741">
      <c r="A741" s="25" t="s">
        <v>206</v>
      </c>
      <c r="B741" s="26">
        <v>68.0</v>
      </c>
      <c r="C741" s="27">
        <v>45876.0</v>
      </c>
      <c r="D741" s="28">
        <v>45876.38402777778</v>
      </c>
      <c r="E741" s="28">
        <v>45876.748611111114</v>
      </c>
      <c r="F741" s="21" t="s">
        <v>189</v>
      </c>
      <c r="G741" s="23"/>
      <c r="H741" s="23" t="str">
        <f t="shared" si="1"/>
        <v>INSERT INTO tblDayAttendanceLog VALUES (seqDayAttendanceLog.nextval, 68, TO_DATE('2025-08-07', 'YYYY-MM-DD'), TO_DATE('2025-08-07 09:13:00', 'YYYY-MM-DD HH24:MI:SS'), TO_DATE('2025-08-07 17:58:00', 'YYYY-MM-DD HH24:MI:SS'));</v>
      </c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</row>
    <row r="742">
      <c r="A742" s="25" t="s">
        <v>206</v>
      </c>
      <c r="B742" s="26">
        <v>69.0</v>
      </c>
      <c r="C742" s="27">
        <v>45876.0</v>
      </c>
      <c r="D742" s="28">
        <v>45876.370833333334</v>
      </c>
      <c r="E742" s="28">
        <v>45876.74444444444</v>
      </c>
      <c r="F742" s="21" t="s">
        <v>184</v>
      </c>
      <c r="G742" s="23"/>
      <c r="H742" s="23" t="str">
        <f t="shared" si="1"/>
        <v>INSERT INTO tblDayAttendanceLog VALUES (seqDayAttendanceLog.nextval, 69, TO_DATE('2025-08-07', 'YYYY-MM-DD'), TO_DATE('2025-08-07 08:54:00', 'YYYY-MM-DD HH24:MI:SS'), TO_DATE('2025-08-07 17:52:00', 'YYYY-MM-DD HH24:MI:SS'));</v>
      </c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</row>
    <row r="743">
      <c r="A743" s="25" t="s">
        <v>206</v>
      </c>
      <c r="B743" s="26">
        <v>70.0</v>
      </c>
      <c r="C743" s="27">
        <v>45876.0</v>
      </c>
      <c r="D743" s="28">
        <v>45876.34305555555</v>
      </c>
      <c r="E743" s="28">
        <v>45876.748611111114</v>
      </c>
      <c r="F743" s="21" t="s">
        <v>184</v>
      </c>
      <c r="G743" s="23"/>
      <c r="H743" s="23" t="str">
        <f t="shared" si="1"/>
        <v>INSERT INTO tblDayAttendanceLog VALUES (seqDayAttendanceLog.nextval, 70, TO_DATE('2025-08-07', 'YYYY-MM-DD'), TO_DATE('2025-08-07 08:14:00', 'YYYY-MM-DD HH24:MI:SS'), TO_DATE('2025-08-07 17:58:00', 'YYYY-MM-DD HH24:MI:SS'));</v>
      </c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</row>
    <row r="744">
      <c r="A744" s="25" t="s">
        <v>206</v>
      </c>
      <c r="B744" s="26">
        <v>71.0</v>
      </c>
      <c r="C744" s="27">
        <v>45876.0</v>
      </c>
      <c r="D744" s="28">
        <v>45876.407638888886</v>
      </c>
      <c r="E744" s="28">
        <v>45876.74652777778</v>
      </c>
      <c r="F744" s="21" t="s">
        <v>189</v>
      </c>
      <c r="G744" s="23"/>
      <c r="H744" s="23" t="str">
        <f t="shared" si="1"/>
        <v>INSERT INTO tblDayAttendanceLog VALUES (seqDayAttendanceLog.nextval, 71, TO_DATE('2025-08-07', 'YYYY-MM-DD'), TO_DATE('2025-08-07 09:47:00', 'YYYY-MM-DD HH24:MI:SS'), TO_DATE('2025-08-07 17:55:00', 'YYYY-MM-DD HH24:MI:SS'));</v>
      </c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</row>
    <row r="745">
      <c r="A745" s="25" t="s">
        <v>206</v>
      </c>
      <c r="B745" s="26">
        <v>72.0</v>
      </c>
      <c r="C745" s="27">
        <v>45876.0</v>
      </c>
      <c r="D745" s="28">
        <v>45876.34375</v>
      </c>
      <c r="E745" s="28">
        <v>45876.748611111114</v>
      </c>
      <c r="F745" s="21" t="s">
        <v>184</v>
      </c>
      <c r="G745" s="23"/>
      <c r="H745" s="23" t="str">
        <f t="shared" si="1"/>
        <v>INSERT INTO tblDayAttendanceLog VALUES (seqDayAttendanceLog.nextval, 72, TO_DATE('2025-08-07', 'YYYY-MM-DD'), TO_DATE('2025-08-07 08:15:00', 'YYYY-MM-DD HH24:MI:SS'), TO_DATE('2025-08-07 17:58:00', 'YYYY-MM-DD HH24:MI:SS'));</v>
      </c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</row>
    <row r="746">
      <c r="A746" s="25" t="s">
        <v>206</v>
      </c>
      <c r="B746" s="26">
        <v>73.0</v>
      </c>
      <c r="C746" s="27">
        <v>45876.0</v>
      </c>
      <c r="D746" s="28">
        <v>45876.334027777775</v>
      </c>
      <c r="E746" s="28">
        <v>45876.74444444444</v>
      </c>
      <c r="F746" s="21" t="s">
        <v>184</v>
      </c>
      <c r="G746" s="23"/>
      <c r="H746" s="23" t="str">
        <f t="shared" si="1"/>
        <v>INSERT INTO tblDayAttendanceLog VALUES (seqDayAttendanceLog.nextval, 73, TO_DATE('2025-08-07', 'YYYY-MM-DD'), TO_DATE('2025-08-07 08:01:00', 'YYYY-MM-DD HH24:MI:SS'), TO_DATE('2025-08-07 17:52:00', 'YYYY-MM-DD HH24:MI:SS'));</v>
      </c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</row>
    <row r="747">
      <c r="A747" s="25" t="s">
        <v>206</v>
      </c>
      <c r="B747" s="26">
        <v>74.0</v>
      </c>
      <c r="C747" s="27">
        <v>45876.0</v>
      </c>
      <c r="D747" s="28">
        <v>45876.33819444444</v>
      </c>
      <c r="E747" s="28">
        <v>45876.74513888889</v>
      </c>
      <c r="F747" s="21" t="s">
        <v>184</v>
      </c>
      <c r="G747" s="23"/>
      <c r="H747" s="23" t="str">
        <f t="shared" si="1"/>
        <v>INSERT INTO tblDayAttendanceLog VALUES (seqDayAttendanceLog.nextval, 74, TO_DATE('2025-08-07', 'YYYY-MM-DD'), TO_DATE('2025-08-07 08:07:00', 'YYYY-MM-DD HH24:MI:SS'), TO_DATE('2025-08-07 17:53:00', 'YYYY-MM-DD HH24:MI:SS'));</v>
      </c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</row>
    <row r="748">
      <c r="A748" s="25" t="s">
        <v>206</v>
      </c>
      <c r="B748" s="26">
        <v>75.0</v>
      </c>
      <c r="C748" s="27">
        <v>45876.0</v>
      </c>
      <c r="D748" s="28">
        <v>45876.38402777778</v>
      </c>
      <c r="E748" s="28">
        <v>45876.74652777778</v>
      </c>
      <c r="F748" s="21" t="s">
        <v>189</v>
      </c>
      <c r="G748" s="23"/>
      <c r="H748" s="23" t="str">
        <f t="shared" si="1"/>
        <v>INSERT INTO tblDayAttendanceLog VALUES (seqDayAttendanceLog.nextval, 75, TO_DATE('2025-08-07', 'YYYY-MM-DD'), TO_DATE('2025-08-07 09:13:00', 'YYYY-MM-DD HH24:MI:SS'), TO_DATE('2025-08-07 17:55:00', 'YYYY-MM-DD HH24:MI:SS'));</v>
      </c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</row>
    <row r="749">
      <c r="A749" s="25" t="s">
        <v>206</v>
      </c>
      <c r="B749" s="26">
        <v>76.0</v>
      </c>
      <c r="C749" s="27">
        <v>45876.0</v>
      </c>
      <c r="D749" s="28">
        <v>45876.41388888889</v>
      </c>
      <c r="E749" s="28">
        <v>45876.74791666667</v>
      </c>
      <c r="F749" s="21" t="s">
        <v>189</v>
      </c>
      <c r="G749" s="23"/>
      <c r="H749" s="23" t="str">
        <f t="shared" si="1"/>
        <v>INSERT INTO tblDayAttendanceLog VALUES (seqDayAttendanceLog.nextval, 76, TO_DATE('2025-08-07', 'YYYY-MM-DD'), TO_DATE('2025-08-07 09:56:00', 'YYYY-MM-DD HH24:MI:SS'), TO_DATE('2025-08-07 17:57:00', 'YYYY-MM-DD HH24:MI:SS'));</v>
      </c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</row>
    <row r="750">
      <c r="A750" s="25" t="s">
        <v>206</v>
      </c>
      <c r="B750" s="26">
        <v>77.0</v>
      </c>
      <c r="C750" s="27">
        <v>45876.0</v>
      </c>
      <c r="D750" s="28">
        <v>45876.39444444444</v>
      </c>
      <c r="E750" s="28">
        <v>45876.748611111114</v>
      </c>
      <c r="F750" s="21" t="s">
        <v>189</v>
      </c>
      <c r="G750" s="23"/>
      <c r="H750" s="23" t="str">
        <f t="shared" si="1"/>
        <v>INSERT INTO tblDayAttendanceLog VALUES (seqDayAttendanceLog.nextval, 77, TO_DATE('2025-08-07', 'YYYY-MM-DD'), TO_DATE('2025-08-07 09:28:00', 'YYYY-MM-DD HH24:MI:SS'), TO_DATE('2025-08-07 17:58:00', 'YYYY-MM-DD HH24:MI:SS'));</v>
      </c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</row>
    <row r="751">
      <c r="A751" s="25" t="s">
        <v>206</v>
      </c>
      <c r="B751" s="26">
        <v>78.0</v>
      </c>
      <c r="C751" s="27">
        <v>45876.0</v>
      </c>
      <c r="D751" s="28">
        <v>45876.40347222222</v>
      </c>
      <c r="E751" s="28">
        <v>45876.74791666667</v>
      </c>
      <c r="F751" s="21" t="s">
        <v>189</v>
      </c>
      <c r="G751" s="23"/>
      <c r="H751" s="23" t="str">
        <f t="shared" si="1"/>
        <v>INSERT INTO tblDayAttendanceLog VALUES (seqDayAttendanceLog.nextval, 78, TO_DATE('2025-08-07', 'YYYY-MM-DD'), TO_DATE('2025-08-07 09:41:00', 'YYYY-MM-DD HH24:MI:SS'), TO_DATE('2025-08-07 17:57:00', 'YYYY-MM-DD HH24:MI:SS'));</v>
      </c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</row>
    <row r="752">
      <c r="A752" s="25" t="s">
        <v>206</v>
      </c>
      <c r="B752" s="26">
        <v>79.0</v>
      </c>
      <c r="C752" s="27">
        <v>45876.0</v>
      </c>
      <c r="D752" s="28">
        <v>45876.40694444445</v>
      </c>
      <c r="E752" s="28">
        <v>45876.74791666667</v>
      </c>
      <c r="F752" s="21" t="s">
        <v>189</v>
      </c>
      <c r="G752" s="23"/>
      <c r="H752" s="23" t="str">
        <f t="shared" si="1"/>
        <v>INSERT INTO tblDayAttendanceLog VALUES (seqDayAttendanceLog.nextval, 79, TO_DATE('2025-08-07', 'YYYY-MM-DD'), TO_DATE('2025-08-07 09:46:00', 'YYYY-MM-DD HH24:MI:SS'), TO_DATE('2025-08-07 17:57:00', 'YYYY-MM-DD HH24:MI:SS'));</v>
      </c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</row>
    <row r="753">
      <c r="A753" s="25" t="s">
        <v>206</v>
      </c>
      <c r="B753" s="26">
        <v>80.0</v>
      </c>
      <c r="C753" s="27">
        <v>45876.0</v>
      </c>
      <c r="D753" s="28">
        <v>45876.3375</v>
      </c>
      <c r="E753" s="28">
        <v>45876.74652777778</v>
      </c>
      <c r="F753" s="21" t="s">
        <v>184</v>
      </c>
      <c r="G753" s="23"/>
      <c r="H753" s="23" t="str">
        <f t="shared" si="1"/>
        <v>INSERT INTO tblDayAttendanceLog VALUES (seqDayAttendanceLog.nextval, 80, TO_DATE('2025-08-07', 'YYYY-MM-DD'), TO_DATE('2025-08-07 08:06:00', 'YYYY-MM-DD HH24:MI:SS'), TO_DATE('2025-08-07 17:55:00', 'YYYY-MM-DD HH24:MI:SS'));</v>
      </c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</row>
    <row r="754">
      <c r="A754" s="25" t="s">
        <v>206</v>
      </c>
      <c r="B754" s="26">
        <v>81.0</v>
      </c>
      <c r="C754" s="27">
        <v>45876.0</v>
      </c>
      <c r="D754" s="28">
        <v>45876.410416666666</v>
      </c>
      <c r="E754" s="28">
        <v>45876.74722222222</v>
      </c>
      <c r="F754" s="21" t="s">
        <v>189</v>
      </c>
      <c r="G754" s="23"/>
      <c r="H754" s="23" t="str">
        <f t="shared" si="1"/>
        <v>INSERT INTO tblDayAttendanceLog VALUES (seqDayAttendanceLog.nextval, 81, TO_DATE('2025-08-07', 'YYYY-MM-DD'), TO_DATE('2025-08-07 09:51:00', 'YYYY-MM-DD HH24:MI:SS'), TO_DATE('2025-08-07 17:56:00', 'YYYY-MM-DD HH24:MI:SS'));</v>
      </c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</row>
    <row r="755">
      <c r="A755" s="25" t="s">
        <v>206</v>
      </c>
      <c r="B755" s="26">
        <v>82.0</v>
      </c>
      <c r="C755" s="27">
        <v>45876.0</v>
      </c>
      <c r="D755" s="28">
        <v>45876.37708333333</v>
      </c>
      <c r="E755" s="28">
        <v>45876.74444444444</v>
      </c>
      <c r="F755" s="21" t="s">
        <v>189</v>
      </c>
      <c r="G755" s="23"/>
      <c r="H755" s="23" t="str">
        <f t="shared" si="1"/>
        <v>INSERT INTO tblDayAttendanceLog VALUES (seqDayAttendanceLog.nextval, 82, TO_DATE('2025-08-07', 'YYYY-MM-DD'), TO_DATE('2025-08-07 09:03:00', 'YYYY-MM-DD HH24:MI:SS'), TO_DATE('2025-08-07 17:52:00', 'YYYY-MM-DD HH24:MI:SS'));</v>
      </c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</row>
    <row r="756">
      <c r="A756" s="25" t="s">
        <v>206</v>
      </c>
      <c r="B756" s="26">
        <v>83.0</v>
      </c>
      <c r="C756" s="27">
        <v>45876.0</v>
      </c>
      <c r="D756" s="28">
        <v>45876.379166666666</v>
      </c>
      <c r="E756" s="28">
        <v>45876.74652777778</v>
      </c>
      <c r="F756" s="21" t="s">
        <v>189</v>
      </c>
      <c r="G756" s="23"/>
      <c r="H756" s="23" t="str">
        <f t="shared" si="1"/>
        <v>INSERT INTO tblDayAttendanceLog VALUES (seqDayAttendanceLog.nextval, 83, TO_DATE('2025-08-07', 'YYYY-MM-DD'), TO_DATE('2025-08-07 09:06:00', 'YYYY-MM-DD HH24:MI:SS'), TO_DATE('2025-08-07 17:55:00', 'YYYY-MM-DD HH24:MI:SS'));</v>
      </c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</row>
    <row r="757">
      <c r="A757" s="25" t="s">
        <v>206</v>
      </c>
      <c r="B757" s="26">
        <v>84.0</v>
      </c>
      <c r="C757" s="27">
        <v>45876.0</v>
      </c>
      <c r="D757" s="28">
        <v>45876.35902777778</v>
      </c>
      <c r="E757" s="28">
        <v>45876.74444444444</v>
      </c>
      <c r="F757" s="21" t="s">
        <v>184</v>
      </c>
      <c r="G757" s="23"/>
      <c r="H757" s="23" t="str">
        <f t="shared" si="1"/>
        <v>INSERT INTO tblDayAttendanceLog VALUES (seqDayAttendanceLog.nextval, 84, TO_DATE('2025-08-07', 'YYYY-MM-DD'), TO_DATE('2025-08-07 08:37:00', 'YYYY-MM-DD HH24:MI:SS'), TO_DATE('2025-08-07 17:52:00', 'YYYY-MM-DD HH24:MI:SS'));</v>
      </c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</row>
    <row r="758">
      <c r="A758" s="25" t="s">
        <v>206</v>
      </c>
      <c r="B758" s="26">
        <v>85.0</v>
      </c>
      <c r="C758" s="27">
        <v>45876.0</v>
      </c>
      <c r="D758" s="29"/>
      <c r="E758" s="29"/>
      <c r="F758" s="21" t="s">
        <v>186</v>
      </c>
      <c r="G758" s="23"/>
      <c r="H758" s="23" t="str">
        <f t="shared" si="1"/>
        <v>INSERT INTO tblDayAttendanceLog VALUES (seqDayAttendanceLog.nextval, 85, TO_DATE('2025-08-07', 'YYYY-MM-DD'), NULL, NULL);</v>
      </c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</row>
    <row r="759">
      <c r="A759" s="25" t="s">
        <v>206</v>
      </c>
      <c r="B759" s="26">
        <v>86.0</v>
      </c>
      <c r="C759" s="27">
        <v>45876.0</v>
      </c>
      <c r="D759" s="28">
        <v>45876.385416666664</v>
      </c>
      <c r="E759" s="28">
        <v>45876.745833333334</v>
      </c>
      <c r="F759" s="21" t="s">
        <v>189</v>
      </c>
      <c r="G759" s="23"/>
      <c r="H759" s="23" t="str">
        <f t="shared" si="1"/>
        <v>INSERT INTO tblDayAttendanceLog VALUES (seqDayAttendanceLog.nextval, 86, TO_DATE('2025-08-07', 'YYYY-MM-DD'), TO_DATE('2025-08-07 09:15:00', 'YYYY-MM-DD HH24:MI:SS'), TO_DATE('2025-08-07 17:54:00', 'YYYY-MM-DD HH24:MI:SS'));</v>
      </c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</row>
    <row r="760">
      <c r="A760" s="25" t="s">
        <v>206</v>
      </c>
      <c r="B760" s="26">
        <v>87.0</v>
      </c>
      <c r="C760" s="27">
        <v>45876.0</v>
      </c>
      <c r="D760" s="28">
        <v>45876.356944444444</v>
      </c>
      <c r="E760" s="28">
        <v>45876.743055555555</v>
      </c>
      <c r="F760" s="21" t="s">
        <v>184</v>
      </c>
      <c r="G760" s="23"/>
      <c r="H760" s="23" t="str">
        <f t="shared" si="1"/>
        <v>INSERT INTO tblDayAttendanceLog VALUES (seqDayAttendanceLog.nextval, 87, TO_DATE('2025-08-07', 'YYYY-MM-DD'), TO_DATE('2025-08-07 08:34:00', 'YYYY-MM-DD HH24:MI:SS'), TO_DATE('2025-08-07 17:50:00', 'YYYY-MM-DD HH24:MI:SS'));</v>
      </c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</row>
    <row r="761">
      <c r="A761" s="25" t="s">
        <v>206</v>
      </c>
      <c r="B761" s="26">
        <v>88.0</v>
      </c>
      <c r="C761" s="27">
        <v>45876.0</v>
      </c>
      <c r="D761" s="28">
        <v>45876.41388888889</v>
      </c>
      <c r="E761" s="28">
        <v>45876.748611111114</v>
      </c>
      <c r="F761" s="21" t="s">
        <v>189</v>
      </c>
      <c r="G761" s="23"/>
      <c r="H761" s="23" t="str">
        <f t="shared" si="1"/>
        <v>INSERT INTO tblDayAttendanceLog VALUES (seqDayAttendanceLog.nextval, 88, TO_DATE('2025-08-07', 'YYYY-MM-DD'), TO_DATE('2025-08-07 09:56:00', 'YYYY-MM-DD HH24:MI:SS'), TO_DATE('2025-08-07 17:58:00', 'YYYY-MM-DD HH24:MI:SS'));</v>
      </c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</row>
    <row r="762">
      <c r="A762" s="25" t="s">
        <v>206</v>
      </c>
      <c r="B762" s="26">
        <v>89.0</v>
      </c>
      <c r="C762" s="27">
        <v>45876.0</v>
      </c>
      <c r="D762" s="28">
        <v>45876.34305555555</v>
      </c>
      <c r="E762" s="28">
        <v>45876.745833333334</v>
      </c>
      <c r="F762" s="21" t="s">
        <v>184</v>
      </c>
      <c r="G762" s="23"/>
      <c r="H762" s="23" t="str">
        <f t="shared" si="1"/>
        <v>INSERT INTO tblDayAttendanceLog VALUES (seqDayAttendanceLog.nextval, 89, TO_DATE('2025-08-07', 'YYYY-MM-DD'), TO_DATE('2025-08-07 08:14:00', 'YYYY-MM-DD HH24:MI:SS'), TO_DATE('2025-08-07 17:54:00', 'YYYY-MM-DD HH24:MI:SS'));</v>
      </c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</row>
    <row r="763">
      <c r="A763" s="25" t="s">
        <v>206</v>
      </c>
      <c r="B763" s="26">
        <v>90.0</v>
      </c>
      <c r="C763" s="27">
        <v>45876.0</v>
      </c>
      <c r="D763" s="28">
        <v>45876.34305555555</v>
      </c>
      <c r="E763" s="28">
        <v>45876.74791666667</v>
      </c>
      <c r="F763" s="21" t="s">
        <v>184</v>
      </c>
      <c r="G763" s="23"/>
      <c r="H763" s="23" t="str">
        <f t="shared" si="1"/>
        <v>INSERT INTO tblDayAttendanceLog VALUES (seqDayAttendanceLog.nextval, 90, TO_DATE('2025-08-07', 'YYYY-MM-DD'), TO_DATE('2025-08-07 08:14:00', 'YYYY-MM-DD HH24:MI:SS'), TO_DATE('2025-08-07 17:57:00', 'YYYY-MM-DD HH24:MI:SS'));</v>
      </c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</row>
    <row r="764">
      <c r="A764" s="25" t="s">
        <v>206</v>
      </c>
      <c r="B764" s="26">
        <v>91.0</v>
      </c>
      <c r="C764" s="27">
        <v>45876.0</v>
      </c>
      <c r="D764" s="28">
        <v>45876.370833333334</v>
      </c>
      <c r="E764" s="28">
        <v>45876.74652777778</v>
      </c>
      <c r="F764" s="21" t="s">
        <v>184</v>
      </c>
      <c r="G764" s="23"/>
      <c r="H764" s="23" t="str">
        <f t="shared" si="1"/>
        <v>INSERT INTO tblDayAttendanceLog VALUES (seqDayAttendanceLog.nextval, 91, TO_DATE('2025-08-07', 'YYYY-MM-DD'), TO_DATE('2025-08-07 08:54:00', 'YYYY-MM-DD HH24:MI:SS'), TO_DATE('2025-08-07 17:55:00', 'YYYY-MM-DD HH24:MI:SS'));</v>
      </c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</row>
    <row r="765">
      <c r="A765" s="25" t="s">
        <v>206</v>
      </c>
      <c r="B765" s="26">
        <v>92.0</v>
      </c>
      <c r="C765" s="27">
        <v>45876.0</v>
      </c>
      <c r="D765" s="28">
        <v>45876.38611111111</v>
      </c>
      <c r="E765" s="28">
        <v>45876.74652777778</v>
      </c>
      <c r="F765" s="21" t="s">
        <v>189</v>
      </c>
      <c r="G765" s="23"/>
      <c r="H765" s="23" t="str">
        <f t="shared" si="1"/>
        <v>INSERT INTO tblDayAttendanceLog VALUES (seqDayAttendanceLog.nextval, 92, TO_DATE('2025-08-07', 'YYYY-MM-DD'), TO_DATE('2025-08-07 09:16:00', 'YYYY-MM-DD HH24:MI:SS'), TO_DATE('2025-08-07 17:55:00', 'YYYY-MM-DD HH24:MI:SS'));</v>
      </c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</row>
    <row r="766">
      <c r="A766" s="25" t="s">
        <v>206</v>
      </c>
      <c r="B766" s="26">
        <v>93.0</v>
      </c>
      <c r="C766" s="27">
        <v>45876.0</v>
      </c>
      <c r="D766" s="28">
        <v>45876.34930555556</v>
      </c>
      <c r="E766" s="28">
        <v>45876.74513888889</v>
      </c>
      <c r="F766" s="21" t="s">
        <v>184</v>
      </c>
      <c r="G766" s="23"/>
      <c r="H766" s="23" t="str">
        <f t="shared" si="1"/>
        <v>INSERT INTO tblDayAttendanceLog VALUES (seqDayAttendanceLog.nextval, 93, TO_DATE('2025-08-07', 'YYYY-MM-DD'), TO_DATE('2025-08-07 08:23:00', 'YYYY-MM-DD HH24:MI:SS'), TO_DATE('2025-08-07 17:53:00', 'YYYY-MM-DD HH24:MI:SS'));</v>
      </c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</row>
    <row r="767">
      <c r="A767" s="25" t="s">
        <v>206</v>
      </c>
      <c r="B767" s="26">
        <v>94.0</v>
      </c>
      <c r="C767" s="27">
        <v>45876.0</v>
      </c>
      <c r="D767" s="28">
        <v>45876.36041666667</v>
      </c>
      <c r="E767" s="28">
        <v>45876.74930555555</v>
      </c>
      <c r="F767" s="21" t="s">
        <v>184</v>
      </c>
      <c r="G767" s="23"/>
      <c r="H767" s="23" t="str">
        <f t="shared" si="1"/>
        <v>INSERT INTO tblDayAttendanceLog VALUES (seqDayAttendanceLog.nextval, 94, TO_DATE('2025-08-07', 'YYYY-MM-DD'), TO_DATE('2025-08-07 08:39:00', 'YYYY-MM-DD HH24:MI:SS'), TO_DATE('2025-08-07 17:59:00', 'YYYY-MM-DD HH24:MI:SS'));</v>
      </c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</row>
    <row r="768">
      <c r="A768" s="25" t="s">
        <v>206</v>
      </c>
      <c r="B768" s="26">
        <v>95.0</v>
      </c>
      <c r="C768" s="27">
        <v>45876.0</v>
      </c>
      <c r="D768" s="28">
        <v>45876.35902777778</v>
      </c>
      <c r="E768" s="28">
        <v>45876.74791666667</v>
      </c>
      <c r="F768" s="21" t="s">
        <v>184</v>
      </c>
      <c r="G768" s="23"/>
      <c r="H768" s="23" t="str">
        <f t="shared" si="1"/>
        <v>INSERT INTO tblDayAttendanceLog VALUES (seqDayAttendanceLog.nextval, 95, TO_DATE('2025-08-07', 'YYYY-MM-DD'), TO_DATE('2025-08-07 08:37:00', 'YYYY-MM-DD HH24:MI:SS'), TO_DATE('2025-08-07 17:57:00', 'YYYY-MM-DD HH24:MI:SS'));</v>
      </c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</row>
    <row r="769">
      <c r="A769" s="25" t="s">
        <v>206</v>
      </c>
      <c r="B769" s="26">
        <v>96.0</v>
      </c>
      <c r="C769" s="27">
        <v>45876.0</v>
      </c>
      <c r="D769" s="28">
        <v>45876.410416666666</v>
      </c>
      <c r="E769" s="28">
        <v>45876.74375</v>
      </c>
      <c r="F769" s="21" t="s">
        <v>189</v>
      </c>
      <c r="G769" s="23"/>
      <c r="H769" s="23" t="str">
        <f t="shared" si="1"/>
        <v>INSERT INTO tblDayAttendanceLog VALUES (seqDayAttendanceLog.nextval, 96, TO_DATE('2025-08-07', 'YYYY-MM-DD'), TO_DATE('2025-08-07 09:51:00', 'YYYY-MM-DD HH24:MI:SS'), TO_DATE('2025-08-07 17:51:00', 'YYYY-MM-DD HH24:MI:SS'));</v>
      </c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</row>
    <row r="770">
      <c r="A770" s="25" t="s">
        <v>206</v>
      </c>
      <c r="B770" s="26">
        <v>97.0</v>
      </c>
      <c r="C770" s="27">
        <v>45876.0</v>
      </c>
      <c r="D770" s="28">
        <v>45876.36319444444</v>
      </c>
      <c r="E770" s="28">
        <v>45876.74722222222</v>
      </c>
      <c r="F770" s="21" t="s">
        <v>184</v>
      </c>
      <c r="G770" s="23"/>
      <c r="H770" s="23" t="str">
        <f t="shared" si="1"/>
        <v>INSERT INTO tblDayAttendanceLog VALUES (seqDayAttendanceLog.nextval, 97, TO_DATE('2025-08-07', 'YYYY-MM-DD'), TO_DATE('2025-08-07 08:43:00', 'YYYY-MM-DD HH24:MI:SS'), TO_DATE('2025-08-07 17:56:00', 'YYYY-MM-DD HH24:MI:SS'));</v>
      </c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</row>
    <row r="771">
      <c r="A771" s="25" t="s">
        <v>206</v>
      </c>
      <c r="B771" s="26">
        <v>98.0</v>
      </c>
      <c r="C771" s="27">
        <v>45876.0</v>
      </c>
      <c r="D771" s="28">
        <v>45876.40555555555</v>
      </c>
      <c r="E771" s="28">
        <v>45876.743055555555</v>
      </c>
      <c r="F771" s="21" t="s">
        <v>189</v>
      </c>
      <c r="G771" s="23"/>
      <c r="H771" s="23" t="str">
        <f t="shared" si="1"/>
        <v>INSERT INTO tblDayAttendanceLog VALUES (seqDayAttendanceLog.nextval, 98, TO_DATE('2025-08-07', 'YYYY-MM-DD'), TO_DATE('2025-08-07 09:44:00', 'YYYY-MM-DD HH24:MI:SS'), TO_DATE('2025-08-07 17:50:00', 'YYYY-MM-DD HH24:MI:SS'));</v>
      </c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</row>
    <row r="772">
      <c r="A772" s="25" t="s">
        <v>206</v>
      </c>
      <c r="B772" s="26">
        <v>99.0</v>
      </c>
      <c r="C772" s="27">
        <v>45876.0</v>
      </c>
      <c r="D772" s="28">
        <v>45876.38402777778</v>
      </c>
      <c r="E772" s="28">
        <v>45876.74375</v>
      </c>
      <c r="F772" s="21" t="s">
        <v>189</v>
      </c>
      <c r="G772" s="23"/>
      <c r="H772" s="23" t="str">
        <f t="shared" si="1"/>
        <v>INSERT INTO tblDayAttendanceLog VALUES (seqDayAttendanceLog.nextval, 99, TO_DATE('2025-08-07', 'YYYY-MM-DD'), TO_DATE('2025-08-07 09:13:00', 'YYYY-MM-DD HH24:MI:SS'), TO_DATE('2025-08-07 17:51:00', 'YYYY-MM-DD HH24:MI:SS'));</v>
      </c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</row>
    <row r="773">
      <c r="A773" s="25" t="s">
        <v>206</v>
      </c>
      <c r="B773" s="26">
        <v>100.0</v>
      </c>
      <c r="C773" s="27">
        <v>45876.0</v>
      </c>
      <c r="D773" s="28">
        <v>45876.361805555556</v>
      </c>
      <c r="E773" s="28">
        <v>45876.748611111114</v>
      </c>
      <c r="F773" s="21" t="s">
        <v>184</v>
      </c>
      <c r="G773" s="23"/>
      <c r="H773" s="23" t="str">
        <f t="shared" si="1"/>
        <v>INSERT INTO tblDayAttendanceLog VALUES (seqDayAttendanceLog.nextval, 100, TO_DATE('2025-08-07', 'YYYY-MM-DD'), TO_DATE('2025-08-07 08:41:00', 'YYYY-MM-DD HH24:MI:SS'), TO_DATE('2025-08-07 17:58:00', 'YYYY-MM-DD HH24:MI:SS'));</v>
      </c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</row>
    <row r="774">
      <c r="A774" s="25" t="s">
        <v>206</v>
      </c>
      <c r="B774" s="26">
        <v>101.0</v>
      </c>
      <c r="C774" s="27">
        <v>45876.0</v>
      </c>
      <c r="D774" s="28">
        <v>45876.4125</v>
      </c>
      <c r="E774" s="28">
        <v>45876.74930555555</v>
      </c>
      <c r="F774" s="21" t="s">
        <v>189</v>
      </c>
      <c r="G774" s="23"/>
      <c r="H774" s="23" t="str">
        <f t="shared" si="1"/>
        <v>INSERT INTO tblDayAttendanceLog VALUES (seqDayAttendanceLog.nextval, 101, TO_DATE('2025-08-07', 'YYYY-MM-DD'), TO_DATE('2025-08-07 09:54:00', 'YYYY-MM-DD HH24:MI:SS'), TO_DATE('2025-08-07 17:59:00', 'YYYY-MM-DD HH24:MI:SS'));</v>
      </c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</row>
    <row r="775">
      <c r="A775" s="25" t="s">
        <v>206</v>
      </c>
      <c r="B775" s="26">
        <v>102.0</v>
      </c>
      <c r="C775" s="27">
        <v>45876.0</v>
      </c>
      <c r="D775" s="28">
        <v>45876.39513888889</v>
      </c>
      <c r="E775" s="28">
        <v>45876.74375</v>
      </c>
      <c r="F775" s="21" t="s">
        <v>189</v>
      </c>
      <c r="G775" s="23"/>
      <c r="H775" s="23" t="str">
        <f t="shared" si="1"/>
        <v>INSERT INTO tblDayAttendanceLog VALUES (seqDayAttendanceLog.nextval, 102, TO_DATE('2025-08-07', 'YYYY-MM-DD'), TO_DATE('2025-08-07 09:29:00', 'YYYY-MM-DD HH24:MI:SS'), TO_DATE('2025-08-07 17:51:00', 'YYYY-MM-DD HH24:MI:SS'));</v>
      </c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</row>
    <row r="776">
      <c r="A776" s="25" t="s">
        <v>206</v>
      </c>
      <c r="B776" s="26">
        <v>103.0</v>
      </c>
      <c r="C776" s="27">
        <v>45876.0</v>
      </c>
      <c r="D776" s="28">
        <v>45876.37986111111</v>
      </c>
      <c r="E776" s="28">
        <v>45876.74930555555</v>
      </c>
      <c r="F776" s="21" t="s">
        <v>189</v>
      </c>
      <c r="G776" s="23"/>
      <c r="H776" s="23" t="str">
        <f t="shared" si="1"/>
        <v>INSERT INTO tblDayAttendanceLog VALUES (seqDayAttendanceLog.nextval, 103, TO_DATE('2025-08-07', 'YYYY-MM-DD'), TO_DATE('2025-08-07 09:07:00', 'YYYY-MM-DD HH24:MI:SS'), TO_DATE('2025-08-07 17:59:00', 'YYYY-MM-DD HH24:MI:SS'));</v>
      </c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</row>
    <row r="777">
      <c r="A777" s="25" t="s">
        <v>206</v>
      </c>
      <c r="B777" s="26">
        <v>104.0</v>
      </c>
      <c r="C777" s="27">
        <v>45876.0</v>
      </c>
      <c r="D777" s="28">
        <v>45876.35277777778</v>
      </c>
      <c r="E777" s="28">
        <v>45876.745833333334</v>
      </c>
      <c r="F777" s="21" t="s">
        <v>184</v>
      </c>
      <c r="G777" s="23"/>
      <c r="H777" s="23" t="str">
        <f t="shared" si="1"/>
        <v>INSERT INTO tblDayAttendanceLog VALUES (seqDayAttendanceLog.nextval, 104, TO_DATE('2025-08-07', 'YYYY-MM-DD'), TO_DATE('2025-08-07 08:28:00', 'YYYY-MM-DD HH24:MI:SS'), TO_DATE('2025-08-07 17:54:00', 'YYYY-MM-DD HH24:MI:SS'));</v>
      </c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</row>
    <row r="778">
      <c r="A778" s="25" t="s">
        <v>206</v>
      </c>
      <c r="B778" s="26">
        <v>105.0</v>
      </c>
      <c r="C778" s="27">
        <v>45876.0</v>
      </c>
      <c r="D778" s="28">
        <v>45876.34027777778</v>
      </c>
      <c r="E778" s="28">
        <v>45876.74375</v>
      </c>
      <c r="F778" s="21" t="s">
        <v>184</v>
      </c>
      <c r="G778" s="23"/>
      <c r="H778" s="23" t="str">
        <f t="shared" si="1"/>
        <v>INSERT INTO tblDayAttendanceLog VALUES (seqDayAttendanceLog.nextval, 105, TO_DATE('2025-08-07', 'YYYY-MM-DD'), TO_DATE('2025-08-07 08:10:00', 'YYYY-MM-DD HH24:MI:SS'), TO_DATE('2025-08-07 17:51:00', 'YYYY-MM-DD HH24:MI:SS'));</v>
      </c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</row>
    <row r="779">
      <c r="A779" s="25" t="s">
        <v>206</v>
      </c>
      <c r="B779" s="26">
        <v>106.0</v>
      </c>
      <c r="C779" s="27">
        <v>45876.0</v>
      </c>
      <c r="D779" s="28">
        <v>45876.41180555556</v>
      </c>
      <c r="E779" s="28">
        <v>45876.74444444444</v>
      </c>
      <c r="F779" s="21" t="s">
        <v>189</v>
      </c>
      <c r="G779" s="23"/>
      <c r="H779" s="23" t="str">
        <f t="shared" si="1"/>
        <v>INSERT INTO tblDayAttendanceLog VALUES (seqDayAttendanceLog.nextval, 106, TO_DATE('2025-08-07', 'YYYY-MM-DD'), TO_DATE('2025-08-07 09:53:00', 'YYYY-MM-DD HH24:MI:SS'), TO_DATE('2025-08-07 17:52:00', 'YYYY-MM-DD HH24:MI:SS'));</v>
      </c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</row>
    <row r="780">
      <c r="A780" s="25" t="s">
        <v>206</v>
      </c>
      <c r="B780" s="26">
        <v>107.0</v>
      </c>
      <c r="C780" s="27">
        <v>45876.0</v>
      </c>
      <c r="D780" s="28">
        <v>45876.38888888889</v>
      </c>
      <c r="E780" s="28">
        <v>45876.74375</v>
      </c>
      <c r="F780" s="21" t="s">
        <v>189</v>
      </c>
      <c r="G780" s="23"/>
      <c r="H780" s="23" t="str">
        <f t="shared" si="1"/>
        <v>INSERT INTO tblDayAttendanceLog VALUES (seqDayAttendanceLog.nextval, 107, TO_DATE('2025-08-07', 'YYYY-MM-DD'), TO_DATE('2025-08-07 09:20:00', 'YYYY-MM-DD HH24:MI:SS'), TO_DATE('2025-08-07 17:51:00', 'YYYY-MM-DD HH24:MI:SS'));</v>
      </c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</row>
    <row r="781">
      <c r="A781" s="25" t="s">
        <v>206</v>
      </c>
      <c r="B781" s="26">
        <v>108.0</v>
      </c>
      <c r="C781" s="27">
        <v>45876.0</v>
      </c>
      <c r="D781" s="28">
        <v>45876.40833333333</v>
      </c>
      <c r="E781" s="28">
        <v>45876.743055555555</v>
      </c>
      <c r="F781" s="21" t="s">
        <v>189</v>
      </c>
      <c r="G781" s="23"/>
      <c r="H781" s="23" t="str">
        <f t="shared" si="1"/>
        <v>INSERT INTO tblDayAttendanceLog VALUES (seqDayAttendanceLog.nextval, 108, TO_DATE('2025-08-07', 'YYYY-MM-DD'), TO_DATE('2025-08-07 09:48:00', 'YYYY-MM-DD HH24:MI:SS'), TO_DATE('2025-08-07 17:50:00', 'YYYY-MM-DD HH24:MI:SS'));</v>
      </c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</row>
    <row r="782">
      <c r="A782" s="25" t="s">
        <v>206</v>
      </c>
      <c r="B782" s="26">
        <v>109.0</v>
      </c>
      <c r="C782" s="27">
        <v>45876.0</v>
      </c>
      <c r="D782" s="28">
        <v>45876.39791666667</v>
      </c>
      <c r="E782" s="28">
        <v>45876.745833333334</v>
      </c>
      <c r="F782" s="21" t="s">
        <v>189</v>
      </c>
      <c r="G782" s="23"/>
      <c r="H782" s="23" t="str">
        <f t="shared" si="1"/>
        <v>INSERT INTO tblDayAttendanceLog VALUES (seqDayAttendanceLog.nextval, 109, TO_DATE('2025-08-07', 'YYYY-MM-DD'), TO_DATE('2025-08-07 09:33:00', 'YYYY-MM-DD HH24:MI:SS'), TO_DATE('2025-08-07 17:54:00', 'YYYY-MM-DD HH24:MI:SS'));</v>
      </c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</row>
    <row r="783">
      <c r="A783" s="25" t="s">
        <v>206</v>
      </c>
      <c r="B783" s="26">
        <v>110.0</v>
      </c>
      <c r="C783" s="27">
        <v>45876.0</v>
      </c>
      <c r="D783" s="28">
        <v>45876.40555555555</v>
      </c>
      <c r="E783" s="28">
        <v>45876.74722222222</v>
      </c>
      <c r="F783" s="21" t="s">
        <v>189</v>
      </c>
      <c r="G783" s="23"/>
      <c r="H783" s="23" t="str">
        <f t="shared" si="1"/>
        <v>INSERT INTO tblDayAttendanceLog VALUES (seqDayAttendanceLog.nextval, 110, TO_DATE('2025-08-07', 'YYYY-MM-DD'), TO_DATE('2025-08-07 09:44:00', 'YYYY-MM-DD HH24:MI:SS'), TO_DATE('2025-08-07 17:56:00', 'YYYY-MM-DD HH24:MI:SS'));</v>
      </c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</row>
    <row r="784">
      <c r="A784" s="25" t="s">
        <v>206</v>
      </c>
      <c r="B784" s="26">
        <v>111.0</v>
      </c>
      <c r="C784" s="27">
        <v>45876.0</v>
      </c>
      <c r="D784" s="28">
        <v>45876.347916666666</v>
      </c>
      <c r="E784" s="28">
        <v>45876.74513888889</v>
      </c>
      <c r="F784" s="21" t="s">
        <v>184</v>
      </c>
      <c r="G784" s="23"/>
      <c r="H784" s="23" t="str">
        <f t="shared" si="1"/>
        <v>INSERT INTO tblDayAttendanceLog VALUES (seqDayAttendanceLog.nextval, 111, TO_DATE('2025-08-07', 'YYYY-MM-DD'), TO_DATE('2025-08-07 08:21:00', 'YYYY-MM-DD HH24:MI:SS'), TO_DATE('2025-08-07 17:53:00', 'YYYY-MM-DD HH24:MI:SS'));</v>
      </c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</row>
    <row r="785">
      <c r="A785" s="25" t="s">
        <v>206</v>
      </c>
      <c r="B785" s="26">
        <v>112.0</v>
      </c>
      <c r="C785" s="27">
        <v>45876.0</v>
      </c>
      <c r="D785" s="28">
        <v>45876.34305555555</v>
      </c>
      <c r="E785" s="28">
        <v>45876.748611111114</v>
      </c>
      <c r="F785" s="21" t="s">
        <v>184</v>
      </c>
      <c r="G785" s="23"/>
      <c r="H785" s="23" t="str">
        <f t="shared" si="1"/>
        <v>INSERT INTO tblDayAttendanceLog VALUES (seqDayAttendanceLog.nextval, 112, TO_DATE('2025-08-07', 'YYYY-MM-DD'), TO_DATE('2025-08-07 08:14:00', 'YYYY-MM-DD HH24:MI:SS'), TO_DATE('2025-08-07 17:58:00', 'YYYY-MM-DD HH24:MI:SS'));</v>
      </c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</row>
    <row r="786">
      <c r="A786" s="25" t="s">
        <v>206</v>
      </c>
      <c r="B786" s="26">
        <v>113.0</v>
      </c>
      <c r="C786" s="27">
        <v>45876.0</v>
      </c>
      <c r="D786" s="28">
        <v>45876.39166666667</v>
      </c>
      <c r="E786" s="28">
        <v>45876.743055555555</v>
      </c>
      <c r="F786" s="21" t="s">
        <v>189</v>
      </c>
      <c r="G786" s="23"/>
      <c r="H786" s="23" t="str">
        <f t="shared" si="1"/>
        <v>INSERT INTO tblDayAttendanceLog VALUES (seqDayAttendanceLog.nextval, 113, TO_DATE('2025-08-07', 'YYYY-MM-DD'), TO_DATE('2025-08-07 09:24:00', 'YYYY-MM-DD HH24:MI:SS'), TO_DATE('2025-08-07 17:50:00', 'YYYY-MM-DD HH24:MI:SS'));</v>
      </c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</row>
    <row r="787">
      <c r="A787" s="25" t="s">
        <v>206</v>
      </c>
      <c r="B787" s="26">
        <v>114.0</v>
      </c>
      <c r="C787" s="27">
        <v>45876.0</v>
      </c>
      <c r="D787" s="28">
        <v>45876.38888888889</v>
      </c>
      <c r="E787" s="28">
        <v>45876.74444444444</v>
      </c>
      <c r="F787" s="21" t="s">
        <v>189</v>
      </c>
      <c r="G787" s="23"/>
      <c r="H787" s="23" t="str">
        <f t="shared" si="1"/>
        <v>INSERT INTO tblDayAttendanceLog VALUES (seqDayAttendanceLog.nextval, 114, TO_DATE('2025-08-07', 'YYYY-MM-DD'), TO_DATE('2025-08-07 09:20:00', 'YYYY-MM-DD HH24:MI:SS'), TO_DATE('2025-08-07 17:52:00', 'YYYY-MM-DD HH24:MI:SS'));</v>
      </c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</row>
    <row r="788">
      <c r="A788" s="25" t="s">
        <v>206</v>
      </c>
      <c r="B788" s="26">
        <v>115.0</v>
      </c>
      <c r="C788" s="27">
        <v>45876.0</v>
      </c>
      <c r="D788" s="28">
        <v>45876.39027777778</v>
      </c>
      <c r="E788" s="28">
        <v>45876.74930555555</v>
      </c>
      <c r="F788" s="21" t="s">
        <v>189</v>
      </c>
      <c r="G788" s="23"/>
      <c r="H788" s="23" t="str">
        <f t="shared" si="1"/>
        <v>INSERT INTO tblDayAttendanceLog VALUES (seqDayAttendanceLog.nextval, 115, TO_DATE('2025-08-07', 'YYYY-MM-DD'), TO_DATE('2025-08-07 09:22:00', 'YYYY-MM-DD HH24:MI:SS'), TO_DATE('2025-08-07 17:59:00', 'YYYY-MM-DD HH24:MI:SS'));</v>
      </c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</row>
    <row r="789">
      <c r="A789" s="25" t="s">
        <v>206</v>
      </c>
      <c r="B789" s="26">
        <v>116.0</v>
      </c>
      <c r="C789" s="27">
        <v>45876.0</v>
      </c>
      <c r="D789" s="28">
        <v>45876.34583333333</v>
      </c>
      <c r="E789" s="28">
        <v>45876.74791666667</v>
      </c>
      <c r="F789" s="21" t="s">
        <v>184</v>
      </c>
      <c r="G789" s="23"/>
      <c r="H789" s="23" t="str">
        <f t="shared" si="1"/>
        <v>INSERT INTO tblDayAttendanceLog VALUES (seqDayAttendanceLog.nextval, 116, TO_DATE('2025-08-07', 'YYYY-MM-DD'), TO_DATE('2025-08-07 08:18:00', 'YYYY-MM-DD HH24:MI:SS'), TO_DATE('2025-08-07 17:57:00', 'YYYY-MM-DD HH24:MI:SS'));</v>
      </c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</row>
    <row r="790">
      <c r="A790" s="25" t="s">
        <v>206</v>
      </c>
      <c r="B790" s="26">
        <v>117.0</v>
      </c>
      <c r="C790" s="27">
        <v>45876.0</v>
      </c>
      <c r="D790" s="28">
        <v>45876.35833333333</v>
      </c>
      <c r="E790" s="28">
        <v>45876.74444444444</v>
      </c>
      <c r="F790" s="21" t="s">
        <v>184</v>
      </c>
      <c r="G790" s="23"/>
      <c r="H790" s="23" t="str">
        <f t="shared" si="1"/>
        <v>INSERT INTO tblDayAttendanceLog VALUES (seqDayAttendanceLog.nextval, 117, TO_DATE('2025-08-07', 'YYYY-MM-DD'), TO_DATE('2025-08-07 08:36:00', 'YYYY-MM-DD HH24:MI:SS'), TO_DATE('2025-08-07 17:52:00', 'YYYY-MM-DD HH24:MI:SS'));</v>
      </c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</row>
    <row r="791">
      <c r="A791" s="25" t="s">
        <v>206</v>
      </c>
      <c r="B791" s="26">
        <v>118.0</v>
      </c>
      <c r="C791" s="27">
        <v>45876.0</v>
      </c>
      <c r="D791" s="28">
        <v>45876.41180555556</v>
      </c>
      <c r="E791" s="28">
        <v>45876.74513888889</v>
      </c>
      <c r="F791" s="21" t="s">
        <v>189</v>
      </c>
      <c r="G791" s="23"/>
      <c r="H791" s="23" t="str">
        <f t="shared" si="1"/>
        <v>INSERT INTO tblDayAttendanceLog VALUES (seqDayAttendanceLog.nextval, 118, TO_DATE('2025-08-07', 'YYYY-MM-DD'), TO_DATE('2025-08-07 09:53:00', 'YYYY-MM-DD HH24:MI:SS'), TO_DATE('2025-08-07 17:53:00', 'YYYY-MM-DD HH24:MI:SS'));</v>
      </c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</row>
    <row r="792">
      <c r="A792" s="25" t="s">
        <v>206</v>
      </c>
      <c r="B792" s="26">
        <v>119.0</v>
      </c>
      <c r="C792" s="27">
        <v>45876.0</v>
      </c>
      <c r="D792" s="28">
        <v>45876.40972222222</v>
      </c>
      <c r="E792" s="28">
        <v>45876.74444444444</v>
      </c>
      <c r="F792" s="21" t="s">
        <v>189</v>
      </c>
      <c r="G792" s="23"/>
      <c r="H792" s="23" t="str">
        <f t="shared" si="1"/>
        <v>INSERT INTO tblDayAttendanceLog VALUES (seqDayAttendanceLog.nextval, 119, TO_DATE('2025-08-07', 'YYYY-MM-DD'), TO_DATE('2025-08-07 09:50:00', 'YYYY-MM-DD HH24:MI:SS'), TO_DATE('2025-08-07 17:52:00', 'YYYY-MM-DD HH24:MI:SS'));</v>
      </c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</row>
    <row r="793">
      <c r="A793" s="25" t="s">
        <v>206</v>
      </c>
      <c r="B793" s="26">
        <v>120.0</v>
      </c>
      <c r="C793" s="27">
        <v>45876.0</v>
      </c>
      <c r="D793" s="28">
        <v>45876.35902777778</v>
      </c>
      <c r="E793" s="28">
        <v>45876.743055555555</v>
      </c>
      <c r="F793" s="21" t="s">
        <v>184</v>
      </c>
      <c r="G793" s="23"/>
      <c r="H793" s="23" t="str">
        <f t="shared" si="1"/>
        <v>INSERT INTO tblDayAttendanceLog VALUES (seqDayAttendanceLog.nextval, 120, TO_DATE('2025-08-07', 'YYYY-MM-DD'), TO_DATE('2025-08-07 08:37:00', 'YYYY-MM-DD HH24:MI:SS'), TO_DATE('2025-08-07 17:50:00', 'YYYY-MM-DD HH24:MI:SS'));</v>
      </c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</row>
    <row r="794">
      <c r="A794" s="25" t="s">
        <v>206</v>
      </c>
      <c r="B794" s="26">
        <v>121.0</v>
      </c>
      <c r="C794" s="27">
        <v>45876.0</v>
      </c>
      <c r="D794" s="28">
        <v>45876.4125</v>
      </c>
      <c r="E794" s="28">
        <v>45876.74930555555</v>
      </c>
      <c r="F794" s="21" t="s">
        <v>189</v>
      </c>
      <c r="G794" s="23"/>
      <c r="H794" s="23" t="str">
        <f t="shared" si="1"/>
        <v>INSERT INTO tblDayAttendanceLog VALUES (seqDayAttendanceLog.nextval, 121, TO_DATE('2025-08-07', 'YYYY-MM-DD'), TO_DATE('2025-08-07 09:54:00', 'YYYY-MM-DD HH24:MI:SS'), TO_DATE('2025-08-07 17:59:00', 'YYYY-MM-DD HH24:MI:SS'));</v>
      </c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</row>
    <row r="795">
      <c r="A795" s="25" t="s">
        <v>206</v>
      </c>
      <c r="B795" s="26">
        <v>122.0</v>
      </c>
      <c r="C795" s="27">
        <v>45876.0</v>
      </c>
      <c r="D795" s="28">
        <v>45876.4125</v>
      </c>
      <c r="E795" s="28">
        <v>45876.74791666667</v>
      </c>
      <c r="F795" s="21" t="s">
        <v>189</v>
      </c>
      <c r="G795" s="23"/>
      <c r="H795" s="23" t="str">
        <f t="shared" si="1"/>
        <v>INSERT INTO tblDayAttendanceLog VALUES (seqDayAttendanceLog.nextval, 122, TO_DATE('2025-08-07', 'YYYY-MM-DD'), TO_DATE('2025-08-07 09:54:00', 'YYYY-MM-DD HH24:MI:SS'), TO_DATE('2025-08-07 17:57:00', 'YYYY-MM-DD HH24:MI:SS'));</v>
      </c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</row>
    <row r="796">
      <c r="A796" s="25" t="s">
        <v>206</v>
      </c>
      <c r="B796" s="26">
        <v>123.0</v>
      </c>
      <c r="C796" s="27">
        <v>45876.0</v>
      </c>
      <c r="D796" s="28">
        <v>45876.375</v>
      </c>
      <c r="E796" s="28">
        <v>45876.745833333334</v>
      </c>
      <c r="F796" s="21" t="s">
        <v>189</v>
      </c>
      <c r="G796" s="23"/>
      <c r="H796" s="23" t="str">
        <f t="shared" si="1"/>
        <v>INSERT INTO tblDayAttendanceLog VALUES (seqDayAttendanceLog.nextval, 123, TO_DATE('2025-08-07', 'YYYY-MM-DD'), TO_DATE('2025-08-07 09:00:00', 'YYYY-MM-DD HH24:MI:SS'), TO_DATE('2025-08-07 17:54:00', 'YYYY-MM-DD HH24:MI:SS'));</v>
      </c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</row>
    <row r="797">
      <c r="A797" s="25" t="s">
        <v>206</v>
      </c>
      <c r="B797" s="26">
        <v>124.0</v>
      </c>
      <c r="C797" s="27">
        <v>45876.0</v>
      </c>
      <c r="D797" s="28">
        <v>45876.36388888889</v>
      </c>
      <c r="E797" s="28">
        <v>45876.74513888889</v>
      </c>
      <c r="F797" s="21" t="s">
        <v>184</v>
      </c>
      <c r="G797" s="23"/>
      <c r="H797" s="23" t="str">
        <f t="shared" si="1"/>
        <v>INSERT INTO tblDayAttendanceLog VALUES (seqDayAttendanceLog.nextval, 124, TO_DATE('2025-08-07', 'YYYY-MM-DD'), TO_DATE('2025-08-07 08:44:00', 'YYYY-MM-DD HH24:MI:SS'), TO_DATE('2025-08-07 17:53:00', 'YYYY-MM-DD HH24:MI:SS'));</v>
      </c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</row>
    <row r="798">
      <c r="A798" s="25" t="s">
        <v>206</v>
      </c>
      <c r="B798" s="26">
        <v>125.0</v>
      </c>
      <c r="C798" s="27">
        <v>45876.0</v>
      </c>
      <c r="D798" s="28">
        <v>45876.38125</v>
      </c>
      <c r="E798" s="28">
        <v>45876.748611111114</v>
      </c>
      <c r="F798" s="21" t="s">
        <v>189</v>
      </c>
      <c r="G798" s="23"/>
      <c r="H798" s="23" t="str">
        <f t="shared" si="1"/>
        <v>INSERT INTO tblDayAttendanceLog VALUES (seqDayAttendanceLog.nextval, 125, TO_DATE('2025-08-07', 'YYYY-MM-DD'), TO_DATE('2025-08-07 09:09:00', 'YYYY-MM-DD HH24:MI:SS'), TO_DATE('2025-08-07 17:58:00', 'YYYY-MM-DD HH24:MI:SS'));</v>
      </c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</row>
    <row r="799">
      <c r="A799" s="25" t="s">
        <v>206</v>
      </c>
      <c r="B799" s="26">
        <v>126.0</v>
      </c>
      <c r="C799" s="27">
        <v>45876.0</v>
      </c>
      <c r="D799" s="28">
        <v>45876.41388888889</v>
      </c>
      <c r="E799" s="28">
        <v>45876.74791666667</v>
      </c>
      <c r="F799" s="21" t="s">
        <v>189</v>
      </c>
      <c r="G799" s="23"/>
      <c r="H799" s="23" t="str">
        <f t="shared" si="1"/>
        <v>INSERT INTO tblDayAttendanceLog VALUES (seqDayAttendanceLog.nextval, 126, TO_DATE('2025-08-07', 'YYYY-MM-DD'), TO_DATE('2025-08-07 09:56:00', 'YYYY-MM-DD HH24:MI:SS'), TO_DATE('2025-08-07 17:57:00', 'YYYY-MM-DD HH24:MI:SS'));</v>
      </c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</row>
    <row r="800">
      <c r="A800" s="25" t="s">
        <v>206</v>
      </c>
      <c r="B800" s="26">
        <v>127.0</v>
      </c>
      <c r="C800" s="27">
        <v>45876.0</v>
      </c>
      <c r="D800" s="28">
        <v>45876.388194444444</v>
      </c>
      <c r="E800" s="28">
        <v>45876.74375</v>
      </c>
      <c r="F800" s="21" t="s">
        <v>189</v>
      </c>
      <c r="G800" s="23"/>
      <c r="H800" s="23" t="str">
        <f t="shared" si="1"/>
        <v>INSERT INTO tblDayAttendanceLog VALUES (seqDayAttendanceLog.nextval, 127, TO_DATE('2025-08-07', 'YYYY-MM-DD'), TO_DATE('2025-08-07 09:19:00', 'YYYY-MM-DD HH24:MI:SS'), TO_DATE('2025-08-07 17:51:00', 'YYYY-MM-DD HH24:MI:SS'));</v>
      </c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</row>
    <row r="801">
      <c r="A801" s="25" t="s">
        <v>206</v>
      </c>
      <c r="B801" s="26">
        <v>128.0</v>
      </c>
      <c r="C801" s="27">
        <v>45876.0</v>
      </c>
      <c r="D801" s="28">
        <v>45876.38055555556</v>
      </c>
      <c r="E801" s="28">
        <v>45876.745833333334</v>
      </c>
      <c r="F801" s="21" t="s">
        <v>189</v>
      </c>
      <c r="G801" s="23"/>
      <c r="H801" s="23" t="str">
        <f t="shared" si="1"/>
        <v>INSERT INTO tblDayAttendanceLog VALUES (seqDayAttendanceLog.nextval, 128, TO_DATE('2025-08-07', 'YYYY-MM-DD'), TO_DATE('2025-08-07 09:08:00', 'YYYY-MM-DD HH24:MI:SS'), TO_DATE('2025-08-07 17:54:00', 'YYYY-MM-DD HH24:MI:SS'));</v>
      </c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</row>
    <row r="802">
      <c r="A802" s="25" t="s">
        <v>206</v>
      </c>
      <c r="B802" s="26">
        <v>129.0</v>
      </c>
      <c r="C802" s="27">
        <v>45876.0</v>
      </c>
      <c r="D802" s="28">
        <v>45876.393055555556</v>
      </c>
      <c r="E802" s="28">
        <v>45876.74444444444</v>
      </c>
      <c r="F802" s="21" t="s">
        <v>189</v>
      </c>
      <c r="G802" s="23"/>
      <c r="H802" s="23" t="str">
        <f t="shared" si="1"/>
        <v>INSERT INTO tblDayAttendanceLog VALUES (seqDayAttendanceLog.nextval, 129, TO_DATE('2025-08-07', 'YYYY-MM-DD'), TO_DATE('2025-08-07 09:26:00', 'YYYY-MM-DD HH24:MI:SS'), TO_DATE('2025-08-07 17:52:00', 'YYYY-MM-DD HH24:MI:SS'));</v>
      </c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</row>
    <row r="803">
      <c r="A803" s="25" t="s">
        <v>206</v>
      </c>
      <c r="B803" s="26">
        <v>130.0</v>
      </c>
      <c r="C803" s="27">
        <v>45876.0</v>
      </c>
      <c r="D803" s="28">
        <v>45876.39375</v>
      </c>
      <c r="E803" s="28">
        <v>45876.74375</v>
      </c>
      <c r="F803" s="21" t="s">
        <v>189</v>
      </c>
      <c r="G803" s="23"/>
      <c r="H803" s="23" t="str">
        <f t="shared" si="1"/>
        <v>INSERT INTO tblDayAttendanceLog VALUES (seqDayAttendanceLog.nextval, 130, TO_DATE('2025-08-07', 'YYYY-MM-DD'), TO_DATE('2025-08-07 09:27:00', 'YYYY-MM-DD HH24:MI:SS'), TO_DATE('2025-08-07 17:51:00', 'YYYY-MM-DD HH24:MI:SS'));</v>
      </c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</row>
    <row r="804">
      <c r="A804" s="25" t="s">
        <v>206</v>
      </c>
      <c r="B804" s="26">
        <v>131.0</v>
      </c>
      <c r="C804" s="27">
        <v>45876.0</v>
      </c>
      <c r="D804" s="28">
        <v>45876.37847222222</v>
      </c>
      <c r="E804" s="28">
        <v>45876.74791666667</v>
      </c>
      <c r="F804" s="21" t="s">
        <v>189</v>
      </c>
      <c r="G804" s="23"/>
      <c r="H804" s="23" t="str">
        <f t="shared" si="1"/>
        <v>INSERT INTO tblDayAttendanceLog VALUES (seqDayAttendanceLog.nextval, 131, TO_DATE('2025-08-07', 'YYYY-MM-DD'), TO_DATE('2025-08-07 09:05:00', 'YYYY-MM-DD HH24:MI:SS'), TO_DATE('2025-08-07 17:57:00', 'YYYY-MM-DD HH24:MI:SS'));</v>
      </c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</row>
    <row r="805">
      <c r="A805" s="25" t="s">
        <v>206</v>
      </c>
      <c r="B805" s="26">
        <v>132.0</v>
      </c>
      <c r="C805" s="27">
        <v>45876.0</v>
      </c>
      <c r="D805" s="29"/>
      <c r="E805" s="29"/>
      <c r="F805" s="21" t="s">
        <v>186</v>
      </c>
      <c r="G805" s="23"/>
      <c r="H805" s="23" t="str">
        <f t="shared" si="1"/>
        <v>INSERT INTO tblDayAttendanceLog VALUES (seqDayAttendanceLog.nextval, 132, TO_DATE('2025-08-07', 'YYYY-MM-DD'), NULL, NULL);</v>
      </c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</row>
    <row r="806">
      <c r="A806" s="25" t="s">
        <v>206</v>
      </c>
      <c r="B806" s="26">
        <v>133.0</v>
      </c>
      <c r="C806" s="27">
        <v>45876.0</v>
      </c>
      <c r="D806" s="28">
        <v>45876.39027777778</v>
      </c>
      <c r="E806" s="28">
        <v>45876.74444444444</v>
      </c>
      <c r="F806" s="21" t="s">
        <v>189</v>
      </c>
      <c r="G806" s="23"/>
      <c r="H806" s="23" t="str">
        <f t="shared" si="1"/>
        <v>INSERT INTO tblDayAttendanceLog VALUES (seqDayAttendanceLog.nextval, 133, TO_DATE('2025-08-07', 'YYYY-MM-DD'), TO_DATE('2025-08-07 09:22:00', 'YYYY-MM-DD HH24:MI:SS'), TO_DATE('2025-08-07 17:52:00', 'YYYY-MM-DD HH24:MI:SS'));</v>
      </c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</row>
    <row r="807">
      <c r="A807" s="25" t="s">
        <v>206</v>
      </c>
      <c r="B807" s="26">
        <v>134.0</v>
      </c>
      <c r="C807" s="27">
        <v>45876.0</v>
      </c>
      <c r="D807" s="28">
        <v>45876.361805555556</v>
      </c>
      <c r="E807" s="28">
        <v>45876.74513888889</v>
      </c>
      <c r="F807" s="21" t="s">
        <v>184</v>
      </c>
      <c r="G807" s="23"/>
      <c r="H807" s="23" t="str">
        <f t="shared" si="1"/>
        <v>INSERT INTO tblDayAttendanceLog VALUES (seqDayAttendanceLog.nextval, 134, TO_DATE('2025-08-07', 'YYYY-MM-DD'), TO_DATE('2025-08-07 08:41:00', 'YYYY-MM-DD HH24:MI:SS'), TO_DATE('2025-08-07 17:53:00', 'YYYY-MM-DD HH24:MI:SS'));</v>
      </c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</row>
    <row r="808">
      <c r="A808" s="25" t="s">
        <v>206</v>
      </c>
      <c r="B808" s="26">
        <v>135.0</v>
      </c>
      <c r="C808" s="27">
        <v>45876.0</v>
      </c>
      <c r="D808" s="28">
        <v>45876.393055555556</v>
      </c>
      <c r="E808" s="28">
        <v>45876.74791666667</v>
      </c>
      <c r="F808" s="21" t="s">
        <v>189</v>
      </c>
      <c r="G808" s="23"/>
      <c r="H808" s="23" t="str">
        <f t="shared" si="1"/>
        <v>INSERT INTO tblDayAttendanceLog VALUES (seqDayAttendanceLog.nextval, 135, TO_DATE('2025-08-07', 'YYYY-MM-DD'), TO_DATE('2025-08-07 09:26:00', 'YYYY-MM-DD HH24:MI:SS'), TO_DATE('2025-08-07 17:57:00', 'YYYY-MM-DD HH24:MI:SS'));</v>
      </c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</row>
    <row r="809">
      <c r="A809" s="25" t="s">
        <v>206</v>
      </c>
      <c r="B809" s="26">
        <v>136.0</v>
      </c>
      <c r="C809" s="27">
        <v>45876.0</v>
      </c>
      <c r="D809" s="28">
        <v>45876.37430555555</v>
      </c>
      <c r="E809" s="28">
        <v>45876.748611111114</v>
      </c>
      <c r="F809" s="21" t="s">
        <v>184</v>
      </c>
      <c r="G809" s="23"/>
      <c r="H809" s="23" t="str">
        <f t="shared" si="1"/>
        <v>INSERT INTO tblDayAttendanceLog VALUES (seqDayAttendanceLog.nextval, 136, TO_DATE('2025-08-07', 'YYYY-MM-DD'), TO_DATE('2025-08-07 08:59:00', 'YYYY-MM-DD HH24:MI:SS'), TO_DATE('2025-08-07 17:58:00', 'YYYY-MM-DD HH24:MI:SS'));</v>
      </c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</row>
    <row r="810">
      <c r="A810" s="25" t="s">
        <v>206</v>
      </c>
      <c r="B810" s="26">
        <v>137.0</v>
      </c>
      <c r="C810" s="27">
        <v>45876.0</v>
      </c>
      <c r="D810" s="28">
        <v>45876.388194444444</v>
      </c>
      <c r="E810" s="28">
        <v>45876.748611111114</v>
      </c>
      <c r="F810" s="21" t="s">
        <v>189</v>
      </c>
      <c r="G810" s="23"/>
      <c r="H810" s="23" t="str">
        <f t="shared" si="1"/>
        <v>INSERT INTO tblDayAttendanceLog VALUES (seqDayAttendanceLog.nextval, 137, TO_DATE('2025-08-07', 'YYYY-MM-DD'), TO_DATE('2025-08-07 09:19:00', 'YYYY-MM-DD HH24:MI:SS'), TO_DATE('2025-08-07 17:58:00', 'YYYY-MM-DD HH24:MI:SS'));</v>
      </c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</row>
    <row r="811">
      <c r="A811" s="25" t="s">
        <v>206</v>
      </c>
      <c r="B811" s="26">
        <v>138.0</v>
      </c>
      <c r="C811" s="27">
        <v>45876.0</v>
      </c>
      <c r="D811" s="28">
        <v>45876.34305555555</v>
      </c>
      <c r="E811" s="28">
        <v>45876.745833333334</v>
      </c>
      <c r="F811" s="21" t="s">
        <v>184</v>
      </c>
      <c r="G811" s="23"/>
      <c r="H811" s="23" t="str">
        <f t="shared" si="1"/>
        <v>INSERT INTO tblDayAttendanceLog VALUES (seqDayAttendanceLog.nextval, 138, TO_DATE('2025-08-07', 'YYYY-MM-DD'), TO_DATE('2025-08-07 08:14:00', 'YYYY-MM-DD HH24:MI:SS'), TO_DATE('2025-08-07 17:54:00', 'YYYY-MM-DD HH24:MI:SS'));</v>
      </c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</row>
    <row r="812">
      <c r="A812" s="25" t="s">
        <v>206</v>
      </c>
      <c r="B812" s="26">
        <v>139.0</v>
      </c>
      <c r="C812" s="27">
        <v>45876.0</v>
      </c>
      <c r="D812" s="28">
        <v>45876.35138888889</v>
      </c>
      <c r="E812" s="28">
        <v>45876.74652777778</v>
      </c>
      <c r="F812" s="21" t="s">
        <v>184</v>
      </c>
      <c r="G812" s="23"/>
      <c r="H812" s="23" t="str">
        <f t="shared" si="1"/>
        <v>INSERT INTO tblDayAttendanceLog VALUES (seqDayAttendanceLog.nextval, 139, TO_DATE('2025-08-07', 'YYYY-MM-DD'), TO_DATE('2025-08-07 08:26:00', 'YYYY-MM-DD HH24:MI:SS'), TO_DATE('2025-08-07 17:55:00', 'YYYY-MM-DD HH24:MI:SS'));</v>
      </c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</row>
    <row r="813">
      <c r="A813" s="25" t="s">
        <v>206</v>
      </c>
      <c r="B813" s="26">
        <v>140.0</v>
      </c>
      <c r="C813" s="27">
        <v>45876.0</v>
      </c>
      <c r="D813" s="28">
        <v>45876.38333333333</v>
      </c>
      <c r="E813" s="28">
        <v>45876.74652777778</v>
      </c>
      <c r="F813" s="21" t="s">
        <v>189</v>
      </c>
      <c r="G813" s="23"/>
      <c r="H813" s="23" t="str">
        <f t="shared" si="1"/>
        <v>INSERT INTO tblDayAttendanceLog VALUES (seqDayAttendanceLog.nextval, 140, TO_DATE('2025-08-07', 'YYYY-MM-DD'), TO_DATE('2025-08-07 09:12:00', 'YYYY-MM-DD HH24:MI:SS'), TO_DATE('2025-08-07 17:55:00', 'YYYY-MM-DD HH24:MI:SS'));</v>
      </c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</row>
    <row r="814">
      <c r="A814" s="25" t="s">
        <v>206</v>
      </c>
      <c r="B814" s="26">
        <v>141.0</v>
      </c>
      <c r="C814" s="27">
        <v>45876.0</v>
      </c>
      <c r="D814" s="28">
        <v>45876.35833333333</v>
      </c>
      <c r="E814" s="28">
        <v>45876.74375</v>
      </c>
      <c r="F814" s="21" t="s">
        <v>184</v>
      </c>
      <c r="G814" s="23"/>
      <c r="H814" s="23" t="str">
        <f t="shared" si="1"/>
        <v>INSERT INTO tblDayAttendanceLog VALUES (seqDayAttendanceLog.nextval, 141, TO_DATE('2025-08-07', 'YYYY-MM-DD'), TO_DATE('2025-08-07 08:36:00', 'YYYY-MM-DD HH24:MI:SS'), TO_DATE('2025-08-07 17:51:00', 'YYYY-MM-DD HH24:MI:SS'));</v>
      </c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</row>
    <row r="815">
      <c r="A815" s="25" t="s">
        <v>206</v>
      </c>
      <c r="B815" s="26">
        <v>142.0</v>
      </c>
      <c r="C815" s="27">
        <v>45876.0</v>
      </c>
      <c r="D815" s="28">
        <v>45876.41458333333</v>
      </c>
      <c r="E815" s="28">
        <v>45876.74930555555</v>
      </c>
      <c r="F815" s="21" t="s">
        <v>189</v>
      </c>
      <c r="G815" s="23"/>
      <c r="H815" s="23" t="str">
        <f t="shared" si="1"/>
        <v>INSERT INTO tblDayAttendanceLog VALUES (seqDayAttendanceLog.nextval, 142, TO_DATE('2025-08-07', 'YYYY-MM-DD'), TO_DATE('2025-08-07 09:57:00', 'YYYY-MM-DD HH24:MI:SS'), TO_DATE('2025-08-07 17:59:00', 'YYYY-MM-DD HH24:MI:SS'));</v>
      </c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</row>
    <row r="816">
      <c r="A816" s="25" t="s">
        <v>206</v>
      </c>
      <c r="B816" s="26">
        <v>143.0</v>
      </c>
      <c r="C816" s="27">
        <v>45876.0</v>
      </c>
      <c r="D816" s="28">
        <v>45876.35972222222</v>
      </c>
      <c r="E816" s="28">
        <v>45876.748611111114</v>
      </c>
      <c r="F816" s="21" t="s">
        <v>184</v>
      </c>
      <c r="G816" s="23"/>
      <c r="H816" s="23" t="str">
        <f t="shared" si="1"/>
        <v>INSERT INTO tblDayAttendanceLog VALUES (seqDayAttendanceLog.nextval, 143, TO_DATE('2025-08-07', 'YYYY-MM-DD'), TO_DATE('2025-08-07 08:38:00', 'YYYY-MM-DD HH24:MI:SS'), TO_DATE('2025-08-07 17:58:00', 'YYYY-MM-DD HH24:MI:SS'));</v>
      </c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</row>
    <row r="817">
      <c r="A817" s="25" t="s">
        <v>206</v>
      </c>
      <c r="B817" s="26">
        <v>144.0</v>
      </c>
      <c r="C817" s="27">
        <v>45876.0</v>
      </c>
      <c r="D817" s="28">
        <v>45876.413194444445</v>
      </c>
      <c r="E817" s="28">
        <v>45876.748611111114</v>
      </c>
      <c r="F817" s="21" t="s">
        <v>189</v>
      </c>
      <c r="G817" s="23"/>
      <c r="H817" s="23" t="str">
        <f t="shared" si="1"/>
        <v>INSERT INTO tblDayAttendanceLog VALUES (seqDayAttendanceLog.nextval, 144, TO_DATE('2025-08-07', 'YYYY-MM-DD'), TO_DATE('2025-08-07 09:55:00', 'YYYY-MM-DD HH24:MI:SS'), TO_DATE('2025-08-07 17:58:00', 'YYYY-MM-DD HH24:MI:SS'));</v>
      </c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</row>
    <row r="818">
      <c r="A818" s="25" t="s">
        <v>206</v>
      </c>
      <c r="B818" s="26">
        <v>145.0</v>
      </c>
      <c r="C818" s="27">
        <v>45876.0</v>
      </c>
      <c r="D818" s="28">
        <v>45876.37222222222</v>
      </c>
      <c r="E818" s="28">
        <v>45876.743055555555</v>
      </c>
      <c r="F818" s="21" t="s">
        <v>184</v>
      </c>
      <c r="G818" s="23"/>
      <c r="H818" s="23" t="str">
        <f t="shared" si="1"/>
        <v>INSERT INTO tblDayAttendanceLog VALUES (seqDayAttendanceLog.nextval, 145, TO_DATE('2025-08-07', 'YYYY-MM-DD'), TO_DATE('2025-08-07 08:56:00', 'YYYY-MM-DD HH24:MI:SS'), TO_DATE('2025-08-07 17:50:00', 'YYYY-MM-DD HH24:MI:SS'));</v>
      </c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</row>
    <row r="819">
      <c r="A819" s="25" t="s">
        <v>206</v>
      </c>
      <c r="B819" s="26">
        <v>146.0</v>
      </c>
      <c r="C819" s="27">
        <v>45876.0</v>
      </c>
      <c r="D819" s="28">
        <v>45876.39513888889</v>
      </c>
      <c r="E819" s="28">
        <v>45876.74375</v>
      </c>
      <c r="F819" s="21" t="s">
        <v>189</v>
      </c>
      <c r="G819" s="23"/>
      <c r="H819" s="23" t="str">
        <f t="shared" si="1"/>
        <v>INSERT INTO tblDayAttendanceLog VALUES (seqDayAttendanceLog.nextval, 146, TO_DATE('2025-08-07', 'YYYY-MM-DD'), TO_DATE('2025-08-07 09:29:00', 'YYYY-MM-DD HH24:MI:SS'), TO_DATE('2025-08-07 17:51:00', 'YYYY-MM-DD HH24:MI:SS'));</v>
      </c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</row>
    <row r="820">
      <c r="A820" s="25" t="s">
        <v>206</v>
      </c>
      <c r="B820" s="26">
        <v>147.0</v>
      </c>
      <c r="C820" s="27">
        <v>45876.0</v>
      </c>
      <c r="D820" s="29"/>
      <c r="E820" s="29"/>
      <c r="F820" s="21" t="s">
        <v>186</v>
      </c>
      <c r="G820" s="23"/>
      <c r="H820" s="23" t="str">
        <f t="shared" si="1"/>
        <v>INSERT INTO tblDayAttendanceLog VALUES (seqDayAttendanceLog.nextval, 147, TO_DATE('2025-08-07', 'YYYY-MM-DD'), NULL, NULL);</v>
      </c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</row>
    <row r="821">
      <c r="A821" s="25" t="s">
        <v>206</v>
      </c>
      <c r="B821" s="26">
        <v>148.0</v>
      </c>
      <c r="C821" s="27">
        <v>45876.0</v>
      </c>
      <c r="D821" s="28">
        <v>45876.39791666667</v>
      </c>
      <c r="E821" s="28">
        <v>45876.74513888889</v>
      </c>
      <c r="F821" s="21" t="s">
        <v>189</v>
      </c>
      <c r="G821" s="23"/>
      <c r="H821" s="23" t="str">
        <f t="shared" si="1"/>
        <v>INSERT INTO tblDayAttendanceLog VALUES (seqDayAttendanceLog.nextval, 148, TO_DATE('2025-08-07', 'YYYY-MM-DD'), TO_DATE('2025-08-07 09:33:00', 'YYYY-MM-DD HH24:MI:SS'), TO_DATE('2025-08-07 17:53:00', 'YYYY-MM-DD HH24:MI:SS'));</v>
      </c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</row>
    <row r="822">
      <c r="A822" s="25" t="s">
        <v>206</v>
      </c>
      <c r="B822" s="26">
        <v>149.0</v>
      </c>
      <c r="C822" s="27">
        <v>45876.0</v>
      </c>
      <c r="D822" s="28">
        <v>45876.35277777778</v>
      </c>
      <c r="E822" s="28">
        <v>45876.74513888889</v>
      </c>
      <c r="F822" s="21" t="s">
        <v>184</v>
      </c>
      <c r="G822" s="23"/>
      <c r="H822" s="23" t="str">
        <f t="shared" si="1"/>
        <v>INSERT INTO tblDayAttendanceLog VALUES (seqDayAttendanceLog.nextval, 149, TO_DATE('2025-08-07', 'YYYY-MM-DD'), TO_DATE('2025-08-07 08:28:00', 'YYYY-MM-DD HH24:MI:SS'), TO_DATE('2025-08-07 17:53:00', 'YYYY-MM-DD HH24:MI:SS'));</v>
      </c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</row>
    <row r="823">
      <c r="A823" s="25" t="s">
        <v>206</v>
      </c>
      <c r="B823" s="26">
        <v>150.0</v>
      </c>
      <c r="C823" s="27">
        <v>45876.0</v>
      </c>
      <c r="D823" s="28">
        <v>45876.384722222225</v>
      </c>
      <c r="E823" s="28">
        <v>45876.74444444444</v>
      </c>
      <c r="F823" s="21" t="s">
        <v>189</v>
      </c>
      <c r="G823" s="23"/>
      <c r="H823" s="23" t="str">
        <f t="shared" si="1"/>
        <v>INSERT INTO tblDayAttendanceLog VALUES (seqDayAttendanceLog.nextval, 150, TO_DATE('2025-08-07', 'YYYY-MM-DD'), TO_DATE('2025-08-07 09:14:00', 'YYYY-MM-DD HH24:MI:SS'), TO_DATE('2025-08-07 17:52:00', 'YYYY-MM-DD HH24:MI:SS'));</v>
      </c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</row>
    <row r="824">
      <c r="A824" s="25" t="s">
        <v>206</v>
      </c>
      <c r="B824" s="26">
        <v>151.0</v>
      </c>
      <c r="C824" s="27">
        <v>45876.0</v>
      </c>
      <c r="D824" s="28">
        <v>45876.396527777775</v>
      </c>
      <c r="E824" s="28">
        <v>45876.74513888889</v>
      </c>
      <c r="F824" s="21" t="s">
        <v>189</v>
      </c>
      <c r="G824" s="23"/>
      <c r="H824" s="23" t="str">
        <f t="shared" si="1"/>
        <v>INSERT INTO tblDayAttendanceLog VALUES (seqDayAttendanceLog.nextval, 151, TO_DATE('2025-08-07', 'YYYY-MM-DD'), TO_DATE('2025-08-07 09:31:00', 'YYYY-MM-DD HH24:MI:SS'), TO_DATE('2025-08-07 17:53:00', 'YYYY-MM-DD HH24:MI:SS'));</v>
      </c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</row>
    <row r="825">
      <c r="A825" s="25" t="s">
        <v>206</v>
      </c>
      <c r="B825" s="26">
        <v>152.0</v>
      </c>
      <c r="C825" s="27">
        <v>45876.0</v>
      </c>
      <c r="D825" s="28">
        <v>45876.342361111114</v>
      </c>
      <c r="E825" s="28">
        <v>45876.748611111114</v>
      </c>
      <c r="F825" s="21" t="s">
        <v>184</v>
      </c>
      <c r="G825" s="23"/>
      <c r="H825" s="23" t="str">
        <f t="shared" si="1"/>
        <v>INSERT INTO tblDayAttendanceLog VALUES (seqDayAttendanceLog.nextval, 152, TO_DATE('2025-08-07', 'YYYY-MM-DD'), TO_DATE('2025-08-07 08:13:00', 'YYYY-MM-DD HH24:MI:SS'), TO_DATE('2025-08-07 17:58:00', 'YYYY-MM-DD HH24:MI:SS'));</v>
      </c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</row>
    <row r="826">
      <c r="A826" s="25" t="s">
        <v>206</v>
      </c>
      <c r="B826" s="26">
        <v>153.0</v>
      </c>
      <c r="C826" s="27">
        <v>45876.0</v>
      </c>
      <c r="D826" s="28">
        <v>45876.333333333336</v>
      </c>
      <c r="E826" s="28">
        <v>45876.74722222222</v>
      </c>
      <c r="F826" s="21" t="s">
        <v>184</v>
      </c>
      <c r="G826" s="23"/>
      <c r="H826" s="23" t="str">
        <f t="shared" si="1"/>
        <v>INSERT INTO tblDayAttendanceLog VALUES (seqDayAttendanceLog.nextval, 153, TO_DATE('2025-08-07', 'YYYY-MM-DD'), TO_DATE('2025-08-07 08:00:00', 'YYYY-MM-DD HH24:MI:SS'), TO_DATE('2025-08-07 17:56:00', 'YYYY-MM-DD HH24:MI:SS'));</v>
      </c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</row>
    <row r="827">
      <c r="A827" s="25" t="s">
        <v>206</v>
      </c>
      <c r="B827" s="26">
        <v>154.0</v>
      </c>
      <c r="C827" s="27">
        <v>45876.0</v>
      </c>
      <c r="D827" s="28">
        <v>45876.36597222222</v>
      </c>
      <c r="E827" s="28">
        <v>45876.74513888889</v>
      </c>
      <c r="F827" s="21" t="s">
        <v>184</v>
      </c>
      <c r="G827" s="23"/>
      <c r="H827" s="23" t="str">
        <f t="shared" si="1"/>
        <v>INSERT INTO tblDayAttendanceLog VALUES (seqDayAttendanceLog.nextval, 154, TO_DATE('2025-08-07', 'YYYY-MM-DD'), TO_DATE('2025-08-07 08:47:00', 'YYYY-MM-DD HH24:MI:SS'), TO_DATE('2025-08-07 17:53:00', 'YYYY-MM-DD HH24:MI:SS'));</v>
      </c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</row>
    <row r="828">
      <c r="A828" s="25" t="s">
        <v>206</v>
      </c>
      <c r="B828" s="26">
        <v>155.0</v>
      </c>
      <c r="C828" s="27">
        <v>45876.0</v>
      </c>
      <c r="D828" s="28">
        <v>45876.345138888886</v>
      </c>
      <c r="E828" s="28">
        <v>45876.74791666667</v>
      </c>
      <c r="F828" s="21" t="s">
        <v>184</v>
      </c>
      <c r="G828" s="23"/>
      <c r="H828" s="23" t="str">
        <f t="shared" si="1"/>
        <v>INSERT INTO tblDayAttendanceLog VALUES (seqDayAttendanceLog.nextval, 155, TO_DATE('2025-08-07', 'YYYY-MM-DD'), TO_DATE('2025-08-07 08:17:00', 'YYYY-MM-DD HH24:MI:SS'), TO_DATE('2025-08-07 17:57:00', 'YYYY-MM-DD HH24:MI:SS'));</v>
      </c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</row>
    <row r="829">
      <c r="A829" s="25" t="s">
        <v>206</v>
      </c>
      <c r="B829" s="26">
        <v>156.0</v>
      </c>
      <c r="C829" s="27">
        <v>45876.0</v>
      </c>
      <c r="D829" s="28">
        <v>45876.365277777775</v>
      </c>
      <c r="E829" s="28">
        <v>45876.74652777778</v>
      </c>
      <c r="F829" s="21" t="s">
        <v>184</v>
      </c>
      <c r="G829" s="23"/>
      <c r="H829" s="23" t="str">
        <f t="shared" si="1"/>
        <v>INSERT INTO tblDayAttendanceLog VALUES (seqDayAttendanceLog.nextval, 156, TO_DATE('2025-08-07', 'YYYY-MM-DD'), TO_DATE('2025-08-07 08:46:00', 'YYYY-MM-DD HH24:MI:SS'), TO_DATE('2025-08-07 17:55:00', 'YYYY-MM-DD HH24:MI:SS'));</v>
      </c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</row>
    <row r="830">
      <c r="A830" s="25" t="s">
        <v>206</v>
      </c>
      <c r="B830" s="26">
        <v>157.0</v>
      </c>
      <c r="C830" s="27">
        <v>45876.0</v>
      </c>
      <c r="D830" s="28">
        <v>45876.40138888889</v>
      </c>
      <c r="E830" s="28">
        <v>45876.745833333334</v>
      </c>
      <c r="F830" s="21" t="s">
        <v>189</v>
      </c>
      <c r="G830" s="23"/>
      <c r="H830" s="23" t="str">
        <f t="shared" si="1"/>
        <v>INSERT INTO tblDayAttendanceLog VALUES (seqDayAttendanceLog.nextval, 157, TO_DATE('2025-08-07', 'YYYY-MM-DD'), TO_DATE('2025-08-07 09:38:00', 'YYYY-MM-DD HH24:MI:SS'), TO_DATE('2025-08-07 17:54:00', 'YYYY-MM-DD HH24:MI:SS'));</v>
      </c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</row>
    <row r="831">
      <c r="A831" s="25" t="s">
        <v>206</v>
      </c>
      <c r="B831" s="26">
        <v>158.0</v>
      </c>
      <c r="C831" s="27">
        <v>45876.0</v>
      </c>
      <c r="D831" s="28">
        <v>45876.36875</v>
      </c>
      <c r="E831" s="28">
        <v>45876.74722222222</v>
      </c>
      <c r="F831" s="21" t="s">
        <v>184</v>
      </c>
      <c r="G831" s="23"/>
      <c r="H831" s="23" t="str">
        <f t="shared" si="1"/>
        <v>INSERT INTO tblDayAttendanceLog VALUES (seqDayAttendanceLog.nextval, 158, TO_DATE('2025-08-07', 'YYYY-MM-DD'), TO_DATE('2025-08-07 08:51:00', 'YYYY-MM-DD HH24:MI:SS'), TO_DATE('2025-08-07 17:56:00', 'YYYY-MM-DD HH24:MI:SS'));</v>
      </c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</row>
    <row r="832">
      <c r="A832" s="25" t="s">
        <v>206</v>
      </c>
      <c r="B832" s="26">
        <v>159.0</v>
      </c>
      <c r="C832" s="27">
        <v>45876.0</v>
      </c>
      <c r="D832" s="28">
        <v>45876.34583333333</v>
      </c>
      <c r="E832" s="28">
        <v>45876.74722222222</v>
      </c>
      <c r="F832" s="21" t="s">
        <v>184</v>
      </c>
      <c r="G832" s="23"/>
      <c r="H832" s="23" t="str">
        <f t="shared" si="1"/>
        <v>INSERT INTO tblDayAttendanceLog VALUES (seqDayAttendanceLog.nextval, 159, TO_DATE('2025-08-07', 'YYYY-MM-DD'), TO_DATE('2025-08-07 08:18:00', 'YYYY-MM-DD HH24:MI:SS'), TO_DATE('2025-08-07 17:56:00', 'YYYY-MM-DD HH24:MI:SS'));</v>
      </c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</row>
    <row r="833">
      <c r="A833" s="25" t="s">
        <v>206</v>
      </c>
      <c r="B833" s="26">
        <v>160.0</v>
      </c>
      <c r="C833" s="27">
        <v>45876.0</v>
      </c>
      <c r="D833" s="28">
        <v>45876.402083333334</v>
      </c>
      <c r="E833" s="28">
        <v>45876.743055555555</v>
      </c>
      <c r="F833" s="21" t="s">
        <v>189</v>
      </c>
      <c r="G833" s="23"/>
      <c r="H833" s="23" t="str">
        <f t="shared" si="1"/>
        <v>INSERT INTO tblDayAttendanceLog VALUES (seqDayAttendanceLog.nextval, 160, TO_DATE('2025-08-07', 'YYYY-MM-DD'), TO_DATE('2025-08-07 09:39:00', 'YYYY-MM-DD HH24:MI:SS'), TO_DATE('2025-08-07 17:50:00', 'YYYY-MM-DD HH24:MI:SS'));</v>
      </c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</row>
    <row r="834">
      <c r="A834" s="25" t="s">
        <v>206</v>
      </c>
      <c r="B834" s="26">
        <v>161.0</v>
      </c>
      <c r="C834" s="27">
        <v>45876.0</v>
      </c>
      <c r="D834" s="28">
        <v>45876.40902777778</v>
      </c>
      <c r="E834" s="28">
        <v>45876.745833333334</v>
      </c>
      <c r="F834" s="21" t="s">
        <v>189</v>
      </c>
      <c r="G834" s="23"/>
      <c r="H834" s="23" t="str">
        <f t="shared" si="1"/>
        <v>INSERT INTO tblDayAttendanceLog VALUES (seqDayAttendanceLog.nextval, 161, TO_DATE('2025-08-07', 'YYYY-MM-DD'), TO_DATE('2025-08-07 09:49:00', 'YYYY-MM-DD HH24:MI:SS'), TO_DATE('2025-08-07 17:54:00', 'YYYY-MM-DD HH24:MI:SS'));</v>
      </c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</row>
    <row r="835">
      <c r="A835" s="25" t="s">
        <v>206</v>
      </c>
      <c r="B835" s="26">
        <v>162.0</v>
      </c>
      <c r="C835" s="27">
        <v>45876.0</v>
      </c>
      <c r="D835" s="28">
        <v>45876.347916666666</v>
      </c>
      <c r="E835" s="28">
        <v>45876.74930555555</v>
      </c>
      <c r="F835" s="21" t="s">
        <v>184</v>
      </c>
      <c r="G835" s="23"/>
      <c r="H835" s="23" t="str">
        <f t="shared" si="1"/>
        <v>INSERT INTO tblDayAttendanceLog VALUES (seqDayAttendanceLog.nextval, 162, TO_DATE('2025-08-07', 'YYYY-MM-DD'), TO_DATE('2025-08-07 08:21:00', 'YYYY-MM-DD HH24:MI:SS'), TO_DATE('2025-08-07 17:59:00', 'YYYY-MM-DD HH24:MI:SS'));</v>
      </c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</row>
    <row r="836">
      <c r="A836" s="25" t="s">
        <v>206</v>
      </c>
      <c r="B836" s="26">
        <v>163.0</v>
      </c>
      <c r="C836" s="27">
        <v>45876.0</v>
      </c>
      <c r="D836" s="28">
        <v>45876.36875</v>
      </c>
      <c r="E836" s="28">
        <v>45876.748611111114</v>
      </c>
      <c r="F836" s="21" t="s">
        <v>184</v>
      </c>
      <c r="G836" s="23"/>
      <c r="H836" s="23" t="str">
        <f t="shared" si="1"/>
        <v>INSERT INTO tblDayAttendanceLog VALUES (seqDayAttendanceLog.nextval, 163, TO_DATE('2025-08-07', 'YYYY-MM-DD'), TO_DATE('2025-08-07 08:51:00', 'YYYY-MM-DD HH24:MI:SS'), TO_DATE('2025-08-07 17:58:00', 'YYYY-MM-DD HH24:MI:SS'));</v>
      </c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</row>
    <row r="837">
      <c r="A837" s="25" t="s">
        <v>206</v>
      </c>
      <c r="B837" s="26">
        <v>164.0</v>
      </c>
      <c r="C837" s="27">
        <v>45876.0</v>
      </c>
      <c r="D837" s="28">
        <v>45876.4125</v>
      </c>
      <c r="E837" s="28">
        <v>45876.74791666667</v>
      </c>
      <c r="F837" s="21" t="s">
        <v>189</v>
      </c>
      <c r="G837" s="23"/>
      <c r="H837" s="23" t="str">
        <f t="shared" si="1"/>
        <v>INSERT INTO tblDayAttendanceLog VALUES (seqDayAttendanceLog.nextval, 164, TO_DATE('2025-08-07', 'YYYY-MM-DD'), TO_DATE('2025-08-07 09:54:00', 'YYYY-MM-DD HH24:MI:SS'), TO_DATE('2025-08-07 17:57:00', 'YYYY-MM-DD HH24:MI:SS'));</v>
      </c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</row>
    <row r="838">
      <c r="A838" s="25" t="s">
        <v>206</v>
      </c>
      <c r="B838" s="26">
        <v>165.0</v>
      </c>
      <c r="C838" s="27">
        <v>45876.0</v>
      </c>
      <c r="D838" s="28">
        <v>45876.34444444445</v>
      </c>
      <c r="E838" s="28">
        <v>45876.745833333334</v>
      </c>
      <c r="F838" s="21" t="s">
        <v>184</v>
      </c>
      <c r="G838" s="23"/>
      <c r="H838" s="23" t="str">
        <f t="shared" si="1"/>
        <v>INSERT INTO tblDayAttendanceLog VALUES (seqDayAttendanceLog.nextval, 165, TO_DATE('2025-08-07', 'YYYY-MM-DD'), TO_DATE('2025-08-07 08:16:00', 'YYYY-MM-DD HH24:MI:SS'), TO_DATE('2025-08-07 17:54:00', 'YYYY-MM-DD HH24:MI:SS'));</v>
      </c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</row>
    <row r="839">
      <c r="A839" s="25" t="s">
        <v>206</v>
      </c>
      <c r="B839" s="26">
        <v>166.0</v>
      </c>
      <c r="C839" s="27">
        <v>45876.0</v>
      </c>
      <c r="D839" s="28">
        <v>45876.368055555555</v>
      </c>
      <c r="E839" s="28">
        <v>45876.74930555555</v>
      </c>
      <c r="F839" s="21" t="s">
        <v>184</v>
      </c>
      <c r="G839" s="23"/>
      <c r="H839" s="23" t="str">
        <f t="shared" si="1"/>
        <v>INSERT INTO tblDayAttendanceLog VALUES (seqDayAttendanceLog.nextval, 166, TO_DATE('2025-08-07', 'YYYY-MM-DD'), TO_DATE('2025-08-07 08:50:00', 'YYYY-MM-DD HH24:MI:SS'), TO_DATE('2025-08-07 17:59:00', 'YYYY-MM-DD HH24:MI:SS'));</v>
      </c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</row>
    <row r="840">
      <c r="A840" s="25" t="s">
        <v>206</v>
      </c>
      <c r="B840" s="26">
        <v>167.0</v>
      </c>
      <c r="C840" s="27">
        <v>45876.0</v>
      </c>
      <c r="D840" s="29"/>
      <c r="E840" s="29"/>
      <c r="F840" s="21" t="s">
        <v>186</v>
      </c>
      <c r="G840" s="23"/>
      <c r="H840" s="23" t="str">
        <f t="shared" si="1"/>
        <v>INSERT INTO tblDayAttendanceLog VALUES (seqDayAttendanceLog.nextval, 167, TO_DATE('2025-08-07', 'YYYY-MM-DD'), NULL, NULL);</v>
      </c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</row>
    <row r="841">
      <c r="A841" s="25" t="s">
        <v>206</v>
      </c>
      <c r="B841" s="26">
        <v>168.0</v>
      </c>
      <c r="C841" s="27">
        <v>45876.0</v>
      </c>
      <c r="D841" s="28">
        <v>45876.333333333336</v>
      </c>
      <c r="E841" s="28">
        <v>45876.74444444444</v>
      </c>
      <c r="F841" s="21" t="s">
        <v>184</v>
      </c>
      <c r="G841" s="23"/>
      <c r="H841" s="23" t="str">
        <f t="shared" si="1"/>
        <v>INSERT INTO tblDayAttendanceLog VALUES (seqDayAttendanceLog.nextval, 168, TO_DATE('2025-08-07', 'YYYY-MM-DD'), TO_DATE('2025-08-07 08:00:00', 'YYYY-MM-DD HH24:MI:SS'), TO_DATE('2025-08-07 17:52:00', 'YYYY-MM-DD HH24:MI:SS'));</v>
      </c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</row>
    <row r="842">
      <c r="A842" s="25" t="s">
        <v>206</v>
      </c>
      <c r="B842" s="20"/>
      <c r="C842" s="30"/>
      <c r="D842" s="30"/>
      <c r="E842" s="30"/>
      <c r="F842" s="22"/>
      <c r="G842" s="23"/>
      <c r="H842" s="23" t="str">
        <f t="shared" ref="H842:H846" si="2"> "INSERT INTO tblDayAttendanceLog VALUES (" &amp; 
  A842 &amp; ", " &amp; 
  B842 &amp; ", " &amp; 
  "TO_DATE('" &amp; TEXT(C842, "yyyy-mm-dd") &amp; "', 'YYYY-MM-DD'), " &amp; 
  IF(D842="", "NULL", "TO_DATE('" &amp; TEXT(D842, "hh:mm:ss") &amp; "', 'HH24:MI:SS')") &amp; ", " &amp; 
  IF(E842="", "NULL", "TO_DATE('" &amp; TEXT(E842, "hh:mm:ss") &amp; "', 'HH24:MI:SS')") &amp; 
  ");"</f>
        <v>INSERT INTO tblDayAttendanceLog VALUES (seqDayAttendanceLog.nextval, , TO_DATE('1899-12-30', 'YYYY-MM-DD'), NULL, NULL);</v>
      </c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</row>
    <row r="843">
      <c r="A843" s="25" t="s">
        <v>206</v>
      </c>
      <c r="B843" s="20"/>
      <c r="C843" s="30"/>
      <c r="D843" s="30"/>
      <c r="E843" s="30"/>
      <c r="F843" s="22"/>
      <c r="G843" s="23"/>
      <c r="H843" s="23" t="str">
        <f t="shared" si="2"/>
        <v>INSERT INTO tblDayAttendanceLog VALUES (seqDayAttendanceLog.nextval, , TO_DATE('1899-12-30', 'YYYY-MM-DD'), NULL, NULL);</v>
      </c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</row>
    <row r="844">
      <c r="A844" s="25" t="s">
        <v>206</v>
      </c>
      <c r="B844" s="20"/>
      <c r="C844" s="30"/>
      <c r="D844" s="30"/>
      <c r="E844" s="30"/>
      <c r="F844" s="22"/>
      <c r="G844" s="23"/>
      <c r="H844" s="23" t="str">
        <f t="shared" si="2"/>
        <v>INSERT INTO tblDayAttendanceLog VALUES (seqDayAttendanceLog.nextval, , TO_DATE('1899-12-30', 'YYYY-MM-DD'), NULL, NULL);</v>
      </c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</row>
    <row r="845">
      <c r="A845" s="25" t="s">
        <v>206</v>
      </c>
      <c r="B845" s="20"/>
      <c r="C845" s="30"/>
      <c r="D845" s="30"/>
      <c r="E845" s="30"/>
      <c r="F845" s="22"/>
      <c r="G845" s="23"/>
      <c r="H845" s="23" t="str">
        <f t="shared" si="2"/>
        <v>INSERT INTO tblDayAttendanceLog VALUES (seqDayAttendanceLog.nextval, , TO_DATE('1899-12-30', 'YYYY-MM-DD'), NULL, NULL);</v>
      </c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</row>
    <row r="846">
      <c r="A846" s="25" t="s">
        <v>206</v>
      </c>
      <c r="B846" s="20"/>
      <c r="C846" s="30"/>
      <c r="D846" s="30"/>
      <c r="E846" s="30"/>
      <c r="F846" s="22"/>
      <c r="G846" s="23"/>
      <c r="H846" s="23" t="str">
        <f t="shared" si="2"/>
        <v>INSERT INTO tblDayAttendanceLog VALUES (seqDayAttendanceLog.nextval, , TO_DATE('1899-12-30', 'YYYY-MM-DD'), NULL, NULL);</v>
      </c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</row>
    <row r="847">
      <c r="A847" s="25" t="s">
        <v>206</v>
      </c>
      <c r="B847" s="20"/>
      <c r="C847" s="30"/>
      <c r="D847" s="30"/>
      <c r="E847" s="30"/>
      <c r="F847" s="22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</row>
    <row r="848">
      <c r="A848" s="25" t="s">
        <v>206</v>
      </c>
      <c r="B848" s="20"/>
      <c r="C848" s="30"/>
      <c r="D848" s="30"/>
      <c r="E848" s="30"/>
      <c r="F848" s="22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</row>
    <row r="849">
      <c r="A849" s="25" t="s">
        <v>206</v>
      </c>
      <c r="B849" s="20"/>
      <c r="C849" s="30"/>
      <c r="D849" s="30"/>
      <c r="E849" s="30"/>
      <c r="F849" s="22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</row>
    <row r="850">
      <c r="A850" s="25" t="s">
        <v>206</v>
      </c>
      <c r="B850" s="20"/>
      <c r="C850" s="30"/>
      <c r="D850" s="30"/>
      <c r="E850" s="30"/>
      <c r="F850" s="22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</row>
    <row r="851">
      <c r="A851" s="25" t="s">
        <v>206</v>
      </c>
      <c r="B851" s="20"/>
      <c r="C851" s="30"/>
      <c r="D851" s="30"/>
      <c r="E851" s="30"/>
      <c r="F851" s="22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</row>
    <row r="852">
      <c r="A852" s="20"/>
      <c r="B852" s="20"/>
      <c r="C852" s="30"/>
      <c r="D852" s="30"/>
      <c r="E852" s="30"/>
      <c r="F852" s="22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</row>
    <row r="853">
      <c r="A853" s="20"/>
      <c r="B853" s="20"/>
      <c r="C853" s="30"/>
      <c r="D853" s="30"/>
      <c r="E853" s="30"/>
      <c r="F853" s="22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</row>
    <row r="854">
      <c r="A854" s="20"/>
      <c r="B854" s="20"/>
      <c r="C854" s="30"/>
      <c r="D854" s="30"/>
      <c r="E854" s="30"/>
      <c r="F854" s="22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</row>
    <row r="855">
      <c r="A855" s="20"/>
      <c r="B855" s="20"/>
      <c r="C855" s="30"/>
      <c r="D855" s="30"/>
      <c r="E855" s="30"/>
      <c r="F855" s="22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</row>
    <row r="856">
      <c r="A856" s="20"/>
      <c r="B856" s="20"/>
      <c r="C856" s="30"/>
      <c r="D856" s="30"/>
      <c r="E856" s="30"/>
      <c r="F856" s="22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</row>
    <row r="857">
      <c r="A857" s="20"/>
      <c r="B857" s="20"/>
      <c r="C857" s="30"/>
      <c r="D857" s="30"/>
      <c r="E857" s="30"/>
      <c r="F857" s="22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</row>
    <row r="858">
      <c r="A858" s="20"/>
      <c r="B858" s="20"/>
      <c r="C858" s="30"/>
      <c r="D858" s="30"/>
      <c r="E858" s="30"/>
      <c r="F858" s="22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</row>
    <row r="859">
      <c r="A859" s="20"/>
      <c r="B859" s="20"/>
      <c r="C859" s="30"/>
      <c r="D859" s="30"/>
      <c r="E859" s="30"/>
      <c r="F859" s="22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</row>
    <row r="860">
      <c r="A860" s="20"/>
      <c r="B860" s="20"/>
      <c r="C860" s="30"/>
      <c r="D860" s="30"/>
      <c r="E860" s="30"/>
      <c r="F860" s="22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</row>
    <row r="861">
      <c r="A861" s="20"/>
      <c r="B861" s="20"/>
      <c r="C861" s="30"/>
      <c r="D861" s="30"/>
      <c r="E861" s="30"/>
      <c r="F861" s="22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</row>
    <row r="862">
      <c r="A862" s="20"/>
      <c r="B862" s="20"/>
      <c r="C862" s="30"/>
      <c r="D862" s="30"/>
      <c r="E862" s="30"/>
      <c r="F862" s="22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</row>
    <row r="863">
      <c r="A863" s="20"/>
      <c r="B863" s="20"/>
      <c r="C863" s="30"/>
      <c r="D863" s="30"/>
      <c r="E863" s="30"/>
      <c r="F863" s="22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</row>
    <row r="864">
      <c r="A864" s="20"/>
      <c r="B864" s="20"/>
      <c r="C864" s="30"/>
      <c r="D864" s="30"/>
      <c r="E864" s="30"/>
      <c r="F864" s="22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</row>
    <row r="865">
      <c r="A865" s="20"/>
      <c r="B865" s="20"/>
      <c r="C865" s="30"/>
      <c r="D865" s="30"/>
      <c r="E865" s="30"/>
      <c r="F865" s="22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</row>
    <row r="866">
      <c r="A866" s="20"/>
      <c r="B866" s="20"/>
      <c r="C866" s="30"/>
      <c r="D866" s="30"/>
      <c r="E866" s="30"/>
      <c r="F866" s="22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</row>
    <row r="867">
      <c r="A867" s="20"/>
      <c r="B867" s="20"/>
      <c r="C867" s="30"/>
      <c r="D867" s="30"/>
      <c r="E867" s="30"/>
      <c r="F867" s="22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</row>
    <row r="868">
      <c r="A868" s="20"/>
      <c r="B868" s="20"/>
      <c r="C868" s="30"/>
      <c r="D868" s="30"/>
      <c r="E868" s="30"/>
      <c r="F868" s="22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</row>
    <row r="869">
      <c r="A869" s="20"/>
      <c r="B869" s="20"/>
      <c r="C869" s="30"/>
      <c r="D869" s="30"/>
      <c r="E869" s="30"/>
      <c r="F869" s="22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</row>
    <row r="870">
      <c r="A870" s="20"/>
      <c r="B870" s="20"/>
      <c r="C870" s="30"/>
      <c r="D870" s="30"/>
      <c r="E870" s="30"/>
      <c r="F870" s="22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</row>
    <row r="871">
      <c r="A871" s="20"/>
      <c r="B871" s="20"/>
      <c r="C871" s="30"/>
      <c r="D871" s="30"/>
      <c r="E871" s="30"/>
      <c r="F871" s="22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</row>
    <row r="872">
      <c r="A872" s="20"/>
      <c r="B872" s="20"/>
      <c r="C872" s="30"/>
      <c r="D872" s="30"/>
      <c r="E872" s="30"/>
      <c r="F872" s="22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</row>
    <row r="873">
      <c r="A873" s="20"/>
      <c r="B873" s="20"/>
      <c r="C873" s="30"/>
      <c r="D873" s="30"/>
      <c r="E873" s="30"/>
      <c r="F873" s="22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</row>
    <row r="874">
      <c r="A874" s="20"/>
      <c r="B874" s="20"/>
      <c r="C874" s="30"/>
      <c r="D874" s="30"/>
      <c r="E874" s="30"/>
      <c r="F874" s="22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</row>
    <row r="875">
      <c r="A875" s="20"/>
      <c r="B875" s="20"/>
      <c r="C875" s="30"/>
      <c r="D875" s="30"/>
      <c r="E875" s="30"/>
      <c r="F875" s="22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</row>
    <row r="876">
      <c r="A876" s="20"/>
      <c r="B876" s="20"/>
      <c r="C876" s="30"/>
      <c r="D876" s="30"/>
      <c r="E876" s="30"/>
      <c r="F876" s="22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</row>
    <row r="877">
      <c r="A877" s="20"/>
      <c r="B877" s="20"/>
      <c r="C877" s="30"/>
      <c r="D877" s="30"/>
      <c r="E877" s="30"/>
      <c r="F877" s="22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</row>
    <row r="878">
      <c r="A878" s="20"/>
      <c r="B878" s="20"/>
      <c r="C878" s="30"/>
      <c r="D878" s="30"/>
      <c r="E878" s="30"/>
      <c r="F878" s="22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</row>
    <row r="879">
      <c r="A879" s="20"/>
      <c r="B879" s="20"/>
      <c r="C879" s="30"/>
      <c r="D879" s="30"/>
      <c r="E879" s="30"/>
      <c r="F879" s="22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</row>
    <row r="880">
      <c r="A880" s="20"/>
      <c r="B880" s="20"/>
      <c r="C880" s="30"/>
      <c r="D880" s="30"/>
      <c r="E880" s="30"/>
      <c r="F880" s="22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</row>
    <row r="881">
      <c r="A881" s="20"/>
      <c r="B881" s="20"/>
      <c r="C881" s="30"/>
      <c r="D881" s="30"/>
      <c r="E881" s="30"/>
      <c r="F881" s="22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</row>
    <row r="882">
      <c r="A882" s="20"/>
      <c r="B882" s="20"/>
      <c r="C882" s="30"/>
      <c r="D882" s="30"/>
      <c r="E882" s="30"/>
      <c r="F882" s="22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</row>
    <row r="883">
      <c r="A883" s="20"/>
      <c r="B883" s="20"/>
      <c r="C883" s="30"/>
      <c r="D883" s="30"/>
      <c r="E883" s="30"/>
      <c r="F883" s="22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</row>
    <row r="884">
      <c r="A884" s="20"/>
      <c r="B884" s="20"/>
      <c r="C884" s="30"/>
      <c r="D884" s="30"/>
      <c r="E884" s="30"/>
      <c r="F884" s="22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</row>
    <row r="885">
      <c r="A885" s="20"/>
      <c r="B885" s="20"/>
      <c r="C885" s="30"/>
      <c r="D885" s="30"/>
      <c r="E885" s="30"/>
      <c r="F885" s="22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</row>
    <row r="886">
      <c r="A886" s="20"/>
      <c r="B886" s="20"/>
      <c r="C886" s="30"/>
      <c r="D886" s="30"/>
      <c r="E886" s="30"/>
      <c r="F886" s="22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</row>
    <row r="887">
      <c r="A887" s="20"/>
      <c r="B887" s="20"/>
      <c r="C887" s="30"/>
      <c r="D887" s="30"/>
      <c r="E887" s="30"/>
      <c r="F887" s="22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</row>
    <row r="888">
      <c r="A888" s="20"/>
      <c r="B888" s="20"/>
      <c r="C888" s="30"/>
      <c r="D888" s="30"/>
      <c r="E888" s="30"/>
      <c r="F888" s="22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</row>
    <row r="889">
      <c r="A889" s="20"/>
      <c r="B889" s="20"/>
      <c r="C889" s="30"/>
      <c r="D889" s="30"/>
      <c r="E889" s="30"/>
      <c r="F889" s="22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</row>
    <row r="890">
      <c r="A890" s="20"/>
      <c r="B890" s="20"/>
      <c r="C890" s="30"/>
      <c r="D890" s="30"/>
      <c r="E890" s="30"/>
      <c r="F890" s="22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</row>
    <row r="891">
      <c r="A891" s="20"/>
      <c r="B891" s="20"/>
      <c r="C891" s="30"/>
      <c r="D891" s="30"/>
      <c r="E891" s="30"/>
      <c r="F891" s="22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</row>
    <row r="892">
      <c r="A892" s="20"/>
      <c r="B892" s="20"/>
      <c r="C892" s="30"/>
      <c r="D892" s="30"/>
      <c r="E892" s="30"/>
      <c r="F892" s="22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</row>
    <row r="893">
      <c r="A893" s="20"/>
      <c r="B893" s="20"/>
      <c r="C893" s="30"/>
      <c r="D893" s="30"/>
      <c r="E893" s="30"/>
      <c r="F893" s="22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</row>
    <row r="894">
      <c r="A894" s="20"/>
      <c r="B894" s="20"/>
      <c r="C894" s="30"/>
      <c r="D894" s="30"/>
      <c r="E894" s="30"/>
      <c r="F894" s="22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</row>
    <row r="895">
      <c r="A895" s="20"/>
      <c r="B895" s="20"/>
      <c r="C895" s="30"/>
      <c r="D895" s="30"/>
      <c r="E895" s="30"/>
      <c r="F895" s="22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</row>
    <row r="896">
      <c r="A896" s="20"/>
      <c r="B896" s="20"/>
      <c r="C896" s="30"/>
      <c r="D896" s="30"/>
      <c r="E896" s="30"/>
      <c r="F896" s="22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</row>
    <row r="897">
      <c r="A897" s="20"/>
      <c r="B897" s="20"/>
      <c r="C897" s="30"/>
      <c r="D897" s="30"/>
      <c r="E897" s="30"/>
      <c r="F897" s="22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</row>
    <row r="898">
      <c r="A898" s="20"/>
      <c r="B898" s="20"/>
      <c r="C898" s="30"/>
      <c r="D898" s="30"/>
      <c r="E898" s="30"/>
      <c r="F898" s="22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</row>
    <row r="899">
      <c r="A899" s="20"/>
      <c r="B899" s="20"/>
      <c r="C899" s="30"/>
      <c r="D899" s="30"/>
      <c r="E899" s="30"/>
      <c r="F899" s="22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</row>
    <row r="900">
      <c r="A900" s="20"/>
      <c r="B900" s="20"/>
      <c r="C900" s="30"/>
      <c r="D900" s="30"/>
      <c r="E900" s="30"/>
      <c r="F900" s="22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</row>
    <row r="901">
      <c r="A901" s="20"/>
      <c r="B901" s="20"/>
      <c r="C901" s="30"/>
      <c r="D901" s="30"/>
      <c r="E901" s="30"/>
      <c r="F901" s="22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</row>
    <row r="902">
      <c r="A902" s="20"/>
      <c r="B902" s="20"/>
      <c r="C902" s="30"/>
      <c r="D902" s="30"/>
      <c r="E902" s="30"/>
      <c r="F902" s="22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</row>
    <row r="903">
      <c r="A903" s="20"/>
      <c r="B903" s="20"/>
      <c r="C903" s="30"/>
      <c r="D903" s="30"/>
      <c r="E903" s="30"/>
      <c r="F903" s="22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</row>
    <row r="904">
      <c r="A904" s="20"/>
      <c r="B904" s="20"/>
      <c r="C904" s="30"/>
      <c r="D904" s="30"/>
      <c r="E904" s="30"/>
      <c r="F904" s="22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</row>
    <row r="905">
      <c r="A905" s="20"/>
      <c r="B905" s="20"/>
      <c r="C905" s="30"/>
      <c r="D905" s="30"/>
      <c r="E905" s="30"/>
      <c r="F905" s="22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</row>
    <row r="906">
      <c r="A906" s="20"/>
      <c r="B906" s="20"/>
      <c r="C906" s="30"/>
      <c r="D906" s="30"/>
      <c r="E906" s="30"/>
      <c r="F906" s="22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</row>
    <row r="907">
      <c r="A907" s="20"/>
      <c r="B907" s="20"/>
      <c r="C907" s="30"/>
      <c r="D907" s="30"/>
      <c r="E907" s="30"/>
      <c r="F907" s="22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</row>
    <row r="908">
      <c r="A908" s="20"/>
      <c r="B908" s="20"/>
      <c r="C908" s="30"/>
      <c r="D908" s="30"/>
      <c r="E908" s="30"/>
      <c r="F908" s="22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</row>
    <row r="909">
      <c r="A909" s="20"/>
      <c r="B909" s="20"/>
      <c r="C909" s="30"/>
      <c r="D909" s="30"/>
      <c r="E909" s="30"/>
      <c r="F909" s="22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</row>
    <row r="910">
      <c r="A910" s="20"/>
      <c r="B910" s="20"/>
      <c r="C910" s="30"/>
      <c r="D910" s="30"/>
      <c r="E910" s="30"/>
      <c r="F910" s="22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</row>
    <row r="911">
      <c r="A911" s="20"/>
      <c r="B911" s="20"/>
      <c r="C911" s="30"/>
      <c r="D911" s="30"/>
      <c r="E911" s="30"/>
      <c r="F911" s="22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</row>
    <row r="912">
      <c r="A912" s="20"/>
      <c r="B912" s="20"/>
      <c r="C912" s="30"/>
      <c r="D912" s="30"/>
      <c r="E912" s="30"/>
      <c r="F912" s="22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</row>
    <row r="913">
      <c r="A913" s="20"/>
      <c r="B913" s="20"/>
      <c r="C913" s="30"/>
      <c r="D913" s="30"/>
      <c r="E913" s="30"/>
      <c r="F913" s="22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</row>
    <row r="914">
      <c r="A914" s="20"/>
      <c r="B914" s="20"/>
      <c r="C914" s="30"/>
      <c r="D914" s="30"/>
      <c r="E914" s="30"/>
      <c r="F914" s="22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</row>
    <row r="915">
      <c r="A915" s="20"/>
      <c r="B915" s="20"/>
      <c r="C915" s="30"/>
      <c r="D915" s="30"/>
      <c r="E915" s="30"/>
      <c r="F915" s="22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</row>
    <row r="916">
      <c r="A916" s="20"/>
      <c r="B916" s="20"/>
      <c r="C916" s="30"/>
      <c r="D916" s="30"/>
      <c r="E916" s="30"/>
      <c r="F916" s="22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</row>
    <row r="917">
      <c r="A917" s="20"/>
      <c r="B917" s="20"/>
      <c r="C917" s="30"/>
      <c r="D917" s="30"/>
      <c r="E917" s="30"/>
      <c r="F917" s="22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</row>
    <row r="918">
      <c r="A918" s="20"/>
      <c r="B918" s="20"/>
      <c r="C918" s="30"/>
      <c r="D918" s="30"/>
      <c r="E918" s="30"/>
      <c r="F918" s="22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</row>
    <row r="919">
      <c r="A919" s="20"/>
      <c r="B919" s="20"/>
      <c r="C919" s="30"/>
      <c r="D919" s="30"/>
      <c r="E919" s="30"/>
      <c r="F919" s="22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</row>
    <row r="920">
      <c r="A920" s="20"/>
      <c r="B920" s="20"/>
      <c r="C920" s="30"/>
      <c r="D920" s="30"/>
      <c r="E920" s="30"/>
      <c r="F920" s="22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</row>
    <row r="921">
      <c r="A921" s="20"/>
      <c r="B921" s="20"/>
      <c r="C921" s="30"/>
      <c r="D921" s="30"/>
      <c r="E921" s="30"/>
      <c r="F921" s="22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</row>
    <row r="922">
      <c r="A922" s="20"/>
      <c r="B922" s="20"/>
      <c r="C922" s="30"/>
      <c r="D922" s="30"/>
      <c r="E922" s="30"/>
      <c r="F922" s="22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</row>
    <row r="923">
      <c r="A923" s="20"/>
      <c r="B923" s="20"/>
      <c r="C923" s="30"/>
      <c r="D923" s="30"/>
      <c r="E923" s="30"/>
      <c r="F923" s="22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</row>
    <row r="924">
      <c r="A924" s="20"/>
      <c r="B924" s="20"/>
      <c r="C924" s="30"/>
      <c r="D924" s="30"/>
      <c r="E924" s="30"/>
      <c r="F924" s="22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</row>
    <row r="925">
      <c r="A925" s="20"/>
      <c r="B925" s="20"/>
      <c r="C925" s="30"/>
      <c r="D925" s="30"/>
      <c r="E925" s="30"/>
      <c r="F925" s="22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</row>
    <row r="926">
      <c r="A926" s="20"/>
      <c r="B926" s="20"/>
      <c r="C926" s="30"/>
      <c r="D926" s="30"/>
      <c r="E926" s="30"/>
      <c r="F926" s="22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</row>
    <row r="927">
      <c r="A927" s="20"/>
      <c r="B927" s="20"/>
      <c r="C927" s="30"/>
      <c r="D927" s="30"/>
      <c r="E927" s="30"/>
      <c r="F927" s="22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</row>
    <row r="928">
      <c r="A928" s="20"/>
      <c r="B928" s="20"/>
      <c r="C928" s="30"/>
      <c r="D928" s="30"/>
      <c r="E928" s="30"/>
      <c r="F928" s="22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</row>
    <row r="929">
      <c r="A929" s="20"/>
      <c r="B929" s="20"/>
      <c r="C929" s="30"/>
      <c r="D929" s="30"/>
      <c r="E929" s="30"/>
      <c r="F929" s="22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</row>
    <row r="930">
      <c r="A930" s="20"/>
      <c r="B930" s="20"/>
      <c r="C930" s="30"/>
      <c r="D930" s="30"/>
      <c r="E930" s="30"/>
      <c r="F930" s="22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</row>
    <row r="931">
      <c r="A931" s="20"/>
      <c r="B931" s="20"/>
      <c r="C931" s="30"/>
      <c r="D931" s="30"/>
      <c r="E931" s="30"/>
      <c r="F931" s="22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</row>
    <row r="932">
      <c r="A932" s="20"/>
      <c r="B932" s="20"/>
      <c r="C932" s="30"/>
      <c r="D932" s="30"/>
      <c r="E932" s="30"/>
      <c r="F932" s="22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</row>
    <row r="933">
      <c r="A933" s="20"/>
      <c r="B933" s="20"/>
      <c r="C933" s="30"/>
      <c r="D933" s="30"/>
      <c r="E933" s="30"/>
      <c r="F933" s="22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</row>
    <row r="934">
      <c r="A934" s="20"/>
      <c r="B934" s="20"/>
      <c r="C934" s="30"/>
      <c r="D934" s="30"/>
      <c r="E934" s="30"/>
      <c r="F934" s="22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</row>
    <row r="935">
      <c r="A935" s="20"/>
      <c r="B935" s="20"/>
      <c r="C935" s="30"/>
      <c r="D935" s="30"/>
      <c r="E935" s="30"/>
      <c r="F935" s="22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</row>
    <row r="936">
      <c r="A936" s="20"/>
      <c r="B936" s="20"/>
      <c r="C936" s="30"/>
      <c r="D936" s="30"/>
      <c r="E936" s="30"/>
      <c r="F936" s="22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</row>
    <row r="937">
      <c r="A937" s="20"/>
      <c r="B937" s="20"/>
      <c r="C937" s="30"/>
      <c r="D937" s="30"/>
      <c r="E937" s="30"/>
      <c r="F937" s="22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</row>
    <row r="938">
      <c r="A938" s="20"/>
      <c r="B938" s="20"/>
      <c r="C938" s="30"/>
      <c r="D938" s="30"/>
      <c r="E938" s="30"/>
      <c r="F938" s="22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</row>
    <row r="939">
      <c r="A939" s="20"/>
      <c r="B939" s="20"/>
      <c r="C939" s="30"/>
      <c r="D939" s="30"/>
      <c r="E939" s="30"/>
      <c r="F939" s="22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</row>
    <row r="940">
      <c r="A940" s="20"/>
      <c r="B940" s="20"/>
      <c r="C940" s="30"/>
      <c r="D940" s="30"/>
      <c r="E940" s="30"/>
      <c r="F940" s="22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</row>
    <row r="941">
      <c r="A941" s="20"/>
      <c r="B941" s="20"/>
      <c r="C941" s="30"/>
      <c r="D941" s="30"/>
      <c r="E941" s="30"/>
      <c r="F941" s="22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</row>
    <row r="942">
      <c r="A942" s="20"/>
      <c r="B942" s="20"/>
      <c r="C942" s="30"/>
      <c r="D942" s="30"/>
      <c r="E942" s="30"/>
      <c r="F942" s="22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</row>
    <row r="943">
      <c r="A943" s="20"/>
      <c r="B943" s="20"/>
      <c r="C943" s="30"/>
      <c r="D943" s="30"/>
      <c r="E943" s="30"/>
      <c r="F943" s="22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</row>
    <row r="944">
      <c r="A944" s="20"/>
      <c r="B944" s="20"/>
      <c r="C944" s="30"/>
      <c r="D944" s="30"/>
      <c r="E944" s="30"/>
      <c r="F944" s="22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</row>
    <row r="945">
      <c r="A945" s="20"/>
      <c r="B945" s="20"/>
      <c r="C945" s="30"/>
      <c r="D945" s="30"/>
      <c r="E945" s="30"/>
      <c r="F945" s="22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</row>
    <row r="946">
      <c r="A946" s="20"/>
      <c r="B946" s="20"/>
      <c r="C946" s="30"/>
      <c r="D946" s="30"/>
      <c r="E946" s="30"/>
      <c r="F946" s="22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</row>
    <row r="947">
      <c r="A947" s="20"/>
      <c r="B947" s="20"/>
      <c r="C947" s="30"/>
      <c r="D947" s="30"/>
      <c r="E947" s="30"/>
      <c r="F947" s="22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</row>
    <row r="948">
      <c r="A948" s="20"/>
      <c r="B948" s="20"/>
      <c r="C948" s="30"/>
      <c r="D948" s="30"/>
      <c r="E948" s="30"/>
      <c r="F948" s="22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</row>
    <row r="949">
      <c r="A949" s="20"/>
      <c r="B949" s="20"/>
      <c r="C949" s="30"/>
      <c r="D949" s="30"/>
      <c r="E949" s="30"/>
      <c r="F949" s="22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</row>
    <row r="950">
      <c r="A950" s="20"/>
      <c r="B950" s="20"/>
      <c r="C950" s="30"/>
      <c r="D950" s="30"/>
      <c r="E950" s="30"/>
      <c r="F950" s="22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</row>
    <row r="951">
      <c r="A951" s="20"/>
      <c r="B951" s="20"/>
      <c r="C951" s="30"/>
      <c r="D951" s="30"/>
      <c r="E951" s="30"/>
      <c r="F951" s="22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</row>
    <row r="952">
      <c r="A952" s="20"/>
      <c r="B952" s="20"/>
      <c r="C952" s="30"/>
      <c r="D952" s="30"/>
      <c r="E952" s="30"/>
      <c r="F952" s="22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</row>
    <row r="953">
      <c r="A953" s="20"/>
      <c r="B953" s="20"/>
      <c r="C953" s="30"/>
      <c r="D953" s="30"/>
      <c r="E953" s="30"/>
      <c r="F953" s="22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</row>
    <row r="954">
      <c r="A954" s="20"/>
      <c r="B954" s="20"/>
      <c r="C954" s="30"/>
      <c r="D954" s="30"/>
      <c r="E954" s="30"/>
      <c r="F954" s="22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</row>
    <row r="955">
      <c r="A955" s="20"/>
      <c r="B955" s="20"/>
      <c r="C955" s="30"/>
      <c r="D955" s="30"/>
      <c r="E955" s="30"/>
      <c r="F955" s="22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</row>
    <row r="956">
      <c r="A956" s="20"/>
      <c r="B956" s="20"/>
      <c r="C956" s="30"/>
      <c r="D956" s="30"/>
      <c r="E956" s="30"/>
      <c r="F956" s="22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</row>
    <row r="957">
      <c r="A957" s="20"/>
      <c r="B957" s="20"/>
      <c r="C957" s="30"/>
      <c r="D957" s="30"/>
      <c r="E957" s="30"/>
      <c r="F957" s="22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</row>
    <row r="958">
      <c r="A958" s="20"/>
      <c r="B958" s="20"/>
      <c r="C958" s="30"/>
      <c r="D958" s="30"/>
      <c r="E958" s="30"/>
      <c r="F958" s="22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</row>
    <row r="959">
      <c r="A959" s="20"/>
      <c r="B959" s="20"/>
      <c r="C959" s="30"/>
      <c r="D959" s="30"/>
      <c r="E959" s="30"/>
      <c r="F959" s="22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</row>
    <row r="960">
      <c r="A960" s="20"/>
      <c r="B960" s="20"/>
      <c r="C960" s="30"/>
      <c r="D960" s="30"/>
      <c r="E960" s="30"/>
      <c r="F960" s="22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</row>
    <row r="961">
      <c r="A961" s="20"/>
      <c r="B961" s="20"/>
      <c r="C961" s="30"/>
      <c r="D961" s="30"/>
      <c r="E961" s="30"/>
      <c r="F961" s="22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</row>
    <row r="962">
      <c r="A962" s="20"/>
      <c r="B962" s="20"/>
      <c r="C962" s="30"/>
      <c r="D962" s="30"/>
      <c r="E962" s="30"/>
      <c r="F962" s="22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</row>
    <row r="963">
      <c r="A963" s="20"/>
      <c r="B963" s="20"/>
      <c r="C963" s="30"/>
      <c r="D963" s="30"/>
      <c r="E963" s="30"/>
      <c r="F963" s="22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</row>
    <row r="964">
      <c r="A964" s="20"/>
      <c r="B964" s="20"/>
      <c r="C964" s="30"/>
      <c r="D964" s="30"/>
      <c r="E964" s="30"/>
      <c r="F964" s="22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</row>
    <row r="965">
      <c r="A965" s="20"/>
      <c r="B965" s="20"/>
      <c r="C965" s="30"/>
      <c r="D965" s="30"/>
      <c r="E965" s="30"/>
      <c r="F965" s="22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</row>
    <row r="966">
      <c r="A966" s="20"/>
      <c r="B966" s="20"/>
      <c r="C966" s="30"/>
      <c r="D966" s="30"/>
      <c r="E966" s="30"/>
      <c r="F966" s="22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</row>
    <row r="967">
      <c r="A967" s="20"/>
      <c r="B967" s="20"/>
      <c r="C967" s="30"/>
      <c r="D967" s="30"/>
      <c r="E967" s="30"/>
      <c r="F967" s="22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</row>
    <row r="968">
      <c r="A968" s="20"/>
      <c r="B968" s="20"/>
      <c r="C968" s="30"/>
      <c r="D968" s="30"/>
      <c r="E968" s="30"/>
      <c r="F968" s="22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</row>
    <row r="969">
      <c r="A969" s="20"/>
      <c r="B969" s="20"/>
      <c r="C969" s="30"/>
      <c r="D969" s="30"/>
      <c r="E969" s="30"/>
      <c r="F969" s="22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</row>
    <row r="970">
      <c r="A970" s="20"/>
      <c r="B970" s="20"/>
      <c r="C970" s="30"/>
      <c r="D970" s="30"/>
      <c r="E970" s="30"/>
      <c r="F970" s="22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</row>
    <row r="971">
      <c r="A971" s="20"/>
      <c r="B971" s="20"/>
      <c r="C971" s="30"/>
      <c r="D971" s="30"/>
      <c r="E971" s="30"/>
      <c r="F971" s="22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</row>
    <row r="972">
      <c r="A972" s="20"/>
      <c r="B972" s="20"/>
      <c r="C972" s="30"/>
      <c r="D972" s="30"/>
      <c r="E972" s="30"/>
      <c r="F972" s="22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</row>
    <row r="973">
      <c r="A973" s="20"/>
      <c r="B973" s="20"/>
      <c r="C973" s="30"/>
      <c r="D973" s="30"/>
      <c r="E973" s="30"/>
      <c r="F973" s="22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</row>
    <row r="974">
      <c r="A974" s="20"/>
      <c r="B974" s="20"/>
      <c r="C974" s="30"/>
      <c r="D974" s="30"/>
      <c r="E974" s="30"/>
      <c r="F974" s="22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</row>
    <row r="975">
      <c r="A975" s="20"/>
      <c r="B975" s="20"/>
      <c r="C975" s="30"/>
      <c r="D975" s="30"/>
      <c r="E975" s="30"/>
      <c r="F975" s="22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</row>
    <row r="976">
      <c r="A976" s="20"/>
      <c r="B976" s="20"/>
      <c r="C976" s="30"/>
      <c r="D976" s="30"/>
      <c r="E976" s="30"/>
      <c r="F976" s="22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</row>
    <row r="977">
      <c r="A977" s="20"/>
      <c r="B977" s="20"/>
      <c r="C977" s="30"/>
      <c r="D977" s="30"/>
      <c r="E977" s="30"/>
      <c r="F977" s="22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</row>
    <row r="978">
      <c r="A978" s="20"/>
      <c r="B978" s="20"/>
      <c r="C978" s="30"/>
      <c r="D978" s="30"/>
      <c r="E978" s="30"/>
      <c r="F978" s="22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</row>
    <row r="979">
      <c r="A979" s="20"/>
      <c r="B979" s="20"/>
      <c r="C979" s="30"/>
      <c r="D979" s="30"/>
      <c r="E979" s="30"/>
      <c r="F979" s="22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</row>
    <row r="980">
      <c r="A980" s="20"/>
      <c r="B980" s="20"/>
      <c r="C980" s="30"/>
      <c r="D980" s="30"/>
      <c r="E980" s="30"/>
      <c r="F980" s="22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</row>
    <row r="981">
      <c r="A981" s="20"/>
      <c r="B981" s="20"/>
      <c r="C981" s="30"/>
      <c r="D981" s="30"/>
      <c r="E981" s="30"/>
      <c r="F981" s="22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</row>
    <row r="982">
      <c r="A982" s="20"/>
      <c r="B982" s="20"/>
      <c r="C982" s="30"/>
      <c r="D982" s="30"/>
      <c r="E982" s="30"/>
      <c r="F982" s="22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</row>
    <row r="983">
      <c r="A983" s="20"/>
      <c r="B983" s="20"/>
      <c r="C983" s="30"/>
      <c r="D983" s="30"/>
      <c r="E983" s="30"/>
      <c r="F983" s="22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</row>
    <row r="984">
      <c r="A984" s="20"/>
      <c r="B984" s="20"/>
      <c r="C984" s="30"/>
      <c r="D984" s="30"/>
      <c r="E984" s="30"/>
      <c r="F984" s="22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</row>
    <row r="985">
      <c r="A985" s="20"/>
      <c r="B985" s="20"/>
      <c r="C985" s="30"/>
      <c r="D985" s="30"/>
      <c r="E985" s="30"/>
      <c r="F985" s="22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</row>
    <row r="986">
      <c r="A986" s="20"/>
      <c r="B986" s="20"/>
      <c r="C986" s="30"/>
      <c r="D986" s="30"/>
      <c r="E986" s="30"/>
      <c r="F986" s="22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</row>
    <row r="987">
      <c r="A987" s="20"/>
      <c r="B987" s="20"/>
      <c r="C987" s="30"/>
      <c r="D987" s="30"/>
      <c r="E987" s="30"/>
      <c r="F987" s="22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</row>
    <row r="988">
      <c r="A988" s="20"/>
      <c r="B988" s="20"/>
      <c r="C988" s="30"/>
      <c r="D988" s="30"/>
      <c r="E988" s="30"/>
      <c r="F988" s="22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</row>
    <row r="989">
      <c r="A989" s="20"/>
      <c r="B989" s="20"/>
      <c r="C989" s="30"/>
      <c r="D989" s="30"/>
      <c r="E989" s="30"/>
      <c r="F989" s="22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</row>
    <row r="990">
      <c r="A990" s="20"/>
      <c r="B990" s="20"/>
      <c r="C990" s="30"/>
      <c r="D990" s="30"/>
      <c r="E990" s="30"/>
      <c r="F990" s="22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</row>
    <row r="991">
      <c r="A991" s="20"/>
      <c r="B991" s="20"/>
      <c r="C991" s="30"/>
      <c r="D991" s="30"/>
      <c r="E991" s="30"/>
      <c r="F991" s="22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</row>
    <row r="992">
      <c r="A992" s="20"/>
      <c r="B992" s="20"/>
      <c r="C992" s="30"/>
      <c r="D992" s="30"/>
      <c r="E992" s="30"/>
      <c r="F992" s="22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</row>
    <row r="993">
      <c r="A993" s="20"/>
      <c r="B993" s="20"/>
      <c r="C993" s="30"/>
      <c r="D993" s="30"/>
      <c r="E993" s="30"/>
      <c r="F993" s="22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</row>
    <row r="994">
      <c r="A994" s="20"/>
      <c r="B994" s="20"/>
      <c r="C994" s="30"/>
      <c r="D994" s="30"/>
      <c r="E994" s="30"/>
      <c r="F994" s="22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</row>
    <row r="995">
      <c r="A995" s="20"/>
      <c r="B995" s="20"/>
      <c r="C995" s="30"/>
      <c r="D995" s="30"/>
      <c r="E995" s="30"/>
      <c r="F995" s="22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</row>
    <row r="996">
      <c r="A996" s="20"/>
      <c r="B996" s="20"/>
      <c r="C996" s="30"/>
      <c r="D996" s="30"/>
      <c r="E996" s="30"/>
      <c r="F996" s="22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</row>
    <row r="997">
      <c r="A997" s="20"/>
      <c r="B997" s="20"/>
      <c r="C997" s="30"/>
      <c r="D997" s="30"/>
      <c r="E997" s="30"/>
      <c r="F997" s="22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</row>
    <row r="998">
      <c r="A998" s="20"/>
      <c r="B998" s="20"/>
      <c r="C998" s="30"/>
      <c r="D998" s="30"/>
      <c r="E998" s="30"/>
      <c r="F998" s="22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</row>
    <row r="999">
      <c r="A999" s="20"/>
      <c r="B999" s="20"/>
      <c r="C999" s="30"/>
      <c r="D999" s="30"/>
      <c r="E999" s="30"/>
      <c r="F999" s="22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</row>
    <row r="1000">
      <c r="A1000" s="20"/>
      <c r="B1000" s="20"/>
      <c r="C1000" s="30"/>
      <c r="D1000" s="30"/>
      <c r="E1000" s="30"/>
      <c r="F1000" s="22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</row>
    <row r="1001">
      <c r="A1001" s="20"/>
      <c r="B1001" s="20"/>
      <c r="C1001" s="30"/>
      <c r="D1001" s="30"/>
      <c r="E1001" s="30"/>
      <c r="F1001" s="22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</row>
    <row r="1002">
      <c r="A1002" s="20"/>
      <c r="B1002" s="20"/>
      <c r="C1002" s="30"/>
      <c r="D1002" s="30"/>
      <c r="E1002" s="30"/>
      <c r="F1002" s="22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</row>
    <row r="1003">
      <c r="A1003" s="20"/>
      <c r="B1003" s="20"/>
      <c r="C1003" s="30"/>
      <c r="D1003" s="30"/>
      <c r="E1003" s="30"/>
      <c r="F1003" s="22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</row>
    <row r="1004">
      <c r="A1004" s="20"/>
      <c r="B1004" s="20"/>
      <c r="C1004" s="30"/>
      <c r="D1004" s="30"/>
      <c r="E1004" s="30"/>
      <c r="F1004" s="22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</row>
    <row r="1005">
      <c r="A1005" s="20"/>
      <c r="B1005" s="20"/>
      <c r="C1005" s="30"/>
      <c r="D1005" s="30"/>
      <c r="E1005" s="30"/>
      <c r="F1005" s="22"/>
      <c r="G1005" s="23"/>
      <c r="H1005" s="23"/>
      <c r="I1005" s="23"/>
      <c r="J1005" s="23"/>
      <c r="K1005" s="23"/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</row>
    <row r="1006">
      <c r="A1006" s="20"/>
      <c r="B1006" s="20"/>
      <c r="C1006" s="30"/>
      <c r="D1006" s="30"/>
      <c r="E1006" s="30"/>
      <c r="F1006" s="22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</row>
    <row r="1007">
      <c r="A1007" s="20"/>
      <c r="B1007" s="20"/>
      <c r="C1007" s="30"/>
      <c r="D1007" s="30"/>
      <c r="E1007" s="30"/>
      <c r="F1007" s="22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</row>
    <row r="1008">
      <c r="A1008" s="20"/>
      <c r="B1008" s="20"/>
      <c r="C1008" s="30"/>
      <c r="D1008" s="30"/>
      <c r="E1008" s="30"/>
      <c r="F1008" s="22"/>
      <c r="G1008" s="23"/>
      <c r="H1008" s="23"/>
      <c r="I1008" s="23"/>
      <c r="J1008" s="23"/>
      <c r="K1008" s="23"/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</row>
    <row r="1009">
      <c r="A1009" s="20"/>
      <c r="B1009" s="20"/>
      <c r="C1009" s="30"/>
      <c r="D1009" s="30"/>
      <c r="E1009" s="30"/>
      <c r="F1009" s="22"/>
      <c r="G1009" s="23"/>
      <c r="H1009" s="23"/>
      <c r="I1009" s="23"/>
      <c r="J1009" s="23"/>
      <c r="K1009" s="23"/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</row>
    <row r="1010">
      <c r="A1010" s="20"/>
      <c r="B1010" s="20"/>
      <c r="C1010" s="30"/>
      <c r="D1010" s="30"/>
      <c r="E1010" s="30"/>
      <c r="F1010" s="22"/>
      <c r="G1010" s="23"/>
      <c r="H1010" s="23"/>
      <c r="I1010" s="23"/>
      <c r="J1010" s="23"/>
      <c r="K1010" s="23"/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</row>
    <row r="1011">
      <c r="A1011" s="20"/>
      <c r="B1011" s="20"/>
      <c r="C1011" s="30"/>
      <c r="D1011" s="30"/>
      <c r="E1011" s="30"/>
      <c r="F1011" s="22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</row>
    <row r="1012">
      <c r="A1012" s="20"/>
      <c r="B1012" s="20"/>
      <c r="C1012" s="30"/>
      <c r="D1012" s="30"/>
      <c r="E1012" s="30"/>
      <c r="F1012" s="22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</row>
    <row r="1013">
      <c r="A1013" s="20"/>
      <c r="B1013" s="20"/>
      <c r="C1013" s="30"/>
      <c r="D1013" s="30"/>
      <c r="E1013" s="30"/>
      <c r="F1013" s="22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</row>
    <row r="1014">
      <c r="A1014" s="20"/>
      <c r="B1014" s="20"/>
      <c r="C1014" s="30"/>
      <c r="D1014" s="30"/>
      <c r="E1014" s="30"/>
      <c r="F1014" s="22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</row>
    <row r="1015">
      <c r="A1015" s="20"/>
      <c r="B1015" s="20"/>
      <c r="C1015" s="30"/>
      <c r="D1015" s="30"/>
      <c r="E1015" s="30"/>
      <c r="F1015" s="22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</row>
    <row r="1016">
      <c r="A1016" s="20"/>
      <c r="B1016" s="20"/>
      <c r="C1016" s="30"/>
      <c r="D1016" s="30"/>
      <c r="E1016" s="30"/>
      <c r="F1016" s="22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</row>
    <row r="1017">
      <c r="A1017" s="20"/>
      <c r="B1017" s="20"/>
      <c r="C1017" s="30"/>
      <c r="D1017" s="30"/>
      <c r="E1017" s="30"/>
      <c r="F1017" s="22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</row>
    <row r="1018">
      <c r="A1018" s="20"/>
      <c r="B1018" s="20"/>
      <c r="C1018" s="30"/>
      <c r="D1018" s="30"/>
      <c r="E1018" s="30"/>
      <c r="F1018" s="22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</row>
    <row r="1019">
      <c r="A1019" s="20"/>
      <c r="B1019" s="20"/>
      <c r="C1019" s="30"/>
      <c r="D1019" s="30"/>
      <c r="E1019" s="30"/>
      <c r="F1019" s="22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</row>
    <row r="1020">
      <c r="A1020" s="20"/>
      <c r="B1020" s="20"/>
      <c r="C1020" s="30"/>
      <c r="D1020" s="30"/>
      <c r="E1020" s="30"/>
      <c r="F1020" s="22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</row>
    <row r="1021">
      <c r="A1021" s="20"/>
      <c r="B1021" s="20"/>
      <c r="C1021" s="30"/>
      <c r="D1021" s="30"/>
      <c r="E1021" s="30"/>
      <c r="F1021" s="22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</row>
    <row r="1022">
      <c r="A1022" s="20"/>
      <c r="B1022" s="20"/>
      <c r="C1022" s="30"/>
      <c r="D1022" s="30"/>
      <c r="E1022" s="30"/>
      <c r="F1022" s="22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</row>
    <row r="1023">
      <c r="A1023" s="20"/>
      <c r="B1023" s="20"/>
      <c r="C1023" s="30"/>
      <c r="D1023" s="30"/>
      <c r="E1023" s="30"/>
      <c r="F1023" s="22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</row>
    <row r="1024">
      <c r="A1024" s="20"/>
      <c r="B1024" s="20"/>
      <c r="C1024" s="30"/>
      <c r="D1024" s="30"/>
      <c r="E1024" s="30"/>
      <c r="F1024" s="22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</row>
    <row r="1025">
      <c r="A1025" s="20"/>
      <c r="B1025" s="20"/>
      <c r="C1025" s="30"/>
      <c r="D1025" s="30"/>
      <c r="E1025" s="30"/>
      <c r="F1025" s="22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</row>
    <row r="1026">
      <c r="A1026" s="20"/>
      <c r="B1026" s="20"/>
      <c r="C1026" s="30"/>
      <c r="D1026" s="30"/>
      <c r="E1026" s="30"/>
      <c r="F1026" s="22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</row>
    <row r="1027">
      <c r="A1027" s="20"/>
      <c r="B1027" s="20"/>
      <c r="C1027" s="30"/>
      <c r="D1027" s="30"/>
      <c r="E1027" s="30"/>
      <c r="F1027" s="22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</row>
    <row r="1028">
      <c r="A1028" s="20"/>
      <c r="B1028" s="20"/>
      <c r="C1028" s="30"/>
      <c r="D1028" s="30"/>
      <c r="E1028" s="30"/>
      <c r="F1028" s="22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</row>
    <row r="1029">
      <c r="A1029" s="20"/>
      <c r="B1029" s="20"/>
      <c r="C1029" s="30"/>
      <c r="D1029" s="30"/>
      <c r="E1029" s="30"/>
      <c r="F1029" s="22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</row>
    <row r="1030">
      <c r="A1030" s="20"/>
      <c r="B1030" s="20"/>
      <c r="C1030" s="30"/>
      <c r="D1030" s="30"/>
      <c r="E1030" s="30"/>
      <c r="F1030" s="22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</row>
    <row r="1031">
      <c r="A1031" s="20"/>
      <c r="B1031" s="20"/>
      <c r="C1031" s="30"/>
      <c r="D1031" s="30"/>
      <c r="E1031" s="30"/>
      <c r="F1031" s="22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</row>
    <row r="1032">
      <c r="A1032" s="20"/>
      <c r="B1032" s="20"/>
      <c r="C1032" s="30"/>
      <c r="D1032" s="30"/>
      <c r="E1032" s="30"/>
      <c r="F1032" s="22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</row>
    <row r="1033">
      <c r="A1033" s="20"/>
      <c r="B1033" s="20"/>
      <c r="C1033" s="30"/>
      <c r="D1033" s="30"/>
      <c r="E1033" s="30"/>
      <c r="F1033" s="22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</row>
    <row r="1034">
      <c r="A1034" s="20"/>
      <c r="B1034" s="20"/>
      <c r="C1034" s="30"/>
      <c r="D1034" s="30"/>
      <c r="E1034" s="30"/>
      <c r="F1034" s="22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</row>
    <row r="1035">
      <c r="A1035" s="20"/>
      <c r="B1035" s="20"/>
      <c r="C1035" s="30"/>
      <c r="D1035" s="30"/>
      <c r="E1035" s="30"/>
      <c r="F1035" s="22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</row>
    <row r="1036">
      <c r="A1036" s="20"/>
      <c r="B1036" s="20"/>
      <c r="C1036" s="30"/>
      <c r="D1036" s="30"/>
      <c r="E1036" s="30"/>
      <c r="F1036" s="22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</row>
    <row r="1037">
      <c r="A1037" s="20"/>
      <c r="B1037" s="20"/>
      <c r="C1037" s="30"/>
      <c r="D1037" s="30"/>
      <c r="E1037" s="30"/>
      <c r="F1037" s="22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</row>
    <row r="1038">
      <c r="A1038" s="20"/>
      <c r="B1038" s="20"/>
      <c r="C1038" s="30"/>
      <c r="D1038" s="30"/>
      <c r="E1038" s="30"/>
      <c r="F1038" s="22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</row>
    <row r="1039">
      <c r="A1039" s="20"/>
      <c r="B1039" s="20"/>
      <c r="C1039" s="30"/>
      <c r="D1039" s="30"/>
      <c r="E1039" s="30"/>
      <c r="F1039" s="22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</row>
    <row r="1040">
      <c r="A1040" s="20"/>
      <c r="B1040" s="20"/>
      <c r="C1040" s="30"/>
      <c r="D1040" s="30"/>
      <c r="E1040" s="30"/>
      <c r="F1040" s="22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</row>
    <row r="1041">
      <c r="A1041" s="20"/>
      <c r="B1041" s="20"/>
      <c r="C1041" s="30"/>
      <c r="D1041" s="30"/>
      <c r="E1041" s="30"/>
      <c r="F1041" s="22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</row>
    <row r="1042">
      <c r="A1042" s="20"/>
      <c r="B1042" s="20"/>
      <c r="C1042" s="30"/>
      <c r="D1042" s="30"/>
      <c r="E1042" s="30"/>
      <c r="F1042" s="22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</row>
    <row r="1043">
      <c r="A1043" s="20"/>
      <c r="B1043" s="20"/>
      <c r="C1043" s="30"/>
      <c r="D1043" s="30"/>
      <c r="E1043" s="30"/>
      <c r="F1043" s="22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</row>
    <row r="1044">
      <c r="A1044" s="20"/>
      <c r="B1044" s="20"/>
      <c r="C1044" s="30"/>
      <c r="D1044" s="30"/>
      <c r="E1044" s="30"/>
      <c r="F1044" s="22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</row>
    <row r="1045">
      <c r="A1045" s="20"/>
      <c r="B1045" s="20"/>
      <c r="C1045" s="30"/>
      <c r="D1045" s="30"/>
      <c r="E1045" s="30"/>
      <c r="F1045" s="22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</row>
    <row r="1046">
      <c r="A1046" s="20"/>
      <c r="B1046" s="20"/>
      <c r="C1046" s="30"/>
      <c r="D1046" s="30"/>
      <c r="E1046" s="30"/>
      <c r="F1046" s="22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</row>
    <row r="1047">
      <c r="A1047" s="20"/>
      <c r="B1047" s="20"/>
      <c r="C1047" s="30"/>
      <c r="D1047" s="30"/>
      <c r="E1047" s="30"/>
      <c r="F1047" s="22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</row>
    <row r="1048">
      <c r="A1048" s="20"/>
      <c r="B1048" s="20"/>
      <c r="C1048" s="30"/>
      <c r="D1048" s="30"/>
      <c r="E1048" s="30"/>
      <c r="F1048" s="22"/>
      <c r="G1048" s="23"/>
      <c r="H1048" s="23"/>
      <c r="I1048" s="23"/>
      <c r="J1048" s="23"/>
      <c r="K1048" s="23"/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</row>
    <row r="1049">
      <c r="A1049" s="20"/>
      <c r="B1049" s="20"/>
      <c r="C1049" s="30"/>
      <c r="D1049" s="30"/>
      <c r="E1049" s="30"/>
      <c r="F1049" s="22"/>
      <c r="G1049" s="23"/>
      <c r="H1049" s="23"/>
      <c r="I1049" s="23"/>
      <c r="J1049" s="23"/>
      <c r="K1049" s="23"/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</row>
    <row r="1050">
      <c r="A1050" s="20"/>
      <c r="B1050" s="20"/>
      <c r="C1050" s="30"/>
      <c r="D1050" s="30"/>
      <c r="E1050" s="30"/>
      <c r="F1050" s="22"/>
      <c r="G1050" s="23"/>
      <c r="H1050" s="23"/>
      <c r="I1050" s="23"/>
      <c r="J1050" s="23"/>
      <c r="K1050" s="23"/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</row>
    <row r="1051">
      <c r="A1051" s="20"/>
      <c r="B1051" s="20"/>
      <c r="C1051" s="30"/>
      <c r="D1051" s="30"/>
      <c r="E1051" s="30"/>
      <c r="F1051" s="22"/>
      <c r="G1051" s="23"/>
      <c r="H1051" s="23"/>
      <c r="I1051" s="23"/>
      <c r="J1051" s="23"/>
      <c r="K1051" s="23"/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</row>
    <row r="1052">
      <c r="A1052" s="20"/>
      <c r="B1052" s="20"/>
      <c r="C1052" s="30"/>
      <c r="D1052" s="30"/>
      <c r="E1052" s="30"/>
      <c r="F1052" s="22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</row>
    <row r="1053">
      <c r="A1053" s="20"/>
      <c r="B1053" s="20"/>
      <c r="C1053" s="30"/>
      <c r="D1053" s="30"/>
      <c r="E1053" s="30"/>
      <c r="F1053" s="22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</row>
    <row r="1054">
      <c r="A1054" s="20"/>
      <c r="B1054" s="20"/>
      <c r="C1054" s="30"/>
      <c r="D1054" s="30"/>
      <c r="E1054" s="30"/>
      <c r="F1054" s="22"/>
      <c r="G1054" s="23"/>
      <c r="H1054" s="23"/>
      <c r="I1054" s="23"/>
      <c r="J1054" s="23"/>
      <c r="K1054" s="23"/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</row>
    <row r="1055">
      <c r="A1055" s="20"/>
      <c r="B1055" s="20"/>
      <c r="C1055" s="30"/>
      <c r="D1055" s="30"/>
      <c r="E1055" s="30"/>
      <c r="F1055" s="22"/>
      <c r="G1055" s="23"/>
      <c r="H1055" s="23"/>
      <c r="I1055" s="23"/>
      <c r="J1055" s="23"/>
      <c r="K1055" s="23"/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</row>
    <row r="1056">
      <c r="A1056" s="20"/>
      <c r="B1056" s="20"/>
      <c r="C1056" s="30"/>
      <c r="D1056" s="30"/>
      <c r="E1056" s="30"/>
      <c r="F1056" s="22"/>
      <c r="G1056" s="23"/>
      <c r="H1056" s="23"/>
      <c r="I1056" s="23"/>
      <c r="J1056" s="23"/>
      <c r="K1056" s="23"/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</row>
    <row r="1057">
      <c r="A1057" s="20"/>
      <c r="B1057" s="20"/>
      <c r="C1057" s="30"/>
      <c r="D1057" s="30"/>
      <c r="E1057" s="30"/>
      <c r="F1057" s="22"/>
      <c r="G1057" s="23"/>
      <c r="H1057" s="23"/>
      <c r="I1057" s="23"/>
      <c r="J1057" s="23"/>
      <c r="K1057" s="23"/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</row>
    <row r="1058">
      <c r="A1058" s="20"/>
      <c r="B1058" s="20"/>
      <c r="C1058" s="30"/>
      <c r="D1058" s="30"/>
      <c r="E1058" s="30"/>
      <c r="F1058" s="22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</row>
    <row r="1059">
      <c r="A1059" s="20"/>
      <c r="B1059" s="20"/>
      <c r="C1059" s="30"/>
      <c r="D1059" s="30"/>
      <c r="E1059" s="30"/>
      <c r="F1059" s="22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</row>
    <row r="1060">
      <c r="A1060" s="20"/>
      <c r="B1060" s="20"/>
      <c r="C1060" s="30"/>
      <c r="D1060" s="30"/>
      <c r="E1060" s="30"/>
      <c r="F1060" s="22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</row>
    <row r="1061">
      <c r="A1061" s="20"/>
      <c r="B1061" s="20"/>
      <c r="C1061" s="30"/>
      <c r="D1061" s="30"/>
      <c r="E1061" s="30"/>
      <c r="F1061" s="22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</row>
    <row r="1062">
      <c r="A1062" s="20"/>
      <c r="B1062" s="20"/>
      <c r="C1062" s="30"/>
      <c r="D1062" s="30"/>
      <c r="E1062" s="30"/>
      <c r="F1062" s="22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</row>
    <row r="1063">
      <c r="A1063" s="20"/>
      <c r="B1063" s="20"/>
      <c r="C1063" s="30"/>
      <c r="D1063" s="30"/>
      <c r="E1063" s="30"/>
      <c r="F1063" s="22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</row>
    <row r="1064">
      <c r="A1064" s="20"/>
      <c r="B1064" s="20"/>
      <c r="C1064" s="30"/>
      <c r="D1064" s="30"/>
      <c r="E1064" s="30"/>
      <c r="F1064" s="22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</row>
    <row r="1065">
      <c r="A1065" s="20"/>
      <c r="B1065" s="20"/>
      <c r="C1065" s="30"/>
      <c r="D1065" s="30"/>
      <c r="E1065" s="30"/>
      <c r="F1065" s="22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</row>
    <row r="1066">
      <c r="A1066" s="20"/>
      <c r="B1066" s="20"/>
      <c r="C1066" s="30"/>
      <c r="D1066" s="30"/>
      <c r="E1066" s="30"/>
      <c r="F1066" s="22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</row>
    <row r="1067">
      <c r="A1067" s="20"/>
      <c r="B1067" s="20"/>
      <c r="C1067" s="30"/>
      <c r="D1067" s="30"/>
      <c r="E1067" s="30"/>
      <c r="F1067" s="22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</row>
    <row r="1068">
      <c r="A1068" s="20"/>
      <c r="B1068" s="20"/>
      <c r="C1068" s="30"/>
      <c r="D1068" s="30"/>
      <c r="E1068" s="30"/>
      <c r="F1068" s="22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</row>
    <row r="1069">
      <c r="A1069" s="20"/>
      <c r="B1069" s="20"/>
      <c r="C1069" s="30"/>
      <c r="D1069" s="30"/>
      <c r="E1069" s="30"/>
      <c r="F1069" s="22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</row>
    <row r="1070">
      <c r="A1070" s="20"/>
      <c r="B1070" s="20"/>
      <c r="C1070" s="30"/>
      <c r="D1070" s="30"/>
      <c r="E1070" s="30"/>
      <c r="F1070" s="22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</row>
    <row r="1071">
      <c r="A1071" s="20"/>
      <c r="B1071" s="20"/>
      <c r="C1071" s="30"/>
      <c r="D1071" s="30"/>
      <c r="E1071" s="30"/>
      <c r="F1071" s="22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</row>
    <row r="1072">
      <c r="A1072" s="20"/>
      <c r="B1072" s="20"/>
      <c r="C1072" s="30"/>
      <c r="D1072" s="30"/>
      <c r="E1072" s="30"/>
      <c r="F1072" s="22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</row>
    <row r="1073">
      <c r="A1073" s="20"/>
      <c r="B1073" s="20"/>
      <c r="C1073" s="30"/>
      <c r="D1073" s="30"/>
      <c r="E1073" s="30"/>
      <c r="F1073" s="22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</row>
    <row r="1074">
      <c r="A1074" s="20"/>
      <c r="B1074" s="20"/>
      <c r="C1074" s="30"/>
      <c r="D1074" s="30"/>
      <c r="E1074" s="30"/>
      <c r="F1074" s="22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</row>
    <row r="1075">
      <c r="A1075" s="20"/>
      <c r="B1075" s="20"/>
      <c r="C1075" s="30"/>
      <c r="D1075" s="30"/>
      <c r="E1075" s="30"/>
      <c r="F1075" s="22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</row>
    <row r="1076">
      <c r="A1076" s="20"/>
      <c r="B1076" s="20"/>
      <c r="C1076" s="30"/>
      <c r="D1076" s="30"/>
      <c r="E1076" s="30"/>
      <c r="F1076" s="22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</row>
    <row r="1077">
      <c r="A1077" s="20"/>
      <c r="B1077" s="20"/>
      <c r="C1077" s="30"/>
      <c r="D1077" s="30"/>
      <c r="E1077" s="30"/>
      <c r="F1077" s="22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</row>
    <row r="1078">
      <c r="A1078" s="20"/>
      <c r="B1078" s="20"/>
      <c r="C1078" s="30"/>
      <c r="D1078" s="30"/>
      <c r="E1078" s="30"/>
      <c r="F1078" s="22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</row>
    <row r="1079">
      <c r="A1079" s="20"/>
      <c r="B1079" s="20"/>
      <c r="C1079" s="30"/>
      <c r="D1079" s="30"/>
      <c r="E1079" s="30"/>
      <c r="F1079" s="22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</row>
    <row r="1080">
      <c r="A1080" s="20"/>
      <c r="B1080" s="20"/>
      <c r="C1080" s="30"/>
      <c r="D1080" s="30"/>
      <c r="E1080" s="30"/>
      <c r="F1080" s="22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</row>
    <row r="1081">
      <c r="A1081" s="20"/>
      <c r="B1081" s="20"/>
      <c r="C1081" s="30"/>
      <c r="D1081" s="30"/>
      <c r="E1081" s="30"/>
      <c r="F1081" s="22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</row>
    <row r="1082">
      <c r="A1082" s="20"/>
      <c r="B1082" s="20"/>
      <c r="C1082" s="30"/>
      <c r="D1082" s="30"/>
      <c r="E1082" s="30"/>
      <c r="F1082" s="22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</row>
    <row r="1083">
      <c r="A1083" s="20"/>
      <c r="B1083" s="20"/>
      <c r="C1083" s="30"/>
      <c r="D1083" s="30"/>
      <c r="E1083" s="30"/>
      <c r="F1083" s="22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</row>
    <row r="1084">
      <c r="A1084" s="20"/>
      <c r="B1084" s="20"/>
      <c r="C1084" s="30"/>
      <c r="D1084" s="30"/>
      <c r="E1084" s="30"/>
      <c r="F1084" s="22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</row>
    <row r="1085">
      <c r="A1085" s="20"/>
      <c r="B1085" s="20"/>
      <c r="C1085" s="30"/>
      <c r="D1085" s="30"/>
      <c r="E1085" s="30"/>
      <c r="F1085" s="22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</row>
    <row r="1086">
      <c r="A1086" s="20"/>
      <c r="B1086" s="20"/>
      <c r="C1086" s="30"/>
      <c r="D1086" s="30"/>
      <c r="E1086" s="30"/>
      <c r="F1086" s="22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</row>
    <row r="1087">
      <c r="A1087" s="20"/>
      <c r="B1087" s="20"/>
      <c r="C1087" s="30"/>
      <c r="D1087" s="30"/>
      <c r="E1087" s="30"/>
      <c r="F1087" s="22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</row>
    <row r="1088">
      <c r="A1088" s="20"/>
      <c r="B1088" s="20"/>
      <c r="C1088" s="30"/>
      <c r="D1088" s="30"/>
      <c r="E1088" s="30"/>
      <c r="F1088" s="22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</row>
    <row r="1089">
      <c r="A1089" s="20"/>
      <c r="B1089" s="20"/>
      <c r="C1089" s="30"/>
      <c r="D1089" s="30"/>
      <c r="E1089" s="30"/>
      <c r="F1089" s="22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</row>
    <row r="1090">
      <c r="A1090" s="20"/>
      <c r="B1090" s="20"/>
      <c r="C1090" s="30"/>
      <c r="D1090" s="30"/>
      <c r="E1090" s="30"/>
      <c r="F1090" s="22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</row>
    <row r="1091">
      <c r="A1091" s="20"/>
      <c r="B1091" s="20"/>
      <c r="C1091" s="30"/>
      <c r="D1091" s="30"/>
      <c r="E1091" s="30"/>
      <c r="F1091" s="22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</row>
    <row r="1092">
      <c r="A1092" s="20"/>
      <c r="B1092" s="20"/>
      <c r="C1092" s="30"/>
      <c r="D1092" s="30"/>
      <c r="E1092" s="30"/>
      <c r="F1092" s="22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</row>
    <row r="1093">
      <c r="A1093" s="20"/>
      <c r="B1093" s="20"/>
      <c r="C1093" s="30"/>
      <c r="D1093" s="30"/>
      <c r="E1093" s="30"/>
      <c r="F1093" s="22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</row>
    <row r="1094">
      <c r="A1094" s="20"/>
      <c r="B1094" s="20"/>
      <c r="C1094" s="30"/>
      <c r="D1094" s="30"/>
      <c r="E1094" s="30"/>
      <c r="F1094" s="22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</row>
    <row r="1095">
      <c r="A1095" s="20"/>
      <c r="B1095" s="20"/>
      <c r="C1095" s="30"/>
      <c r="D1095" s="30"/>
      <c r="E1095" s="30"/>
      <c r="F1095" s="22"/>
      <c r="G1095" s="23"/>
      <c r="H1095" s="23"/>
      <c r="I1095" s="23"/>
      <c r="J1095" s="23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</row>
    <row r="1096">
      <c r="A1096" s="20"/>
      <c r="B1096" s="20"/>
      <c r="C1096" s="30"/>
      <c r="D1096" s="30"/>
      <c r="E1096" s="30"/>
      <c r="F1096" s="22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</row>
    <row r="1097">
      <c r="A1097" s="20"/>
      <c r="B1097" s="20"/>
      <c r="C1097" s="30"/>
      <c r="D1097" s="30"/>
      <c r="E1097" s="30"/>
      <c r="F1097" s="22"/>
      <c r="G1097" s="23"/>
      <c r="H1097" s="23"/>
      <c r="I1097" s="23"/>
      <c r="J1097" s="23"/>
      <c r="K1097" s="23"/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</row>
    <row r="1098">
      <c r="A1098" s="20"/>
      <c r="B1098" s="20"/>
      <c r="C1098" s="30"/>
      <c r="D1098" s="30"/>
      <c r="E1098" s="30"/>
      <c r="F1098" s="22"/>
      <c r="G1098" s="23"/>
      <c r="H1098" s="23"/>
      <c r="I1098" s="23"/>
      <c r="J1098" s="23"/>
      <c r="K1098" s="23"/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</row>
    <row r="1099">
      <c r="A1099" s="20"/>
      <c r="B1099" s="20"/>
      <c r="C1099" s="30"/>
      <c r="D1099" s="30"/>
      <c r="E1099" s="30"/>
      <c r="F1099" s="22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</row>
    <row r="1100">
      <c r="A1100" s="20"/>
      <c r="B1100" s="20"/>
      <c r="C1100" s="30"/>
      <c r="D1100" s="30"/>
      <c r="E1100" s="30"/>
      <c r="F1100" s="22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</row>
    <row r="1101">
      <c r="A1101" s="20"/>
      <c r="B1101" s="20"/>
      <c r="C1101" s="30"/>
      <c r="D1101" s="30"/>
      <c r="E1101" s="30"/>
      <c r="F1101" s="22"/>
      <c r="G1101" s="23"/>
      <c r="H1101" s="23"/>
      <c r="I1101" s="23"/>
      <c r="J1101" s="23"/>
      <c r="K1101" s="23"/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</row>
    <row r="1102">
      <c r="A1102" s="20"/>
      <c r="B1102" s="20"/>
      <c r="C1102" s="30"/>
      <c r="D1102" s="30"/>
      <c r="E1102" s="30"/>
      <c r="F1102" s="22"/>
      <c r="G1102" s="23"/>
      <c r="H1102" s="23"/>
      <c r="I1102" s="23"/>
      <c r="J1102" s="23"/>
      <c r="K1102" s="23"/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</row>
    <row r="1103">
      <c r="A1103" s="20"/>
      <c r="B1103" s="20"/>
      <c r="C1103" s="30"/>
      <c r="D1103" s="30"/>
      <c r="E1103" s="30"/>
      <c r="F1103" s="22"/>
      <c r="G1103" s="23"/>
      <c r="H1103" s="23"/>
      <c r="I1103" s="23"/>
      <c r="J1103" s="23"/>
      <c r="K1103" s="23"/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</row>
    <row r="1104">
      <c r="A1104" s="20"/>
      <c r="B1104" s="20"/>
      <c r="C1104" s="30"/>
      <c r="D1104" s="30"/>
      <c r="E1104" s="30"/>
      <c r="F1104" s="22"/>
      <c r="G1104" s="23"/>
      <c r="H1104" s="23"/>
      <c r="I1104" s="23"/>
      <c r="J1104" s="23"/>
      <c r="K1104" s="23"/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</row>
    <row r="1105">
      <c r="A1105" s="20"/>
      <c r="B1105" s="20"/>
      <c r="C1105" s="30"/>
      <c r="D1105" s="30"/>
      <c r="E1105" s="30"/>
      <c r="F1105" s="22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</row>
    <row r="1106">
      <c r="A1106" s="20"/>
      <c r="B1106" s="20"/>
      <c r="C1106" s="30"/>
      <c r="D1106" s="30"/>
      <c r="E1106" s="30"/>
      <c r="F1106" s="22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</row>
    <row r="1107">
      <c r="A1107" s="20"/>
      <c r="B1107" s="20"/>
      <c r="C1107" s="30"/>
      <c r="D1107" s="30"/>
      <c r="E1107" s="30"/>
      <c r="F1107" s="22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</row>
    <row r="1108">
      <c r="A1108" s="20"/>
      <c r="B1108" s="20"/>
      <c r="C1108" s="30"/>
      <c r="D1108" s="30"/>
      <c r="E1108" s="30"/>
      <c r="F1108" s="22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</row>
    <row r="1109">
      <c r="A1109" s="20"/>
      <c r="B1109" s="20"/>
      <c r="C1109" s="30"/>
      <c r="D1109" s="30"/>
      <c r="E1109" s="30"/>
      <c r="F1109" s="22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</row>
    <row r="1110">
      <c r="A1110" s="20"/>
      <c r="B1110" s="20"/>
      <c r="C1110" s="30"/>
      <c r="D1110" s="30"/>
      <c r="E1110" s="30"/>
      <c r="F1110" s="22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</row>
    <row r="1111">
      <c r="A1111" s="20"/>
      <c r="B1111" s="20"/>
      <c r="C1111" s="30"/>
      <c r="D1111" s="30"/>
      <c r="E1111" s="30"/>
      <c r="F1111" s="22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</row>
    <row r="1112">
      <c r="A1112" s="20"/>
      <c r="B1112" s="20"/>
      <c r="C1112" s="30"/>
      <c r="D1112" s="30"/>
      <c r="E1112" s="30"/>
      <c r="F1112" s="22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</row>
    <row r="1113">
      <c r="A1113" s="20"/>
      <c r="B1113" s="20"/>
      <c r="C1113" s="30"/>
      <c r="D1113" s="30"/>
      <c r="E1113" s="30"/>
      <c r="F1113" s="22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</row>
    <row r="1114">
      <c r="A1114" s="20"/>
      <c r="B1114" s="20"/>
      <c r="C1114" s="30"/>
      <c r="D1114" s="30"/>
      <c r="E1114" s="30"/>
      <c r="F1114" s="22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</row>
    <row r="1115">
      <c r="A1115" s="20"/>
      <c r="B1115" s="20"/>
      <c r="C1115" s="30"/>
      <c r="D1115" s="30"/>
      <c r="E1115" s="30"/>
      <c r="F1115" s="22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</row>
    <row r="1116">
      <c r="A1116" s="20"/>
      <c r="B1116" s="20"/>
      <c r="C1116" s="30"/>
      <c r="D1116" s="30"/>
      <c r="E1116" s="30"/>
      <c r="F1116" s="22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</row>
    <row r="1117">
      <c r="A1117" s="20"/>
      <c r="B1117" s="20"/>
      <c r="C1117" s="30"/>
      <c r="D1117" s="30"/>
      <c r="E1117" s="30"/>
      <c r="F1117" s="22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</row>
    <row r="1118">
      <c r="A1118" s="20"/>
      <c r="B1118" s="20"/>
      <c r="C1118" s="30"/>
      <c r="D1118" s="30"/>
      <c r="E1118" s="30"/>
      <c r="F1118" s="22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</row>
    <row r="1119">
      <c r="A1119" s="20"/>
      <c r="B1119" s="20"/>
      <c r="C1119" s="30"/>
      <c r="D1119" s="30"/>
      <c r="E1119" s="30"/>
      <c r="F1119" s="22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</row>
    <row r="1120">
      <c r="A1120" s="20"/>
      <c r="B1120" s="20"/>
      <c r="C1120" s="30"/>
      <c r="D1120" s="30"/>
      <c r="E1120" s="30"/>
      <c r="F1120" s="22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</row>
    <row r="1121">
      <c r="A1121" s="20"/>
      <c r="B1121" s="20"/>
      <c r="C1121" s="30"/>
      <c r="D1121" s="30"/>
      <c r="E1121" s="30"/>
      <c r="F1121" s="22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</row>
    <row r="1122">
      <c r="A1122" s="20"/>
      <c r="B1122" s="20"/>
      <c r="C1122" s="30"/>
      <c r="D1122" s="30"/>
      <c r="E1122" s="30"/>
      <c r="F1122" s="22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</row>
    <row r="1123">
      <c r="A1123" s="20"/>
      <c r="B1123" s="20"/>
      <c r="C1123" s="30"/>
      <c r="D1123" s="30"/>
      <c r="E1123" s="30"/>
      <c r="F1123" s="22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</row>
    <row r="1124">
      <c r="A1124" s="20"/>
      <c r="B1124" s="20"/>
      <c r="C1124" s="30"/>
      <c r="D1124" s="30"/>
      <c r="E1124" s="30"/>
      <c r="F1124" s="22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</row>
    <row r="1125">
      <c r="A1125" s="20"/>
      <c r="B1125" s="20"/>
      <c r="C1125" s="30"/>
      <c r="D1125" s="30"/>
      <c r="E1125" s="30"/>
      <c r="F1125" s="22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</row>
    <row r="1126">
      <c r="A1126" s="20"/>
      <c r="B1126" s="20"/>
      <c r="C1126" s="30"/>
      <c r="D1126" s="30"/>
      <c r="E1126" s="30"/>
      <c r="F1126" s="22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</row>
    <row r="1127">
      <c r="A1127" s="20"/>
      <c r="B1127" s="20"/>
      <c r="C1127" s="30"/>
      <c r="D1127" s="30"/>
      <c r="E1127" s="30"/>
      <c r="F1127" s="22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</row>
    <row r="1128">
      <c r="A1128" s="20"/>
      <c r="B1128" s="20"/>
      <c r="C1128" s="30"/>
      <c r="D1128" s="30"/>
      <c r="E1128" s="30"/>
      <c r="F1128" s="22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</row>
    <row r="1129">
      <c r="A1129" s="20"/>
      <c r="B1129" s="20"/>
      <c r="C1129" s="30"/>
      <c r="D1129" s="30"/>
      <c r="E1129" s="30"/>
      <c r="F1129" s="22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</row>
    <row r="1130">
      <c r="A1130" s="20"/>
      <c r="B1130" s="20"/>
      <c r="C1130" s="30"/>
      <c r="D1130" s="30"/>
      <c r="E1130" s="30"/>
      <c r="F1130" s="22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</row>
    <row r="1131">
      <c r="A1131" s="20"/>
      <c r="B1131" s="20"/>
      <c r="C1131" s="30"/>
      <c r="D1131" s="30"/>
      <c r="E1131" s="30"/>
      <c r="F1131" s="22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</row>
    <row r="1132">
      <c r="A1132" s="20"/>
      <c r="B1132" s="20"/>
      <c r="C1132" s="30"/>
      <c r="D1132" s="30"/>
      <c r="E1132" s="30"/>
      <c r="F1132" s="22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</row>
    <row r="1133">
      <c r="A1133" s="20"/>
      <c r="B1133" s="20"/>
      <c r="C1133" s="30"/>
      <c r="D1133" s="30"/>
      <c r="E1133" s="30"/>
      <c r="F1133" s="22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</row>
    <row r="1134">
      <c r="A1134" s="20"/>
      <c r="B1134" s="20"/>
      <c r="C1134" s="30"/>
      <c r="D1134" s="30"/>
      <c r="E1134" s="30"/>
      <c r="F1134" s="22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</row>
    <row r="1135">
      <c r="A1135" s="20"/>
      <c r="B1135" s="20"/>
      <c r="C1135" s="30"/>
      <c r="D1135" s="30"/>
      <c r="E1135" s="30"/>
      <c r="F1135" s="22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</row>
    <row r="1136">
      <c r="A1136" s="20"/>
      <c r="B1136" s="20"/>
      <c r="C1136" s="30"/>
      <c r="D1136" s="30"/>
      <c r="E1136" s="30"/>
      <c r="F1136" s="22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</row>
    <row r="1137">
      <c r="A1137" s="20"/>
      <c r="B1137" s="20"/>
      <c r="C1137" s="30"/>
      <c r="D1137" s="30"/>
      <c r="E1137" s="30"/>
      <c r="F1137" s="22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</row>
    <row r="1138">
      <c r="A1138" s="20"/>
      <c r="B1138" s="20"/>
      <c r="C1138" s="30"/>
      <c r="D1138" s="30"/>
      <c r="E1138" s="30"/>
      <c r="F1138" s="22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</row>
    <row r="1139">
      <c r="A1139" s="20"/>
      <c r="B1139" s="20"/>
      <c r="C1139" s="30"/>
      <c r="D1139" s="30"/>
      <c r="E1139" s="30"/>
      <c r="F1139" s="22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</row>
    <row r="1140">
      <c r="A1140" s="20"/>
      <c r="B1140" s="20"/>
      <c r="C1140" s="30"/>
      <c r="D1140" s="30"/>
      <c r="E1140" s="30"/>
      <c r="F1140" s="22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</row>
    <row r="1141">
      <c r="A1141" s="20"/>
      <c r="B1141" s="20"/>
      <c r="C1141" s="30"/>
      <c r="D1141" s="30"/>
      <c r="E1141" s="30"/>
      <c r="F1141" s="22"/>
      <c r="G1141" s="23"/>
      <c r="H1141" s="23"/>
      <c r="I1141" s="23"/>
      <c r="J1141" s="23"/>
      <c r="K1141" s="23"/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</row>
    <row r="1142">
      <c r="A1142" s="20"/>
      <c r="B1142" s="20"/>
      <c r="C1142" s="30"/>
      <c r="D1142" s="30"/>
      <c r="E1142" s="30"/>
      <c r="F1142" s="22"/>
      <c r="G1142" s="23"/>
      <c r="H1142" s="23"/>
      <c r="I1142" s="23"/>
      <c r="J1142" s="23"/>
      <c r="K1142" s="23"/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</row>
    <row r="1143">
      <c r="A1143" s="20"/>
      <c r="B1143" s="20"/>
      <c r="C1143" s="30"/>
      <c r="D1143" s="30"/>
      <c r="E1143" s="30"/>
      <c r="F1143" s="22"/>
      <c r="G1143" s="23"/>
      <c r="H1143" s="23"/>
      <c r="I1143" s="23"/>
      <c r="J1143" s="23"/>
      <c r="K1143" s="23"/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</row>
    <row r="1144">
      <c r="A1144" s="20"/>
      <c r="B1144" s="20"/>
      <c r="C1144" s="30"/>
      <c r="D1144" s="30"/>
      <c r="E1144" s="30"/>
      <c r="F1144" s="22"/>
      <c r="G1144" s="23"/>
      <c r="H1144" s="23"/>
      <c r="I1144" s="23"/>
      <c r="J1144" s="23"/>
      <c r="K1144" s="23"/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</row>
    <row r="1145">
      <c r="A1145" s="20"/>
      <c r="B1145" s="20"/>
      <c r="C1145" s="30"/>
      <c r="D1145" s="30"/>
      <c r="E1145" s="30"/>
      <c r="F1145" s="22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</row>
    <row r="1146">
      <c r="A1146" s="20"/>
      <c r="B1146" s="20"/>
      <c r="C1146" s="30"/>
      <c r="D1146" s="30"/>
      <c r="E1146" s="30"/>
      <c r="F1146" s="22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</row>
    <row r="1147">
      <c r="A1147" s="20"/>
      <c r="B1147" s="20"/>
      <c r="C1147" s="30"/>
      <c r="D1147" s="30"/>
      <c r="E1147" s="30"/>
      <c r="F1147" s="22"/>
      <c r="G1147" s="23"/>
      <c r="H1147" s="23"/>
      <c r="I1147" s="23"/>
      <c r="J1147" s="23"/>
      <c r="K1147" s="23"/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</row>
    <row r="1148">
      <c r="A1148" s="20"/>
      <c r="B1148" s="20"/>
      <c r="C1148" s="30"/>
      <c r="D1148" s="30"/>
      <c r="E1148" s="30"/>
      <c r="F1148" s="22"/>
      <c r="G1148" s="23"/>
      <c r="H1148" s="23"/>
      <c r="I1148" s="23"/>
      <c r="J1148" s="23"/>
      <c r="K1148" s="23"/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</row>
    <row r="1149">
      <c r="A1149" s="20"/>
      <c r="B1149" s="20"/>
      <c r="C1149" s="30"/>
      <c r="D1149" s="30"/>
      <c r="E1149" s="30"/>
      <c r="F1149" s="22"/>
      <c r="G1149" s="23"/>
      <c r="H1149" s="23"/>
      <c r="I1149" s="23"/>
      <c r="J1149" s="23"/>
      <c r="K1149" s="23"/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</row>
    <row r="1150">
      <c r="A1150" s="20"/>
      <c r="B1150" s="20"/>
      <c r="C1150" s="30"/>
      <c r="D1150" s="30"/>
      <c r="E1150" s="30"/>
      <c r="F1150" s="22"/>
      <c r="G1150" s="23"/>
      <c r="H1150" s="23"/>
      <c r="I1150" s="23"/>
      <c r="J1150" s="23"/>
      <c r="K1150" s="23"/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</row>
    <row r="1151">
      <c r="A1151" s="20"/>
      <c r="B1151" s="20"/>
      <c r="C1151" s="30"/>
      <c r="D1151" s="30"/>
      <c r="E1151" s="30"/>
      <c r="F1151" s="22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</row>
    <row r="1152">
      <c r="A1152" s="20"/>
      <c r="B1152" s="20"/>
      <c r="C1152" s="30"/>
      <c r="D1152" s="30"/>
      <c r="E1152" s="30"/>
      <c r="F1152" s="22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</row>
    <row r="1153">
      <c r="A1153" s="20"/>
      <c r="B1153" s="20"/>
      <c r="C1153" s="30"/>
      <c r="D1153" s="30"/>
      <c r="E1153" s="30"/>
      <c r="F1153" s="22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</row>
    <row r="1154">
      <c r="A1154" s="20"/>
      <c r="B1154" s="20"/>
      <c r="C1154" s="30"/>
      <c r="D1154" s="30"/>
      <c r="E1154" s="30"/>
      <c r="F1154" s="22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</row>
    <row r="1155">
      <c r="A1155" s="20"/>
      <c r="B1155" s="20"/>
      <c r="C1155" s="30"/>
      <c r="D1155" s="30"/>
      <c r="E1155" s="30"/>
      <c r="F1155" s="22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</row>
    <row r="1156">
      <c r="A1156" s="20"/>
      <c r="B1156" s="20"/>
      <c r="C1156" s="30"/>
      <c r="D1156" s="30"/>
      <c r="E1156" s="30"/>
      <c r="F1156" s="22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</row>
    <row r="1157">
      <c r="A1157" s="20"/>
      <c r="B1157" s="20"/>
      <c r="C1157" s="30"/>
      <c r="D1157" s="30"/>
      <c r="E1157" s="30"/>
      <c r="F1157" s="22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</row>
    <row r="1158">
      <c r="A1158" s="20"/>
      <c r="B1158" s="20"/>
      <c r="C1158" s="30"/>
      <c r="D1158" s="30"/>
      <c r="E1158" s="30"/>
      <c r="F1158" s="22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</row>
    <row r="1159">
      <c r="A1159" s="20"/>
      <c r="B1159" s="20"/>
      <c r="C1159" s="30"/>
      <c r="D1159" s="30"/>
      <c r="E1159" s="30"/>
      <c r="F1159" s="22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</row>
    <row r="1160">
      <c r="A1160" s="20"/>
      <c r="B1160" s="20"/>
      <c r="C1160" s="30"/>
      <c r="D1160" s="30"/>
      <c r="E1160" s="30"/>
      <c r="F1160" s="22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</row>
    <row r="1161">
      <c r="A1161" s="20"/>
      <c r="B1161" s="20"/>
      <c r="C1161" s="30"/>
      <c r="D1161" s="30"/>
      <c r="E1161" s="30"/>
      <c r="F1161" s="22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</row>
    <row r="1162">
      <c r="A1162" s="20"/>
      <c r="B1162" s="20"/>
      <c r="C1162" s="30"/>
      <c r="D1162" s="30"/>
      <c r="E1162" s="30"/>
      <c r="F1162" s="22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</row>
    <row r="1163">
      <c r="A1163" s="20"/>
      <c r="B1163" s="20"/>
      <c r="C1163" s="30"/>
      <c r="D1163" s="30"/>
      <c r="E1163" s="30"/>
      <c r="F1163" s="22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</row>
    <row r="1164">
      <c r="A1164" s="20"/>
      <c r="B1164" s="20"/>
      <c r="C1164" s="30"/>
      <c r="D1164" s="30"/>
      <c r="E1164" s="30"/>
      <c r="F1164" s="22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</row>
    <row r="1165">
      <c r="A1165" s="20"/>
      <c r="B1165" s="20"/>
      <c r="C1165" s="30"/>
      <c r="D1165" s="30"/>
      <c r="E1165" s="30"/>
      <c r="F1165" s="22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</row>
    <row r="1166">
      <c r="A1166" s="20"/>
      <c r="B1166" s="20"/>
      <c r="C1166" s="30"/>
      <c r="D1166" s="30"/>
      <c r="E1166" s="30"/>
      <c r="F1166" s="22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</row>
    <row r="1167">
      <c r="A1167" s="20"/>
      <c r="B1167" s="20"/>
      <c r="C1167" s="30"/>
      <c r="D1167" s="30"/>
      <c r="E1167" s="30"/>
      <c r="F1167" s="22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</row>
    <row r="1168">
      <c r="A1168" s="20"/>
      <c r="B1168" s="20"/>
      <c r="C1168" s="30"/>
      <c r="D1168" s="30"/>
      <c r="E1168" s="30"/>
      <c r="F1168" s="22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</row>
    <row r="1169">
      <c r="A1169" s="20"/>
      <c r="B1169" s="20"/>
      <c r="C1169" s="30"/>
      <c r="D1169" s="30"/>
      <c r="E1169" s="30"/>
      <c r="F1169" s="22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</row>
    <row r="1170">
      <c r="A1170" s="20"/>
      <c r="B1170" s="20"/>
      <c r="C1170" s="30"/>
      <c r="D1170" s="30"/>
      <c r="E1170" s="30"/>
      <c r="F1170" s="22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</row>
    <row r="1171">
      <c r="A1171" s="20"/>
      <c r="B1171" s="20"/>
      <c r="C1171" s="30"/>
      <c r="D1171" s="30"/>
      <c r="E1171" s="30"/>
      <c r="F1171" s="22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</row>
    <row r="1172">
      <c r="A1172" s="20"/>
      <c r="B1172" s="20"/>
      <c r="C1172" s="30"/>
      <c r="D1172" s="30"/>
      <c r="E1172" s="30"/>
      <c r="F1172" s="22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</row>
    <row r="1173">
      <c r="A1173" s="20"/>
      <c r="B1173" s="20"/>
      <c r="C1173" s="30"/>
      <c r="D1173" s="30"/>
      <c r="E1173" s="30"/>
      <c r="F1173" s="22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</row>
    <row r="1174">
      <c r="A1174" s="20"/>
      <c r="B1174" s="20"/>
      <c r="C1174" s="30"/>
      <c r="D1174" s="30"/>
      <c r="E1174" s="30"/>
      <c r="F1174" s="22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</row>
    <row r="1175">
      <c r="A1175" s="20"/>
      <c r="B1175" s="20"/>
      <c r="C1175" s="30"/>
      <c r="D1175" s="30"/>
      <c r="E1175" s="30"/>
      <c r="F1175" s="22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</row>
    <row r="1176">
      <c r="A1176" s="20"/>
      <c r="B1176" s="20"/>
      <c r="C1176" s="30"/>
      <c r="D1176" s="30"/>
      <c r="E1176" s="30"/>
      <c r="F1176" s="22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</row>
    <row r="1177">
      <c r="A1177" s="20"/>
      <c r="B1177" s="20"/>
      <c r="C1177" s="30"/>
      <c r="D1177" s="30"/>
      <c r="E1177" s="30"/>
      <c r="F1177" s="22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</row>
    <row r="1178">
      <c r="A1178" s="20"/>
      <c r="B1178" s="20"/>
      <c r="C1178" s="30"/>
      <c r="D1178" s="30"/>
      <c r="E1178" s="30"/>
      <c r="F1178" s="22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</row>
    <row r="1179">
      <c r="A1179" s="20"/>
      <c r="B1179" s="20"/>
      <c r="C1179" s="30"/>
      <c r="D1179" s="30"/>
      <c r="E1179" s="30"/>
      <c r="F1179" s="22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</row>
    <row r="1180">
      <c r="A1180" s="20"/>
      <c r="B1180" s="20"/>
      <c r="C1180" s="30"/>
      <c r="D1180" s="30"/>
      <c r="E1180" s="30"/>
      <c r="F1180" s="22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</row>
    <row r="1181">
      <c r="A1181" s="20"/>
      <c r="B1181" s="20"/>
      <c r="C1181" s="30"/>
      <c r="D1181" s="30"/>
      <c r="E1181" s="30"/>
      <c r="F1181" s="22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</row>
    <row r="1182">
      <c r="A1182" s="20"/>
      <c r="B1182" s="20"/>
      <c r="C1182" s="30"/>
      <c r="D1182" s="30"/>
      <c r="E1182" s="30"/>
      <c r="F1182" s="22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</row>
    <row r="1183">
      <c r="A1183" s="20"/>
      <c r="B1183" s="20"/>
      <c r="C1183" s="30"/>
      <c r="D1183" s="30"/>
      <c r="E1183" s="30"/>
      <c r="F1183" s="22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</row>
    <row r="1184">
      <c r="A1184" s="20"/>
      <c r="B1184" s="20"/>
      <c r="C1184" s="30"/>
      <c r="D1184" s="30"/>
      <c r="E1184" s="30"/>
      <c r="F1184" s="22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</row>
    <row r="1185">
      <c r="A1185" s="20"/>
      <c r="B1185" s="20"/>
      <c r="C1185" s="30"/>
      <c r="D1185" s="30"/>
      <c r="E1185" s="30"/>
      <c r="F1185" s="22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</row>
    <row r="1186">
      <c r="A1186" s="20"/>
      <c r="B1186" s="20"/>
      <c r="C1186" s="30"/>
      <c r="D1186" s="30"/>
      <c r="E1186" s="30"/>
      <c r="F1186" s="22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</row>
    <row r="1187">
      <c r="A1187" s="20"/>
      <c r="B1187" s="20"/>
      <c r="C1187" s="30"/>
      <c r="D1187" s="30"/>
      <c r="E1187" s="30"/>
      <c r="F1187" s="22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</row>
    <row r="1188">
      <c r="A1188" s="20"/>
      <c r="B1188" s="20"/>
      <c r="C1188" s="30"/>
      <c r="D1188" s="30"/>
      <c r="E1188" s="30"/>
      <c r="F1188" s="22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</row>
    <row r="1189">
      <c r="A1189" s="20"/>
      <c r="B1189" s="20"/>
      <c r="C1189" s="30"/>
      <c r="D1189" s="30"/>
      <c r="E1189" s="30"/>
      <c r="F1189" s="22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</row>
    <row r="1190">
      <c r="A1190" s="20"/>
      <c r="B1190" s="20"/>
      <c r="C1190" s="30"/>
      <c r="D1190" s="30"/>
      <c r="E1190" s="30"/>
      <c r="F1190" s="22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</row>
    <row r="1191">
      <c r="A1191" s="20"/>
      <c r="B1191" s="20"/>
      <c r="C1191" s="30"/>
      <c r="D1191" s="30"/>
      <c r="E1191" s="30"/>
      <c r="F1191" s="22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</row>
    <row r="1192">
      <c r="A1192" s="20"/>
      <c r="B1192" s="20"/>
      <c r="C1192" s="30"/>
      <c r="D1192" s="30"/>
      <c r="E1192" s="30"/>
      <c r="F1192" s="22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</row>
    <row r="1193">
      <c r="A1193" s="20"/>
      <c r="B1193" s="20"/>
      <c r="C1193" s="30"/>
      <c r="D1193" s="30"/>
      <c r="E1193" s="30"/>
      <c r="F1193" s="22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</row>
    <row r="1194">
      <c r="A1194" s="20"/>
      <c r="B1194" s="20"/>
      <c r="C1194" s="30"/>
      <c r="D1194" s="30"/>
      <c r="E1194" s="30"/>
      <c r="F1194" s="22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</row>
    <row r="1195">
      <c r="A1195" s="20"/>
      <c r="B1195" s="20"/>
      <c r="C1195" s="30"/>
      <c r="D1195" s="30"/>
      <c r="E1195" s="30"/>
      <c r="F1195" s="22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</row>
    <row r="1196">
      <c r="A1196" s="20"/>
      <c r="B1196" s="20"/>
      <c r="C1196" s="30"/>
      <c r="D1196" s="30"/>
      <c r="E1196" s="30"/>
      <c r="F1196" s="22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</row>
    <row r="1197">
      <c r="A1197" s="20"/>
      <c r="B1197" s="20"/>
      <c r="C1197" s="30"/>
      <c r="D1197" s="30"/>
      <c r="E1197" s="30"/>
      <c r="F1197" s="22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</row>
    <row r="1198">
      <c r="A1198" s="20"/>
      <c r="B1198" s="20"/>
      <c r="C1198" s="30"/>
      <c r="D1198" s="30"/>
      <c r="E1198" s="30"/>
      <c r="F1198" s="22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</row>
    <row r="1199">
      <c r="A1199" s="20"/>
      <c r="B1199" s="20"/>
      <c r="C1199" s="30"/>
      <c r="D1199" s="30"/>
      <c r="E1199" s="30"/>
      <c r="F1199" s="22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</row>
    <row r="1200">
      <c r="A1200" s="20"/>
      <c r="B1200" s="20"/>
      <c r="C1200" s="30"/>
      <c r="D1200" s="30"/>
      <c r="E1200" s="30"/>
      <c r="F1200" s="22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</row>
    <row r="1201">
      <c r="A1201" s="20"/>
      <c r="B1201" s="20"/>
      <c r="C1201" s="30"/>
      <c r="D1201" s="30"/>
      <c r="E1201" s="30"/>
      <c r="F1201" s="22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</row>
    <row r="1202">
      <c r="A1202" s="20"/>
      <c r="B1202" s="20"/>
      <c r="C1202" s="30"/>
      <c r="D1202" s="30"/>
      <c r="E1202" s="30"/>
      <c r="F1202" s="22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</row>
    <row r="1203">
      <c r="A1203" s="20"/>
      <c r="B1203" s="20"/>
      <c r="C1203" s="30"/>
      <c r="D1203" s="30"/>
      <c r="E1203" s="30"/>
      <c r="F1203" s="22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</row>
    <row r="1204">
      <c r="A1204" s="20"/>
      <c r="B1204" s="20"/>
      <c r="C1204" s="30"/>
      <c r="D1204" s="30"/>
      <c r="E1204" s="30"/>
      <c r="F1204" s="22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</row>
    <row r="1205">
      <c r="A1205" s="20"/>
      <c r="B1205" s="20"/>
      <c r="C1205" s="30"/>
      <c r="D1205" s="30"/>
      <c r="E1205" s="30"/>
      <c r="F1205" s="22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</row>
    <row r="1206">
      <c r="A1206" s="20"/>
      <c r="B1206" s="20"/>
      <c r="C1206" s="30"/>
      <c r="D1206" s="30"/>
      <c r="E1206" s="30"/>
      <c r="F1206" s="22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</row>
    <row r="1207">
      <c r="A1207" s="20"/>
      <c r="B1207" s="20"/>
      <c r="C1207" s="30"/>
      <c r="D1207" s="30"/>
      <c r="E1207" s="30"/>
      <c r="F1207" s="22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</row>
    <row r="1208">
      <c r="A1208" s="20"/>
      <c r="B1208" s="20"/>
      <c r="C1208" s="30"/>
      <c r="D1208" s="30"/>
      <c r="E1208" s="30"/>
      <c r="F1208" s="22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</row>
    <row r="1209">
      <c r="A1209" s="20"/>
      <c r="B1209" s="20"/>
      <c r="C1209" s="30"/>
      <c r="D1209" s="30"/>
      <c r="E1209" s="30"/>
      <c r="F1209" s="22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</row>
    <row r="1210">
      <c r="A1210" s="20"/>
      <c r="B1210" s="20"/>
      <c r="C1210" s="30"/>
      <c r="D1210" s="30"/>
      <c r="E1210" s="30"/>
      <c r="F1210" s="22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</row>
    <row r="1211">
      <c r="A1211" s="20"/>
      <c r="B1211" s="20"/>
      <c r="C1211" s="30"/>
      <c r="D1211" s="30"/>
      <c r="E1211" s="30"/>
      <c r="F1211" s="22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</row>
    <row r="1212">
      <c r="A1212" s="20"/>
      <c r="B1212" s="20"/>
      <c r="C1212" s="30"/>
      <c r="D1212" s="30"/>
      <c r="E1212" s="30"/>
      <c r="F1212" s="22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</row>
    <row r="1213">
      <c r="A1213" s="20"/>
      <c r="B1213" s="20"/>
      <c r="C1213" s="30"/>
      <c r="D1213" s="30"/>
      <c r="E1213" s="30"/>
      <c r="F1213" s="22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</row>
    <row r="1214">
      <c r="A1214" s="20"/>
      <c r="B1214" s="20"/>
      <c r="C1214" s="30"/>
      <c r="D1214" s="30"/>
      <c r="E1214" s="30"/>
      <c r="F1214" s="22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</row>
    <row r="1215">
      <c r="A1215" s="20"/>
      <c r="B1215" s="20"/>
      <c r="C1215" s="30"/>
      <c r="D1215" s="30"/>
      <c r="E1215" s="30"/>
      <c r="F1215" s="22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</row>
    <row r="1216">
      <c r="A1216" s="20"/>
      <c r="B1216" s="20"/>
      <c r="C1216" s="30"/>
      <c r="D1216" s="30"/>
      <c r="E1216" s="30"/>
      <c r="F1216" s="22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</row>
    <row r="1217">
      <c r="A1217" s="20"/>
      <c r="B1217" s="20"/>
      <c r="C1217" s="30"/>
      <c r="D1217" s="30"/>
      <c r="E1217" s="30"/>
      <c r="F1217" s="22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</row>
    <row r="1218">
      <c r="A1218" s="20"/>
      <c r="B1218" s="20"/>
      <c r="C1218" s="30"/>
      <c r="D1218" s="30"/>
      <c r="E1218" s="30"/>
      <c r="F1218" s="22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</row>
    <row r="1219">
      <c r="A1219" s="20"/>
      <c r="B1219" s="20"/>
      <c r="C1219" s="30"/>
      <c r="D1219" s="30"/>
      <c r="E1219" s="30"/>
      <c r="F1219" s="22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</row>
    <row r="1220">
      <c r="A1220" s="20"/>
      <c r="B1220" s="20"/>
      <c r="C1220" s="30"/>
      <c r="D1220" s="30"/>
      <c r="E1220" s="30"/>
      <c r="F1220" s="22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</row>
    <row r="1221">
      <c r="A1221" s="20"/>
      <c r="B1221" s="20"/>
      <c r="C1221" s="30"/>
      <c r="D1221" s="30"/>
      <c r="E1221" s="30"/>
      <c r="F1221" s="22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</row>
    <row r="1222">
      <c r="A1222" s="20"/>
      <c r="B1222" s="20"/>
      <c r="C1222" s="30"/>
      <c r="D1222" s="30"/>
      <c r="E1222" s="30"/>
      <c r="F1222" s="22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</row>
    <row r="1223">
      <c r="A1223" s="20"/>
      <c r="B1223" s="20"/>
      <c r="C1223" s="30"/>
      <c r="D1223" s="30"/>
      <c r="E1223" s="30"/>
      <c r="F1223" s="22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</row>
    <row r="1224">
      <c r="A1224" s="20"/>
      <c r="B1224" s="20"/>
      <c r="C1224" s="30"/>
      <c r="D1224" s="30"/>
      <c r="E1224" s="30"/>
      <c r="F1224" s="22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</row>
    <row r="1225">
      <c r="A1225" s="20"/>
      <c r="B1225" s="20"/>
      <c r="C1225" s="30"/>
      <c r="D1225" s="30"/>
      <c r="E1225" s="30"/>
      <c r="F1225" s="22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</row>
    <row r="1226">
      <c r="A1226" s="20"/>
      <c r="B1226" s="20"/>
      <c r="C1226" s="30"/>
      <c r="D1226" s="30"/>
      <c r="E1226" s="30"/>
      <c r="F1226" s="22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</row>
    <row r="1227">
      <c r="A1227" s="20"/>
      <c r="B1227" s="20"/>
      <c r="C1227" s="30"/>
      <c r="D1227" s="30"/>
      <c r="E1227" s="30"/>
      <c r="F1227" s="22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</row>
    <row r="1228">
      <c r="A1228" s="20"/>
      <c r="B1228" s="20"/>
      <c r="C1228" s="30"/>
      <c r="D1228" s="30"/>
      <c r="E1228" s="30"/>
      <c r="F1228" s="22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</row>
    <row r="1229">
      <c r="A1229" s="20"/>
      <c r="B1229" s="20"/>
      <c r="C1229" s="30"/>
      <c r="D1229" s="30"/>
      <c r="E1229" s="30"/>
      <c r="F1229" s="22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</row>
    <row r="1230">
      <c r="A1230" s="20"/>
      <c r="B1230" s="20"/>
      <c r="C1230" s="30"/>
      <c r="D1230" s="30"/>
      <c r="E1230" s="30"/>
      <c r="F1230" s="22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</row>
    <row r="1231">
      <c r="A1231" s="20"/>
      <c r="B1231" s="20"/>
      <c r="C1231" s="30"/>
      <c r="D1231" s="30"/>
      <c r="E1231" s="30"/>
      <c r="F1231" s="22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</row>
    <row r="1232">
      <c r="A1232" s="20"/>
      <c r="B1232" s="20"/>
      <c r="C1232" s="30"/>
      <c r="D1232" s="30"/>
      <c r="E1232" s="30"/>
      <c r="F1232" s="22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</row>
    <row r="1233">
      <c r="A1233" s="20"/>
      <c r="B1233" s="20"/>
      <c r="C1233" s="30"/>
      <c r="D1233" s="30"/>
      <c r="E1233" s="30"/>
      <c r="F1233" s="22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</row>
    <row r="1234">
      <c r="A1234" s="20"/>
      <c r="B1234" s="20"/>
      <c r="C1234" s="30"/>
      <c r="D1234" s="30"/>
      <c r="E1234" s="30"/>
      <c r="F1234" s="22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</row>
    <row r="1235">
      <c r="A1235" s="20"/>
      <c r="B1235" s="20"/>
      <c r="C1235" s="30"/>
      <c r="D1235" s="30"/>
      <c r="E1235" s="30"/>
      <c r="F1235" s="22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</row>
    <row r="1236">
      <c r="A1236" s="20"/>
      <c r="B1236" s="20"/>
      <c r="C1236" s="30"/>
      <c r="D1236" s="30"/>
      <c r="E1236" s="30"/>
      <c r="F1236" s="22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</row>
    <row r="1237">
      <c r="A1237" s="20"/>
      <c r="B1237" s="20"/>
      <c r="C1237" s="30"/>
      <c r="D1237" s="30"/>
      <c r="E1237" s="30"/>
      <c r="F1237" s="22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</row>
    <row r="1238">
      <c r="A1238" s="20"/>
      <c r="B1238" s="20"/>
      <c r="C1238" s="30"/>
      <c r="D1238" s="30"/>
      <c r="E1238" s="30"/>
      <c r="F1238" s="22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</row>
    <row r="1239">
      <c r="A1239" s="20"/>
      <c r="B1239" s="20"/>
      <c r="C1239" s="30"/>
      <c r="D1239" s="30"/>
      <c r="E1239" s="30"/>
      <c r="F1239" s="22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</row>
    <row r="1240">
      <c r="A1240" s="20"/>
      <c r="B1240" s="20"/>
      <c r="C1240" s="30"/>
      <c r="D1240" s="30"/>
      <c r="E1240" s="30"/>
      <c r="F1240" s="22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</row>
    <row r="1241">
      <c r="A1241" s="20"/>
      <c r="B1241" s="20"/>
      <c r="C1241" s="30"/>
      <c r="D1241" s="30"/>
      <c r="E1241" s="30"/>
      <c r="F1241" s="22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</row>
    <row r="1242">
      <c r="A1242" s="20"/>
      <c r="B1242" s="20"/>
      <c r="C1242" s="30"/>
      <c r="D1242" s="30"/>
      <c r="E1242" s="30"/>
      <c r="F1242" s="22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</row>
    <row r="1243">
      <c r="A1243" s="20"/>
      <c r="B1243" s="20"/>
      <c r="C1243" s="30"/>
      <c r="D1243" s="30"/>
      <c r="E1243" s="30"/>
      <c r="F1243" s="22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</row>
    <row r="1244">
      <c r="A1244" s="20"/>
      <c r="B1244" s="20"/>
      <c r="C1244" s="30"/>
      <c r="D1244" s="30"/>
      <c r="E1244" s="30"/>
      <c r="F1244" s="22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</row>
    <row r="1245">
      <c r="A1245" s="20"/>
      <c r="B1245" s="20"/>
      <c r="C1245" s="30"/>
      <c r="D1245" s="30"/>
      <c r="E1245" s="30"/>
      <c r="F1245" s="22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</row>
    <row r="1246">
      <c r="A1246" s="20"/>
      <c r="B1246" s="20"/>
      <c r="C1246" s="30"/>
      <c r="D1246" s="30"/>
      <c r="E1246" s="30"/>
      <c r="F1246" s="22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</row>
    <row r="1247">
      <c r="A1247" s="20"/>
      <c r="B1247" s="20"/>
      <c r="C1247" s="30"/>
      <c r="D1247" s="30"/>
      <c r="E1247" s="30"/>
      <c r="F1247" s="22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</row>
    <row r="1248">
      <c r="A1248" s="20"/>
      <c r="B1248" s="20"/>
      <c r="C1248" s="30"/>
      <c r="D1248" s="30"/>
      <c r="E1248" s="30"/>
      <c r="F1248" s="22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</row>
    <row r="1249">
      <c r="A1249" s="20"/>
      <c r="B1249" s="20"/>
      <c r="C1249" s="30"/>
      <c r="D1249" s="30"/>
      <c r="E1249" s="30"/>
      <c r="F1249" s="22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</row>
    <row r="1250">
      <c r="A1250" s="20"/>
      <c r="B1250" s="20"/>
      <c r="C1250" s="30"/>
      <c r="D1250" s="30"/>
      <c r="E1250" s="30"/>
      <c r="F1250" s="22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</row>
    <row r="1251">
      <c r="A1251" s="20"/>
      <c r="B1251" s="20"/>
      <c r="C1251" s="30"/>
      <c r="D1251" s="30"/>
      <c r="E1251" s="30"/>
      <c r="F1251" s="22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</row>
    <row r="1252">
      <c r="A1252" s="20"/>
      <c r="B1252" s="20"/>
      <c r="C1252" s="30"/>
      <c r="D1252" s="30"/>
      <c r="E1252" s="30"/>
      <c r="F1252" s="22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</row>
    <row r="1253">
      <c r="A1253" s="20"/>
      <c r="B1253" s="20"/>
      <c r="C1253" s="30"/>
      <c r="D1253" s="30"/>
      <c r="E1253" s="30"/>
      <c r="F1253" s="22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</row>
    <row r="1254">
      <c r="A1254" s="20"/>
      <c r="B1254" s="20"/>
      <c r="C1254" s="30"/>
      <c r="D1254" s="30"/>
      <c r="E1254" s="30"/>
      <c r="F1254" s="22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</row>
    <row r="1255">
      <c r="A1255" s="20"/>
      <c r="B1255" s="20"/>
      <c r="C1255" s="30"/>
      <c r="D1255" s="30"/>
      <c r="E1255" s="30"/>
      <c r="F1255" s="22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</row>
    <row r="1256">
      <c r="A1256" s="20"/>
      <c r="B1256" s="20"/>
      <c r="C1256" s="30"/>
      <c r="D1256" s="30"/>
      <c r="E1256" s="30"/>
      <c r="F1256" s="22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</row>
    <row r="1257">
      <c r="A1257" s="20"/>
      <c r="B1257" s="20"/>
      <c r="C1257" s="30"/>
      <c r="D1257" s="30"/>
      <c r="E1257" s="30"/>
      <c r="F1257" s="22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</row>
    <row r="1258">
      <c r="A1258" s="20"/>
      <c r="B1258" s="20"/>
      <c r="C1258" s="30"/>
      <c r="D1258" s="30"/>
      <c r="E1258" s="30"/>
      <c r="F1258" s="22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</row>
    <row r="1259">
      <c r="A1259" s="20"/>
      <c r="B1259" s="20"/>
      <c r="C1259" s="30"/>
      <c r="D1259" s="30"/>
      <c r="E1259" s="30"/>
      <c r="F1259" s="22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</row>
    <row r="1260">
      <c r="A1260" s="20"/>
      <c r="B1260" s="20"/>
      <c r="C1260" s="30"/>
      <c r="D1260" s="30"/>
      <c r="E1260" s="30"/>
      <c r="F1260" s="22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</row>
    <row r="1261">
      <c r="A1261" s="20"/>
      <c r="B1261" s="20"/>
      <c r="C1261" s="30"/>
      <c r="D1261" s="30"/>
      <c r="E1261" s="30"/>
      <c r="F1261" s="22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</row>
    <row r="1262">
      <c r="A1262" s="20"/>
      <c r="B1262" s="20"/>
      <c r="C1262" s="30"/>
      <c r="D1262" s="30"/>
      <c r="E1262" s="30"/>
      <c r="F1262" s="22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</row>
    <row r="1263">
      <c r="A1263" s="20"/>
      <c r="B1263" s="20"/>
      <c r="C1263" s="30"/>
      <c r="D1263" s="30"/>
      <c r="E1263" s="30"/>
      <c r="F1263" s="22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</row>
    <row r="1264">
      <c r="A1264" s="20"/>
      <c r="B1264" s="20"/>
      <c r="C1264" s="30"/>
      <c r="D1264" s="30"/>
      <c r="E1264" s="30"/>
      <c r="F1264" s="22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</row>
    <row r="1265">
      <c r="A1265" s="20"/>
      <c r="B1265" s="20"/>
      <c r="C1265" s="30"/>
      <c r="D1265" s="30"/>
      <c r="E1265" s="30"/>
      <c r="F1265" s="22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</row>
    <row r="1266">
      <c r="A1266" s="20"/>
      <c r="B1266" s="20"/>
      <c r="C1266" s="30"/>
      <c r="D1266" s="30"/>
      <c r="E1266" s="30"/>
      <c r="F1266" s="22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</row>
    <row r="1267">
      <c r="A1267" s="20"/>
      <c r="B1267" s="20"/>
      <c r="C1267" s="30"/>
      <c r="D1267" s="30"/>
      <c r="E1267" s="30"/>
      <c r="F1267" s="22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</row>
    <row r="1268">
      <c r="A1268" s="20"/>
      <c r="B1268" s="20"/>
      <c r="C1268" s="30"/>
      <c r="D1268" s="30"/>
      <c r="E1268" s="30"/>
      <c r="F1268" s="22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</row>
    <row r="1269">
      <c r="A1269" s="20"/>
      <c r="B1269" s="20"/>
      <c r="C1269" s="30"/>
      <c r="D1269" s="30"/>
      <c r="E1269" s="30"/>
      <c r="F1269" s="22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</row>
    <row r="1270">
      <c r="A1270" s="20"/>
      <c r="B1270" s="20"/>
      <c r="C1270" s="30"/>
      <c r="D1270" s="30"/>
      <c r="E1270" s="30"/>
      <c r="F1270" s="22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</row>
    <row r="1271">
      <c r="A1271" s="20"/>
      <c r="B1271" s="20"/>
      <c r="C1271" s="30"/>
      <c r="D1271" s="30"/>
      <c r="E1271" s="30"/>
      <c r="F1271" s="22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</row>
    <row r="1272">
      <c r="A1272" s="20"/>
      <c r="B1272" s="20"/>
      <c r="C1272" s="30"/>
      <c r="D1272" s="30"/>
      <c r="E1272" s="30"/>
      <c r="F1272" s="22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</row>
    <row r="1273">
      <c r="A1273" s="20"/>
      <c r="B1273" s="20"/>
      <c r="C1273" s="30"/>
      <c r="D1273" s="30"/>
      <c r="E1273" s="30"/>
      <c r="F1273" s="22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</row>
    <row r="1274">
      <c r="A1274" s="20"/>
      <c r="B1274" s="20"/>
      <c r="C1274" s="30"/>
      <c r="D1274" s="30"/>
      <c r="E1274" s="30"/>
      <c r="F1274" s="22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</row>
    <row r="1275">
      <c r="A1275" s="20"/>
      <c r="B1275" s="20"/>
      <c r="C1275" s="30"/>
      <c r="D1275" s="30"/>
      <c r="E1275" s="30"/>
      <c r="F1275" s="22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</row>
    <row r="1276">
      <c r="A1276" s="20"/>
      <c r="B1276" s="20"/>
      <c r="C1276" s="30"/>
      <c r="D1276" s="30"/>
      <c r="E1276" s="30"/>
      <c r="F1276" s="22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</row>
    <row r="1277">
      <c r="A1277" s="20"/>
      <c r="B1277" s="20"/>
      <c r="C1277" s="30"/>
      <c r="D1277" s="30"/>
      <c r="E1277" s="30"/>
      <c r="F1277" s="22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</row>
    <row r="1278">
      <c r="A1278" s="20"/>
      <c r="B1278" s="20"/>
      <c r="C1278" s="30"/>
      <c r="D1278" s="30"/>
      <c r="E1278" s="30"/>
      <c r="F1278" s="22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</row>
    <row r="1279">
      <c r="A1279" s="20"/>
      <c r="B1279" s="20"/>
      <c r="C1279" s="30"/>
      <c r="D1279" s="30"/>
      <c r="E1279" s="30"/>
      <c r="F1279" s="22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</row>
    <row r="1280">
      <c r="A1280" s="20"/>
      <c r="B1280" s="20"/>
      <c r="C1280" s="30"/>
      <c r="D1280" s="30"/>
      <c r="E1280" s="30"/>
      <c r="F1280" s="22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</row>
    <row r="1281">
      <c r="A1281" s="20"/>
      <c r="B1281" s="20"/>
      <c r="C1281" s="30"/>
      <c r="D1281" s="30"/>
      <c r="E1281" s="30"/>
      <c r="F1281" s="22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</row>
    <row r="1282">
      <c r="A1282" s="20"/>
      <c r="B1282" s="20"/>
      <c r="C1282" s="30"/>
      <c r="D1282" s="30"/>
      <c r="E1282" s="30"/>
      <c r="F1282" s="22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</row>
    <row r="1283">
      <c r="A1283" s="20"/>
      <c r="B1283" s="20"/>
      <c r="C1283" s="30"/>
      <c r="D1283" s="30"/>
      <c r="E1283" s="30"/>
      <c r="F1283" s="22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</row>
    <row r="1284">
      <c r="A1284" s="20"/>
      <c r="B1284" s="20"/>
      <c r="C1284" s="30"/>
      <c r="D1284" s="30"/>
      <c r="E1284" s="30"/>
      <c r="F1284" s="22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</row>
    <row r="1285">
      <c r="A1285" s="20"/>
      <c r="B1285" s="20"/>
      <c r="C1285" s="30"/>
      <c r="D1285" s="30"/>
      <c r="E1285" s="30"/>
      <c r="F1285" s="22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</row>
    <row r="1286">
      <c r="A1286" s="20"/>
      <c r="B1286" s="20"/>
      <c r="C1286" s="30"/>
      <c r="D1286" s="30"/>
      <c r="E1286" s="30"/>
      <c r="F1286" s="22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</row>
    <row r="1287">
      <c r="A1287" s="20"/>
      <c r="B1287" s="20"/>
      <c r="C1287" s="30"/>
      <c r="D1287" s="30"/>
      <c r="E1287" s="30"/>
      <c r="F1287" s="22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</row>
    <row r="1288">
      <c r="A1288" s="20"/>
      <c r="B1288" s="20"/>
      <c r="C1288" s="30"/>
      <c r="D1288" s="30"/>
      <c r="E1288" s="30"/>
      <c r="F1288" s="22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</row>
    <row r="1289">
      <c r="A1289" s="20"/>
      <c r="B1289" s="20"/>
      <c r="C1289" s="30"/>
      <c r="D1289" s="30"/>
      <c r="E1289" s="30"/>
      <c r="F1289" s="22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</row>
    <row r="1290">
      <c r="A1290" s="20"/>
      <c r="B1290" s="20"/>
      <c r="C1290" s="30"/>
      <c r="D1290" s="30"/>
      <c r="E1290" s="30"/>
      <c r="F1290" s="22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</row>
    <row r="1291">
      <c r="A1291" s="20"/>
      <c r="B1291" s="20"/>
      <c r="C1291" s="30"/>
      <c r="D1291" s="30"/>
      <c r="E1291" s="30"/>
      <c r="F1291" s="22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</row>
    <row r="1292">
      <c r="A1292" s="20"/>
      <c r="B1292" s="20"/>
      <c r="C1292" s="30"/>
      <c r="D1292" s="30"/>
      <c r="E1292" s="30"/>
      <c r="F1292" s="22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</row>
    <row r="1293">
      <c r="A1293" s="20"/>
      <c r="B1293" s="20"/>
      <c r="C1293" s="30"/>
      <c r="D1293" s="30"/>
      <c r="E1293" s="30"/>
      <c r="F1293" s="22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</row>
    <row r="1294">
      <c r="A1294" s="20"/>
      <c r="B1294" s="20"/>
      <c r="C1294" s="30"/>
      <c r="D1294" s="30"/>
      <c r="E1294" s="30"/>
      <c r="F1294" s="22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</row>
    <row r="1295">
      <c r="A1295" s="20"/>
      <c r="B1295" s="20"/>
      <c r="C1295" s="30"/>
      <c r="D1295" s="30"/>
      <c r="E1295" s="30"/>
      <c r="F1295" s="22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</row>
    <row r="1296">
      <c r="A1296" s="20"/>
      <c r="B1296" s="20"/>
      <c r="C1296" s="30"/>
      <c r="D1296" s="30"/>
      <c r="E1296" s="30"/>
      <c r="F1296" s="22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</row>
    <row r="1297">
      <c r="A1297" s="20"/>
      <c r="B1297" s="20"/>
      <c r="C1297" s="30"/>
      <c r="D1297" s="30"/>
      <c r="E1297" s="30"/>
      <c r="F1297" s="22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</row>
    <row r="1298">
      <c r="A1298" s="20"/>
      <c r="B1298" s="20"/>
      <c r="C1298" s="30"/>
      <c r="D1298" s="30"/>
      <c r="E1298" s="30"/>
      <c r="F1298" s="22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</row>
    <row r="1299">
      <c r="A1299" s="20"/>
      <c r="B1299" s="20"/>
      <c r="C1299" s="30"/>
      <c r="D1299" s="30"/>
      <c r="E1299" s="30"/>
      <c r="F1299" s="22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</row>
    <row r="1300">
      <c r="A1300" s="20"/>
      <c r="B1300" s="20"/>
      <c r="C1300" s="30"/>
      <c r="D1300" s="30"/>
      <c r="E1300" s="30"/>
      <c r="F1300" s="22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</row>
    <row r="1301">
      <c r="A1301" s="20"/>
      <c r="B1301" s="20"/>
      <c r="C1301" s="30"/>
      <c r="D1301" s="30"/>
      <c r="E1301" s="30"/>
      <c r="F1301" s="22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</row>
    <row r="1302">
      <c r="A1302" s="20"/>
      <c r="B1302" s="20"/>
      <c r="C1302" s="30"/>
      <c r="D1302" s="30"/>
      <c r="E1302" s="30"/>
      <c r="F1302" s="22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</row>
    <row r="1303">
      <c r="A1303" s="20"/>
      <c r="B1303" s="20"/>
      <c r="C1303" s="30"/>
      <c r="D1303" s="30"/>
      <c r="E1303" s="30"/>
      <c r="F1303" s="22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</row>
    <row r="1304">
      <c r="A1304" s="20"/>
      <c r="B1304" s="20"/>
      <c r="C1304" s="30"/>
      <c r="D1304" s="30"/>
      <c r="E1304" s="30"/>
      <c r="F1304" s="22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</row>
    <row r="1305">
      <c r="A1305" s="20"/>
      <c r="B1305" s="20"/>
      <c r="C1305" s="30"/>
      <c r="D1305" s="30"/>
      <c r="E1305" s="30"/>
      <c r="F1305" s="22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</row>
    <row r="1306">
      <c r="A1306" s="20"/>
      <c r="B1306" s="20"/>
      <c r="C1306" s="30"/>
      <c r="D1306" s="30"/>
      <c r="E1306" s="30"/>
      <c r="F1306" s="22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</row>
    <row r="1307">
      <c r="A1307" s="20"/>
      <c r="B1307" s="20"/>
      <c r="C1307" s="30"/>
      <c r="D1307" s="30"/>
      <c r="E1307" s="30"/>
      <c r="F1307" s="22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</row>
    <row r="1308">
      <c r="A1308" s="20"/>
      <c r="B1308" s="20"/>
      <c r="C1308" s="30"/>
      <c r="D1308" s="30"/>
      <c r="E1308" s="30"/>
      <c r="F1308" s="22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</row>
    <row r="1309">
      <c r="A1309" s="20"/>
      <c r="B1309" s="20"/>
      <c r="C1309" s="30"/>
      <c r="D1309" s="30"/>
      <c r="E1309" s="30"/>
      <c r="F1309" s="22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</row>
    <row r="1310">
      <c r="A1310" s="20"/>
      <c r="B1310" s="20"/>
      <c r="C1310" s="30"/>
      <c r="D1310" s="30"/>
      <c r="E1310" s="30"/>
      <c r="F1310" s="22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</row>
    <row r="1311">
      <c r="A1311" s="20"/>
      <c r="B1311" s="20"/>
      <c r="C1311" s="30"/>
      <c r="D1311" s="30"/>
      <c r="E1311" s="30"/>
      <c r="F1311" s="22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</row>
    <row r="1312">
      <c r="A1312" s="20"/>
      <c r="B1312" s="20"/>
      <c r="C1312" s="30"/>
      <c r="D1312" s="30"/>
      <c r="E1312" s="30"/>
      <c r="F1312" s="22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</row>
    <row r="1313">
      <c r="A1313" s="20"/>
      <c r="B1313" s="20"/>
      <c r="C1313" s="30"/>
      <c r="D1313" s="30"/>
      <c r="E1313" s="30"/>
      <c r="F1313" s="22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</row>
    <row r="1314">
      <c r="A1314" s="20"/>
      <c r="B1314" s="20"/>
      <c r="C1314" s="30"/>
      <c r="D1314" s="30"/>
      <c r="E1314" s="30"/>
      <c r="F1314" s="22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</row>
    <row r="1315">
      <c r="A1315" s="20"/>
      <c r="B1315" s="20"/>
      <c r="C1315" s="30"/>
      <c r="D1315" s="30"/>
      <c r="E1315" s="30"/>
      <c r="F1315" s="22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</row>
    <row r="1316">
      <c r="A1316" s="20"/>
      <c r="B1316" s="20"/>
      <c r="C1316" s="30"/>
      <c r="D1316" s="30"/>
      <c r="E1316" s="30"/>
      <c r="F1316" s="22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</row>
    <row r="1317">
      <c r="A1317" s="20"/>
      <c r="B1317" s="20"/>
      <c r="C1317" s="30"/>
      <c r="D1317" s="30"/>
      <c r="E1317" s="30"/>
      <c r="F1317" s="22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</row>
    <row r="1318">
      <c r="A1318" s="20"/>
      <c r="B1318" s="20"/>
      <c r="C1318" s="30"/>
      <c r="D1318" s="30"/>
      <c r="E1318" s="30"/>
      <c r="F1318" s="22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</row>
    <row r="1319">
      <c r="A1319" s="20"/>
      <c r="B1319" s="20"/>
      <c r="C1319" s="30"/>
      <c r="D1319" s="30"/>
      <c r="E1319" s="30"/>
      <c r="F1319" s="22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</row>
    <row r="1320">
      <c r="A1320" s="20"/>
      <c r="B1320" s="20"/>
      <c r="C1320" s="30"/>
      <c r="D1320" s="30"/>
      <c r="E1320" s="30"/>
      <c r="F1320" s="22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</row>
    <row r="1321">
      <c r="A1321" s="20"/>
      <c r="B1321" s="20"/>
      <c r="C1321" s="30"/>
      <c r="D1321" s="30"/>
      <c r="E1321" s="30"/>
      <c r="F1321" s="22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</row>
    <row r="1322">
      <c r="A1322" s="20"/>
      <c r="B1322" s="20"/>
      <c r="C1322" s="30"/>
      <c r="D1322" s="30"/>
      <c r="E1322" s="30"/>
      <c r="F1322" s="22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</row>
    <row r="1323">
      <c r="A1323" s="20"/>
      <c r="B1323" s="20"/>
      <c r="C1323" s="30"/>
      <c r="D1323" s="30"/>
      <c r="E1323" s="30"/>
      <c r="F1323" s="22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</row>
    <row r="1324">
      <c r="A1324" s="20"/>
      <c r="B1324" s="20"/>
      <c r="C1324" s="30"/>
      <c r="D1324" s="30"/>
      <c r="E1324" s="30"/>
      <c r="F1324" s="22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</row>
    <row r="1325">
      <c r="A1325" s="20"/>
      <c r="B1325" s="20"/>
      <c r="C1325" s="30"/>
      <c r="D1325" s="30"/>
      <c r="E1325" s="30"/>
      <c r="F1325" s="22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</row>
    <row r="1326">
      <c r="A1326" s="20"/>
      <c r="B1326" s="20"/>
      <c r="C1326" s="30"/>
      <c r="D1326" s="30"/>
      <c r="E1326" s="30"/>
      <c r="F1326" s="22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</row>
    <row r="1327">
      <c r="A1327" s="20"/>
      <c r="B1327" s="20"/>
      <c r="C1327" s="30"/>
      <c r="D1327" s="30"/>
      <c r="E1327" s="30"/>
      <c r="F1327" s="22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</row>
    <row r="1328">
      <c r="A1328" s="20"/>
      <c r="B1328" s="20"/>
      <c r="C1328" s="30"/>
      <c r="D1328" s="30"/>
      <c r="E1328" s="30"/>
      <c r="F1328" s="22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</row>
    <row r="1329">
      <c r="A1329" s="20"/>
      <c r="B1329" s="20"/>
      <c r="C1329" s="30"/>
      <c r="D1329" s="30"/>
      <c r="E1329" s="30"/>
      <c r="F1329" s="22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</row>
    <row r="1330">
      <c r="A1330" s="20"/>
      <c r="B1330" s="20"/>
      <c r="C1330" s="30"/>
      <c r="D1330" s="30"/>
      <c r="E1330" s="30"/>
      <c r="F1330" s="22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</row>
    <row r="1331">
      <c r="A1331" s="20"/>
      <c r="B1331" s="20"/>
      <c r="C1331" s="30"/>
      <c r="D1331" s="30"/>
      <c r="E1331" s="30"/>
      <c r="F1331" s="22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</row>
    <row r="1332">
      <c r="A1332" s="20"/>
      <c r="B1332" s="20"/>
      <c r="C1332" s="30"/>
      <c r="D1332" s="30"/>
      <c r="E1332" s="30"/>
      <c r="F1332" s="22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</row>
    <row r="1333">
      <c r="A1333" s="20"/>
      <c r="B1333" s="20"/>
      <c r="C1333" s="30"/>
      <c r="D1333" s="30"/>
      <c r="E1333" s="30"/>
      <c r="F1333" s="22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</row>
    <row r="1334">
      <c r="A1334" s="20"/>
      <c r="B1334" s="20"/>
      <c r="C1334" s="30"/>
      <c r="D1334" s="30"/>
      <c r="E1334" s="30"/>
      <c r="F1334" s="22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</row>
    <row r="1335">
      <c r="A1335" s="20"/>
      <c r="B1335" s="20"/>
      <c r="C1335" s="30"/>
      <c r="D1335" s="30"/>
      <c r="E1335" s="30"/>
      <c r="F1335" s="22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</row>
    <row r="1336">
      <c r="A1336" s="20"/>
      <c r="B1336" s="20"/>
      <c r="C1336" s="30"/>
      <c r="D1336" s="30"/>
      <c r="E1336" s="30"/>
      <c r="F1336" s="22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</row>
    <row r="1337">
      <c r="A1337" s="20"/>
      <c r="B1337" s="20"/>
      <c r="C1337" s="30"/>
      <c r="D1337" s="30"/>
      <c r="E1337" s="30"/>
      <c r="F1337" s="22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</row>
    <row r="1338">
      <c r="A1338" s="20"/>
      <c r="B1338" s="20"/>
      <c r="C1338" s="30"/>
      <c r="D1338" s="30"/>
      <c r="E1338" s="30"/>
      <c r="F1338" s="22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</row>
    <row r="1339">
      <c r="A1339" s="20"/>
      <c r="B1339" s="20"/>
      <c r="C1339" s="30"/>
      <c r="D1339" s="30"/>
      <c r="E1339" s="30"/>
      <c r="F1339" s="22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</row>
    <row r="1340">
      <c r="A1340" s="20"/>
      <c r="B1340" s="20"/>
      <c r="C1340" s="30"/>
      <c r="D1340" s="30"/>
      <c r="E1340" s="30"/>
      <c r="F1340" s="22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</row>
    <row r="1341">
      <c r="A1341" s="20"/>
      <c r="B1341" s="20"/>
      <c r="C1341" s="30"/>
      <c r="D1341" s="30"/>
      <c r="E1341" s="30"/>
      <c r="F1341" s="22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</row>
    <row r="1342">
      <c r="A1342" s="20"/>
      <c r="B1342" s="20"/>
      <c r="C1342" s="30"/>
      <c r="D1342" s="30"/>
      <c r="E1342" s="30"/>
      <c r="F1342" s="22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</row>
    <row r="1343">
      <c r="A1343" s="20"/>
      <c r="B1343" s="20"/>
      <c r="C1343" s="30"/>
      <c r="D1343" s="30"/>
      <c r="E1343" s="30"/>
      <c r="F1343" s="22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</row>
    <row r="1344">
      <c r="A1344" s="20"/>
      <c r="B1344" s="20"/>
      <c r="C1344" s="30"/>
      <c r="D1344" s="30"/>
      <c r="E1344" s="30"/>
      <c r="F1344" s="22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</row>
    <row r="1345">
      <c r="A1345" s="20"/>
      <c r="B1345" s="20"/>
      <c r="C1345" s="30"/>
      <c r="D1345" s="30"/>
      <c r="E1345" s="30"/>
      <c r="F1345" s="22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</row>
    <row r="1346">
      <c r="A1346" s="20"/>
      <c r="B1346" s="20"/>
      <c r="C1346" s="30"/>
      <c r="D1346" s="30"/>
      <c r="E1346" s="30"/>
      <c r="F1346" s="22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</row>
    <row r="1347">
      <c r="A1347" s="20"/>
      <c r="B1347" s="20"/>
      <c r="C1347" s="30"/>
      <c r="D1347" s="30"/>
      <c r="E1347" s="30"/>
      <c r="F1347" s="22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</row>
    <row r="1348">
      <c r="A1348" s="20"/>
      <c r="B1348" s="20"/>
      <c r="C1348" s="30"/>
      <c r="D1348" s="30"/>
      <c r="E1348" s="30"/>
      <c r="F1348" s="22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</row>
    <row r="1349">
      <c r="A1349" s="20"/>
      <c r="B1349" s="20"/>
      <c r="C1349" s="30"/>
      <c r="D1349" s="30"/>
      <c r="E1349" s="30"/>
      <c r="F1349" s="22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</row>
    <row r="1350">
      <c r="A1350" s="20"/>
      <c r="B1350" s="20"/>
      <c r="C1350" s="30"/>
      <c r="D1350" s="30"/>
      <c r="E1350" s="30"/>
      <c r="F1350" s="22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</row>
    <row r="1351">
      <c r="A1351" s="20"/>
      <c r="B1351" s="20"/>
      <c r="C1351" s="30"/>
      <c r="D1351" s="30"/>
      <c r="E1351" s="30"/>
      <c r="F1351" s="22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</row>
    <row r="1352">
      <c r="A1352" s="20"/>
      <c r="B1352" s="20"/>
      <c r="C1352" s="30"/>
      <c r="D1352" s="30"/>
      <c r="E1352" s="30"/>
      <c r="F1352" s="22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</row>
    <row r="1353">
      <c r="A1353" s="20"/>
      <c r="B1353" s="20"/>
      <c r="C1353" s="30"/>
      <c r="D1353" s="30"/>
      <c r="E1353" s="30"/>
      <c r="F1353" s="22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</row>
    <row r="1354">
      <c r="A1354" s="20"/>
      <c r="B1354" s="20"/>
      <c r="C1354" s="30"/>
      <c r="D1354" s="30"/>
      <c r="E1354" s="30"/>
      <c r="F1354" s="22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</row>
    <row r="1355">
      <c r="A1355" s="20"/>
      <c r="B1355" s="20"/>
      <c r="C1355" s="30"/>
      <c r="D1355" s="30"/>
      <c r="E1355" s="30"/>
      <c r="F1355" s="22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</row>
    <row r="1356">
      <c r="A1356" s="20"/>
      <c r="B1356" s="20"/>
      <c r="C1356" s="30"/>
      <c r="D1356" s="30"/>
      <c r="E1356" s="30"/>
      <c r="F1356" s="22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</row>
    <row r="1357">
      <c r="A1357" s="20"/>
      <c r="B1357" s="20"/>
      <c r="C1357" s="30"/>
      <c r="D1357" s="30"/>
      <c r="E1357" s="30"/>
      <c r="F1357" s="22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</row>
    <row r="1358">
      <c r="A1358" s="20"/>
      <c r="B1358" s="20"/>
      <c r="C1358" s="30"/>
      <c r="D1358" s="30"/>
      <c r="E1358" s="30"/>
      <c r="F1358" s="22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</row>
    <row r="1359">
      <c r="A1359" s="20"/>
      <c r="B1359" s="20"/>
      <c r="C1359" s="30"/>
      <c r="D1359" s="30"/>
      <c r="E1359" s="30"/>
      <c r="F1359" s="22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</row>
    <row r="1360">
      <c r="A1360" s="20"/>
      <c r="B1360" s="20"/>
      <c r="C1360" s="30"/>
      <c r="D1360" s="30"/>
      <c r="E1360" s="30"/>
      <c r="F1360" s="22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</row>
    <row r="1361">
      <c r="A1361" s="20"/>
      <c r="B1361" s="20"/>
      <c r="C1361" s="30"/>
      <c r="D1361" s="30"/>
      <c r="E1361" s="30"/>
      <c r="F1361" s="22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</row>
    <row r="1362">
      <c r="A1362" s="20"/>
      <c r="B1362" s="20"/>
      <c r="C1362" s="30"/>
      <c r="D1362" s="30"/>
      <c r="E1362" s="30"/>
      <c r="F1362" s="22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</row>
    <row r="1363">
      <c r="A1363" s="20"/>
      <c r="B1363" s="20"/>
      <c r="C1363" s="30"/>
      <c r="D1363" s="30"/>
      <c r="E1363" s="30"/>
      <c r="F1363" s="22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</row>
    <row r="1364">
      <c r="A1364" s="20"/>
      <c r="B1364" s="20"/>
      <c r="C1364" s="30"/>
      <c r="D1364" s="30"/>
      <c r="E1364" s="30"/>
      <c r="F1364" s="22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</row>
    <row r="1365">
      <c r="A1365" s="20"/>
      <c r="B1365" s="20"/>
      <c r="C1365" s="30"/>
      <c r="D1365" s="30"/>
      <c r="E1365" s="30"/>
      <c r="F1365" s="22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</row>
    <row r="1366">
      <c r="A1366" s="20"/>
      <c r="B1366" s="20"/>
      <c r="C1366" s="30"/>
      <c r="D1366" s="30"/>
      <c r="E1366" s="30"/>
      <c r="F1366" s="22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</row>
    <row r="1367">
      <c r="A1367" s="20"/>
      <c r="B1367" s="20"/>
      <c r="C1367" s="30"/>
      <c r="D1367" s="30"/>
      <c r="E1367" s="30"/>
      <c r="F1367" s="22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</row>
    <row r="1368">
      <c r="A1368" s="20"/>
      <c r="B1368" s="20"/>
      <c r="C1368" s="30"/>
      <c r="D1368" s="30"/>
      <c r="E1368" s="30"/>
      <c r="F1368" s="22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</row>
    <row r="1369">
      <c r="A1369" s="20"/>
      <c r="B1369" s="20"/>
      <c r="C1369" s="30"/>
      <c r="D1369" s="30"/>
      <c r="E1369" s="30"/>
      <c r="F1369" s="22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</row>
    <row r="1370">
      <c r="A1370" s="20"/>
      <c r="B1370" s="20"/>
      <c r="C1370" s="30"/>
      <c r="D1370" s="30"/>
      <c r="E1370" s="30"/>
      <c r="F1370" s="22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</row>
    <row r="1371">
      <c r="A1371" s="20"/>
      <c r="B1371" s="20"/>
      <c r="C1371" s="30"/>
      <c r="D1371" s="30"/>
      <c r="E1371" s="30"/>
      <c r="F1371" s="22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</row>
    <row r="1372">
      <c r="A1372" s="20"/>
      <c r="B1372" s="20"/>
      <c r="C1372" s="30"/>
      <c r="D1372" s="30"/>
      <c r="E1372" s="30"/>
      <c r="F1372" s="22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</row>
    <row r="1373">
      <c r="A1373" s="20"/>
      <c r="B1373" s="20"/>
      <c r="C1373" s="30"/>
      <c r="D1373" s="30"/>
      <c r="E1373" s="30"/>
      <c r="F1373" s="22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</row>
    <row r="1374">
      <c r="A1374" s="20"/>
      <c r="B1374" s="20"/>
      <c r="C1374" s="30"/>
      <c r="D1374" s="30"/>
      <c r="E1374" s="30"/>
      <c r="F1374" s="22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</row>
    <row r="1375">
      <c r="A1375" s="20"/>
      <c r="B1375" s="20"/>
      <c r="C1375" s="30"/>
      <c r="D1375" s="30"/>
      <c r="E1375" s="30"/>
      <c r="F1375" s="22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</row>
    <row r="1376">
      <c r="A1376" s="20"/>
      <c r="B1376" s="20"/>
      <c r="C1376" s="30"/>
      <c r="D1376" s="30"/>
      <c r="E1376" s="30"/>
      <c r="F1376" s="22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</row>
    <row r="1377">
      <c r="A1377" s="20"/>
      <c r="B1377" s="20"/>
      <c r="C1377" s="30"/>
      <c r="D1377" s="30"/>
      <c r="E1377" s="30"/>
      <c r="F1377" s="22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</row>
    <row r="1378">
      <c r="A1378" s="20"/>
      <c r="B1378" s="20"/>
      <c r="C1378" s="30"/>
      <c r="D1378" s="30"/>
      <c r="E1378" s="30"/>
      <c r="F1378" s="22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</row>
    <row r="1379">
      <c r="A1379" s="20"/>
      <c r="B1379" s="20"/>
      <c r="C1379" s="30"/>
      <c r="D1379" s="30"/>
      <c r="E1379" s="30"/>
      <c r="F1379" s="22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</row>
    <row r="1380">
      <c r="A1380" s="20"/>
      <c r="B1380" s="20"/>
      <c r="C1380" s="30"/>
      <c r="D1380" s="30"/>
      <c r="E1380" s="30"/>
      <c r="F1380" s="22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</row>
    <row r="1381">
      <c r="A1381" s="20"/>
      <c r="B1381" s="20"/>
      <c r="C1381" s="30"/>
      <c r="D1381" s="30"/>
      <c r="E1381" s="30"/>
      <c r="F1381" s="22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</row>
    <row r="1382">
      <c r="A1382" s="20"/>
      <c r="B1382" s="20"/>
      <c r="C1382" s="30"/>
      <c r="D1382" s="30"/>
      <c r="E1382" s="30"/>
      <c r="F1382" s="22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</row>
    <row r="1383">
      <c r="A1383" s="20"/>
      <c r="B1383" s="20"/>
      <c r="C1383" s="30"/>
      <c r="D1383" s="30"/>
      <c r="E1383" s="30"/>
      <c r="F1383" s="22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</row>
    <row r="1384">
      <c r="A1384" s="20"/>
      <c r="B1384" s="20"/>
      <c r="C1384" s="30"/>
      <c r="D1384" s="30"/>
      <c r="E1384" s="30"/>
      <c r="F1384" s="22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</row>
    <row r="1385">
      <c r="A1385" s="20"/>
      <c r="B1385" s="20"/>
      <c r="C1385" s="30"/>
      <c r="D1385" s="30"/>
      <c r="E1385" s="30"/>
      <c r="F1385" s="22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</row>
    <row r="1386">
      <c r="A1386" s="20"/>
      <c r="B1386" s="20"/>
      <c r="C1386" s="30"/>
      <c r="D1386" s="30"/>
      <c r="E1386" s="30"/>
      <c r="F1386" s="22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</row>
    <row r="1387">
      <c r="A1387" s="20"/>
      <c r="B1387" s="20"/>
      <c r="C1387" s="30"/>
      <c r="D1387" s="30"/>
      <c r="E1387" s="30"/>
      <c r="F1387" s="22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</row>
    <row r="1388">
      <c r="A1388" s="20"/>
      <c r="B1388" s="20"/>
      <c r="C1388" s="30"/>
      <c r="D1388" s="30"/>
      <c r="E1388" s="30"/>
      <c r="F1388" s="22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</row>
    <row r="1389">
      <c r="A1389" s="20"/>
      <c r="B1389" s="20"/>
      <c r="C1389" s="30"/>
      <c r="D1389" s="30"/>
      <c r="E1389" s="30"/>
      <c r="F1389" s="22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</row>
    <row r="1390">
      <c r="A1390" s="20"/>
      <c r="B1390" s="20"/>
      <c r="C1390" s="30"/>
      <c r="D1390" s="30"/>
      <c r="E1390" s="30"/>
      <c r="F1390" s="22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</row>
    <row r="1391">
      <c r="A1391" s="20"/>
      <c r="B1391" s="20"/>
      <c r="C1391" s="30"/>
      <c r="D1391" s="30"/>
      <c r="E1391" s="30"/>
      <c r="F1391" s="22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</row>
    <row r="1392">
      <c r="A1392" s="20"/>
      <c r="B1392" s="20"/>
      <c r="C1392" s="30"/>
      <c r="D1392" s="30"/>
      <c r="E1392" s="30"/>
      <c r="F1392" s="22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</row>
    <row r="1393">
      <c r="A1393" s="20"/>
      <c r="B1393" s="20"/>
      <c r="C1393" s="30"/>
      <c r="D1393" s="30"/>
      <c r="E1393" s="30"/>
      <c r="F1393" s="22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</row>
    <row r="1394">
      <c r="A1394" s="20"/>
      <c r="B1394" s="20"/>
      <c r="C1394" s="30"/>
      <c r="D1394" s="30"/>
      <c r="E1394" s="30"/>
      <c r="F1394" s="22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</row>
    <row r="1395">
      <c r="A1395" s="20"/>
      <c r="B1395" s="20"/>
      <c r="C1395" s="30"/>
      <c r="D1395" s="30"/>
      <c r="E1395" s="30"/>
      <c r="F1395" s="22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</row>
    <row r="1396">
      <c r="A1396" s="20"/>
      <c r="B1396" s="20"/>
      <c r="C1396" s="30"/>
      <c r="D1396" s="30"/>
      <c r="E1396" s="30"/>
      <c r="F1396" s="22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</row>
    <row r="1397">
      <c r="A1397" s="20"/>
      <c r="B1397" s="20"/>
      <c r="C1397" s="30"/>
      <c r="D1397" s="30"/>
      <c r="E1397" s="30"/>
      <c r="F1397" s="22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</row>
    <row r="1398">
      <c r="A1398" s="20"/>
      <c r="B1398" s="20"/>
      <c r="C1398" s="30"/>
      <c r="D1398" s="30"/>
      <c r="E1398" s="30"/>
      <c r="F1398" s="22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</row>
    <row r="1399">
      <c r="A1399" s="20"/>
      <c r="B1399" s="20"/>
      <c r="C1399" s="30"/>
      <c r="D1399" s="30"/>
      <c r="E1399" s="30"/>
      <c r="F1399" s="22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</row>
    <row r="1400">
      <c r="A1400" s="20"/>
      <c r="B1400" s="20"/>
      <c r="C1400" s="30"/>
      <c r="D1400" s="30"/>
      <c r="E1400" s="30"/>
      <c r="F1400" s="22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</row>
    <row r="1401">
      <c r="A1401" s="20"/>
      <c r="B1401" s="20"/>
      <c r="C1401" s="30"/>
      <c r="D1401" s="30"/>
      <c r="E1401" s="30"/>
      <c r="F1401" s="22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</row>
    <row r="1402">
      <c r="A1402" s="20"/>
      <c r="B1402" s="20"/>
      <c r="C1402" s="30"/>
      <c r="D1402" s="30"/>
      <c r="E1402" s="30"/>
      <c r="F1402" s="22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</row>
    <row r="1403">
      <c r="A1403" s="20"/>
      <c r="B1403" s="20"/>
      <c r="C1403" s="30"/>
      <c r="D1403" s="30"/>
      <c r="E1403" s="30"/>
      <c r="F1403" s="22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</row>
    <row r="1404">
      <c r="A1404" s="20"/>
      <c r="B1404" s="20"/>
      <c r="C1404" s="30"/>
      <c r="D1404" s="30"/>
      <c r="E1404" s="30"/>
      <c r="F1404" s="22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</row>
    <row r="1405">
      <c r="A1405" s="20"/>
      <c r="B1405" s="20"/>
      <c r="C1405" s="30"/>
      <c r="D1405" s="30"/>
      <c r="E1405" s="30"/>
      <c r="F1405" s="22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</row>
    <row r="1406">
      <c r="A1406" s="20"/>
      <c r="B1406" s="20"/>
      <c r="C1406" s="30"/>
      <c r="D1406" s="30"/>
      <c r="E1406" s="30"/>
      <c r="F1406" s="22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</row>
    <row r="1407">
      <c r="A1407" s="20"/>
      <c r="B1407" s="20"/>
      <c r="C1407" s="30"/>
      <c r="D1407" s="30"/>
      <c r="E1407" s="30"/>
      <c r="F1407" s="22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</row>
    <row r="1408">
      <c r="A1408" s="20"/>
      <c r="B1408" s="20"/>
      <c r="C1408" s="30"/>
      <c r="D1408" s="30"/>
      <c r="E1408" s="30"/>
      <c r="F1408" s="22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</row>
    <row r="1409">
      <c r="A1409" s="20"/>
      <c r="B1409" s="20"/>
      <c r="C1409" s="30"/>
      <c r="D1409" s="30"/>
      <c r="E1409" s="30"/>
      <c r="F1409" s="22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</row>
    <row r="1410">
      <c r="A1410" s="20"/>
      <c r="B1410" s="20"/>
      <c r="C1410" s="30"/>
      <c r="D1410" s="30"/>
      <c r="E1410" s="30"/>
      <c r="F1410" s="22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</row>
    <row r="1411">
      <c r="A1411" s="20"/>
      <c r="B1411" s="20"/>
      <c r="C1411" s="30"/>
      <c r="D1411" s="30"/>
      <c r="E1411" s="30"/>
      <c r="F1411" s="22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</row>
    <row r="1412">
      <c r="A1412" s="20"/>
      <c r="B1412" s="20"/>
      <c r="C1412" s="30"/>
      <c r="D1412" s="30"/>
      <c r="E1412" s="30"/>
      <c r="F1412" s="22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</row>
    <row r="1413">
      <c r="A1413" s="20"/>
      <c r="B1413" s="20"/>
      <c r="C1413" s="30"/>
      <c r="D1413" s="30"/>
      <c r="E1413" s="30"/>
      <c r="F1413" s="22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</row>
    <row r="1414">
      <c r="A1414" s="20"/>
      <c r="B1414" s="20"/>
      <c r="C1414" s="30"/>
      <c r="D1414" s="30"/>
      <c r="E1414" s="30"/>
      <c r="F1414" s="22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</row>
    <row r="1415">
      <c r="A1415" s="20"/>
      <c r="B1415" s="20"/>
      <c r="C1415" s="30"/>
      <c r="D1415" s="30"/>
      <c r="E1415" s="30"/>
      <c r="F1415" s="22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</row>
    <row r="1416">
      <c r="A1416" s="20"/>
      <c r="B1416" s="20"/>
      <c r="C1416" s="30"/>
      <c r="D1416" s="30"/>
      <c r="E1416" s="30"/>
      <c r="F1416" s="22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</row>
    <row r="1417">
      <c r="A1417" s="20"/>
      <c r="B1417" s="20"/>
      <c r="C1417" s="30"/>
      <c r="D1417" s="30"/>
      <c r="E1417" s="30"/>
      <c r="F1417" s="22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</row>
    <row r="1418">
      <c r="A1418" s="20"/>
      <c r="B1418" s="20"/>
      <c r="C1418" s="30"/>
      <c r="D1418" s="30"/>
      <c r="E1418" s="30"/>
      <c r="F1418" s="22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</row>
    <row r="1419">
      <c r="A1419" s="20"/>
      <c r="B1419" s="20"/>
      <c r="C1419" s="30"/>
      <c r="D1419" s="30"/>
      <c r="E1419" s="30"/>
      <c r="F1419" s="22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</row>
    <row r="1420">
      <c r="A1420" s="20"/>
      <c r="B1420" s="20"/>
      <c r="C1420" s="30"/>
      <c r="D1420" s="30"/>
      <c r="E1420" s="30"/>
      <c r="F1420" s="22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</row>
    <row r="1421">
      <c r="A1421" s="20"/>
      <c r="B1421" s="20"/>
      <c r="C1421" s="30"/>
      <c r="D1421" s="30"/>
      <c r="E1421" s="30"/>
      <c r="F1421" s="22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</row>
    <row r="1422">
      <c r="A1422" s="20"/>
      <c r="B1422" s="20"/>
      <c r="C1422" s="30"/>
      <c r="D1422" s="30"/>
      <c r="E1422" s="30"/>
      <c r="F1422" s="22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</row>
    <row r="1423">
      <c r="A1423" s="20"/>
      <c r="B1423" s="20"/>
      <c r="C1423" s="30"/>
      <c r="D1423" s="30"/>
      <c r="E1423" s="30"/>
      <c r="F1423" s="22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</row>
    <row r="1424">
      <c r="A1424" s="20"/>
      <c r="B1424" s="20"/>
      <c r="C1424" s="30"/>
      <c r="D1424" s="30"/>
      <c r="E1424" s="30"/>
      <c r="F1424" s="22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</row>
    <row r="1425">
      <c r="A1425" s="20"/>
      <c r="B1425" s="20"/>
      <c r="C1425" s="30"/>
      <c r="D1425" s="30"/>
      <c r="E1425" s="30"/>
      <c r="F1425" s="22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</row>
    <row r="1426">
      <c r="A1426" s="20"/>
      <c r="B1426" s="20"/>
      <c r="C1426" s="30"/>
      <c r="D1426" s="30"/>
      <c r="E1426" s="30"/>
      <c r="F1426" s="22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</row>
    <row r="1427">
      <c r="A1427" s="20"/>
      <c r="B1427" s="20"/>
      <c r="C1427" s="30"/>
      <c r="D1427" s="30"/>
      <c r="E1427" s="30"/>
      <c r="F1427" s="22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</row>
    <row r="1428">
      <c r="A1428" s="20"/>
      <c r="B1428" s="20"/>
      <c r="C1428" s="30"/>
      <c r="D1428" s="30"/>
      <c r="E1428" s="30"/>
      <c r="F1428" s="22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</row>
    <row r="1429">
      <c r="A1429" s="20"/>
      <c r="B1429" s="20"/>
      <c r="C1429" s="30"/>
      <c r="D1429" s="30"/>
      <c r="E1429" s="30"/>
      <c r="F1429" s="22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</row>
    <row r="1430">
      <c r="A1430" s="20"/>
      <c r="B1430" s="20"/>
      <c r="C1430" s="30"/>
      <c r="D1430" s="30"/>
      <c r="E1430" s="30"/>
      <c r="F1430" s="22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</row>
    <row r="1431">
      <c r="A1431" s="20"/>
      <c r="B1431" s="20"/>
      <c r="C1431" s="30"/>
      <c r="D1431" s="30"/>
      <c r="E1431" s="30"/>
      <c r="F1431" s="22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</row>
    <row r="1432">
      <c r="A1432" s="20"/>
      <c r="B1432" s="20"/>
      <c r="C1432" s="30"/>
      <c r="D1432" s="30"/>
      <c r="E1432" s="30"/>
      <c r="F1432" s="22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</row>
    <row r="1433">
      <c r="A1433" s="20"/>
      <c r="B1433" s="20"/>
      <c r="C1433" s="30"/>
      <c r="D1433" s="30"/>
      <c r="E1433" s="30"/>
      <c r="F1433" s="22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</row>
    <row r="1434">
      <c r="A1434" s="20"/>
      <c r="B1434" s="20"/>
      <c r="C1434" s="30"/>
      <c r="D1434" s="30"/>
      <c r="E1434" s="30"/>
      <c r="F1434" s="22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</row>
    <row r="1435">
      <c r="A1435" s="20"/>
      <c r="B1435" s="20"/>
      <c r="C1435" s="30"/>
      <c r="D1435" s="30"/>
      <c r="E1435" s="30"/>
      <c r="F1435" s="22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</row>
    <row r="1436">
      <c r="A1436" s="20"/>
      <c r="B1436" s="20"/>
      <c r="C1436" s="30"/>
      <c r="D1436" s="30"/>
      <c r="E1436" s="30"/>
      <c r="F1436" s="22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</row>
    <row r="1437">
      <c r="A1437" s="20"/>
      <c r="B1437" s="20"/>
      <c r="C1437" s="30"/>
      <c r="D1437" s="30"/>
      <c r="E1437" s="30"/>
      <c r="F1437" s="22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</row>
    <row r="1438">
      <c r="A1438" s="20"/>
      <c r="B1438" s="20"/>
      <c r="C1438" s="30"/>
      <c r="D1438" s="30"/>
      <c r="E1438" s="30"/>
      <c r="F1438" s="22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</row>
    <row r="1439">
      <c r="A1439" s="20"/>
      <c r="B1439" s="20"/>
      <c r="C1439" s="30"/>
      <c r="D1439" s="30"/>
      <c r="E1439" s="30"/>
      <c r="F1439" s="22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</row>
    <row r="1440">
      <c r="A1440" s="20"/>
      <c r="B1440" s="20"/>
      <c r="C1440" s="30"/>
      <c r="D1440" s="30"/>
      <c r="E1440" s="30"/>
      <c r="F1440" s="22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</row>
    <row r="1441">
      <c r="A1441" s="20"/>
      <c r="B1441" s="20"/>
      <c r="C1441" s="30"/>
      <c r="D1441" s="30"/>
      <c r="E1441" s="30"/>
      <c r="F1441" s="22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</row>
    <row r="1442">
      <c r="A1442" s="20"/>
      <c r="B1442" s="20"/>
      <c r="C1442" s="30"/>
      <c r="D1442" s="30"/>
      <c r="E1442" s="30"/>
      <c r="F1442" s="22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</row>
    <row r="1443">
      <c r="A1443" s="20"/>
      <c r="B1443" s="20"/>
      <c r="C1443" s="30"/>
      <c r="D1443" s="30"/>
      <c r="E1443" s="30"/>
      <c r="F1443" s="22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</row>
    <row r="1444">
      <c r="A1444" s="20"/>
      <c r="B1444" s="20"/>
      <c r="C1444" s="30"/>
      <c r="D1444" s="30"/>
      <c r="E1444" s="30"/>
      <c r="F1444" s="22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</row>
    <row r="1445">
      <c r="A1445" s="20"/>
      <c r="B1445" s="20"/>
      <c r="C1445" s="30"/>
      <c r="D1445" s="30"/>
      <c r="E1445" s="30"/>
      <c r="F1445" s="22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</row>
    <row r="1446">
      <c r="A1446" s="20"/>
      <c r="B1446" s="20"/>
      <c r="C1446" s="30"/>
      <c r="D1446" s="30"/>
      <c r="E1446" s="30"/>
      <c r="F1446" s="22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</row>
    <row r="1447">
      <c r="A1447" s="20"/>
      <c r="B1447" s="20"/>
      <c r="C1447" s="30"/>
      <c r="D1447" s="30"/>
      <c r="E1447" s="30"/>
      <c r="F1447" s="22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</row>
    <row r="1448">
      <c r="A1448" s="20"/>
      <c r="B1448" s="20"/>
      <c r="C1448" s="30"/>
      <c r="D1448" s="30"/>
      <c r="E1448" s="30"/>
      <c r="F1448" s="22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</row>
    <row r="1449">
      <c r="A1449" s="20"/>
      <c r="B1449" s="20"/>
      <c r="C1449" s="30"/>
      <c r="D1449" s="30"/>
      <c r="E1449" s="30"/>
      <c r="F1449" s="22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</row>
    <row r="1450">
      <c r="A1450" s="20"/>
      <c r="B1450" s="20"/>
      <c r="C1450" s="30"/>
      <c r="D1450" s="30"/>
      <c r="E1450" s="30"/>
      <c r="F1450" s="22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</row>
    <row r="1451">
      <c r="A1451" s="20"/>
      <c r="B1451" s="20"/>
      <c r="C1451" s="30"/>
      <c r="D1451" s="30"/>
      <c r="E1451" s="30"/>
      <c r="F1451" s="22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</row>
    <row r="1452">
      <c r="A1452" s="20"/>
      <c r="B1452" s="20"/>
      <c r="C1452" s="30"/>
      <c r="D1452" s="30"/>
      <c r="E1452" s="30"/>
      <c r="F1452" s="22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</row>
    <row r="1453">
      <c r="A1453" s="20"/>
      <c r="B1453" s="20"/>
      <c r="C1453" s="30"/>
      <c r="D1453" s="30"/>
      <c r="E1453" s="30"/>
      <c r="F1453" s="22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</row>
    <row r="1454">
      <c r="A1454" s="20"/>
      <c r="B1454" s="20"/>
      <c r="C1454" s="30"/>
      <c r="D1454" s="30"/>
      <c r="E1454" s="30"/>
      <c r="F1454" s="22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</row>
    <row r="1455">
      <c r="A1455" s="20"/>
      <c r="B1455" s="20"/>
      <c r="C1455" s="30"/>
      <c r="D1455" s="30"/>
      <c r="E1455" s="30"/>
      <c r="F1455" s="22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</row>
    <row r="1456">
      <c r="A1456" s="20"/>
      <c r="B1456" s="20"/>
      <c r="C1456" s="30"/>
      <c r="D1456" s="30"/>
      <c r="E1456" s="30"/>
      <c r="F1456" s="22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</row>
    <row r="1457">
      <c r="A1457" s="20"/>
      <c r="B1457" s="20"/>
      <c r="C1457" s="30"/>
      <c r="D1457" s="30"/>
      <c r="E1457" s="30"/>
      <c r="F1457" s="22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</row>
    <row r="1458">
      <c r="A1458" s="20"/>
      <c r="B1458" s="20"/>
      <c r="C1458" s="30"/>
      <c r="D1458" s="30"/>
      <c r="E1458" s="30"/>
      <c r="F1458" s="22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</row>
    <row r="1459">
      <c r="A1459" s="20"/>
      <c r="B1459" s="20"/>
      <c r="C1459" s="30"/>
      <c r="D1459" s="30"/>
      <c r="E1459" s="30"/>
      <c r="F1459" s="22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</row>
    <row r="1460">
      <c r="A1460" s="20"/>
      <c r="B1460" s="20"/>
      <c r="C1460" s="30"/>
      <c r="D1460" s="30"/>
      <c r="E1460" s="30"/>
      <c r="F1460" s="22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</row>
    <row r="1461">
      <c r="A1461" s="20"/>
      <c r="B1461" s="20"/>
      <c r="C1461" s="30"/>
      <c r="D1461" s="30"/>
      <c r="E1461" s="30"/>
      <c r="F1461" s="22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</row>
    <row r="1462">
      <c r="A1462" s="20"/>
      <c r="B1462" s="20"/>
      <c r="C1462" s="30"/>
      <c r="D1462" s="30"/>
      <c r="E1462" s="30"/>
      <c r="F1462" s="22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</row>
    <row r="1463">
      <c r="A1463" s="20"/>
      <c r="B1463" s="20"/>
      <c r="C1463" s="30"/>
      <c r="D1463" s="30"/>
      <c r="E1463" s="30"/>
      <c r="F1463" s="22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</row>
    <row r="1464">
      <c r="A1464" s="20"/>
      <c r="B1464" s="20"/>
      <c r="C1464" s="30"/>
      <c r="D1464" s="30"/>
      <c r="E1464" s="30"/>
      <c r="F1464" s="22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</row>
    <row r="1465">
      <c r="A1465" s="20"/>
      <c r="B1465" s="20"/>
      <c r="C1465" s="30"/>
      <c r="D1465" s="30"/>
      <c r="E1465" s="30"/>
      <c r="F1465" s="22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</row>
    <row r="1466">
      <c r="A1466" s="20"/>
      <c r="B1466" s="20"/>
      <c r="C1466" s="30"/>
      <c r="D1466" s="30"/>
      <c r="E1466" s="30"/>
      <c r="F1466" s="22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</row>
    <row r="1467">
      <c r="A1467" s="20"/>
      <c r="B1467" s="20"/>
      <c r="C1467" s="30"/>
      <c r="D1467" s="30"/>
      <c r="E1467" s="30"/>
      <c r="F1467" s="22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</row>
    <row r="1468">
      <c r="A1468" s="20"/>
      <c r="B1468" s="20"/>
      <c r="C1468" s="30"/>
      <c r="D1468" s="30"/>
      <c r="E1468" s="30"/>
      <c r="F1468" s="22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</row>
    <row r="1469">
      <c r="A1469" s="20"/>
      <c r="B1469" s="20"/>
      <c r="C1469" s="30"/>
      <c r="D1469" s="30"/>
      <c r="E1469" s="30"/>
      <c r="F1469" s="22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</row>
    <row r="1470">
      <c r="A1470" s="20"/>
      <c r="B1470" s="20"/>
      <c r="C1470" s="30"/>
      <c r="D1470" s="30"/>
      <c r="E1470" s="30"/>
      <c r="F1470" s="22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</row>
    <row r="1471">
      <c r="A1471" s="20"/>
      <c r="B1471" s="20"/>
      <c r="C1471" s="30"/>
      <c r="D1471" s="30"/>
      <c r="E1471" s="30"/>
      <c r="F1471" s="22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</row>
    <row r="1472">
      <c r="A1472" s="20"/>
      <c r="B1472" s="20"/>
      <c r="C1472" s="30"/>
      <c r="D1472" s="30"/>
      <c r="E1472" s="30"/>
      <c r="F1472" s="22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</row>
    <row r="1473">
      <c r="A1473" s="20"/>
      <c r="B1473" s="20"/>
      <c r="C1473" s="30"/>
      <c r="D1473" s="30"/>
      <c r="E1473" s="30"/>
      <c r="F1473" s="22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</row>
    <row r="1474">
      <c r="A1474" s="20"/>
      <c r="B1474" s="20"/>
      <c r="C1474" s="30"/>
      <c r="D1474" s="30"/>
      <c r="E1474" s="30"/>
      <c r="F1474" s="22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</row>
    <row r="1475">
      <c r="A1475" s="20"/>
      <c r="B1475" s="20"/>
      <c r="C1475" s="30"/>
      <c r="D1475" s="30"/>
      <c r="E1475" s="30"/>
      <c r="F1475" s="22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</row>
    <row r="1476">
      <c r="A1476" s="20"/>
      <c r="B1476" s="20"/>
      <c r="C1476" s="30"/>
      <c r="D1476" s="30"/>
      <c r="E1476" s="30"/>
      <c r="F1476" s="22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</row>
    <row r="1477">
      <c r="A1477" s="20"/>
      <c r="B1477" s="20"/>
      <c r="C1477" s="30"/>
      <c r="D1477" s="30"/>
      <c r="E1477" s="30"/>
      <c r="F1477" s="22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</row>
    <row r="1478">
      <c r="A1478" s="20"/>
      <c r="B1478" s="20"/>
      <c r="C1478" s="30"/>
      <c r="D1478" s="30"/>
      <c r="E1478" s="30"/>
      <c r="F1478" s="22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</row>
    <row r="1479">
      <c r="A1479" s="20"/>
      <c r="B1479" s="20"/>
      <c r="C1479" s="30"/>
      <c r="D1479" s="30"/>
      <c r="E1479" s="30"/>
      <c r="F1479" s="22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</row>
    <row r="1480">
      <c r="A1480" s="20"/>
      <c r="B1480" s="20"/>
      <c r="C1480" s="30"/>
      <c r="D1480" s="30"/>
      <c r="E1480" s="30"/>
      <c r="F1480" s="22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</row>
    <row r="1481">
      <c r="A1481" s="20"/>
      <c r="B1481" s="20"/>
      <c r="C1481" s="30"/>
      <c r="D1481" s="30"/>
      <c r="E1481" s="30"/>
      <c r="F1481" s="22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</row>
    <row r="1482">
      <c r="A1482" s="20"/>
      <c r="B1482" s="20"/>
      <c r="C1482" s="30"/>
      <c r="D1482" s="30"/>
      <c r="E1482" s="30"/>
      <c r="F1482" s="22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</row>
    <row r="1483">
      <c r="A1483" s="20"/>
      <c r="B1483" s="20"/>
      <c r="C1483" s="30"/>
      <c r="D1483" s="30"/>
      <c r="E1483" s="30"/>
      <c r="F1483" s="22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</row>
    <row r="1484">
      <c r="A1484" s="20"/>
      <c r="B1484" s="20"/>
      <c r="C1484" s="30"/>
      <c r="D1484" s="30"/>
      <c r="E1484" s="30"/>
      <c r="F1484" s="22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</row>
    <row r="1485">
      <c r="A1485" s="20"/>
      <c r="B1485" s="20"/>
      <c r="C1485" s="30"/>
      <c r="D1485" s="30"/>
      <c r="E1485" s="30"/>
      <c r="F1485" s="22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</row>
    <row r="1486">
      <c r="A1486" s="20"/>
      <c r="B1486" s="20"/>
      <c r="C1486" s="30"/>
      <c r="D1486" s="30"/>
      <c r="E1486" s="30"/>
      <c r="F1486" s="22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</row>
    <row r="1487">
      <c r="A1487" s="20"/>
      <c r="B1487" s="20"/>
      <c r="C1487" s="30"/>
      <c r="D1487" s="30"/>
      <c r="E1487" s="30"/>
      <c r="F1487" s="22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</row>
    <row r="1488">
      <c r="A1488" s="20"/>
      <c r="B1488" s="20"/>
      <c r="C1488" s="30"/>
      <c r="D1488" s="30"/>
      <c r="E1488" s="30"/>
      <c r="F1488" s="22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</row>
    <row r="1489">
      <c r="A1489" s="20"/>
      <c r="B1489" s="20"/>
      <c r="C1489" s="30"/>
      <c r="D1489" s="30"/>
      <c r="E1489" s="30"/>
      <c r="F1489" s="22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</row>
    <row r="1490">
      <c r="A1490" s="20"/>
      <c r="B1490" s="20"/>
      <c r="C1490" s="30"/>
      <c r="D1490" s="30"/>
      <c r="E1490" s="30"/>
      <c r="F1490" s="22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</row>
    <row r="1491">
      <c r="A1491" s="20"/>
      <c r="B1491" s="20"/>
      <c r="C1491" s="30"/>
      <c r="D1491" s="30"/>
      <c r="E1491" s="30"/>
      <c r="F1491" s="22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</row>
    <row r="1492">
      <c r="A1492" s="20"/>
      <c r="B1492" s="20"/>
      <c r="C1492" s="30"/>
      <c r="D1492" s="30"/>
      <c r="E1492" s="30"/>
      <c r="F1492" s="22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</row>
    <row r="1493">
      <c r="A1493" s="20"/>
      <c r="B1493" s="20"/>
      <c r="C1493" s="30"/>
      <c r="D1493" s="30"/>
      <c r="E1493" s="30"/>
      <c r="F1493" s="22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</row>
    <row r="1494">
      <c r="A1494" s="20"/>
      <c r="B1494" s="20"/>
      <c r="C1494" s="30"/>
      <c r="D1494" s="30"/>
      <c r="E1494" s="30"/>
      <c r="F1494" s="22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</row>
    <row r="1495">
      <c r="A1495" s="20"/>
      <c r="B1495" s="20"/>
      <c r="C1495" s="30"/>
      <c r="D1495" s="30"/>
      <c r="E1495" s="30"/>
      <c r="F1495" s="22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</row>
    <row r="1496">
      <c r="A1496" s="20"/>
      <c r="B1496" s="20"/>
      <c r="C1496" s="30"/>
      <c r="D1496" s="30"/>
      <c r="E1496" s="30"/>
      <c r="F1496" s="22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</row>
    <row r="1497">
      <c r="A1497" s="20"/>
      <c r="B1497" s="20"/>
      <c r="C1497" s="30"/>
      <c r="D1497" s="30"/>
      <c r="E1497" s="30"/>
      <c r="F1497" s="22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</row>
    <row r="1498">
      <c r="A1498" s="20"/>
      <c r="B1498" s="20"/>
      <c r="C1498" s="30"/>
      <c r="D1498" s="30"/>
      <c r="E1498" s="30"/>
      <c r="F1498" s="22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</row>
    <row r="1499">
      <c r="A1499" s="20"/>
      <c r="B1499" s="20"/>
      <c r="C1499" s="30"/>
      <c r="D1499" s="30"/>
      <c r="E1499" s="30"/>
      <c r="F1499" s="22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</row>
    <row r="1500">
      <c r="A1500" s="20"/>
      <c r="B1500" s="20"/>
      <c r="C1500" s="30"/>
      <c r="D1500" s="30"/>
      <c r="E1500" s="30"/>
      <c r="F1500" s="22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</row>
    <row r="1501">
      <c r="A1501" s="20"/>
      <c r="B1501" s="20"/>
      <c r="C1501" s="30"/>
      <c r="D1501" s="30"/>
      <c r="E1501" s="30"/>
      <c r="F1501" s="22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</row>
    <row r="1502">
      <c r="A1502" s="20"/>
      <c r="B1502" s="20"/>
      <c r="C1502" s="30"/>
      <c r="D1502" s="30"/>
      <c r="E1502" s="30"/>
      <c r="F1502" s="22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</row>
    <row r="1503">
      <c r="A1503" s="20"/>
      <c r="B1503" s="20"/>
      <c r="C1503" s="30"/>
      <c r="D1503" s="30"/>
      <c r="E1503" s="30"/>
      <c r="F1503" s="22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</row>
    <row r="1504">
      <c r="A1504" s="20"/>
      <c r="B1504" s="20"/>
      <c r="C1504" s="30"/>
      <c r="D1504" s="30"/>
      <c r="E1504" s="30"/>
      <c r="F1504" s="22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</row>
    <row r="1505">
      <c r="A1505" s="20"/>
      <c r="B1505" s="20"/>
      <c r="C1505" s="30"/>
      <c r="D1505" s="30"/>
      <c r="E1505" s="30"/>
      <c r="F1505" s="22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</row>
    <row r="1506">
      <c r="A1506" s="20"/>
      <c r="B1506" s="20"/>
      <c r="C1506" s="30"/>
      <c r="D1506" s="30"/>
      <c r="E1506" s="30"/>
      <c r="F1506" s="22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</row>
    <row r="1507">
      <c r="A1507" s="20"/>
      <c r="B1507" s="20"/>
      <c r="C1507" s="30"/>
      <c r="D1507" s="30"/>
      <c r="E1507" s="30"/>
      <c r="F1507" s="22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</row>
    <row r="1508">
      <c r="A1508" s="20"/>
      <c r="B1508" s="20"/>
      <c r="C1508" s="30"/>
      <c r="D1508" s="30"/>
      <c r="E1508" s="30"/>
      <c r="F1508" s="22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</row>
    <row r="1509">
      <c r="A1509" s="20"/>
      <c r="B1509" s="20"/>
      <c r="C1509" s="30"/>
      <c r="D1509" s="30"/>
      <c r="E1509" s="30"/>
      <c r="F1509" s="22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</row>
    <row r="1510">
      <c r="A1510" s="20"/>
      <c r="B1510" s="20"/>
      <c r="C1510" s="30"/>
      <c r="D1510" s="30"/>
      <c r="E1510" s="30"/>
      <c r="F1510" s="22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</row>
    <row r="1511">
      <c r="A1511" s="20"/>
      <c r="B1511" s="20"/>
      <c r="C1511" s="30"/>
      <c r="D1511" s="30"/>
      <c r="E1511" s="30"/>
      <c r="F1511" s="22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</row>
    <row r="1512">
      <c r="A1512" s="20"/>
      <c r="B1512" s="20"/>
      <c r="C1512" s="30"/>
      <c r="D1512" s="30"/>
      <c r="E1512" s="30"/>
      <c r="F1512" s="22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</row>
    <row r="1513">
      <c r="A1513" s="20"/>
      <c r="B1513" s="20"/>
      <c r="C1513" s="30"/>
      <c r="D1513" s="30"/>
      <c r="E1513" s="30"/>
      <c r="F1513" s="22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</row>
    <row r="1514">
      <c r="A1514" s="20"/>
      <c r="B1514" s="20"/>
      <c r="C1514" s="30"/>
      <c r="D1514" s="30"/>
      <c r="E1514" s="30"/>
      <c r="F1514" s="22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</row>
    <row r="1515">
      <c r="A1515" s="20"/>
      <c r="B1515" s="20"/>
      <c r="C1515" s="30"/>
      <c r="D1515" s="30"/>
      <c r="E1515" s="30"/>
      <c r="F1515" s="22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</row>
    <row r="1516">
      <c r="A1516" s="20"/>
      <c r="B1516" s="20"/>
      <c r="C1516" s="30"/>
      <c r="D1516" s="30"/>
      <c r="E1516" s="30"/>
      <c r="F1516" s="22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</row>
    <row r="1517">
      <c r="A1517" s="20"/>
      <c r="B1517" s="20"/>
      <c r="C1517" s="30"/>
      <c r="D1517" s="30"/>
      <c r="E1517" s="30"/>
      <c r="F1517" s="22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</row>
    <row r="1518">
      <c r="A1518" s="20"/>
      <c r="B1518" s="20"/>
      <c r="C1518" s="30"/>
      <c r="D1518" s="30"/>
      <c r="E1518" s="30"/>
      <c r="F1518" s="22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</row>
    <row r="1519">
      <c r="A1519" s="20"/>
      <c r="B1519" s="20"/>
      <c r="C1519" s="30"/>
      <c r="D1519" s="30"/>
      <c r="E1519" s="30"/>
      <c r="F1519" s="22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</row>
    <row r="1520">
      <c r="A1520" s="20"/>
      <c r="B1520" s="20"/>
      <c r="C1520" s="30"/>
      <c r="D1520" s="30"/>
      <c r="E1520" s="30"/>
      <c r="F1520" s="22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</row>
    <row r="1521">
      <c r="A1521" s="20"/>
      <c r="B1521" s="20"/>
      <c r="C1521" s="30"/>
      <c r="D1521" s="30"/>
      <c r="E1521" s="30"/>
      <c r="F1521" s="22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</row>
    <row r="1522">
      <c r="A1522" s="20"/>
      <c r="B1522" s="20"/>
      <c r="C1522" s="30"/>
      <c r="D1522" s="30"/>
      <c r="E1522" s="30"/>
      <c r="F1522" s="22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</row>
    <row r="1523">
      <c r="A1523" s="20"/>
      <c r="B1523" s="20"/>
      <c r="C1523" s="30"/>
      <c r="D1523" s="30"/>
      <c r="E1523" s="30"/>
      <c r="F1523" s="22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</row>
    <row r="1524">
      <c r="A1524" s="20"/>
      <c r="B1524" s="20"/>
      <c r="C1524" s="30"/>
      <c r="D1524" s="30"/>
      <c r="E1524" s="30"/>
      <c r="F1524" s="22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</row>
    <row r="1525">
      <c r="A1525" s="20"/>
      <c r="B1525" s="20"/>
      <c r="C1525" s="30"/>
      <c r="D1525" s="30"/>
      <c r="E1525" s="30"/>
      <c r="F1525" s="22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</row>
    <row r="1526">
      <c r="A1526" s="20"/>
      <c r="B1526" s="20"/>
      <c r="C1526" s="30"/>
      <c r="D1526" s="30"/>
      <c r="E1526" s="30"/>
      <c r="F1526" s="22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</row>
    <row r="1527">
      <c r="A1527" s="20"/>
      <c r="B1527" s="20"/>
      <c r="C1527" s="30"/>
      <c r="D1527" s="30"/>
      <c r="E1527" s="30"/>
      <c r="F1527" s="22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</row>
    <row r="1528">
      <c r="A1528" s="20"/>
      <c r="B1528" s="20"/>
      <c r="C1528" s="30"/>
      <c r="D1528" s="30"/>
      <c r="E1528" s="30"/>
      <c r="F1528" s="22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</row>
    <row r="1529">
      <c r="A1529" s="20"/>
      <c r="B1529" s="20"/>
      <c r="C1529" s="30"/>
      <c r="D1529" s="30"/>
      <c r="E1529" s="30"/>
      <c r="F1529" s="22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</row>
    <row r="1530">
      <c r="A1530" s="20"/>
      <c r="B1530" s="20"/>
      <c r="C1530" s="30"/>
      <c r="D1530" s="30"/>
      <c r="E1530" s="30"/>
      <c r="F1530" s="22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</row>
    <row r="1531">
      <c r="A1531" s="20"/>
      <c r="B1531" s="20"/>
      <c r="C1531" s="30"/>
      <c r="D1531" s="30"/>
      <c r="E1531" s="30"/>
      <c r="F1531" s="22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</row>
    <row r="1532">
      <c r="A1532" s="20"/>
      <c r="B1532" s="20"/>
      <c r="C1532" s="30"/>
      <c r="D1532" s="30"/>
      <c r="E1532" s="30"/>
      <c r="F1532" s="22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</row>
    <row r="1533">
      <c r="A1533" s="20"/>
      <c r="B1533" s="20"/>
      <c r="C1533" s="30"/>
      <c r="D1533" s="30"/>
      <c r="E1533" s="30"/>
      <c r="F1533" s="22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</row>
    <row r="1534">
      <c r="A1534" s="20"/>
      <c r="B1534" s="20"/>
      <c r="C1534" s="30"/>
      <c r="D1534" s="30"/>
      <c r="E1534" s="30"/>
      <c r="F1534" s="22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</row>
    <row r="1535">
      <c r="A1535" s="20"/>
      <c r="B1535" s="20"/>
      <c r="C1535" s="30"/>
      <c r="D1535" s="30"/>
      <c r="E1535" s="30"/>
      <c r="F1535" s="22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</row>
    <row r="1536">
      <c r="A1536" s="20"/>
      <c r="B1536" s="20"/>
      <c r="C1536" s="30"/>
      <c r="D1536" s="30"/>
      <c r="E1536" s="30"/>
      <c r="F1536" s="22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</row>
    <row r="1537">
      <c r="A1537" s="20"/>
      <c r="B1537" s="20"/>
      <c r="C1537" s="30"/>
      <c r="D1537" s="30"/>
      <c r="E1537" s="30"/>
      <c r="F1537" s="22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</row>
    <row r="1538">
      <c r="A1538" s="20"/>
      <c r="B1538" s="20"/>
      <c r="C1538" s="30"/>
      <c r="D1538" s="30"/>
      <c r="E1538" s="30"/>
      <c r="F1538" s="22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</row>
    <row r="1539">
      <c r="A1539" s="20"/>
      <c r="B1539" s="20"/>
      <c r="C1539" s="30"/>
      <c r="D1539" s="30"/>
      <c r="E1539" s="30"/>
      <c r="F1539" s="22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</row>
    <row r="1540">
      <c r="A1540" s="20"/>
      <c r="B1540" s="20"/>
      <c r="C1540" s="30"/>
      <c r="D1540" s="30"/>
      <c r="E1540" s="30"/>
      <c r="F1540" s="22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</row>
    <row r="1541">
      <c r="A1541" s="20"/>
      <c r="B1541" s="20"/>
      <c r="C1541" s="30"/>
      <c r="D1541" s="30"/>
      <c r="E1541" s="30"/>
      <c r="F1541" s="22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</row>
    <row r="1542">
      <c r="A1542" s="20"/>
      <c r="B1542" s="20"/>
      <c r="C1542" s="30"/>
      <c r="D1542" s="30"/>
      <c r="E1542" s="30"/>
      <c r="F1542" s="22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</row>
    <row r="1543">
      <c r="A1543" s="20"/>
      <c r="B1543" s="20"/>
      <c r="C1543" s="30"/>
      <c r="D1543" s="30"/>
      <c r="E1543" s="30"/>
      <c r="F1543" s="22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</row>
    <row r="1544">
      <c r="A1544" s="20"/>
      <c r="B1544" s="20"/>
      <c r="C1544" s="30"/>
      <c r="D1544" s="30"/>
      <c r="E1544" s="30"/>
      <c r="F1544" s="22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</row>
    <row r="1545">
      <c r="A1545" s="20"/>
      <c r="B1545" s="20"/>
      <c r="C1545" s="30"/>
      <c r="D1545" s="30"/>
      <c r="E1545" s="30"/>
      <c r="F1545" s="22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</row>
    <row r="1546">
      <c r="A1546" s="20"/>
      <c r="B1546" s="20"/>
      <c r="C1546" s="30"/>
      <c r="D1546" s="30"/>
      <c r="E1546" s="30"/>
      <c r="F1546" s="22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</row>
    <row r="1547">
      <c r="A1547" s="20"/>
      <c r="B1547" s="20"/>
      <c r="C1547" s="30"/>
      <c r="D1547" s="30"/>
      <c r="E1547" s="30"/>
      <c r="F1547" s="22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</row>
    <row r="1548">
      <c r="A1548" s="20"/>
      <c r="B1548" s="20"/>
      <c r="C1548" s="30"/>
      <c r="D1548" s="30"/>
      <c r="E1548" s="30"/>
      <c r="F1548" s="22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</row>
    <row r="1549">
      <c r="A1549" s="20"/>
      <c r="B1549" s="20"/>
      <c r="C1549" s="30"/>
      <c r="D1549" s="30"/>
      <c r="E1549" s="30"/>
      <c r="F1549" s="22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</row>
    <row r="1550">
      <c r="A1550" s="20"/>
      <c r="B1550" s="20"/>
      <c r="C1550" s="30"/>
      <c r="D1550" s="30"/>
      <c r="E1550" s="30"/>
      <c r="F1550" s="22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</row>
    <row r="1551">
      <c r="A1551" s="20"/>
      <c r="B1551" s="20"/>
      <c r="C1551" s="30"/>
      <c r="D1551" s="30"/>
      <c r="E1551" s="30"/>
      <c r="F1551" s="22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</row>
    <row r="1552">
      <c r="A1552" s="20"/>
      <c r="B1552" s="20"/>
      <c r="C1552" s="30"/>
      <c r="D1552" s="30"/>
      <c r="E1552" s="30"/>
      <c r="F1552" s="22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</row>
    <row r="1553">
      <c r="A1553" s="20"/>
      <c r="B1553" s="20"/>
      <c r="C1553" s="30"/>
      <c r="D1553" s="30"/>
      <c r="E1553" s="30"/>
      <c r="F1553" s="22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</row>
    <row r="1554">
      <c r="A1554" s="20"/>
      <c r="B1554" s="20"/>
      <c r="C1554" s="30"/>
      <c r="D1554" s="30"/>
      <c r="E1554" s="30"/>
      <c r="F1554" s="22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</row>
    <row r="1555">
      <c r="A1555" s="20"/>
      <c r="B1555" s="20"/>
      <c r="C1555" s="30"/>
      <c r="D1555" s="30"/>
      <c r="E1555" s="30"/>
      <c r="F1555" s="22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</row>
    <row r="1556">
      <c r="A1556" s="20"/>
      <c r="B1556" s="20"/>
      <c r="C1556" s="30"/>
      <c r="D1556" s="30"/>
      <c r="E1556" s="30"/>
      <c r="F1556" s="22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</row>
    <row r="1557">
      <c r="A1557" s="20"/>
      <c r="B1557" s="20"/>
      <c r="C1557" s="30"/>
      <c r="D1557" s="30"/>
      <c r="E1557" s="30"/>
      <c r="F1557" s="22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</row>
    <row r="1558">
      <c r="A1558" s="20"/>
      <c r="B1558" s="20"/>
      <c r="C1558" s="30"/>
      <c r="D1558" s="30"/>
      <c r="E1558" s="30"/>
      <c r="F1558" s="22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</row>
    <row r="1559">
      <c r="A1559" s="20"/>
      <c r="B1559" s="20"/>
      <c r="C1559" s="30"/>
      <c r="D1559" s="30"/>
      <c r="E1559" s="30"/>
      <c r="F1559" s="22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</row>
    <row r="1560">
      <c r="A1560" s="20"/>
      <c r="B1560" s="20"/>
      <c r="C1560" s="30"/>
      <c r="D1560" s="30"/>
      <c r="E1560" s="30"/>
      <c r="F1560" s="22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</row>
    <row r="1561">
      <c r="A1561" s="20"/>
      <c r="B1561" s="20"/>
      <c r="C1561" s="30"/>
      <c r="D1561" s="30"/>
      <c r="E1561" s="30"/>
      <c r="F1561" s="22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</row>
    <row r="1562">
      <c r="A1562" s="20"/>
      <c r="B1562" s="20"/>
      <c r="C1562" s="30"/>
      <c r="D1562" s="30"/>
      <c r="E1562" s="30"/>
      <c r="F1562" s="22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</row>
    <row r="1563">
      <c r="A1563" s="20"/>
      <c r="B1563" s="20"/>
      <c r="C1563" s="30"/>
      <c r="D1563" s="30"/>
      <c r="E1563" s="30"/>
      <c r="F1563" s="22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</row>
    <row r="1564">
      <c r="A1564" s="20"/>
      <c r="B1564" s="20"/>
      <c r="C1564" s="30"/>
      <c r="D1564" s="30"/>
      <c r="E1564" s="30"/>
      <c r="F1564" s="22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</row>
    <row r="1565">
      <c r="A1565" s="20"/>
      <c r="B1565" s="20"/>
      <c r="C1565" s="30"/>
      <c r="D1565" s="30"/>
      <c r="E1565" s="30"/>
      <c r="F1565" s="22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</row>
    <row r="1566">
      <c r="A1566" s="20"/>
      <c r="B1566" s="20"/>
      <c r="C1566" s="30"/>
      <c r="D1566" s="30"/>
      <c r="E1566" s="30"/>
      <c r="F1566" s="22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</row>
    <row r="1567">
      <c r="A1567" s="20"/>
      <c r="B1567" s="20"/>
      <c r="C1567" s="30"/>
      <c r="D1567" s="30"/>
      <c r="E1567" s="30"/>
      <c r="F1567" s="22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</row>
    <row r="1568">
      <c r="A1568" s="20"/>
      <c r="B1568" s="20"/>
      <c r="C1568" s="30"/>
      <c r="D1568" s="30"/>
      <c r="E1568" s="30"/>
      <c r="F1568" s="22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</row>
    <row r="1569">
      <c r="A1569" s="20"/>
      <c r="B1569" s="20"/>
      <c r="C1569" s="30"/>
      <c r="D1569" s="30"/>
      <c r="E1569" s="30"/>
      <c r="F1569" s="22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</row>
    <row r="1570">
      <c r="A1570" s="20"/>
      <c r="B1570" s="20"/>
      <c r="C1570" s="30"/>
      <c r="D1570" s="30"/>
      <c r="E1570" s="30"/>
      <c r="F1570" s="22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</row>
    <row r="1571">
      <c r="A1571" s="20"/>
      <c r="B1571" s="20"/>
      <c r="C1571" s="30"/>
      <c r="D1571" s="30"/>
      <c r="E1571" s="30"/>
      <c r="F1571" s="22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</row>
    <row r="1572">
      <c r="A1572" s="20"/>
      <c r="B1572" s="20"/>
      <c r="C1572" s="30"/>
      <c r="D1572" s="30"/>
      <c r="E1572" s="30"/>
      <c r="F1572" s="22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</row>
    <row r="1573">
      <c r="A1573" s="20"/>
      <c r="B1573" s="20"/>
      <c r="C1573" s="30"/>
      <c r="D1573" s="30"/>
      <c r="E1573" s="30"/>
      <c r="F1573" s="22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</row>
    <row r="1574">
      <c r="A1574" s="20"/>
      <c r="B1574" s="20"/>
      <c r="C1574" s="30"/>
      <c r="D1574" s="30"/>
      <c r="E1574" s="30"/>
      <c r="F1574" s="22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</row>
    <row r="1575">
      <c r="A1575" s="20"/>
      <c r="B1575" s="20"/>
      <c r="C1575" s="30"/>
      <c r="D1575" s="30"/>
      <c r="E1575" s="30"/>
      <c r="F1575" s="22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</row>
    <row r="1576">
      <c r="A1576" s="20"/>
      <c r="B1576" s="20"/>
      <c r="C1576" s="30"/>
      <c r="D1576" s="30"/>
      <c r="E1576" s="30"/>
      <c r="F1576" s="22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</row>
    <row r="1577">
      <c r="A1577" s="20"/>
      <c r="B1577" s="20"/>
      <c r="C1577" s="30"/>
      <c r="D1577" s="30"/>
      <c r="E1577" s="30"/>
      <c r="F1577" s="22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</row>
    <row r="1578">
      <c r="A1578" s="20"/>
      <c r="B1578" s="20"/>
      <c r="C1578" s="30"/>
      <c r="D1578" s="30"/>
      <c r="E1578" s="30"/>
      <c r="F1578" s="22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</row>
    <row r="1579">
      <c r="A1579" s="20"/>
      <c r="B1579" s="20"/>
      <c r="C1579" s="30"/>
      <c r="D1579" s="30"/>
      <c r="E1579" s="30"/>
      <c r="F1579" s="22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</row>
    <row r="1580">
      <c r="A1580" s="20"/>
      <c r="B1580" s="20"/>
      <c r="C1580" s="30"/>
      <c r="D1580" s="30"/>
      <c r="E1580" s="30"/>
      <c r="F1580" s="22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</row>
    <row r="1581">
      <c r="A1581" s="20"/>
      <c r="B1581" s="20"/>
      <c r="C1581" s="30"/>
      <c r="D1581" s="30"/>
      <c r="E1581" s="30"/>
      <c r="F1581" s="22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</row>
    <row r="1582">
      <c r="A1582" s="20"/>
      <c r="B1582" s="20"/>
      <c r="C1582" s="30"/>
      <c r="D1582" s="30"/>
      <c r="E1582" s="30"/>
      <c r="F1582" s="22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</row>
    <row r="1583">
      <c r="A1583" s="20"/>
      <c r="B1583" s="20"/>
      <c r="C1583" s="30"/>
      <c r="D1583" s="30"/>
      <c r="E1583" s="30"/>
      <c r="F1583" s="22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</row>
    <row r="1584">
      <c r="A1584" s="20"/>
      <c r="B1584" s="20"/>
      <c r="C1584" s="30"/>
      <c r="D1584" s="30"/>
      <c r="E1584" s="30"/>
      <c r="F1584" s="22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</row>
    <row r="1585">
      <c r="A1585" s="20"/>
      <c r="B1585" s="20"/>
      <c r="C1585" s="30"/>
      <c r="D1585" s="30"/>
      <c r="E1585" s="30"/>
      <c r="F1585" s="22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</row>
    <row r="1586">
      <c r="A1586" s="20"/>
      <c r="B1586" s="20"/>
      <c r="C1586" s="30"/>
      <c r="D1586" s="30"/>
      <c r="E1586" s="30"/>
      <c r="F1586" s="22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</row>
    <row r="1587">
      <c r="A1587" s="20"/>
      <c r="B1587" s="20"/>
      <c r="C1587" s="30"/>
      <c r="D1587" s="30"/>
      <c r="E1587" s="30"/>
      <c r="F1587" s="22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</row>
    <row r="1588">
      <c r="A1588" s="20"/>
      <c r="B1588" s="20"/>
      <c r="C1588" s="30"/>
      <c r="D1588" s="30"/>
      <c r="E1588" s="30"/>
      <c r="F1588" s="22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</row>
    <row r="1589">
      <c r="A1589" s="20"/>
      <c r="B1589" s="20"/>
      <c r="C1589" s="30"/>
      <c r="D1589" s="30"/>
      <c r="E1589" s="30"/>
      <c r="F1589" s="22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</row>
    <row r="1590">
      <c r="A1590" s="20"/>
      <c r="B1590" s="20"/>
      <c r="C1590" s="30"/>
      <c r="D1590" s="30"/>
      <c r="E1590" s="30"/>
      <c r="F1590" s="22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</row>
    <row r="1591">
      <c r="A1591" s="20"/>
      <c r="B1591" s="20"/>
      <c r="C1591" s="30"/>
      <c r="D1591" s="30"/>
      <c r="E1591" s="30"/>
      <c r="F1591" s="22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</row>
    <row r="1592">
      <c r="A1592" s="20"/>
      <c r="B1592" s="20"/>
      <c r="C1592" s="30"/>
      <c r="D1592" s="30"/>
      <c r="E1592" s="30"/>
      <c r="F1592" s="22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</row>
    <row r="1593">
      <c r="A1593" s="20"/>
      <c r="B1593" s="20"/>
      <c r="C1593" s="30"/>
      <c r="D1593" s="30"/>
      <c r="E1593" s="30"/>
      <c r="F1593" s="22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</row>
    <row r="1594">
      <c r="A1594" s="20"/>
      <c r="B1594" s="20"/>
      <c r="C1594" s="30"/>
      <c r="D1594" s="30"/>
      <c r="E1594" s="30"/>
      <c r="F1594" s="22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</row>
    <row r="1595">
      <c r="A1595" s="20"/>
      <c r="B1595" s="20"/>
      <c r="C1595" s="30"/>
      <c r="D1595" s="30"/>
      <c r="E1595" s="30"/>
      <c r="F1595" s="22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</row>
    <row r="1596">
      <c r="A1596" s="20"/>
      <c r="B1596" s="20"/>
      <c r="C1596" s="30"/>
      <c r="D1596" s="30"/>
      <c r="E1596" s="30"/>
      <c r="F1596" s="22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</row>
    <row r="1597">
      <c r="A1597" s="20"/>
      <c r="B1597" s="20"/>
      <c r="C1597" s="30"/>
      <c r="D1597" s="30"/>
      <c r="E1597" s="30"/>
      <c r="F1597" s="22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</row>
    <row r="1598">
      <c r="A1598" s="20"/>
      <c r="B1598" s="20"/>
      <c r="C1598" s="30"/>
      <c r="D1598" s="30"/>
      <c r="E1598" s="30"/>
      <c r="F1598" s="22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</row>
    <row r="1599">
      <c r="A1599" s="20"/>
      <c r="B1599" s="20"/>
      <c r="C1599" s="30"/>
      <c r="D1599" s="30"/>
      <c r="E1599" s="30"/>
      <c r="F1599" s="22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</row>
    <row r="1600">
      <c r="A1600" s="20"/>
      <c r="B1600" s="20"/>
      <c r="C1600" s="30"/>
      <c r="D1600" s="30"/>
      <c r="E1600" s="30"/>
      <c r="F1600" s="22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</row>
    <row r="1601">
      <c r="A1601" s="20"/>
      <c r="B1601" s="20"/>
      <c r="C1601" s="30"/>
      <c r="D1601" s="30"/>
      <c r="E1601" s="30"/>
      <c r="F1601" s="22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</row>
    <row r="1602">
      <c r="A1602" s="20"/>
      <c r="B1602" s="20"/>
      <c r="C1602" s="30"/>
      <c r="D1602" s="30"/>
      <c r="E1602" s="30"/>
      <c r="F1602" s="22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</row>
    <row r="1603">
      <c r="A1603" s="20"/>
      <c r="B1603" s="20"/>
      <c r="C1603" s="30"/>
      <c r="D1603" s="30"/>
      <c r="E1603" s="30"/>
      <c r="F1603" s="22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</row>
    <row r="1604">
      <c r="A1604" s="20"/>
      <c r="B1604" s="20"/>
      <c r="C1604" s="30"/>
      <c r="D1604" s="30"/>
      <c r="E1604" s="30"/>
      <c r="F1604" s="22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</row>
    <row r="1605">
      <c r="A1605" s="20"/>
      <c r="B1605" s="20"/>
      <c r="C1605" s="30"/>
      <c r="D1605" s="30"/>
      <c r="E1605" s="30"/>
      <c r="F1605" s="22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</row>
    <row r="1606">
      <c r="A1606" s="20"/>
      <c r="B1606" s="20"/>
      <c r="C1606" s="30"/>
      <c r="D1606" s="30"/>
      <c r="E1606" s="30"/>
      <c r="F1606" s="22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</row>
    <row r="1607">
      <c r="A1607" s="20"/>
      <c r="B1607" s="20"/>
      <c r="C1607" s="30"/>
      <c r="D1607" s="30"/>
      <c r="E1607" s="30"/>
      <c r="F1607" s="22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</row>
    <row r="1608">
      <c r="A1608" s="20"/>
      <c r="B1608" s="20"/>
      <c r="C1608" s="30"/>
      <c r="D1608" s="30"/>
      <c r="E1608" s="30"/>
      <c r="F1608" s="22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</row>
    <row r="1609">
      <c r="A1609" s="20"/>
      <c r="B1609" s="20"/>
      <c r="C1609" s="30"/>
      <c r="D1609" s="30"/>
      <c r="E1609" s="30"/>
      <c r="F1609" s="22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</row>
    <row r="1610">
      <c r="A1610" s="20"/>
      <c r="B1610" s="20"/>
      <c r="C1610" s="30"/>
      <c r="D1610" s="30"/>
      <c r="E1610" s="30"/>
      <c r="F1610" s="22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</row>
    <row r="1611">
      <c r="A1611" s="20"/>
      <c r="B1611" s="20"/>
      <c r="C1611" s="30"/>
      <c r="D1611" s="30"/>
      <c r="E1611" s="30"/>
      <c r="F1611" s="22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</row>
    <row r="1612">
      <c r="A1612" s="20"/>
      <c r="B1612" s="20"/>
      <c r="C1612" s="30"/>
      <c r="D1612" s="30"/>
      <c r="E1612" s="30"/>
      <c r="F1612" s="22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</row>
    <row r="1613">
      <c r="A1613" s="20"/>
      <c r="B1613" s="20"/>
      <c r="C1613" s="30"/>
      <c r="D1613" s="30"/>
      <c r="E1613" s="30"/>
      <c r="F1613" s="22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</row>
    <row r="1614">
      <c r="A1614" s="20"/>
      <c r="B1614" s="20"/>
      <c r="C1614" s="30"/>
      <c r="D1614" s="30"/>
      <c r="E1614" s="30"/>
      <c r="F1614" s="22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</row>
    <row r="1615">
      <c r="A1615" s="20"/>
      <c r="B1615" s="20"/>
      <c r="C1615" s="30"/>
      <c r="D1615" s="30"/>
      <c r="E1615" s="30"/>
      <c r="F1615" s="22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</row>
    <row r="1616">
      <c r="A1616" s="20"/>
      <c r="B1616" s="20"/>
      <c r="C1616" s="30"/>
      <c r="D1616" s="30"/>
      <c r="E1616" s="30"/>
      <c r="F1616" s="22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</row>
    <row r="1617">
      <c r="A1617" s="20"/>
      <c r="B1617" s="20"/>
      <c r="C1617" s="30"/>
      <c r="D1617" s="30"/>
      <c r="E1617" s="30"/>
      <c r="F1617" s="22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</row>
    <row r="1618">
      <c r="A1618" s="20"/>
      <c r="B1618" s="20"/>
      <c r="C1618" s="30"/>
      <c r="D1618" s="30"/>
      <c r="E1618" s="30"/>
      <c r="F1618" s="22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</row>
    <row r="1619">
      <c r="A1619" s="20"/>
      <c r="B1619" s="20"/>
      <c r="C1619" s="30"/>
      <c r="D1619" s="30"/>
      <c r="E1619" s="30"/>
      <c r="F1619" s="22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</row>
    <row r="1620">
      <c r="A1620" s="20"/>
      <c r="B1620" s="20"/>
      <c r="C1620" s="30"/>
      <c r="D1620" s="30"/>
      <c r="E1620" s="30"/>
      <c r="F1620" s="22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</row>
    <row r="1621">
      <c r="A1621" s="20"/>
      <c r="B1621" s="20"/>
      <c r="C1621" s="30"/>
      <c r="D1621" s="30"/>
      <c r="E1621" s="30"/>
      <c r="F1621" s="22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</row>
    <row r="1622">
      <c r="A1622" s="20"/>
      <c r="B1622" s="20"/>
      <c r="C1622" s="30"/>
      <c r="D1622" s="30"/>
      <c r="E1622" s="30"/>
      <c r="F1622" s="22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</row>
    <row r="1623">
      <c r="A1623" s="20"/>
      <c r="B1623" s="20"/>
      <c r="C1623" s="30"/>
      <c r="D1623" s="30"/>
      <c r="E1623" s="30"/>
      <c r="F1623" s="22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</row>
    <row r="1624">
      <c r="A1624" s="20"/>
      <c r="B1624" s="20"/>
      <c r="C1624" s="30"/>
      <c r="D1624" s="30"/>
      <c r="E1624" s="30"/>
      <c r="F1624" s="22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</row>
    <row r="1625">
      <c r="A1625" s="20"/>
      <c r="B1625" s="20"/>
      <c r="C1625" s="30"/>
      <c r="D1625" s="30"/>
      <c r="E1625" s="30"/>
      <c r="F1625" s="22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</row>
    <row r="1626">
      <c r="A1626" s="20"/>
      <c r="B1626" s="20"/>
      <c r="C1626" s="30"/>
      <c r="D1626" s="30"/>
      <c r="E1626" s="30"/>
      <c r="F1626" s="22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</row>
    <row r="1627">
      <c r="A1627" s="20"/>
      <c r="B1627" s="20"/>
      <c r="C1627" s="30"/>
      <c r="D1627" s="30"/>
      <c r="E1627" s="30"/>
      <c r="F1627" s="22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</row>
    <row r="1628">
      <c r="A1628" s="20"/>
      <c r="B1628" s="20"/>
      <c r="C1628" s="30"/>
      <c r="D1628" s="30"/>
      <c r="E1628" s="30"/>
      <c r="F1628" s="22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</row>
    <row r="1629">
      <c r="A1629" s="20"/>
      <c r="B1629" s="20"/>
      <c r="C1629" s="30"/>
      <c r="D1629" s="30"/>
      <c r="E1629" s="30"/>
      <c r="F1629" s="22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</row>
    <row r="1630">
      <c r="A1630" s="20"/>
      <c r="B1630" s="20"/>
      <c r="C1630" s="30"/>
      <c r="D1630" s="30"/>
      <c r="E1630" s="30"/>
      <c r="F1630" s="22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</row>
    <row r="1631">
      <c r="A1631" s="20"/>
      <c r="B1631" s="20"/>
      <c r="C1631" s="30"/>
      <c r="D1631" s="30"/>
      <c r="E1631" s="30"/>
      <c r="F1631" s="22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</row>
    <row r="1632">
      <c r="A1632" s="20"/>
      <c r="B1632" s="20"/>
      <c r="C1632" s="30"/>
      <c r="D1632" s="30"/>
      <c r="E1632" s="30"/>
      <c r="F1632" s="22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</row>
    <row r="1633">
      <c r="A1633" s="20"/>
      <c r="B1633" s="20"/>
      <c r="C1633" s="30"/>
      <c r="D1633" s="30"/>
      <c r="E1633" s="30"/>
      <c r="F1633" s="22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</row>
    <row r="1634">
      <c r="A1634" s="20"/>
      <c r="B1634" s="20"/>
      <c r="C1634" s="30"/>
      <c r="D1634" s="30"/>
      <c r="E1634" s="30"/>
      <c r="F1634" s="22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</row>
    <row r="1635">
      <c r="A1635" s="20"/>
      <c r="B1635" s="20"/>
      <c r="C1635" s="30"/>
      <c r="D1635" s="30"/>
      <c r="E1635" s="30"/>
      <c r="F1635" s="22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</row>
    <row r="1636">
      <c r="A1636" s="20"/>
      <c r="B1636" s="20"/>
      <c r="C1636" s="30"/>
      <c r="D1636" s="30"/>
      <c r="E1636" s="30"/>
      <c r="F1636" s="22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</row>
    <row r="1637">
      <c r="A1637" s="20"/>
      <c r="B1637" s="20"/>
      <c r="C1637" s="30"/>
      <c r="D1637" s="30"/>
      <c r="E1637" s="30"/>
      <c r="F1637" s="22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</row>
    <row r="1638">
      <c r="A1638" s="20"/>
      <c r="B1638" s="20"/>
      <c r="C1638" s="30"/>
      <c r="D1638" s="30"/>
      <c r="E1638" s="30"/>
      <c r="F1638" s="22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</row>
    <row r="1639">
      <c r="A1639" s="20"/>
      <c r="B1639" s="20"/>
      <c r="C1639" s="30"/>
      <c r="D1639" s="30"/>
      <c r="E1639" s="30"/>
      <c r="F1639" s="22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</row>
    <row r="1640">
      <c r="A1640" s="20"/>
      <c r="B1640" s="20"/>
      <c r="C1640" s="30"/>
      <c r="D1640" s="30"/>
      <c r="E1640" s="30"/>
      <c r="F1640" s="22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</row>
    <row r="1641">
      <c r="A1641" s="20"/>
      <c r="B1641" s="20"/>
      <c r="C1641" s="30"/>
      <c r="D1641" s="30"/>
      <c r="E1641" s="30"/>
      <c r="F1641" s="22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</row>
    <row r="1642">
      <c r="A1642" s="20"/>
      <c r="B1642" s="20"/>
      <c r="C1642" s="30"/>
      <c r="D1642" s="30"/>
      <c r="E1642" s="30"/>
      <c r="F1642" s="22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</row>
    <row r="1643">
      <c r="A1643" s="20"/>
      <c r="B1643" s="20"/>
      <c r="C1643" s="30"/>
      <c r="D1643" s="30"/>
      <c r="E1643" s="30"/>
      <c r="F1643" s="22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</row>
    <row r="1644">
      <c r="A1644" s="20"/>
      <c r="B1644" s="20"/>
      <c r="C1644" s="30"/>
      <c r="D1644" s="30"/>
      <c r="E1644" s="30"/>
      <c r="F1644" s="22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</row>
    <row r="1645">
      <c r="A1645" s="20"/>
      <c r="B1645" s="20"/>
      <c r="C1645" s="30"/>
      <c r="D1645" s="30"/>
      <c r="E1645" s="30"/>
      <c r="F1645" s="22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</row>
    <row r="1646">
      <c r="A1646" s="20"/>
      <c r="B1646" s="20"/>
      <c r="C1646" s="30"/>
      <c r="D1646" s="30"/>
      <c r="E1646" s="30"/>
      <c r="F1646" s="22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</row>
    <row r="1647">
      <c r="A1647" s="20"/>
      <c r="B1647" s="20"/>
      <c r="C1647" s="30"/>
      <c r="D1647" s="30"/>
      <c r="E1647" s="30"/>
      <c r="F1647" s="22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</row>
    <row r="1648">
      <c r="A1648" s="20"/>
      <c r="B1648" s="20"/>
      <c r="C1648" s="30"/>
      <c r="D1648" s="30"/>
      <c r="E1648" s="30"/>
      <c r="F1648" s="22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</row>
    <row r="1649">
      <c r="A1649" s="20"/>
      <c r="B1649" s="20"/>
      <c r="C1649" s="30"/>
      <c r="D1649" s="30"/>
      <c r="E1649" s="30"/>
      <c r="F1649" s="22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</row>
    <row r="1650">
      <c r="A1650" s="20"/>
      <c r="B1650" s="20"/>
      <c r="C1650" s="30"/>
      <c r="D1650" s="30"/>
      <c r="E1650" s="30"/>
      <c r="F1650" s="22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</row>
    <row r="1651">
      <c r="A1651" s="20"/>
      <c r="B1651" s="20"/>
      <c r="C1651" s="30"/>
      <c r="D1651" s="30"/>
      <c r="E1651" s="30"/>
      <c r="F1651" s="22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</row>
    <row r="1652">
      <c r="A1652" s="20"/>
      <c r="B1652" s="20"/>
      <c r="C1652" s="30"/>
      <c r="D1652" s="30"/>
      <c r="E1652" s="30"/>
      <c r="F1652" s="22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</row>
    <row r="1653">
      <c r="A1653" s="20"/>
      <c r="B1653" s="20"/>
      <c r="C1653" s="30"/>
      <c r="D1653" s="30"/>
      <c r="E1653" s="30"/>
      <c r="F1653" s="22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</row>
    <row r="1654">
      <c r="A1654" s="20"/>
      <c r="B1654" s="20"/>
      <c r="C1654" s="30"/>
      <c r="D1654" s="30"/>
      <c r="E1654" s="30"/>
      <c r="F1654" s="22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</row>
    <row r="1655">
      <c r="A1655" s="20"/>
      <c r="B1655" s="20"/>
      <c r="C1655" s="30"/>
      <c r="D1655" s="30"/>
      <c r="E1655" s="30"/>
      <c r="F1655" s="22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</row>
    <row r="1656">
      <c r="A1656" s="20"/>
      <c r="B1656" s="20"/>
      <c r="C1656" s="30"/>
      <c r="D1656" s="30"/>
      <c r="E1656" s="30"/>
      <c r="F1656" s="22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</row>
    <row r="1657">
      <c r="A1657" s="20"/>
      <c r="B1657" s="20"/>
      <c r="C1657" s="30"/>
      <c r="D1657" s="30"/>
      <c r="E1657" s="30"/>
      <c r="F1657" s="22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</row>
    <row r="1658">
      <c r="A1658" s="20"/>
      <c r="B1658" s="20"/>
      <c r="C1658" s="30"/>
      <c r="D1658" s="30"/>
      <c r="E1658" s="30"/>
      <c r="F1658" s="22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</row>
    <row r="1659">
      <c r="A1659" s="20"/>
      <c r="B1659" s="20"/>
      <c r="C1659" s="30"/>
      <c r="D1659" s="30"/>
      <c r="E1659" s="30"/>
      <c r="F1659" s="22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</row>
    <row r="1660">
      <c r="A1660" s="20"/>
      <c r="B1660" s="20"/>
      <c r="C1660" s="30"/>
      <c r="D1660" s="30"/>
      <c r="E1660" s="30"/>
      <c r="F1660" s="22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</row>
    <row r="1661">
      <c r="A1661" s="20"/>
      <c r="B1661" s="20"/>
      <c r="C1661" s="30"/>
      <c r="D1661" s="30"/>
      <c r="E1661" s="30"/>
      <c r="F1661" s="22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</row>
    <row r="1662">
      <c r="A1662" s="20"/>
      <c r="B1662" s="20"/>
      <c r="C1662" s="30"/>
      <c r="D1662" s="30"/>
      <c r="E1662" s="30"/>
      <c r="F1662" s="22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</row>
    <row r="1663">
      <c r="A1663" s="20"/>
      <c r="B1663" s="20"/>
      <c r="C1663" s="30"/>
      <c r="D1663" s="30"/>
      <c r="E1663" s="30"/>
      <c r="F1663" s="22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</row>
    <row r="1664">
      <c r="A1664" s="20"/>
      <c r="B1664" s="20"/>
      <c r="C1664" s="30"/>
      <c r="D1664" s="30"/>
      <c r="E1664" s="30"/>
      <c r="F1664" s="22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</row>
    <row r="1665">
      <c r="A1665" s="20"/>
      <c r="B1665" s="20"/>
      <c r="C1665" s="30"/>
      <c r="D1665" s="30"/>
      <c r="E1665" s="30"/>
      <c r="F1665" s="22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</row>
    <row r="1666">
      <c r="A1666" s="20"/>
      <c r="B1666" s="20"/>
      <c r="C1666" s="30"/>
      <c r="D1666" s="30"/>
      <c r="E1666" s="30"/>
      <c r="F1666" s="22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</row>
    <row r="1667">
      <c r="A1667" s="20"/>
      <c r="B1667" s="20"/>
      <c r="C1667" s="30"/>
      <c r="D1667" s="30"/>
      <c r="E1667" s="30"/>
      <c r="F1667" s="22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</row>
    <row r="1668">
      <c r="A1668" s="20"/>
      <c r="B1668" s="20"/>
      <c r="C1668" s="30"/>
      <c r="D1668" s="30"/>
      <c r="E1668" s="30"/>
      <c r="F1668" s="22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</row>
    <row r="1669">
      <c r="A1669" s="20"/>
      <c r="B1669" s="20"/>
      <c r="C1669" s="30"/>
      <c r="D1669" s="30"/>
      <c r="E1669" s="30"/>
      <c r="F1669" s="22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</row>
    <row r="1670">
      <c r="A1670" s="20"/>
      <c r="B1670" s="20"/>
      <c r="C1670" s="30"/>
      <c r="D1670" s="30"/>
      <c r="E1670" s="30"/>
      <c r="F1670" s="22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</row>
    <row r="1671">
      <c r="A1671" s="20"/>
      <c r="B1671" s="20"/>
      <c r="C1671" s="30"/>
      <c r="D1671" s="30"/>
      <c r="E1671" s="30"/>
      <c r="F1671" s="22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</row>
    <row r="1672">
      <c r="A1672" s="20"/>
      <c r="B1672" s="20"/>
      <c r="C1672" s="30"/>
      <c r="D1672" s="30"/>
      <c r="E1672" s="30"/>
      <c r="F1672" s="22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</row>
    <row r="1673">
      <c r="A1673" s="20"/>
      <c r="B1673" s="20"/>
      <c r="C1673" s="30"/>
      <c r="D1673" s="30"/>
      <c r="E1673" s="30"/>
      <c r="F1673" s="22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</row>
    <row r="1674">
      <c r="A1674" s="20"/>
      <c r="B1674" s="20"/>
      <c r="C1674" s="30"/>
      <c r="D1674" s="30"/>
      <c r="E1674" s="30"/>
      <c r="F1674" s="22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</row>
    <row r="1675">
      <c r="A1675" s="20"/>
      <c r="B1675" s="20"/>
      <c r="C1675" s="30"/>
      <c r="D1675" s="30"/>
      <c r="E1675" s="30"/>
      <c r="F1675" s="22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</row>
    <row r="1676">
      <c r="A1676" s="20"/>
      <c r="B1676" s="20"/>
      <c r="C1676" s="30"/>
      <c r="D1676" s="30"/>
      <c r="E1676" s="30"/>
      <c r="F1676" s="22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</row>
    <row r="1677">
      <c r="A1677" s="20"/>
      <c r="B1677" s="20"/>
      <c r="C1677" s="30"/>
      <c r="D1677" s="30"/>
      <c r="E1677" s="30"/>
      <c r="F1677" s="22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</row>
    <row r="1678">
      <c r="A1678" s="20"/>
      <c r="B1678" s="20"/>
      <c r="C1678" s="30"/>
      <c r="D1678" s="30"/>
      <c r="E1678" s="30"/>
      <c r="F1678" s="22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</row>
    <row r="1679">
      <c r="A1679" s="20"/>
      <c r="B1679" s="20"/>
      <c r="C1679" s="30"/>
      <c r="D1679" s="30"/>
      <c r="E1679" s="30"/>
      <c r="F1679" s="22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</row>
    <row r="1680">
      <c r="A1680" s="20"/>
      <c r="B1680" s="20"/>
      <c r="C1680" s="30"/>
      <c r="D1680" s="30"/>
      <c r="E1680" s="30"/>
      <c r="F1680" s="22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</row>
    <row r="1681">
      <c r="A1681" s="20"/>
      <c r="B1681" s="20"/>
      <c r="C1681" s="30"/>
      <c r="D1681" s="30"/>
      <c r="E1681" s="30"/>
      <c r="F1681" s="22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</row>
    <row r="1682">
      <c r="A1682" s="20"/>
      <c r="B1682" s="20"/>
      <c r="C1682" s="30"/>
      <c r="D1682" s="30"/>
      <c r="E1682" s="30"/>
      <c r="F1682" s="22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</row>
    <row r="1683">
      <c r="A1683" s="20"/>
      <c r="B1683" s="20"/>
      <c r="C1683" s="30"/>
      <c r="D1683" s="30"/>
      <c r="E1683" s="30"/>
      <c r="F1683" s="22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</row>
    <row r="1684">
      <c r="A1684" s="20"/>
      <c r="B1684" s="20"/>
      <c r="C1684" s="30"/>
      <c r="D1684" s="30"/>
      <c r="E1684" s="30"/>
      <c r="F1684" s="22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</row>
    <row r="1685">
      <c r="A1685" s="20"/>
      <c r="B1685" s="20"/>
      <c r="C1685" s="30"/>
      <c r="D1685" s="30"/>
      <c r="E1685" s="30"/>
      <c r="F1685" s="22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</row>
    <row r="1686">
      <c r="A1686" s="20"/>
      <c r="B1686" s="20"/>
      <c r="C1686" s="30"/>
      <c r="D1686" s="30"/>
      <c r="E1686" s="30"/>
      <c r="F1686" s="22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</row>
    <row r="1687">
      <c r="A1687" s="20"/>
      <c r="B1687" s="20"/>
      <c r="C1687" s="30"/>
      <c r="D1687" s="30"/>
      <c r="E1687" s="30"/>
      <c r="F1687" s="22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</row>
    <row r="1688">
      <c r="A1688" s="20"/>
      <c r="B1688" s="20"/>
      <c r="C1688" s="30"/>
      <c r="D1688" s="30"/>
      <c r="E1688" s="30"/>
      <c r="F1688" s="22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</row>
    <row r="1689">
      <c r="A1689" s="20"/>
      <c r="B1689" s="20"/>
      <c r="C1689" s="30"/>
      <c r="D1689" s="30"/>
      <c r="E1689" s="30"/>
      <c r="F1689" s="22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</row>
    <row r="1690">
      <c r="A1690" s="20"/>
      <c r="B1690" s="20"/>
      <c r="C1690" s="30"/>
      <c r="D1690" s="30"/>
      <c r="E1690" s="30"/>
      <c r="F1690" s="22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</row>
    <row r="1691">
      <c r="A1691" s="20"/>
      <c r="B1691" s="20"/>
      <c r="C1691" s="30"/>
      <c r="D1691" s="30"/>
      <c r="E1691" s="30"/>
      <c r="F1691" s="22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</row>
    <row r="1692">
      <c r="A1692" s="20"/>
      <c r="B1692" s="20"/>
      <c r="C1692" s="30"/>
      <c r="D1692" s="30"/>
      <c r="E1692" s="30"/>
      <c r="F1692" s="22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</row>
    <row r="1693">
      <c r="A1693" s="20"/>
      <c r="B1693" s="20"/>
      <c r="C1693" s="30"/>
      <c r="D1693" s="30"/>
      <c r="E1693" s="30"/>
      <c r="F1693" s="22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</row>
    <row r="1694">
      <c r="A1694" s="20"/>
      <c r="B1694" s="20"/>
      <c r="C1694" s="30"/>
      <c r="D1694" s="30"/>
      <c r="E1694" s="30"/>
      <c r="F1694" s="22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</row>
    <row r="1695">
      <c r="A1695" s="20"/>
      <c r="B1695" s="20"/>
      <c r="C1695" s="30"/>
      <c r="D1695" s="30"/>
      <c r="E1695" s="30"/>
      <c r="F1695" s="22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</row>
    <row r="1696">
      <c r="A1696" s="20"/>
      <c r="B1696" s="20"/>
      <c r="C1696" s="30"/>
      <c r="D1696" s="30"/>
      <c r="E1696" s="30"/>
      <c r="F1696" s="22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</row>
    <row r="1697">
      <c r="A1697" s="20"/>
      <c r="B1697" s="20"/>
      <c r="C1697" s="30"/>
      <c r="D1697" s="30"/>
      <c r="E1697" s="30"/>
      <c r="F1697" s="22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</row>
    <row r="1698">
      <c r="A1698" s="20"/>
      <c r="B1698" s="20"/>
      <c r="C1698" s="30"/>
      <c r="D1698" s="30"/>
      <c r="E1698" s="30"/>
      <c r="F1698" s="22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</row>
    <row r="1699">
      <c r="A1699" s="20"/>
      <c r="B1699" s="20"/>
      <c r="C1699" s="30"/>
      <c r="D1699" s="30"/>
      <c r="E1699" s="30"/>
      <c r="F1699" s="22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</row>
    <row r="1700">
      <c r="A1700" s="20"/>
      <c r="B1700" s="20"/>
      <c r="C1700" s="30"/>
      <c r="D1700" s="30"/>
      <c r="E1700" s="30"/>
      <c r="F1700" s="22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</row>
    <row r="1701">
      <c r="A1701" s="20"/>
      <c r="B1701" s="20"/>
      <c r="C1701" s="30"/>
      <c r="D1701" s="30"/>
      <c r="E1701" s="30"/>
      <c r="F1701" s="22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</row>
    <row r="1702">
      <c r="A1702" s="20"/>
      <c r="B1702" s="20"/>
      <c r="C1702" s="30"/>
      <c r="D1702" s="30"/>
      <c r="E1702" s="30"/>
      <c r="F1702" s="22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</row>
    <row r="1703">
      <c r="A1703" s="20"/>
      <c r="B1703" s="20"/>
      <c r="C1703" s="30"/>
      <c r="D1703" s="30"/>
      <c r="E1703" s="30"/>
      <c r="F1703" s="22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</row>
    <row r="1704">
      <c r="A1704" s="20"/>
      <c r="B1704" s="20"/>
      <c r="C1704" s="30"/>
      <c r="D1704" s="30"/>
      <c r="E1704" s="30"/>
      <c r="F1704" s="22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</row>
    <row r="1705">
      <c r="A1705" s="20"/>
      <c r="B1705" s="20"/>
      <c r="C1705" s="30"/>
      <c r="D1705" s="30"/>
      <c r="E1705" s="30"/>
      <c r="F1705" s="22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</row>
    <row r="1706">
      <c r="A1706" s="20"/>
      <c r="B1706" s="20"/>
      <c r="C1706" s="30"/>
      <c r="D1706" s="30"/>
      <c r="E1706" s="30"/>
      <c r="F1706" s="22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</row>
    <row r="1707">
      <c r="A1707" s="20"/>
      <c r="B1707" s="20"/>
      <c r="C1707" s="30"/>
      <c r="D1707" s="30"/>
      <c r="E1707" s="30"/>
      <c r="F1707" s="22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</row>
    <row r="1708">
      <c r="A1708" s="20"/>
      <c r="B1708" s="20"/>
      <c r="C1708" s="30"/>
      <c r="D1708" s="30"/>
      <c r="E1708" s="30"/>
      <c r="F1708" s="22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</row>
    <row r="1709">
      <c r="A1709" s="20"/>
      <c r="B1709" s="20"/>
      <c r="C1709" s="30"/>
      <c r="D1709" s="30"/>
      <c r="E1709" s="30"/>
      <c r="F1709" s="22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</row>
    <row r="1710">
      <c r="A1710" s="20"/>
      <c r="B1710" s="20"/>
      <c r="C1710" s="30"/>
      <c r="D1710" s="30"/>
      <c r="E1710" s="30"/>
      <c r="F1710" s="22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</row>
    <row r="1711">
      <c r="A1711" s="20"/>
      <c r="B1711" s="20"/>
      <c r="C1711" s="30"/>
      <c r="D1711" s="30"/>
      <c r="E1711" s="30"/>
      <c r="F1711" s="22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</row>
    <row r="1712">
      <c r="A1712" s="20"/>
      <c r="B1712" s="20"/>
      <c r="C1712" s="30"/>
      <c r="D1712" s="30"/>
      <c r="E1712" s="30"/>
      <c r="F1712" s="22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</row>
    <row r="1713">
      <c r="A1713" s="20"/>
      <c r="B1713" s="20"/>
      <c r="C1713" s="30"/>
      <c r="D1713" s="30"/>
      <c r="E1713" s="30"/>
      <c r="F1713" s="22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</row>
    <row r="1714">
      <c r="A1714" s="20"/>
      <c r="B1714" s="20"/>
      <c r="C1714" s="30"/>
      <c r="D1714" s="30"/>
      <c r="E1714" s="30"/>
      <c r="F1714" s="22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</row>
    <row r="1715">
      <c r="A1715" s="20"/>
      <c r="B1715" s="20"/>
      <c r="C1715" s="30"/>
      <c r="D1715" s="30"/>
      <c r="E1715" s="30"/>
      <c r="F1715" s="22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</row>
    <row r="1716">
      <c r="A1716" s="20"/>
      <c r="B1716" s="20"/>
      <c r="C1716" s="30"/>
      <c r="D1716" s="30"/>
      <c r="E1716" s="30"/>
      <c r="F1716" s="22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</row>
    <row r="1717">
      <c r="A1717" s="20"/>
      <c r="B1717" s="20"/>
      <c r="C1717" s="30"/>
      <c r="D1717" s="30"/>
      <c r="E1717" s="30"/>
      <c r="F1717" s="22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</row>
    <row r="1718">
      <c r="A1718" s="20"/>
      <c r="B1718" s="20"/>
      <c r="C1718" s="30"/>
      <c r="D1718" s="30"/>
      <c r="E1718" s="30"/>
      <c r="F1718" s="22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</row>
    <row r="1719">
      <c r="A1719" s="20"/>
      <c r="B1719" s="20"/>
      <c r="C1719" s="30"/>
      <c r="D1719" s="30"/>
      <c r="E1719" s="30"/>
      <c r="F1719" s="22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</row>
    <row r="1720">
      <c r="A1720" s="20"/>
      <c r="B1720" s="20"/>
      <c r="C1720" s="30"/>
      <c r="D1720" s="30"/>
      <c r="E1720" s="30"/>
      <c r="F1720" s="22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</row>
    <row r="1721">
      <c r="A1721" s="20"/>
      <c r="B1721" s="20"/>
      <c r="C1721" s="30"/>
      <c r="D1721" s="30"/>
      <c r="E1721" s="30"/>
      <c r="F1721" s="22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</row>
    <row r="1722">
      <c r="A1722" s="20"/>
      <c r="B1722" s="20"/>
      <c r="C1722" s="30"/>
      <c r="D1722" s="30"/>
      <c r="E1722" s="30"/>
      <c r="F1722" s="22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</row>
    <row r="1723">
      <c r="A1723" s="20"/>
      <c r="B1723" s="20"/>
      <c r="C1723" s="30"/>
      <c r="D1723" s="30"/>
      <c r="E1723" s="30"/>
      <c r="F1723" s="22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</row>
    <row r="1724">
      <c r="A1724" s="20"/>
      <c r="B1724" s="20"/>
      <c r="C1724" s="30"/>
      <c r="D1724" s="30"/>
      <c r="E1724" s="30"/>
      <c r="F1724" s="22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</row>
    <row r="1725">
      <c r="A1725" s="20"/>
      <c r="B1725" s="20"/>
      <c r="C1725" s="30"/>
      <c r="D1725" s="30"/>
      <c r="E1725" s="30"/>
      <c r="F1725" s="22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</row>
    <row r="1726">
      <c r="A1726" s="20"/>
      <c r="B1726" s="20"/>
      <c r="C1726" s="30"/>
      <c r="D1726" s="30"/>
      <c r="E1726" s="30"/>
      <c r="F1726" s="22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</row>
    <row r="1727">
      <c r="A1727" s="20"/>
      <c r="B1727" s="20"/>
      <c r="C1727" s="30"/>
      <c r="D1727" s="30"/>
      <c r="E1727" s="30"/>
      <c r="F1727" s="22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</row>
    <row r="1728">
      <c r="A1728" s="20"/>
      <c r="B1728" s="20"/>
      <c r="C1728" s="30"/>
      <c r="D1728" s="30"/>
      <c r="E1728" s="30"/>
      <c r="F1728" s="22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</row>
    <row r="1729">
      <c r="A1729" s="20"/>
      <c r="B1729" s="20"/>
      <c r="C1729" s="30"/>
      <c r="D1729" s="30"/>
      <c r="E1729" s="30"/>
      <c r="F1729" s="22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</row>
    <row r="1730">
      <c r="A1730" s="20"/>
      <c r="B1730" s="20"/>
      <c r="C1730" s="30"/>
      <c r="D1730" s="30"/>
      <c r="E1730" s="30"/>
      <c r="F1730" s="22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</row>
    <row r="1731">
      <c r="A1731" s="20"/>
      <c r="B1731" s="20"/>
      <c r="C1731" s="30"/>
      <c r="D1731" s="30"/>
      <c r="E1731" s="30"/>
      <c r="F1731" s="22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</row>
    <row r="1732">
      <c r="A1732" s="20"/>
      <c r="B1732" s="20"/>
      <c r="C1732" s="30"/>
      <c r="D1732" s="30"/>
      <c r="E1732" s="30"/>
      <c r="F1732" s="22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</row>
    <row r="1733">
      <c r="A1733" s="20"/>
      <c r="B1733" s="20"/>
      <c r="C1733" s="30"/>
      <c r="D1733" s="30"/>
      <c r="E1733" s="30"/>
      <c r="F1733" s="22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</row>
    <row r="1734">
      <c r="A1734" s="20"/>
      <c r="B1734" s="20"/>
      <c r="C1734" s="30"/>
      <c r="D1734" s="30"/>
      <c r="E1734" s="30"/>
      <c r="F1734" s="22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</row>
    <row r="1735">
      <c r="A1735" s="20"/>
      <c r="B1735" s="20"/>
      <c r="C1735" s="30"/>
      <c r="D1735" s="30"/>
      <c r="E1735" s="30"/>
      <c r="F1735" s="22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</row>
    <row r="1736">
      <c r="A1736" s="20"/>
      <c r="B1736" s="20"/>
      <c r="C1736" s="30"/>
      <c r="D1736" s="30"/>
      <c r="E1736" s="30"/>
      <c r="F1736" s="22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</row>
    <row r="1737">
      <c r="A1737" s="20"/>
      <c r="B1737" s="20"/>
      <c r="C1737" s="30"/>
      <c r="D1737" s="30"/>
      <c r="E1737" s="30"/>
      <c r="F1737" s="22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</row>
    <row r="1738">
      <c r="A1738" s="20"/>
      <c r="B1738" s="20"/>
      <c r="C1738" s="30"/>
      <c r="D1738" s="30"/>
      <c r="E1738" s="30"/>
      <c r="F1738" s="22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</row>
    <row r="1739">
      <c r="A1739" s="20"/>
      <c r="B1739" s="20"/>
      <c r="C1739" s="30"/>
      <c r="D1739" s="30"/>
      <c r="E1739" s="30"/>
      <c r="F1739" s="22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</row>
    <row r="1740">
      <c r="A1740" s="20"/>
      <c r="B1740" s="20"/>
      <c r="C1740" s="30"/>
      <c r="D1740" s="30"/>
      <c r="E1740" s="30"/>
      <c r="F1740" s="22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</row>
    <row r="1741">
      <c r="A1741" s="20"/>
      <c r="B1741" s="20"/>
      <c r="C1741" s="30"/>
      <c r="D1741" s="30"/>
      <c r="E1741" s="30"/>
      <c r="F1741" s="22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</row>
    <row r="1742">
      <c r="A1742" s="20"/>
      <c r="B1742" s="20"/>
      <c r="C1742" s="30"/>
      <c r="D1742" s="30"/>
      <c r="E1742" s="30"/>
      <c r="F1742" s="22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</row>
    <row r="1743">
      <c r="A1743" s="20"/>
      <c r="B1743" s="20"/>
      <c r="C1743" s="30"/>
      <c r="D1743" s="30"/>
      <c r="E1743" s="30"/>
      <c r="F1743" s="22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</row>
    <row r="1744">
      <c r="A1744" s="20"/>
      <c r="B1744" s="20"/>
      <c r="C1744" s="30"/>
      <c r="D1744" s="30"/>
      <c r="E1744" s="30"/>
      <c r="F1744" s="22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</row>
    <row r="1745">
      <c r="A1745" s="20"/>
      <c r="B1745" s="20"/>
      <c r="C1745" s="30"/>
      <c r="D1745" s="30"/>
      <c r="E1745" s="30"/>
      <c r="F1745" s="22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</row>
    <row r="1746">
      <c r="A1746" s="20"/>
      <c r="B1746" s="20"/>
      <c r="C1746" s="30"/>
      <c r="D1746" s="30"/>
      <c r="E1746" s="30"/>
      <c r="F1746" s="22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</row>
    <row r="1747">
      <c r="A1747" s="20"/>
      <c r="B1747" s="20"/>
      <c r="C1747" s="30"/>
      <c r="D1747" s="30"/>
      <c r="E1747" s="30"/>
      <c r="F1747" s="22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</row>
    <row r="1748">
      <c r="A1748" s="20"/>
      <c r="B1748" s="20"/>
      <c r="C1748" s="30"/>
      <c r="D1748" s="30"/>
      <c r="E1748" s="30"/>
      <c r="F1748" s="22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</row>
    <row r="1749">
      <c r="A1749" s="20"/>
      <c r="B1749" s="20"/>
      <c r="C1749" s="30"/>
      <c r="D1749" s="30"/>
      <c r="E1749" s="30"/>
      <c r="F1749" s="22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</row>
    <row r="1750">
      <c r="A1750" s="20"/>
      <c r="B1750" s="20"/>
      <c r="C1750" s="30"/>
      <c r="D1750" s="30"/>
      <c r="E1750" s="30"/>
      <c r="F1750" s="22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</row>
    <row r="1751">
      <c r="A1751" s="20"/>
      <c r="B1751" s="20"/>
      <c r="C1751" s="30"/>
      <c r="D1751" s="30"/>
      <c r="E1751" s="30"/>
      <c r="F1751" s="22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</row>
    <row r="1752">
      <c r="A1752" s="20"/>
      <c r="B1752" s="20"/>
      <c r="C1752" s="30"/>
      <c r="D1752" s="30"/>
      <c r="E1752" s="30"/>
      <c r="F1752" s="22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</row>
    <row r="1753">
      <c r="A1753" s="20"/>
      <c r="B1753" s="20"/>
      <c r="C1753" s="30"/>
      <c r="D1753" s="30"/>
      <c r="E1753" s="30"/>
      <c r="F1753" s="22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</row>
    <row r="1754">
      <c r="A1754" s="20"/>
      <c r="B1754" s="20"/>
      <c r="C1754" s="30"/>
      <c r="D1754" s="30"/>
      <c r="E1754" s="30"/>
      <c r="F1754" s="22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</row>
    <row r="1755">
      <c r="A1755" s="20"/>
      <c r="B1755" s="20"/>
      <c r="C1755" s="30"/>
      <c r="D1755" s="30"/>
      <c r="E1755" s="30"/>
      <c r="F1755" s="22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</row>
    <row r="1756">
      <c r="A1756" s="20"/>
      <c r="B1756" s="20"/>
      <c r="C1756" s="30"/>
      <c r="D1756" s="30"/>
      <c r="E1756" s="30"/>
      <c r="F1756" s="22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</row>
    <row r="1757">
      <c r="A1757" s="20"/>
      <c r="B1757" s="20"/>
      <c r="C1757" s="30"/>
      <c r="D1757" s="30"/>
      <c r="E1757" s="30"/>
      <c r="F1757" s="22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</row>
    <row r="1758">
      <c r="A1758" s="20"/>
      <c r="B1758" s="20"/>
      <c r="C1758" s="30"/>
      <c r="D1758" s="30"/>
      <c r="E1758" s="30"/>
      <c r="F1758" s="22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</row>
    <row r="1759">
      <c r="A1759" s="20"/>
      <c r="B1759" s="20"/>
      <c r="C1759" s="30"/>
      <c r="D1759" s="30"/>
      <c r="E1759" s="30"/>
      <c r="F1759" s="22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</row>
    <row r="1760">
      <c r="A1760" s="20"/>
      <c r="B1760" s="20"/>
      <c r="C1760" s="30"/>
      <c r="D1760" s="30"/>
      <c r="E1760" s="30"/>
      <c r="F1760" s="22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</row>
    <row r="1761">
      <c r="A1761" s="20"/>
      <c r="B1761" s="20"/>
      <c r="C1761" s="30"/>
      <c r="D1761" s="30"/>
      <c r="E1761" s="30"/>
      <c r="F1761" s="22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</row>
    <row r="1762">
      <c r="A1762" s="20"/>
      <c r="B1762" s="20"/>
      <c r="C1762" s="30"/>
      <c r="D1762" s="30"/>
      <c r="E1762" s="30"/>
      <c r="F1762" s="22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</row>
    <row r="1763">
      <c r="A1763" s="20"/>
      <c r="B1763" s="20"/>
      <c r="C1763" s="30"/>
      <c r="D1763" s="30"/>
      <c r="E1763" s="30"/>
      <c r="F1763" s="22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</row>
    <row r="1764">
      <c r="A1764" s="20"/>
      <c r="B1764" s="20"/>
      <c r="C1764" s="30"/>
      <c r="D1764" s="30"/>
      <c r="E1764" s="30"/>
      <c r="F1764" s="22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</row>
    <row r="1765">
      <c r="A1765" s="20"/>
      <c r="B1765" s="20"/>
      <c r="C1765" s="30"/>
      <c r="D1765" s="30"/>
      <c r="E1765" s="30"/>
      <c r="F1765" s="22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</row>
    <row r="1766">
      <c r="A1766" s="20"/>
      <c r="B1766" s="20"/>
      <c r="C1766" s="30"/>
      <c r="D1766" s="30"/>
      <c r="E1766" s="30"/>
      <c r="F1766" s="22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</row>
    <row r="1767">
      <c r="A1767" s="20"/>
      <c r="B1767" s="20"/>
      <c r="C1767" s="30"/>
      <c r="D1767" s="30"/>
      <c r="E1767" s="30"/>
      <c r="F1767" s="22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</row>
    <row r="1768">
      <c r="A1768" s="20"/>
      <c r="B1768" s="20"/>
      <c r="C1768" s="30"/>
      <c r="D1768" s="30"/>
      <c r="E1768" s="30"/>
      <c r="F1768" s="22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</row>
    <row r="1769">
      <c r="A1769" s="20"/>
      <c r="B1769" s="20"/>
      <c r="C1769" s="30"/>
      <c r="D1769" s="30"/>
      <c r="E1769" s="30"/>
      <c r="F1769" s="22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</row>
    <row r="1770">
      <c r="A1770" s="20"/>
      <c r="B1770" s="20"/>
      <c r="C1770" s="30"/>
      <c r="D1770" s="30"/>
      <c r="E1770" s="30"/>
      <c r="F1770" s="22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</row>
    <row r="1771">
      <c r="A1771" s="20"/>
      <c r="B1771" s="20"/>
      <c r="C1771" s="30"/>
      <c r="D1771" s="30"/>
      <c r="E1771" s="30"/>
      <c r="F1771" s="22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</row>
    <row r="1772">
      <c r="A1772" s="20"/>
      <c r="B1772" s="20"/>
      <c r="C1772" s="30"/>
      <c r="D1772" s="30"/>
      <c r="E1772" s="30"/>
      <c r="F1772" s="22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</row>
    <row r="1773">
      <c r="A1773" s="20"/>
      <c r="B1773" s="20"/>
      <c r="C1773" s="30"/>
      <c r="D1773" s="30"/>
      <c r="E1773" s="30"/>
      <c r="F1773" s="22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</row>
    <row r="1774">
      <c r="A1774" s="20"/>
      <c r="B1774" s="20"/>
      <c r="C1774" s="30"/>
      <c r="D1774" s="30"/>
      <c r="E1774" s="30"/>
      <c r="F1774" s="22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</row>
    <row r="1775">
      <c r="A1775" s="20"/>
      <c r="B1775" s="20"/>
      <c r="C1775" s="30"/>
      <c r="D1775" s="30"/>
      <c r="E1775" s="30"/>
      <c r="F1775" s="22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</row>
    <row r="1776">
      <c r="A1776" s="20"/>
      <c r="B1776" s="20"/>
      <c r="C1776" s="30"/>
      <c r="D1776" s="30"/>
      <c r="E1776" s="30"/>
      <c r="F1776" s="22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</row>
    <row r="1777">
      <c r="A1777" s="20"/>
      <c r="B1777" s="20"/>
      <c r="C1777" s="30"/>
      <c r="D1777" s="30"/>
      <c r="E1777" s="30"/>
      <c r="F1777" s="22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</row>
    <row r="1778">
      <c r="A1778" s="20"/>
      <c r="B1778" s="20"/>
      <c r="C1778" s="30"/>
      <c r="D1778" s="30"/>
      <c r="E1778" s="30"/>
      <c r="F1778" s="22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</row>
    <row r="1779">
      <c r="A1779" s="20"/>
      <c r="B1779" s="20"/>
      <c r="C1779" s="30"/>
      <c r="D1779" s="30"/>
      <c r="E1779" s="30"/>
      <c r="F1779" s="22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</row>
    <row r="1780">
      <c r="A1780" s="20"/>
      <c r="B1780" s="20"/>
      <c r="C1780" s="30"/>
      <c r="D1780" s="30"/>
      <c r="E1780" s="30"/>
      <c r="F1780" s="22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</row>
    <row r="1781">
      <c r="A1781" s="20"/>
      <c r="B1781" s="20"/>
      <c r="C1781" s="30"/>
      <c r="D1781" s="30"/>
      <c r="E1781" s="30"/>
      <c r="F1781" s="22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</row>
    <row r="1782">
      <c r="A1782" s="20"/>
      <c r="B1782" s="20"/>
      <c r="C1782" s="30"/>
      <c r="D1782" s="30"/>
      <c r="E1782" s="30"/>
      <c r="F1782" s="22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</row>
    <row r="1783">
      <c r="A1783" s="20"/>
      <c r="B1783" s="20"/>
      <c r="C1783" s="30"/>
      <c r="D1783" s="30"/>
      <c r="E1783" s="30"/>
      <c r="F1783" s="22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</row>
    <row r="1784">
      <c r="A1784" s="20"/>
      <c r="B1784" s="20"/>
      <c r="C1784" s="30"/>
      <c r="D1784" s="30"/>
      <c r="E1784" s="30"/>
      <c r="F1784" s="22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</row>
    <row r="1785">
      <c r="A1785" s="20"/>
      <c r="B1785" s="20"/>
      <c r="C1785" s="30"/>
      <c r="D1785" s="30"/>
      <c r="E1785" s="30"/>
      <c r="F1785" s="22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</row>
    <row r="1786">
      <c r="A1786" s="20"/>
      <c r="B1786" s="20"/>
      <c r="C1786" s="30"/>
      <c r="D1786" s="30"/>
      <c r="E1786" s="30"/>
      <c r="F1786" s="22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</row>
    <row r="1787">
      <c r="A1787" s="20"/>
      <c r="B1787" s="20"/>
      <c r="C1787" s="30"/>
      <c r="D1787" s="30"/>
      <c r="E1787" s="30"/>
      <c r="F1787" s="22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</row>
    <row r="1788">
      <c r="A1788" s="20"/>
      <c r="B1788" s="20"/>
      <c r="C1788" s="30"/>
      <c r="D1788" s="30"/>
      <c r="E1788" s="30"/>
      <c r="F1788" s="22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</row>
    <row r="1789">
      <c r="A1789" s="20"/>
      <c r="B1789" s="20"/>
      <c r="C1789" s="30"/>
      <c r="D1789" s="30"/>
      <c r="E1789" s="30"/>
      <c r="F1789" s="22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</row>
    <row r="1790">
      <c r="A1790" s="20"/>
      <c r="B1790" s="20"/>
      <c r="C1790" s="30"/>
      <c r="D1790" s="30"/>
      <c r="E1790" s="30"/>
      <c r="F1790" s="22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</row>
    <row r="1791">
      <c r="A1791" s="20"/>
      <c r="B1791" s="20"/>
      <c r="C1791" s="30"/>
      <c r="D1791" s="30"/>
      <c r="E1791" s="30"/>
      <c r="F1791" s="22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</row>
    <row r="1792">
      <c r="A1792" s="20"/>
      <c r="B1792" s="20"/>
      <c r="C1792" s="30"/>
      <c r="D1792" s="30"/>
      <c r="E1792" s="30"/>
      <c r="F1792" s="22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</row>
    <row r="1793">
      <c r="A1793" s="20"/>
      <c r="B1793" s="20"/>
      <c r="C1793" s="30"/>
      <c r="D1793" s="30"/>
      <c r="E1793" s="30"/>
      <c r="F1793" s="22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</row>
    <row r="1794">
      <c r="A1794" s="20"/>
      <c r="B1794" s="20"/>
      <c r="C1794" s="30"/>
      <c r="D1794" s="30"/>
      <c r="E1794" s="30"/>
      <c r="F1794" s="22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</row>
    <row r="1795">
      <c r="A1795" s="20"/>
      <c r="B1795" s="20"/>
      <c r="C1795" s="30"/>
      <c r="D1795" s="30"/>
      <c r="E1795" s="30"/>
      <c r="F1795" s="22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</row>
    <row r="1796">
      <c r="A1796" s="20"/>
      <c r="B1796" s="20"/>
      <c r="C1796" s="30"/>
      <c r="D1796" s="30"/>
      <c r="E1796" s="30"/>
      <c r="F1796" s="22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</row>
    <row r="1797">
      <c r="A1797" s="20"/>
      <c r="B1797" s="20"/>
      <c r="C1797" s="30"/>
      <c r="D1797" s="30"/>
      <c r="E1797" s="30"/>
      <c r="F1797" s="22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</row>
    <row r="1798">
      <c r="A1798" s="20"/>
      <c r="B1798" s="20"/>
      <c r="C1798" s="30"/>
      <c r="D1798" s="30"/>
      <c r="E1798" s="30"/>
      <c r="F1798" s="22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</row>
    <row r="1799">
      <c r="A1799" s="20"/>
      <c r="B1799" s="20"/>
      <c r="C1799" s="30"/>
      <c r="D1799" s="30"/>
      <c r="E1799" s="30"/>
      <c r="F1799" s="22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</row>
    <row r="1800">
      <c r="A1800" s="20"/>
      <c r="B1800" s="20"/>
      <c r="C1800" s="30"/>
      <c r="D1800" s="30"/>
      <c r="E1800" s="30"/>
      <c r="F1800" s="22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</row>
    <row r="1801">
      <c r="A1801" s="20"/>
      <c r="B1801" s="20"/>
      <c r="C1801" s="30"/>
      <c r="D1801" s="30"/>
      <c r="E1801" s="30"/>
      <c r="F1801" s="22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</row>
    <row r="1802">
      <c r="A1802" s="20"/>
      <c r="B1802" s="20"/>
      <c r="C1802" s="30"/>
      <c r="D1802" s="30"/>
      <c r="E1802" s="30"/>
      <c r="F1802" s="22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</row>
    <row r="1803">
      <c r="A1803" s="20"/>
      <c r="B1803" s="20"/>
      <c r="C1803" s="30"/>
      <c r="D1803" s="30"/>
      <c r="E1803" s="30"/>
      <c r="F1803" s="22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</row>
    <row r="1804">
      <c r="A1804" s="20"/>
      <c r="B1804" s="20"/>
      <c r="C1804" s="30"/>
      <c r="D1804" s="30"/>
      <c r="E1804" s="30"/>
      <c r="F1804" s="22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</row>
    <row r="1805">
      <c r="A1805" s="20"/>
      <c r="B1805" s="20"/>
      <c r="C1805" s="30"/>
      <c r="D1805" s="30"/>
      <c r="E1805" s="30"/>
      <c r="F1805" s="22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</row>
    <row r="1806">
      <c r="A1806" s="20"/>
      <c r="B1806" s="20"/>
      <c r="C1806" s="30"/>
      <c r="D1806" s="30"/>
      <c r="E1806" s="30"/>
      <c r="F1806" s="22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</row>
    <row r="1807">
      <c r="A1807" s="20"/>
      <c r="B1807" s="20"/>
      <c r="C1807" s="30"/>
      <c r="D1807" s="30"/>
      <c r="E1807" s="30"/>
      <c r="F1807" s="22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</row>
    <row r="1808">
      <c r="A1808" s="20"/>
      <c r="B1808" s="20"/>
      <c r="C1808" s="30"/>
      <c r="D1808" s="30"/>
      <c r="E1808" s="30"/>
      <c r="F1808" s="22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</row>
    <row r="1809">
      <c r="A1809" s="20"/>
      <c r="B1809" s="20"/>
      <c r="C1809" s="30"/>
      <c r="D1809" s="30"/>
      <c r="E1809" s="30"/>
      <c r="F1809" s="22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</row>
    <row r="1810">
      <c r="A1810" s="20"/>
      <c r="B1810" s="20"/>
      <c r="C1810" s="30"/>
      <c r="D1810" s="30"/>
      <c r="E1810" s="30"/>
      <c r="F1810" s="22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</row>
    <row r="1811">
      <c r="A1811" s="20"/>
      <c r="B1811" s="20"/>
      <c r="C1811" s="30"/>
      <c r="D1811" s="30"/>
      <c r="E1811" s="30"/>
      <c r="F1811" s="22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</row>
    <row r="1812">
      <c r="A1812" s="20"/>
      <c r="B1812" s="20"/>
      <c r="C1812" s="30"/>
      <c r="D1812" s="30"/>
      <c r="E1812" s="30"/>
      <c r="F1812" s="22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</row>
    <row r="1813">
      <c r="A1813" s="20"/>
      <c r="B1813" s="20"/>
      <c r="C1813" s="30"/>
      <c r="D1813" s="30"/>
      <c r="E1813" s="30"/>
      <c r="F1813" s="22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</row>
    <row r="1814">
      <c r="A1814" s="20"/>
      <c r="B1814" s="20"/>
      <c r="C1814" s="30"/>
      <c r="D1814" s="30"/>
      <c r="E1814" s="30"/>
      <c r="F1814" s="22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</row>
    <row r="1815">
      <c r="A1815" s="20"/>
      <c r="B1815" s="20"/>
      <c r="C1815" s="30"/>
      <c r="D1815" s="30"/>
      <c r="E1815" s="30"/>
      <c r="F1815" s="22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</row>
    <row r="1816">
      <c r="A1816" s="20"/>
      <c r="B1816" s="20"/>
      <c r="C1816" s="30"/>
      <c r="D1816" s="30"/>
      <c r="E1816" s="30"/>
      <c r="F1816" s="22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</row>
    <row r="1817">
      <c r="A1817" s="20"/>
      <c r="B1817" s="20"/>
      <c r="C1817" s="30"/>
      <c r="D1817" s="30"/>
      <c r="E1817" s="30"/>
      <c r="F1817" s="22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</row>
    <row r="1818">
      <c r="A1818" s="20"/>
      <c r="B1818" s="20"/>
      <c r="C1818" s="30"/>
      <c r="D1818" s="30"/>
      <c r="E1818" s="30"/>
      <c r="F1818" s="22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</row>
    <row r="1819">
      <c r="A1819" s="20"/>
      <c r="B1819" s="20"/>
      <c r="C1819" s="30"/>
      <c r="D1819" s="30"/>
      <c r="E1819" s="30"/>
      <c r="F1819" s="22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</row>
    <row r="1820">
      <c r="A1820" s="20"/>
      <c r="B1820" s="20"/>
      <c r="C1820" s="30"/>
      <c r="D1820" s="30"/>
      <c r="E1820" s="30"/>
      <c r="F1820" s="22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</row>
    <row r="1821">
      <c r="A1821" s="20"/>
      <c r="B1821" s="20"/>
      <c r="C1821" s="30"/>
      <c r="D1821" s="30"/>
      <c r="E1821" s="30"/>
      <c r="F1821" s="22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</row>
    <row r="1822">
      <c r="A1822" s="20"/>
      <c r="B1822" s="20"/>
      <c r="C1822" s="30"/>
      <c r="D1822" s="30"/>
      <c r="E1822" s="30"/>
      <c r="F1822" s="22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</row>
    <row r="1823">
      <c r="A1823" s="20"/>
      <c r="B1823" s="20"/>
      <c r="C1823" s="30"/>
      <c r="D1823" s="30"/>
      <c r="E1823" s="30"/>
      <c r="F1823" s="22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</row>
    <row r="1824">
      <c r="A1824" s="20"/>
      <c r="B1824" s="20"/>
      <c r="C1824" s="30"/>
      <c r="D1824" s="30"/>
      <c r="E1824" s="30"/>
      <c r="F1824" s="22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</row>
    <row r="1825">
      <c r="A1825" s="20"/>
      <c r="B1825" s="20"/>
      <c r="C1825" s="30"/>
      <c r="D1825" s="30"/>
      <c r="E1825" s="30"/>
      <c r="F1825" s="22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</row>
    <row r="1826">
      <c r="A1826" s="20"/>
      <c r="B1826" s="20"/>
      <c r="C1826" s="30"/>
      <c r="D1826" s="30"/>
      <c r="E1826" s="30"/>
      <c r="F1826" s="22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</row>
    <row r="1827">
      <c r="A1827" s="20"/>
      <c r="B1827" s="20"/>
      <c r="C1827" s="30"/>
      <c r="D1827" s="30"/>
      <c r="E1827" s="30"/>
      <c r="F1827" s="22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</row>
    <row r="1828">
      <c r="A1828" s="20"/>
      <c r="B1828" s="20"/>
      <c r="C1828" s="30"/>
      <c r="D1828" s="30"/>
      <c r="E1828" s="30"/>
      <c r="F1828" s="22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</row>
    <row r="1829">
      <c r="A1829" s="20"/>
      <c r="B1829" s="20"/>
      <c r="C1829" s="30"/>
      <c r="D1829" s="30"/>
      <c r="E1829" s="30"/>
      <c r="F1829" s="22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</row>
    <row r="1830">
      <c r="A1830" s="20"/>
      <c r="B1830" s="20"/>
      <c r="C1830" s="30"/>
      <c r="D1830" s="30"/>
      <c r="E1830" s="30"/>
      <c r="F1830" s="22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</row>
    <row r="1831">
      <c r="A1831" s="20"/>
      <c r="B1831" s="20"/>
      <c r="C1831" s="30"/>
      <c r="D1831" s="30"/>
      <c r="E1831" s="30"/>
      <c r="F1831" s="22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</row>
    <row r="1832">
      <c r="A1832" s="20"/>
      <c r="B1832" s="20"/>
      <c r="C1832" s="30"/>
      <c r="D1832" s="30"/>
      <c r="E1832" s="30"/>
      <c r="F1832" s="22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</row>
    <row r="1833">
      <c r="A1833" s="20"/>
      <c r="B1833" s="20"/>
      <c r="C1833" s="30"/>
      <c r="D1833" s="30"/>
      <c r="E1833" s="30"/>
      <c r="F1833" s="22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</row>
    <row r="1834">
      <c r="A1834" s="20"/>
      <c r="B1834" s="20"/>
      <c r="C1834" s="30"/>
      <c r="D1834" s="30"/>
      <c r="E1834" s="30"/>
      <c r="F1834" s="22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</row>
    <row r="1835">
      <c r="A1835" s="20"/>
      <c r="B1835" s="20"/>
      <c r="C1835" s="30"/>
      <c r="D1835" s="30"/>
      <c r="E1835" s="30"/>
      <c r="F1835" s="22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</row>
    <row r="1836">
      <c r="A1836" s="20"/>
      <c r="B1836" s="20"/>
      <c r="C1836" s="30"/>
      <c r="D1836" s="30"/>
      <c r="E1836" s="30"/>
      <c r="F1836" s="22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</row>
    <row r="1837">
      <c r="A1837" s="20"/>
      <c r="B1837" s="20"/>
      <c r="C1837" s="30"/>
      <c r="D1837" s="30"/>
      <c r="E1837" s="30"/>
      <c r="F1837" s="22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</row>
    <row r="1838">
      <c r="A1838" s="20"/>
      <c r="B1838" s="20"/>
      <c r="C1838" s="30"/>
      <c r="D1838" s="30"/>
      <c r="E1838" s="30"/>
      <c r="F1838" s="22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</row>
    <row r="1839">
      <c r="A1839" s="20"/>
      <c r="B1839" s="20"/>
      <c r="C1839" s="30"/>
      <c r="D1839" s="30"/>
      <c r="E1839" s="30"/>
      <c r="F1839" s="22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</row>
    <row r="1840">
      <c r="A1840" s="20"/>
      <c r="B1840" s="20"/>
      <c r="C1840" s="30"/>
      <c r="D1840" s="30"/>
      <c r="E1840" s="30"/>
      <c r="F1840" s="22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</row>
    <row r="1841">
      <c r="A1841" s="20"/>
      <c r="B1841" s="20"/>
      <c r="C1841" s="30"/>
      <c r="D1841" s="30"/>
      <c r="E1841" s="30"/>
      <c r="F1841" s="22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</row>
    <row r="1842">
      <c r="A1842" s="20"/>
      <c r="B1842" s="20"/>
      <c r="C1842" s="30"/>
      <c r="D1842" s="30"/>
      <c r="E1842" s="30"/>
      <c r="F1842" s="22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</row>
    <row r="1843">
      <c r="A1843" s="20"/>
      <c r="B1843" s="20"/>
      <c r="C1843" s="30"/>
      <c r="D1843" s="30"/>
      <c r="E1843" s="30"/>
      <c r="F1843" s="22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</row>
    <row r="1844">
      <c r="A1844" s="20"/>
      <c r="B1844" s="20"/>
      <c r="C1844" s="30"/>
      <c r="D1844" s="30"/>
      <c r="E1844" s="30"/>
      <c r="F1844" s="22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</row>
    <row r="1845">
      <c r="A1845" s="20"/>
      <c r="B1845" s="20"/>
      <c r="C1845" s="30"/>
      <c r="D1845" s="30"/>
      <c r="E1845" s="30"/>
      <c r="F1845" s="22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</row>
    <row r="1846">
      <c r="A1846" s="20"/>
      <c r="B1846" s="20"/>
      <c r="C1846" s="30"/>
      <c r="D1846" s="30"/>
      <c r="E1846" s="30"/>
      <c r="F1846" s="22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</row>
    <row r="1847">
      <c r="A1847" s="20"/>
      <c r="B1847" s="20"/>
      <c r="C1847" s="30"/>
      <c r="D1847" s="30"/>
      <c r="E1847" s="30"/>
      <c r="F1847" s="22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</row>
    <row r="1848">
      <c r="A1848" s="20"/>
      <c r="B1848" s="20"/>
      <c r="C1848" s="30"/>
      <c r="D1848" s="30"/>
      <c r="E1848" s="30"/>
      <c r="F1848" s="22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</row>
    <row r="1849">
      <c r="A1849" s="20"/>
      <c r="B1849" s="20"/>
      <c r="C1849" s="30"/>
      <c r="D1849" s="30"/>
      <c r="E1849" s="30"/>
      <c r="F1849" s="22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</row>
    <row r="1850">
      <c r="A1850" s="20"/>
      <c r="B1850" s="20"/>
      <c r="C1850" s="30"/>
      <c r="D1850" s="30"/>
      <c r="E1850" s="30"/>
      <c r="F1850" s="22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</row>
    <row r="1851">
      <c r="A1851" s="20"/>
      <c r="B1851" s="20"/>
      <c r="C1851" s="30"/>
      <c r="D1851" s="30"/>
      <c r="E1851" s="30"/>
      <c r="F1851" s="22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</row>
    <row r="1852">
      <c r="A1852" s="20"/>
      <c r="B1852" s="20"/>
      <c r="C1852" s="30"/>
      <c r="D1852" s="30"/>
      <c r="E1852" s="30"/>
      <c r="F1852" s="22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</row>
    <row r="1853">
      <c r="A1853" s="20"/>
      <c r="B1853" s="20"/>
      <c r="C1853" s="30"/>
      <c r="D1853" s="30"/>
      <c r="E1853" s="30"/>
      <c r="F1853" s="22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</row>
    <row r="1854">
      <c r="A1854" s="20"/>
      <c r="B1854" s="20"/>
      <c r="C1854" s="30"/>
      <c r="D1854" s="30"/>
      <c r="E1854" s="30"/>
      <c r="F1854" s="22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</row>
    <row r="1855">
      <c r="A1855" s="20"/>
      <c r="B1855" s="20"/>
      <c r="C1855" s="30"/>
      <c r="D1855" s="30"/>
      <c r="E1855" s="30"/>
      <c r="F1855" s="22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</row>
    <row r="1856">
      <c r="A1856" s="20"/>
      <c r="B1856" s="20"/>
      <c r="C1856" s="30"/>
      <c r="D1856" s="30"/>
      <c r="E1856" s="30"/>
      <c r="F1856" s="22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</row>
    <row r="1857">
      <c r="A1857" s="20"/>
      <c r="B1857" s="20"/>
      <c r="C1857" s="30"/>
      <c r="D1857" s="30"/>
      <c r="E1857" s="30"/>
      <c r="F1857" s="22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</row>
    <row r="1858">
      <c r="A1858" s="20"/>
      <c r="B1858" s="20"/>
      <c r="C1858" s="30"/>
      <c r="D1858" s="30"/>
      <c r="E1858" s="30"/>
      <c r="F1858" s="22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</row>
    <row r="1859">
      <c r="A1859" s="20"/>
      <c r="B1859" s="20"/>
      <c r="C1859" s="30"/>
      <c r="D1859" s="30"/>
      <c r="E1859" s="30"/>
      <c r="F1859" s="22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</row>
    <row r="1860">
      <c r="A1860" s="20"/>
      <c r="B1860" s="20"/>
      <c r="C1860" s="30"/>
      <c r="D1860" s="30"/>
      <c r="E1860" s="30"/>
      <c r="F1860" s="22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</row>
    <row r="1861">
      <c r="A1861" s="20"/>
      <c r="B1861" s="20"/>
      <c r="C1861" s="30"/>
      <c r="D1861" s="30"/>
      <c r="E1861" s="30"/>
      <c r="F1861" s="22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</row>
    <row r="1862">
      <c r="A1862" s="20"/>
      <c r="B1862" s="20"/>
      <c r="C1862" s="30"/>
      <c r="D1862" s="30"/>
      <c r="E1862" s="30"/>
      <c r="F1862" s="22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</row>
    <row r="1863">
      <c r="A1863" s="20"/>
      <c r="B1863" s="20"/>
      <c r="C1863" s="30"/>
      <c r="D1863" s="30"/>
      <c r="E1863" s="30"/>
      <c r="F1863" s="22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</row>
    <row r="1864">
      <c r="A1864" s="20"/>
      <c r="B1864" s="20"/>
      <c r="C1864" s="30"/>
      <c r="D1864" s="30"/>
      <c r="E1864" s="30"/>
      <c r="F1864" s="22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</row>
    <row r="1865">
      <c r="A1865" s="20"/>
      <c r="B1865" s="20"/>
      <c r="C1865" s="30"/>
      <c r="D1865" s="30"/>
      <c r="E1865" s="30"/>
      <c r="F1865" s="22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</row>
    <row r="1866">
      <c r="A1866" s="20"/>
      <c r="B1866" s="20"/>
      <c r="C1866" s="30"/>
      <c r="D1866" s="30"/>
      <c r="E1866" s="30"/>
      <c r="F1866" s="22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</row>
    <row r="1867">
      <c r="A1867" s="20"/>
      <c r="B1867" s="20"/>
      <c r="C1867" s="30"/>
      <c r="D1867" s="30"/>
      <c r="E1867" s="30"/>
      <c r="F1867" s="22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</row>
    <row r="1868">
      <c r="A1868" s="20"/>
      <c r="B1868" s="20"/>
      <c r="C1868" s="30"/>
      <c r="D1868" s="30"/>
      <c r="E1868" s="30"/>
      <c r="F1868" s="22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</row>
    <row r="1869">
      <c r="A1869" s="20"/>
      <c r="B1869" s="20"/>
      <c r="C1869" s="30"/>
      <c r="D1869" s="30"/>
      <c r="E1869" s="30"/>
      <c r="F1869" s="22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</row>
    <row r="1870">
      <c r="A1870" s="20"/>
      <c r="B1870" s="20"/>
      <c r="C1870" s="30"/>
      <c r="D1870" s="30"/>
      <c r="E1870" s="30"/>
      <c r="F1870" s="22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</row>
    <row r="1871">
      <c r="A1871" s="20"/>
      <c r="B1871" s="20"/>
      <c r="C1871" s="30"/>
      <c r="D1871" s="30"/>
      <c r="E1871" s="30"/>
      <c r="F1871" s="22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</row>
    <row r="1872">
      <c r="A1872" s="20"/>
      <c r="B1872" s="20"/>
      <c r="C1872" s="30"/>
      <c r="D1872" s="30"/>
      <c r="E1872" s="30"/>
      <c r="F1872" s="22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</row>
    <row r="1873">
      <c r="A1873" s="20"/>
      <c r="B1873" s="20"/>
      <c r="C1873" s="30"/>
      <c r="D1873" s="30"/>
      <c r="E1873" s="30"/>
      <c r="F1873" s="22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</row>
    <row r="1874">
      <c r="A1874" s="20"/>
      <c r="B1874" s="20"/>
      <c r="C1874" s="30"/>
      <c r="D1874" s="30"/>
      <c r="E1874" s="30"/>
      <c r="F1874" s="22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</row>
    <row r="1875">
      <c r="A1875" s="20"/>
      <c r="B1875" s="20"/>
      <c r="C1875" s="30"/>
      <c r="D1875" s="30"/>
      <c r="E1875" s="30"/>
      <c r="F1875" s="22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</row>
    <row r="1876">
      <c r="A1876" s="20"/>
      <c r="B1876" s="20"/>
      <c r="C1876" s="30"/>
      <c r="D1876" s="30"/>
      <c r="E1876" s="30"/>
      <c r="F1876" s="22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</row>
    <row r="1877">
      <c r="A1877" s="20"/>
      <c r="B1877" s="20"/>
      <c r="C1877" s="30"/>
      <c r="D1877" s="30"/>
      <c r="E1877" s="30"/>
      <c r="F1877" s="22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</row>
    <row r="1878">
      <c r="A1878" s="20"/>
      <c r="B1878" s="20"/>
      <c r="C1878" s="30"/>
      <c r="D1878" s="30"/>
      <c r="E1878" s="30"/>
      <c r="F1878" s="22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</row>
    <row r="1879">
      <c r="A1879" s="20"/>
      <c r="B1879" s="20"/>
      <c r="C1879" s="30"/>
      <c r="D1879" s="30"/>
      <c r="E1879" s="30"/>
      <c r="F1879" s="22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</row>
    <row r="1880">
      <c r="A1880" s="20"/>
      <c r="B1880" s="20"/>
      <c r="C1880" s="30"/>
      <c r="D1880" s="30"/>
      <c r="E1880" s="30"/>
      <c r="F1880" s="22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</row>
    <row r="1881">
      <c r="A1881" s="20"/>
      <c r="B1881" s="20"/>
      <c r="C1881" s="30"/>
      <c r="D1881" s="30"/>
      <c r="E1881" s="30"/>
      <c r="F1881" s="22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</row>
    <row r="1882">
      <c r="A1882" s="20"/>
      <c r="B1882" s="20"/>
      <c r="C1882" s="30"/>
      <c r="D1882" s="30"/>
      <c r="E1882" s="30"/>
      <c r="F1882" s="22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</row>
    <row r="1883">
      <c r="A1883" s="20"/>
      <c r="B1883" s="20"/>
      <c r="C1883" s="30"/>
      <c r="D1883" s="30"/>
      <c r="E1883" s="30"/>
      <c r="F1883" s="22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</row>
    <row r="1884">
      <c r="A1884" s="20"/>
      <c r="B1884" s="20"/>
      <c r="C1884" s="30"/>
      <c r="D1884" s="30"/>
      <c r="E1884" s="30"/>
      <c r="F1884" s="22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</row>
    <row r="1885">
      <c r="A1885" s="20"/>
      <c r="B1885" s="20"/>
      <c r="C1885" s="30"/>
      <c r="D1885" s="30"/>
      <c r="E1885" s="30"/>
      <c r="F1885" s="22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</row>
    <row r="1886">
      <c r="A1886" s="20"/>
      <c r="B1886" s="20"/>
      <c r="C1886" s="30"/>
      <c r="D1886" s="30"/>
      <c r="E1886" s="30"/>
      <c r="F1886" s="22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</row>
    <row r="1887">
      <c r="A1887" s="20"/>
      <c r="B1887" s="20"/>
      <c r="C1887" s="30"/>
      <c r="D1887" s="30"/>
      <c r="E1887" s="30"/>
      <c r="F1887" s="22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</row>
    <row r="1888">
      <c r="A1888" s="20"/>
      <c r="B1888" s="20"/>
      <c r="C1888" s="30"/>
      <c r="D1888" s="30"/>
      <c r="E1888" s="30"/>
      <c r="F1888" s="22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</row>
    <row r="1889">
      <c r="A1889" s="20"/>
      <c r="B1889" s="20"/>
      <c r="C1889" s="30"/>
      <c r="D1889" s="30"/>
      <c r="E1889" s="30"/>
      <c r="F1889" s="22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</row>
    <row r="1890">
      <c r="A1890" s="20"/>
      <c r="B1890" s="20"/>
      <c r="C1890" s="30"/>
      <c r="D1890" s="30"/>
      <c r="E1890" s="30"/>
      <c r="F1890" s="22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</row>
    <row r="1891">
      <c r="A1891" s="20"/>
      <c r="B1891" s="20"/>
      <c r="C1891" s="30"/>
      <c r="D1891" s="30"/>
      <c r="E1891" s="30"/>
      <c r="F1891" s="22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</row>
    <row r="1892">
      <c r="A1892" s="20"/>
      <c r="B1892" s="20"/>
      <c r="C1892" s="30"/>
      <c r="D1892" s="30"/>
      <c r="E1892" s="30"/>
      <c r="F1892" s="22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</row>
    <row r="1893">
      <c r="A1893" s="20"/>
      <c r="B1893" s="20"/>
      <c r="C1893" s="30"/>
      <c r="D1893" s="30"/>
      <c r="E1893" s="30"/>
      <c r="F1893" s="22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</row>
    <row r="1894">
      <c r="A1894" s="20"/>
      <c r="B1894" s="20"/>
      <c r="C1894" s="30"/>
      <c r="D1894" s="30"/>
      <c r="E1894" s="30"/>
      <c r="F1894" s="22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</row>
    <row r="1895">
      <c r="A1895" s="20"/>
      <c r="B1895" s="20"/>
      <c r="C1895" s="30"/>
      <c r="D1895" s="30"/>
      <c r="E1895" s="30"/>
      <c r="F1895" s="22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</row>
    <row r="1896">
      <c r="A1896" s="20"/>
      <c r="B1896" s="20"/>
      <c r="C1896" s="30"/>
      <c r="D1896" s="30"/>
      <c r="E1896" s="30"/>
      <c r="F1896" s="22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</row>
    <row r="1897">
      <c r="A1897" s="20"/>
      <c r="B1897" s="20"/>
      <c r="C1897" s="30"/>
      <c r="D1897" s="30"/>
      <c r="E1897" s="30"/>
      <c r="F1897" s="22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</row>
    <row r="1898">
      <c r="A1898" s="20"/>
      <c r="B1898" s="20"/>
      <c r="C1898" s="30"/>
      <c r="D1898" s="30"/>
      <c r="E1898" s="30"/>
      <c r="F1898" s="22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</row>
    <row r="1899">
      <c r="A1899" s="20"/>
      <c r="B1899" s="20"/>
      <c r="C1899" s="30"/>
      <c r="D1899" s="30"/>
      <c r="E1899" s="30"/>
      <c r="F1899" s="22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</row>
    <row r="1900">
      <c r="A1900" s="20"/>
      <c r="B1900" s="20"/>
      <c r="C1900" s="30"/>
      <c r="D1900" s="30"/>
      <c r="E1900" s="30"/>
      <c r="F1900" s="22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</row>
    <row r="1901">
      <c r="A1901" s="20"/>
      <c r="B1901" s="20"/>
      <c r="C1901" s="30"/>
      <c r="D1901" s="30"/>
      <c r="E1901" s="30"/>
      <c r="F1901" s="22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</row>
    <row r="1902">
      <c r="A1902" s="20"/>
      <c r="B1902" s="20"/>
      <c r="C1902" s="30"/>
      <c r="D1902" s="30"/>
      <c r="E1902" s="30"/>
      <c r="F1902" s="22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</row>
    <row r="1903">
      <c r="A1903" s="20"/>
      <c r="B1903" s="20"/>
      <c r="C1903" s="30"/>
      <c r="D1903" s="30"/>
      <c r="E1903" s="30"/>
      <c r="F1903" s="22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</row>
    <row r="1904">
      <c r="A1904" s="20"/>
      <c r="B1904" s="20"/>
      <c r="C1904" s="30"/>
      <c r="D1904" s="30"/>
      <c r="E1904" s="30"/>
      <c r="F1904" s="22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</row>
    <row r="1905">
      <c r="A1905" s="20"/>
      <c r="B1905" s="20"/>
      <c r="C1905" s="30"/>
      <c r="D1905" s="30"/>
      <c r="E1905" s="30"/>
      <c r="F1905" s="22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</row>
    <row r="1906">
      <c r="A1906" s="20"/>
      <c r="B1906" s="20"/>
      <c r="C1906" s="30"/>
      <c r="D1906" s="30"/>
      <c r="E1906" s="30"/>
      <c r="F1906" s="22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</row>
    <row r="1907">
      <c r="A1907" s="20"/>
      <c r="B1907" s="20"/>
      <c r="C1907" s="30"/>
      <c r="D1907" s="30"/>
      <c r="E1907" s="30"/>
      <c r="F1907" s="22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</row>
    <row r="1908">
      <c r="A1908" s="20"/>
      <c r="B1908" s="20"/>
      <c r="C1908" s="30"/>
      <c r="D1908" s="30"/>
      <c r="E1908" s="30"/>
      <c r="F1908" s="22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</row>
    <row r="1909">
      <c r="A1909" s="20"/>
      <c r="B1909" s="20"/>
      <c r="C1909" s="30"/>
      <c r="D1909" s="30"/>
      <c r="E1909" s="30"/>
      <c r="F1909" s="22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</row>
    <row r="1910">
      <c r="A1910" s="20"/>
      <c r="B1910" s="20"/>
      <c r="C1910" s="30"/>
      <c r="D1910" s="30"/>
      <c r="E1910" s="30"/>
      <c r="F1910" s="22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</row>
    <row r="1911">
      <c r="A1911" s="20"/>
      <c r="B1911" s="20"/>
      <c r="C1911" s="30"/>
      <c r="D1911" s="30"/>
      <c r="E1911" s="30"/>
      <c r="F1911" s="22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</row>
    <row r="1912">
      <c r="A1912" s="20"/>
      <c r="B1912" s="20"/>
      <c r="C1912" s="30"/>
      <c r="D1912" s="30"/>
      <c r="E1912" s="30"/>
      <c r="F1912" s="22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</row>
    <row r="1913">
      <c r="A1913" s="20"/>
      <c r="B1913" s="20"/>
      <c r="C1913" s="30"/>
      <c r="D1913" s="30"/>
      <c r="E1913" s="30"/>
      <c r="F1913" s="22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</row>
    <row r="1914">
      <c r="A1914" s="20"/>
      <c r="B1914" s="20"/>
      <c r="C1914" s="30"/>
      <c r="D1914" s="30"/>
      <c r="E1914" s="30"/>
      <c r="F1914" s="22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</row>
    <row r="1915">
      <c r="A1915" s="20"/>
      <c r="B1915" s="20"/>
      <c r="C1915" s="30"/>
      <c r="D1915" s="30"/>
      <c r="E1915" s="30"/>
      <c r="F1915" s="22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</row>
    <row r="1916">
      <c r="A1916" s="20"/>
      <c r="B1916" s="20"/>
      <c r="C1916" s="30"/>
      <c r="D1916" s="30"/>
      <c r="E1916" s="30"/>
      <c r="F1916" s="22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</row>
    <row r="1917">
      <c r="A1917" s="20"/>
      <c r="B1917" s="20"/>
      <c r="C1917" s="30"/>
      <c r="D1917" s="30"/>
      <c r="E1917" s="30"/>
      <c r="F1917" s="22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</row>
    <row r="1918">
      <c r="A1918" s="20"/>
      <c r="B1918" s="20"/>
      <c r="C1918" s="30"/>
      <c r="D1918" s="30"/>
      <c r="E1918" s="30"/>
      <c r="F1918" s="22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</row>
    <row r="1919">
      <c r="A1919" s="20"/>
      <c r="B1919" s="20"/>
      <c r="C1919" s="30"/>
      <c r="D1919" s="30"/>
      <c r="E1919" s="30"/>
      <c r="F1919" s="22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</row>
    <row r="1920">
      <c r="A1920" s="20"/>
      <c r="B1920" s="20"/>
      <c r="C1920" s="30"/>
      <c r="D1920" s="30"/>
      <c r="E1920" s="30"/>
      <c r="F1920" s="22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</row>
    <row r="1921">
      <c r="A1921" s="20"/>
      <c r="B1921" s="20"/>
      <c r="C1921" s="30"/>
      <c r="D1921" s="30"/>
      <c r="E1921" s="30"/>
      <c r="F1921" s="22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</row>
    <row r="1922">
      <c r="A1922" s="20"/>
      <c r="B1922" s="20"/>
      <c r="C1922" s="30"/>
      <c r="D1922" s="30"/>
      <c r="E1922" s="30"/>
      <c r="F1922" s="22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</row>
    <row r="1923">
      <c r="A1923" s="20"/>
      <c r="B1923" s="20"/>
      <c r="C1923" s="30"/>
      <c r="D1923" s="30"/>
      <c r="E1923" s="30"/>
      <c r="F1923" s="22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</row>
    <row r="1924">
      <c r="A1924" s="20"/>
      <c r="B1924" s="20"/>
      <c r="C1924" s="30"/>
      <c r="D1924" s="30"/>
      <c r="E1924" s="30"/>
      <c r="F1924" s="22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</row>
    <row r="1925">
      <c r="A1925" s="20"/>
      <c r="B1925" s="20"/>
      <c r="C1925" s="30"/>
      <c r="D1925" s="30"/>
      <c r="E1925" s="30"/>
      <c r="F1925" s="22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</row>
    <row r="1926">
      <c r="A1926" s="20"/>
      <c r="B1926" s="20"/>
      <c r="C1926" s="30"/>
      <c r="D1926" s="30"/>
      <c r="E1926" s="30"/>
      <c r="F1926" s="22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</row>
    <row r="1927">
      <c r="A1927" s="20"/>
      <c r="B1927" s="20"/>
      <c r="C1927" s="30"/>
      <c r="D1927" s="30"/>
      <c r="E1927" s="30"/>
      <c r="F1927" s="22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</row>
    <row r="1928">
      <c r="A1928" s="20"/>
      <c r="B1928" s="20"/>
      <c r="C1928" s="30"/>
      <c r="D1928" s="30"/>
      <c r="E1928" s="30"/>
      <c r="F1928" s="22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</row>
    <row r="1929">
      <c r="A1929" s="20"/>
      <c r="B1929" s="20"/>
      <c r="C1929" s="30"/>
      <c r="D1929" s="30"/>
      <c r="E1929" s="30"/>
      <c r="F1929" s="22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</row>
    <row r="1930">
      <c r="A1930" s="20"/>
      <c r="B1930" s="20"/>
      <c r="C1930" s="30"/>
      <c r="D1930" s="30"/>
      <c r="E1930" s="30"/>
      <c r="F1930" s="22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</row>
    <row r="1931">
      <c r="A1931" s="20"/>
      <c r="B1931" s="20"/>
      <c r="C1931" s="30"/>
      <c r="D1931" s="30"/>
      <c r="E1931" s="30"/>
      <c r="F1931" s="22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</row>
    <row r="1932">
      <c r="A1932" s="20"/>
      <c r="B1932" s="20"/>
      <c r="C1932" s="30"/>
      <c r="D1932" s="30"/>
      <c r="E1932" s="30"/>
      <c r="F1932" s="22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</row>
    <row r="1933">
      <c r="A1933" s="20"/>
      <c r="B1933" s="20"/>
      <c r="C1933" s="30"/>
      <c r="D1933" s="30"/>
      <c r="E1933" s="30"/>
      <c r="F1933" s="22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</row>
    <row r="1934">
      <c r="A1934" s="20"/>
      <c r="B1934" s="20"/>
      <c r="C1934" s="30"/>
      <c r="D1934" s="30"/>
      <c r="E1934" s="30"/>
      <c r="F1934" s="22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</row>
    <row r="1935">
      <c r="A1935" s="20"/>
      <c r="B1935" s="20"/>
      <c r="C1935" s="30"/>
      <c r="D1935" s="30"/>
      <c r="E1935" s="30"/>
      <c r="F1935" s="22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</row>
    <row r="1936">
      <c r="A1936" s="20"/>
      <c r="B1936" s="20"/>
      <c r="C1936" s="30"/>
      <c r="D1936" s="30"/>
      <c r="E1936" s="30"/>
      <c r="F1936" s="22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</row>
    <row r="1937">
      <c r="A1937" s="20"/>
      <c r="B1937" s="20"/>
      <c r="C1937" s="30"/>
      <c r="D1937" s="30"/>
      <c r="E1937" s="30"/>
      <c r="F1937" s="22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</row>
    <row r="1938">
      <c r="A1938" s="20"/>
      <c r="B1938" s="20"/>
      <c r="C1938" s="30"/>
      <c r="D1938" s="30"/>
      <c r="E1938" s="30"/>
      <c r="F1938" s="22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</row>
    <row r="1939">
      <c r="A1939" s="20"/>
      <c r="B1939" s="20"/>
      <c r="C1939" s="30"/>
      <c r="D1939" s="30"/>
      <c r="E1939" s="30"/>
      <c r="F1939" s="22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</row>
    <row r="1940">
      <c r="A1940" s="20"/>
      <c r="B1940" s="20"/>
      <c r="C1940" s="30"/>
      <c r="D1940" s="30"/>
      <c r="E1940" s="30"/>
      <c r="F1940" s="22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</row>
    <row r="1941">
      <c r="A1941" s="20"/>
      <c r="B1941" s="20"/>
      <c r="C1941" s="30"/>
      <c r="D1941" s="30"/>
      <c r="E1941" s="30"/>
      <c r="F1941" s="22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</row>
    <row r="1942">
      <c r="A1942" s="20"/>
      <c r="B1942" s="20"/>
      <c r="C1942" s="30"/>
      <c r="D1942" s="30"/>
      <c r="E1942" s="30"/>
      <c r="F1942" s="22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</row>
    <row r="1943">
      <c r="A1943" s="20"/>
      <c r="B1943" s="20"/>
      <c r="C1943" s="30"/>
      <c r="D1943" s="30"/>
      <c r="E1943" s="30"/>
      <c r="F1943" s="22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</row>
    <row r="1944">
      <c r="A1944" s="20"/>
      <c r="B1944" s="20"/>
      <c r="C1944" s="30"/>
      <c r="D1944" s="30"/>
      <c r="E1944" s="30"/>
      <c r="F1944" s="22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</row>
    <row r="1945">
      <c r="A1945" s="20"/>
      <c r="B1945" s="20"/>
      <c r="C1945" s="30"/>
      <c r="D1945" s="30"/>
      <c r="E1945" s="30"/>
      <c r="F1945" s="22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</row>
    <row r="1946">
      <c r="A1946" s="20"/>
      <c r="B1946" s="20"/>
      <c r="C1946" s="30"/>
      <c r="D1946" s="30"/>
      <c r="E1946" s="30"/>
      <c r="F1946" s="22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</row>
    <row r="1947">
      <c r="A1947" s="20"/>
      <c r="B1947" s="20"/>
      <c r="C1947" s="30"/>
      <c r="D1947" s="30"/>
      <c r="E1947" s="30"/>
      <c r="F1947" s="22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</row>
    <row r="1948">
      <c r="A1948" s="20"/>
      <c r="B1948" s="20"/>
      <c r="C1948" s="30"/>
      <c r="D1948" s="30"/>
      <c r="E1948" s="30"/>
      <c r="F1948" s="22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</row>
    <row r="1949">
      <c r="A1949" s="20"/>
      <c r="B1949" s="20"/>
      <c r="C1949" s="30"/>
      <c r="D1949" s="30"/>
      <c r="E1949" s="30"/>
      <c r="F1949" s="22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</row>
    <row r="1950">
      <c r="A1950" s="20"/>
      <c r="B1950" s="20"/>
      <c r="C1950" s="30"/>
      <c r="D1950" s="30"/>
      <c r="E1950" s="30"/>
      <c r="F1950" s="22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</row>
    <row r="1951">
      <c r="A1951" s="20"/>
      <c r="B1951" s="20"/>
      <c r="C1951" s="30"/>
      <c r="D1951" s="30"/>
      <c r="E1951" s="30"/>
      <c r="F1951" s="22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</row>
    <row r="1952">
      <c r="A1952" s="20"/>
      <c r="B1952" s="20"/>
      <c r="C1952" s="30"/>
      <c r="D1952" s="30"/>
      <c r="E1952" s="30"/>
      <c r="F1952" s="22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</row>
    <row r="1953">
      <c r="A1953" s="20"/>
      <c r="B1953" s="20"/>
      <c r="C1953" s="30"/>
      <c r="D1953" s="30"/>
      <c r="E1953" s="30"/>
      <c r="F1953" s="22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</row>
    <row r="1954">
      <c r="A1954" s="20"/>
      <c r="B1954" s="20"/>
      <c r="C1954" s="30"/>
      <c r="D1954" s="30"/>
      <c r="E1954" s="30"/>
      <c r="F1954" s="22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</row>
    <row r="1955">
      <c r="A1955" s="20"/>
      <c r="B1955" s="20"/>
      <c r="C1955" s="30"/>
      <c r="D1955" s="30"/>
      <c r="E1955" s="30"/>
      <c r="F1955" s="22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</row>
    <row r="1956">
      <c r="A1956" s="20"/>
      <c r="B1956" s="20"/>
      <c r="C1956" s="30"/>
      <c r="D1956" s="30"/>
      <c r="E1956" s="30"/>
      <c r="F1956" s="22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</row>
    <row r="1957">
      <c r="A1957" s="20"/>
      <c r="B1957" s="20"/>
      <c r="C1957" s="30"/>
      <c r="D1957" s="30"/>
      <c r="E1957" s="30"/>
      <c r="F1957" s="22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</row>
    <row r="1958">
      <c r="A1958" s="20"/>
      <c r="B1958" s="20"/>
      <c r="C1958" s="30"/>
      <c r="D1958" s="30"/>
      <c r="E1958" s="30"/>
      <c r="F1958" s="22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</row>
    <row r="1959">
      <c r="A1959" s="20"/>
      <c r="B1959" s="20"/>
      <c r="C1959" s="30"/>
      <c r="D1959" s="30"/>
      <c r="E1959" s="30"/>
      <c r="F1959" s="22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</row>
    <row r="1960">
      <c r="A1960" s="20"/>
      <c r="B1960" s="20"/>
      <c r="C1960" s="30"/>
      <c r="D1960" s="30"/>
      <c r="E1960" s="30"/>
      <c r="F1960" s="22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</row>
    <row r="1961">
      <c r="A1961" s="20"/>
      <c r="B1961" s="20"/>
      <c r="C1961" s="30"/>
      <c r="D1961" s="30"/>
      <c r="E1961" s="30"/>
      <c r="F1961" s="22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</row>
    <row r="1962">
      <c r="A1962" s="20"/>
      <c r="B1962" s="20"/>
      <c r="C1962" s="30"/>
      <c r="D1962" s="30"/>
      <c r="E1962" s="30"/>
      <c r="F1962" s="22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</row>
    <row r="1963">
      <c r="A1963" s="20"/>
      <c r="B1963" s="20"/>
      <c r="C1963" s="30"/>
      <c r="D1963" s="30"/>
      <c r="E1963" s="30"/>
      <c r="F1963" s="22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</row>
    <row r="1964">
      <c r="A1964" s="20"/>
      <c r="B1964" s="20"/>
      <c r="C1964" s="30"/>
      <c r="D1964" s="30"/>
      <c r="E1964" s="30"/>
      <c r="F1964" s="22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</row>
    <row r="1965">
      <c r="A1965" s="20"/>
      <c r="B1965" s="20"/>
      <c r="C1965" s="30"/>
      <c r="D1965" s="30"/>
      <c r="E1965" s="30"/>
      <c r="F1965" s="22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</row>
    <row r="1966">
      <c r="A1966" s="20"/>
      <c r="B1966" s="20"/>
      <c r="C1966" s="30"/>
      <c r="D1966" s="30"/>
      <c r="E1966" s="30"/>
      <c r="F1966" s="22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</row>
    <row r="1967">
      <c r="A1967" s="20"/>
      <c r="B1967" s="20"/>
      <c r="C1967" s="30"/>
      <c r="D1967" s="30"/>
      <c r="E1967" s="30"/>
      <c r="F1967" s="22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</row>
    <row r="1968">
      <c r="A1968" s="20"/>
      <c r="B1968" s="20"/>
      <c r="C1968" s="30"/>
      <c r="D1968" s="30"/>
      <c r="E1968" s="30"/>
      <c r="F1968" s="22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</row>
    <row r="1969">
      <c r="A1969" s="20"/>
      <c r="B1969" s="20"/>
      <c r="C1969" s="30"/>
      <c r="D1969" s="30"/>
      <c r="E1969" s="30"/>
      <c r="F1969" s="22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</row>
    <row r="1970">
      <c r="A1970" s="20"/>
      <c r="B1970" s="20"/>
      <c r="C1970" s="30"/>
      <c r="D1970" s="30"/>
      <c r="E1970" s="30"/>
      <c r="F1970" s="22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</row>
    <row r="1971">
      <c r="A1971" s="20"/>
      <c r="B1971" s="20"/>
      <c r="C1971" s="30"/>
      <c r="D1971" s="30"/>
      <c r="E1971" s="30"/>
      <c r="F1971" s="22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</row>
    <row r="1972">
      <c r="A1972" s="20"/>
      <c r="B1972" s="20"/>
      <c r="C1972" s="30"/>
      <c r="D1972" s="30"/>
      <c r="E1972" s="30"/>
      <c r="F1972" s="22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</row>
    <row r="1973">
      <c r="A1973" s="20"/>
      <c r="B1973" s="20"/>
      <c r="C1973" s="30"/>
      <c r="D1973" s="30"/>
      <c r="E1973" s="30"/>
      <c r="F1973" s="22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</row>
    <row r="1974">
      <c r="A1974" s="20"/>
      <c r="B1974" s="20"/>
      <c r="C1974" s="30"/>
      <c r="D1974" s="30"/>
      <c r="E1974" s="30"/>
      <c r="F1974" s="22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</row>
    <row r="1975">
      <c r="A1975" s="20"/>
      <c r="B1975" s="20"/>
      <c r="C1975" s="30"/>
      <c r="D1975" s="30"/>
      <c r="E1975" s="30"/>
      <c r="F1975" s="22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</row>
    <row r="1976">
      <c r="A1976" s="20"/>
      <c r="B1976" s="20"/>
      <c r="C1976" s="30"/>
      <c r="D1976" s="30"/>
      <c r="E1976" s="30"/>
      <c r="F1976" s="22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</row>
    <row r="1977">
      <c r="A1977" s="20"/>
      <c r="B1977" s="20"/>
      <c r="C1977" s="30"/>
      <c r="D1977" s="30"/>
      <c r="E1977" s="30"/>
      <c r="F1977" s="22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</row>
    <row r="1978">
      <c r="A1978" s="20"/>
      <c r="B1978" s="20"/>
      <c r="C1978" s="30"/>
      <c r="D1978" s="30"/>
      <c r="E1978" s="30"/>
      <c r="F1978" s="22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</row>
    <row r="1979">
      <c r="A1979" s="20"/>
      <c r="B1979" s="20"/>
      <c r="C1979" s="30"/>
      <c r="D1979" s="30"/>
      <c r="E1979" s="30"/>
      <c r="F1979" s="22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</row>
    <row r="1980">
      <c r="A1980" s="20"/>
      <c r="B1980" s="20"/>
      <c r="C1980" s="30"/>
      <c r="D1980" s="30"/>
      <c r="E1980" s="30"/>
      <c r="F1980" s="22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</row>
    <row r="1981">
      <c r="A1981" s="20"/>
      <c r="B1981" s="20"/>
      <c r="C1981" s="30"/>
      <c r="D1981" s="30"/>
      <c r="E1981" s="30"/>
      <c r="F1981" s="22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</row>
    <row r="1982">
      <c r="A1982" s="20"/>
      <c r="B1982" s="20"/>
      <c r="C1982" s="30"/>
      <c r="D1982" s="30"/>
      <c r="E1982" s="30"/>
      <c r="F1982" s="22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</row>
    <row r="1983">
      <c r="A1983" s="20"/>
      <c r="B1983" s="20"/>
      <c r="C1983" s="30"/>
      <c r="D1983" s="30"/>
      <c r="E1983" s="30"/>
      <c r="F1983" s="22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</row>
    <row r="1984">
      <c r="A1984" s="20"/>
      <c r="B1984" s="20"/>
      <c r="C1984" s="30"/>
      <c r="D1984" s="30"/>
      <c r="E1984" s="30"/>
      <c r="F1984" s="22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</row>
    <row r="1985">
      <c r="A1985" s="20"/>
      <c r="B1985" s="20"/>
      <c r="C1985" s="30"/>
      <c r="D1985" s="30"/>
      <c r="E1985" s="30"/>
      <c r="F1985" s="22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</row>
    <row r="1986">
      <c r="A1986" s="20"/>
      <c r="B1986" s="20"/>
      <c r="C1986" s="30"/>
      <c r="D1986" s="30"/>
      <c r="E1986" s="30"/>
      <c r="F1986" s="22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</row>
    <row r="1987">
      <c r="A1987" s="20"/>
      <c r="B1987" s="20"/>
      <c r="C1987" s="30"/>
      <c r="D1987" s="30"/>
      <c r="E1987" s="30"/>
      <c r="F1987" s="22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</row>
    <row r="1988">
      <c r="A1988" s="20"/>
      <c r="B1988" s="20"/>
      <c r="C1988" s="30"/>
      <c r="D1988" s="30"/>
      <c r="E1988" s="30"/>
      <c r="F1988" s="22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</row>
    <row r="1989">
      <c r="A1989" s="20"/>
      <c r="B1989" s="20"/>
      <c r="C1989" s="30"/>
      <c r="D1989" s="30"/>
      <c r="E1989" s="30"/>
      <c r="F1989" s="22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</row>
    <row r="1990">
      <c r="A1990" s="20"/>
      <c r="B1990" s="20"/>
      <c r="C1990" s="30"/>
      <c r="D1990" s="30"/>
      <c r="E1990" s="30"/>
      <c r="F1990" s="22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</row>
    <row r="1991">
      <c r="A1991" s="20"/>
      <c r="B1991" s="20"/>
      <c r="C1991" s="30"/>
      <c r="D1991" s="30"/>
      <c r="E1991" s="30"/>
      <c r="F1991" s="22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</row>
    <row r="1992">
      <c r="A1992" s="20"/>
      <c r="B1992" s="20"/>
      <c r="C1992" s="30"/>
      <c r="D1992" s="30"/>
      <c r="E1992" s="30"/>
      <c r="F1992" s="22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</row>
    <row r="1993">
      <c r="A1993" s="20"/>
      <c r="B1993" s="20"/>
      <c r="C1993" s="30"/>
      <c r="D1993" s="30"/>
      <c r="E1993" s="30"/>
      <c r="F1993" s="22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</row>
    <row r="1994">
      <c r="A1994" s="20"/>
      <c r="B1994" s="20"/>
      <c r="C1994" s="30"/>
      <c r="D1994" s="30"/>
      <c r="E1994" s="30"/>
      <c r="F1994" s="22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</row>
    <row r="1995">
      <c r="A1995" s="20"/>
      <c r="B1995" s="20"/>
      <c r="C1995" s="30"/>
      <c r="D1995" s="30"/>
      <c r="E1995" s="30"/>
      <c r="F1995" s="22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</row>
    <row r="1996">
      <c r="A1996" s="20"/>
      <c r="B1996" s="20"/>
      <c r="C1996" s="30"/>
      <c r="D1996" s="30"/>
      <c r="E1996" s="30"/>
      <c r="F1996" s="22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</row>
    <row r="1997">
      <c r="A1997" s="20"/>
      <c r="B1997" s="20"/>
      <c r="C1997" s="30"/>
      <c r="D1997" s="30"/>
      <c r="E1997" s="30"/>
      <c r="F1997" s="22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</row>
    <row r="1998">
      <c r="A1998" s="20"/>
      <c r="B1998" s="20"/>
      <c r="C1998" s="30"/>
      <c r="D1998" s="30"/>
      <c r="E1998" s="30"/>
      <c r="F1998" s="22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</row>
    <row r="1999">
      <c r="A1999" s="20"/>
      <c r="B1999" s="20"/>
      <c r="C1999" s="30"/>
      <c r="D1999" s="30"/>
      <c r="E1999" s="30"/>
      <c r="F1999" s="22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</row>
    <row r="2000">
      <c r="A2000" s="20"/>
      <c r="B2000" s="20"/>
      <c r="C2000" s="30"/>
      <c r="D2000" s="30"/>
      <c r="E2000" s="30"/>
      <c r="F2000" s="22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</row>
    <row r="2001">
      <c r="A2001" s="20"/>
      <c r="B2001" s="20"/>
      <c r="C2001" s="30"/>
      <c r="D2001" s="30"/>
      <c r="E2001" s="30"/>
      <c r="F2001" s="22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</row>
    <row r="2002">
      <c r="A2002" s="20"/>
      <c r="B2002" s="20"/>
      <c r="C2002" s="30"/>
      <c r="D2002" s="30"/>
      <c r="E2002" s="30"/>
      <c r="F2002" s="22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</row>
    <row r="2003">
      <c r="A2003" s="20"/>
      <c r="B2003" s="20"/>
      <c r="C2003" s="30"/>
      <c r="D2003" s="30"/>
      <c r="E2003" s="30"/>
      <c r="F2003" s="22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</row>
    <row r="2004">
      <c r="A2004" s="20"/>
      <c r="B2004" s="20"/>
      <c r="C2004" s="30"/>
      <c r="D2004" s="30"/>
      <c r="E2004" s="30"/>
      <c r="F2004" s="22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</row>
    <row r="2005">
      <c r="A2005" s="20"/>
      <c r="B2005" s="20"/>
      <c r="C2005" s="30"/>
      <c r="D2005" s="30"/>
      <c r="E2005" s="30"/>
      <c r="F2005" s="22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</row>
    <row r="2006">
      <c r="A2006" s="20"/>
      <c r="B2006" s="20"/>
      <c r="C2006" s="30"/>
      <c r="D2006" s="30"/>
      <c r="E2006" s="30"/>
      <c r="F2006" s="22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</row>
    <row r="2007">
      <c r="A2007" s="20"/>
      <c r="B2007" s="20"/>
      <c r="C2007" s="30"/>
      <c r="D2007" s="30"/>
      <c r="E2007" s="30"/>
      <c r="F2007" s="22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</row>
    <row r="2008">
      <c r="A2008" s="20"/>
      <c r="B2008" s="20"/>
      <c r="C2008" s="30"/>
      <c r="D2008" s="30"/>
      <c r="E2008" s="30"/>
      <c r="F2008" s="22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</row>
    <row r="2009">
      <c r="A2009" s="20"/>
      <c r="B2009" s="20"/>
      <c r="C2009" s="30"/>
      <c r="D2009" s="30"/>
      <c r="E2009" s="30"/>
      <c r="F2009" s="22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</row>
    <row r="2010">
      <c r="A2010" s="20"/>
      <c r="B2010" s="20"/>
      <c r="C2010" s="30"/>
      <c r="D2010" s="30"/>
      <c r="E2010" s="30"/>
      <c r="F2010" s="22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</row>
    <row r="2011">
      <c r="A2011" s="20"/>
      <c r="B2011" s="20"/>
      <c r="C2011" s="30"/>
      <c r="D2011" s="30"/>
      <c r="E2011" s="30"/>
      <c r="F2011" s="22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</row>
    <row r="2012">
      <c r="A2012" s="20"/>
      <c r="B2012" s="20"/>
      <c r="C2012" s="30"/>
      <c r="D2012" s="30"/>
      <c r="E2012" s="30"/>
      <c r="F2012" s="22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</row>
    <row r="2013">
      <c r="A2013" s="20"/>
      <c r="B2013" s="20"/>
      <c r="C2013" s="30"/>
      <c r="D2013" s="30"/>
      <c r="E2013" s="30"/>
      <c r="F2013" s="22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</row>
    <row r="2014">
      <c r="A2014" s="20"/>
      <c r="B2014" s="20"/>
      <c r="C2014" s="30"/>
      <c r="D2014" s="30"/>
      <c r="E2014" s="30"/>
      <c r="F2014" s="22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</row>
    <row r="2015">
      <c r="A2015" s="20"/>
      <c r="B2015" s="20"/>
      <c r="C2015" s="30"/>
      <c r="D2015" s="30"/>
      <c r="E2015" s="30"/>
      <c r="F2015" s="22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</row>
    <row r="2016">
      <c r="A2016" s="20"/>
      <c r="B2016" s="20"/>
      <c r="C2016" s="30"/>
      <c r="D2016" s="30"/>
      <c r="E2016" s="30"/>
      <c r="F2016" s="22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</row>
    <row r="2017">
      <c r="A2017" s="20"/>
      <c r="B2017" s="20"/>
      <c r="C2017" s="30"/>
      <c r="D2017" s="30"/>
      <c r="E2017" s="30"/>
      <c r="F2017" s="22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</row>
    <row r="2018">
      <c r="A2018" s="20"/>
      <c r="B2018" s="20"/>
      <c r="C2018" s="30"/>
      <c r="D2018" s="30"/>
      <c r="E2018" s="30"/>
      <c r="F2018" s="22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</row>
    <row r="2019">
      <c r="A2019" s="20"/>
      <c r="B2019" s="20"/>
      <c r="C2019" s="30"/>
      <c r="D2019" s="30"/>
      <c r="E2019" s="30"/>
      <c r="F2019" s="22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</row>
    <row r="2020">
      <c r="A2020" s="20"/>
      <c r="B2020" s="20"/>
      <c r="C2020" s="30"/>
      <c r="D2020" s="30"/>
      <c r="E2020" s="30"/>
      <c r="F2020" s="22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</row>
    <row r="2021">
      <c r="A2021" s="20"/>
      <c r="B2021" s="20"/>
      <c r="C2021" s="30"/>
      <c r="D2021" s="30"/>
      <c r="E2021" s="30"/>
      <c r="F2021" s="22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</row>
    <row r="2022">
      <c r="A2022" s="20"/>
      <c r="B2022" s="20"/>
      <c r="C2022" s="30"/>
      <c r="D2022" s="30"/>
      <c r="E2022" s="30"/>
      <c r="F2022" s="22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</row>
    <row r="2023">
      <c r="A2023" s="20"/>
      <c r="B2023" s="20"/>
      <c r="C2023" s="30"/>
      <c r="D2023" s="30"/>
      <c r="E2023" s="30"/>
      <c r="F2023" s="22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</row>
    <row r="2024">
      <c r="A2024" s="20"/>
      <c r="B2024" s="20"/>
      <c r="C2024" s="30"/>
      <c r="D2024" s="30"/>
      <c r="E2024" s="30"/>
      <c r="F2024" s="22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</row>
    <row r="2025">
      <c r="A2025" s="20"/>
      <c r="B2025" s="20"/>
      <c r="C2025" s="30"/>
      <c r="D2025" s="30"/>
      <c r="E2025" s="30"/>
      <c r="F2025" s="22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</row>
    <row r="2026">
      <c r="A2026" s="20"/>
      <c r="B2026" s="20"/>
      <c r="C2026" s="30"/>
      <c r="D2026" s="30"/>
      <c r="E2026" s="30"/>
      <c r="F2026" s="22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</row>
    <row r="2027">
      <c r="A2027" s="20"/>
      <c r="B2027" s="20"/>
      <c r="C2027" s="30"/>
      <c r="D2027" s="30"/>
      <c r="E2027" s="30"/>
      <c r="F2027" s="22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</row>
    <row r="2028">
      <c r="A2028" s="20"/>
      <c r="B2028" s="20"/>
      <c r="C2028" s="30"/>
      <c r="D2028" s="30"/>
      <c r="E2028" s="30"/>
      <c r="F2028" s="22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</row>
    <row r="2029">
      <c r="A2029" s="20"/>
      <c r="B2029" s="20"/>
      <c r="C2029" s="30"/>
      <c r="D2029" s="30"/>
      <c r="E2029" s="30"/>
      <c r="F2029" s="22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</row>
    <row r="2030">
      <c r="A2030" s="20"/>
      <c r="B2030" s="20"/>
      <c r="C2030" s="30"/>
      <c r="D2030" s="30"/>
      <c r="E2030" s="30"/>
      <c r="F2030" s="22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</row>
    <row r="2031">
      <c r="A2031" s="20"/>
      <c r="B2031" s="20"/>
      <c r="C2031" s="30"/>
      <c r="D2031" s="30"/>
      <c r="E2031" s="30"/>
      <c r="F2031" s="22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</row>
    <row r="2032">
      <c r="A2032" s="20"/>
      <c r="B2032" s="20"/>
      <c r="C2032" s="30"/>
      <c r="D2032" s="30"/>
      <c r="E2032" s="30"/>
      <c r="F2032" s="22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</row>
    <row r="2033">
      <c r="A2033" s="20"/>
      <c r="B2033" s="20"/>
      <c r="C2033" s="30"/>
      <c r="D2033" s="30"/>
      <c r="E2033" s="30"/>
      <c r="F2033" s="22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</row>
    <row r="2034">
      <c r="A2034" s="20"/>
      <c r="B2034" s="20"/>
      <c r="C2034" s="30"/>
      <c r="D2034" s="30"/>
      <c r="E2034" s="30"/>
      <c r="F2034" s="22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</row>
    <row r="2035">
      <c r="A2035" s="20"/>
      <c r="B2035" s="20"/>
      <c r="C2035" s="30"/>
      <c r="D2035" s="30"/>
      <c r="E2035" s="30"/>
      <c r="F2035" s="22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</row>
    <row r="2036">
      <c r="A2036" s="20"/>
      <c r="B2036" s="20"/>
      <c r="C2036" s="30"/>
      <c r="D2036" s="30"/>
      <c r="E2036" s="30"/>
      <c r="F2036" s="22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</row>
    <row r="2037">
      <c r="A2037" s="20"/>
      <c r="B2037" s="20"/>
      <c r="C2037" s="30"/>
      <c r="D2037" s="30"/>
      <c r="E2037" s="30"/>
      <c r="F2037" s="22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</row>
    <row r="2038">
      <c r="A2038" s="20"/>
      <c r="B2038" s="20"/>
      <c r="C2038" s="30"/>
      <c r="D2038" s="30"/>
      <c r="E2038" s="30"/>
      <c r="F2038" s="22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</row>
    <row r="2039">
      <c r="A2039" s="20"/>
      <c r="B2039" s="20"/>
      <c r="C2039" s="30"/>
      <c r="D2039" s="30"/>
      <c r="E2039" s="30"/>
      <c r="F2039" s="22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</row>
    <row r="2040">
      <c r="A2040" s="20"/>
      <c r="B2040" s="20"/>
      <c r="C2040" s="30"/>
      <c r="D2040" s="30"/>
      <c r="E2040" s="30"/>
      <c r="F2040" s="22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</row>
    <row r="2041">
      <c r="A2041" s="20"/>
      <c r="B2041" s="20"/>
      <c r="C2041" s="30"/>
      <c r="D2041" s="30"/>
      <c r="E2041" s="30"/>
      <c r="F2041" s="22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</row>
    <row r="2042">
      <c r="A2042" s="20"/>
      <c r="B2042" s="20"/>
      <c r="C2042" s="30"/>
      <c r="D2042" s="30"/>
      <c r="E2042" s="30"/>
      <c r="F2042" s="22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</row>
    <row r="2043">
      <c r="A2043" s="20"/>
      <c r="B2043" s="20"/>
      <c r="C2043" s="30"/>
      <c r="D2043" s="30"/>
      <c r="E2043" s="30"/>
      <c r="F2043" s="22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</row>
    <row r="2044">
      <c r="A2044" s="20"/>
      <c r="B2044" s="20"/>
      <c r="C2044" s="30"/>
      <c r="D2044" s="30"/>
      <c r="E2044" s="30"/>
      <c r="F2044" s="22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</row>
    <row r="2045">
      <c r="A2045" s="20"/>
      <c r="B2045" s="20"/>
      <c r="C2045" s="30"/>
      <c r="D2045" s="30"/>
      <c r="E2045" s="30"/>
      <c r="F2045" s="22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</row>
    <row r="2046">
      <c r="A2046" s="20"/>
      <c r="B2046" s="20"/>
      <c r="C2046" s="30"/>
      <c r="D2046" s="30"/>
      <c r="E2046" s="30"/>
      <c r="F2046" s="22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</row>
    <row r="2047">
      <c r="A2047" s="20"/>
      <c r="B2047" s="20"/>
      <c r="C2047" s="30"/>
      <c r="D2047" s="30"/>
      <c r="E2047" s="30"/>
      <c r="F2047" s="22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</row>
    <row r="2048">
      <c r="A2048" s="20"/>
      <c r="B2048" s="20"/>
      <c r="C2048" s="30"/>
      <c r="D2048" s="30"/>
      <c r="E2048" s="30"/>
      <c r="F2048" s="22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</row>
    <row r="2049">
      <c r="A2049" s="20"/>
      <c r="B2049" s="20"/>
      <c r="C2049" s="30"/>
      <c r="D2049" s="30"/>
      <c r="E2049" s="30"/>
      <c r="F2049" s="22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</row>
    <row r="2050">
      <c r="A2050" s="20"/>
      <c r="B2050" s="20"/>
      <c r="C2050" s="30"/>
      <c r="D2050" s="30"/>
      <c r="E2050" s="30"/>
      <c r="F2050" s="22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</row>
    <row r="2051">
      <c r="A2051" s="20"/>
      <c r="B2051" s="20"/>
      <c r="C2051" s="30"/>
      <c r="D2051" s="30"/>
      <c r="E2051" s="30"/>
      <c r="F2051" s="22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</row>
    <row r="2052">
      <c r="A2052" s="20"/>
      <c r="B2052" s="20"/>
      <c r="C2052" s="30"/>
      <c r="D2052" s="30"/>
      <c r="E2052" s="30"/>
      <c r="F2052" s="22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</row>
    <row r="2053">
      <c r="A2053" s="20"/>
      <c r="B2053" s="20"/>
      <c r="C2053" s="30"/>
      <c r="D2053" s="30"/>
      <c r="E2053" s="30"/>
      <c r="F2053" s="22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</row>
    <row r="2054">
      <c r="A2054" s="20"/>
      <c r="B2054" s="20"/>
      <c r="C2054" s="30"/>
      <c r="D2054" s="30"/>
      <c r="E2054" s="30"/>
      <c r="F2054" s="22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</row>
    <row r="2055">
      <c r="A2055" s="20"/>
      <c r="B2055" s="20"/>
      <c r="C2055" s="30"/>
      <c r="D2055" s="30"/>
      <c r="E2055" s="30"/>
      <c r="F2055" s="22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</row>
    <row r="2056">
      <c r="A2056" s="20"/>
      <c r="B2056" s="20"/>
      <c r="C2056" s="30"/>
      <c r="D2056" s="30"/>
      <c r="E2056" s="30"/>
      <c r="F2056" s="22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</row>
    <row r="2057">
      <c r="A2057" s="20"/>
      <c r="B2057" s="20"/>
      <c r="C2057" s="30"/>
      <c r="D2057" s="30"/>
      <c r="E2057" s="30"/>
      <c r="F2057" s="22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</row>
    <row r="2058">
      <c r="A2058" s="20"/>
      <c r="B2058" s="20"/>
      <c r="C2058" s="30"/>
      <c r="D2058" s="30"/>
      <c r="E2058" s="30"/>
      <c r="F2058" s="22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</row>
    <row r="2059">
      <c r="A2059" s="20"/>
      <c r="B2059" s="20"/>
      <c r="C2059" s="30"/>
      <c r="D2059" s="30"/>
      <c r="E2059" s="30"/>
      <c r="F2059" s="22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</row>
    <row r="2060">
      <c r="A2060" s="20"/>
      <c r="B2060" s="20"/>
      <c r="C2060" s="30"/>
      <c r="D2060" s="30"/>
      <c r="E2060" s="30"/>
      <c r="F2060" s="22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</row>
    <row r="2061">
      <c r="A2061" s="20"/>
      <c r="B2061" s="20"/>
      <c r="C2061" s="30"/>
      <c r="D2061" s="30"/>
      <c r="E2061" s="30"/>
      <c r="F2061" s="22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</row>
    <row r="2062">
      <c r="A2062" s="20"/>
      <c r="B2062" s="20"/>
      <c r="C2062" s="30"/>
      <c r="D2062" s="30"/>
      <c r="E2062" s="30"/>
      <c r="F2062" s="22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</row>
    <row r="2063">
      <c r="A2063" s="20"/>
      <c r="B2063" s="20"/>
      <c r="C2063" s="30"/>
      <c r="D2063" s="30"/>
      <c r="E2063" s="30"/>
      <c r="F2063" s="22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</row>
    <row r="2064">
      <c r="A2064" s="20"/>
      <c r="B2064" s="20"/>
      <c r="C2064" s="30"/>
      <c r="D2064" s="30"/>
      <c r="E2064" s="30"/>
      <c r="F2064" s="22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</row>
    <row r="2065">
      <c r="A2065" s="20"/>
      <c r="B2065" s="20"/>
      <c r="C2065" s="30"/>
      <c r="D2065" s="30"/>
      <c r="E2065" s="30"/>
      <c r="F2065" s="22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</row>
    <row r="2066">
      <c r="A2066" s="20"/>
      <c r="B2066" s="20"/>
      <c r="C2066" s="30"/>
      <c r="D2066" s="30"/>
      <c r="E2066" s="30"/>
      <c r="F2066" s="22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</row>
    <row r="2067">
      <c r="A2067" s="20"/>
      <c r="B2067" s="20"/>
      <c r="C2067" s="30"/>
      <c r="D2067" s="30"/>
      <c r="E2067" s="30"/>
      <c r="F2067" s="22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</row>
    <row r="2068">
      <c r="A2068" s="20"/>
      <c r="B2068" s="20"/>
      <c r="C2068" s="30"/>
      <c r="D2068" s="30"/>
      <c r="E2068" s="30"/>
      <c r="F2068" s="22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</row>
    <row r="2069">
      <c r="A2069" s="20"/>
      <c r="B2069" s="20"/>
      <c r="C2069" s="30"/>
      <c r="D2069" s="30"/>
      <c r="E2069" s="30"/>
      <c r="F2069" s="22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</row>
    <row r="2070">
      <c r="A2070" s="20"/>
      <c r="B2070" s="20"/>
      <c r="C2070" s="30"/>
      <c r="D2070" s="30"/>
      <c r="E2070" s="30"/>
      <c r="F2070" s="22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</row>
    <row r="2071">
      <c r="A2071" s="20"/>
      <c r="B2071" s="20"/>
      <c r="C2071" s="30"/>
      <c r="D2071" s="30"/>
      <c r="E2071" s="30"/>
      <c r="F2071" s="22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</row>
    <row r="2072">
      <c r="A2072" s="20"/>
      <c r="B2072" s="20"/>
      <c r="C2072" s="30"/>
      <c r="D2072" s="30"/>
      <c r="E2072" s="30"/>
      <c r="F2072" s="22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</row>
    <row r="2073">
      <c r="A2073" s="20"/>
      <c r="B2073" s="20"/>
      <c r="C2073" s="30"/>
      <c r="D2073" s="30"/>
      <c r="E2073" s="30"/>
      <c r="F2073" s="22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</row>
    <row r="2074">
      <c r="A2074" s="20"/>
      <c r="B2074" s="20"/>
      <c r="C2074" s="30"/>
      <c r="D2074" s="30"/>
      <c r="E2074" s="30"/>
      <c r="F2074" s="22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</row>
    <row r="2075">
      <c r="A2075" s="20"/>
      <c r="B2075" s="20"/>
      <c r="C2075" s="30"/>
      <c r="D2075" s="30"/>
      <c r="E2075" s="30"/>
      <c r="F2075" s="22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</row>
    <row r="2076">
      <c r="A2076" s="20"/>
      <c r="B2076" s="20"/>
      <c r="C2076" s="30"/>
      <c r="D2076" s="30"/>
      <c r="E2076" s="30"/>
      <c r="F2076" s="22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</row>
    <row r="2077">
      <c r="A2077" s="20"/>
      <c r="B2077" s="20"/>
      <c r="C2077" s="30"/>
      <c r="D2077" s="30"/>
      <c r="E2077" s="30"/>
      <c r="F2077" s="22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</row>
    <row r="2078">
      <c r="A2078" s="20"/>
      <c r="B2078" s="20"/>
      <c r="C2078" s="30"/>
      <c r="D2078" s="30"/>
      <c r="E2078" s="30"/>
      <c r="F2078" s="22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</row>
    <row r="2079">
      <c r="A2079" s="20"/>
      <c r="B2079" s="20"/>
      <c r="C2079" s="30"/>
      <c r="D2079" s="30"/>
      <c r="E2079" s="30"/>
      <c r="F2079" s="22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</row>
    <row r="2080">
      <c r="A2080" s="20"/>
      <c r="B2080" s="20"/>
      <c r="C2080" s="30"/>
      <c r="D2080" s="30"/>
      <c r="E2080" s="30"/>
      <c r="F2080" s="22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</row>
    <row r="2081">
      <c r="A2081" s="20"/>
      <c r="B2081" s="20"/>
      <c r="C2081" s="30"/>
      <c r="D2081" s="30"/>
      <c r="E2081" s="30"/>
      <c r="F2081" s="22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</row>
    <row r="2082">
      <c r="A2082" s="20"/>
      <c r="B2082" s="20"/>
      <c r="C2082" s="30"/>
      <c r="D2082" s="30"/>
      <c r="E2082" s="30"/>
      <c r="F2082" s="22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</row>
    <row r="2083">
      <c r="A2083" s="20"/>
      <c r="B2083" s="20"/>
      <c r="C2083" s="30"/>
      <c r="D2083" s="30"/>
      <c r="E2083" s="30"/>
      <c r="F2083" s="22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</row>
    <row r="2084">
      <c r="A2084" s="20"/>
      <c r="B2084" s="20"/>
      <c r="C2084" s="30"/>
      <c r="D2084" s="30"/>
      <c r="E2084" s="30"/>
      <c r="F2084" s="22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</row>
    <row r="2085">
      <c r="A2085" s="20"/>
      <c r="B2085" s="20"/>
      <c r="C2085" s="30"/>
      <c r="D2085" s="30"/>
      <c r="E2085" s="30"/>
      <c r="F2085" s="22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</row>
    <row r="2086">
      <c r="A2086" s="20"/>
      <c r="B2086" s="20"/>
      <c r="C2086" s="30"/>
      <c r="D2086" s="30"/>
      <c r="E2086" s="30"/>
      <c r="F2086" s="22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</row>
    <row r="2087">
      <c r="A2087" s="20"/>
      <c r="B2087" s="20"/>
      <c r="C2087" s="30"/>
      <c r="D2087" s="30"/>
      <c r="E2087" s="30"/>
      <c r="F2087" s="22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</row>
    <row r="2088">
      <c r="A2088" s="20"/>
      <c r="B2088" s="20"/>
      <c r="C2088" s="30"/>
      <c r="D2088" s="30"/>
      <c r="E2088" s="30"/>
      <c r="F2088" s="22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</row>
    <row r="2089">
      <c r="A2089" s="20"/>
      <c r="B2089" s="20"/>
      <c r="C2089" s="30"/>
      <c r="D2089" s="30"/>
      <c r="E2089" s="30"/>
      <c r="F2089" s="22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</row>
    <row r="2090">
      <c r="A2090" s="20"/>
      <c r="B2090" s="20"/>
      <c r="C2090" s="30"/>
      <c r="D2090" s="30"/>
      <c r="E2090" s="30"/>
      <c r="F2090" s="22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</row>
    <row r="2091">
      <c r="A2091" s="20"/>
      <c r="B2091" s="20"/>
      <c r="C2091" s="30"/>
      <c r="D2091" s="30"/>
      <c r="E2091" s="30"/>
      <c r="F2091" s="22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</row>
    <row r="2092">
      <c r="A2092" s="20"/>
      <c r="B2092" s="20"/>
      <c r="C2092" s="30"/>
      <c r="D2092" s="30"/>
      <c r="E2092" s="30"/>
      <c r="F2092" s="22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</row>
    <row r="2093">
      <c r="A2093" s="20"/>
      <c r="B2093" s="20"/>
      <c r="C2093" s="30"/>
      <c r="D2093" s="30"/>
      <c r="E2093" s="30"/>
      <c r="F2093" s="22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</row>
    <row r="2094">
      <c r="A2094" s="20"/>
      <c r="B2094" s="20"/>
      <c r="C2094" s="30"/>
      <c r="D2094" s="30"/>
      <c r="E2094" s="30"/>
      <c r="F2094" s="22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</row>
    <row r="2095">
      <c r="A2095" s="20"/>
      <c r="B2095" s="20"/>
      <c r="C2095" s="30"/>
      <c r="D2095" s="30"/>
      <c r="E2095" s="30"/>
      <c r="F2095" s="22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</row>
    <row r="2096">
      <c r="A2096" s="20"/>
      <c r="B2096" s="20"/>
      <c r="C2096" s="30"/>
      <c r="D2096" s="30"/>
      <c r="E2096" s="30"/>
      <c r="F2096" s="22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</row>
    <row r="2097">
      <c r="A2097" s="20"/>
      <c r="B2097" s="20"/>
      <c r="C2097" s="30"/>
      <c r="D2097" s="30"/>
      <c r="E2097" s="30"/>
      <c r="F2097" s="22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</row>
    <row r="2098">
      <c r="A2098" s="20"/>
      <c r="B2098" s="20"/>
      <c r="C2098" s="30"/>
      <c r="D2098" s="30"/>
      <c r="E2098" s="30"/>
      <c r="F2098" s="22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</row>
    <row r="2099">
      <c r="A2099" s="20"/>
      <c r="B2099" s="20"/>
      <c r="C2099" s="30"/>
      <c r="D2099" s="30"/>
      <c r="E2099" s="30"/>
      <c r="F2099" s="22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</row>
    <row r="2100">
      <c r="A2100" s="20"/>
      <c r="B2100" s="20"/>
      <c r="C2100" s="30"/>
      <c r="D2100" s="30"/>
      <c r="E2100" s="30"/>
      <c r="F2100" s="22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</row>
    <row r="2101">
      <c r="A2101" s="20"/>
      <c r="B2101" s="20"/>
      <c r="C2101" s="30"/>
      <c r="D2101" s="30"/>
      <c r="E2101" s="30"/>
      <c r="F2101" s="22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</row>
    <row r="2102">
      <c r="A2102" s="20"/>
      <c r="B2102" s="20"/>
      <c r="C2102" s="30"/>
      <c r="D2102" s="30"/>
      <c r="E2102" s="30"/>
      <c r="F2102" s="22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</row>
    <row r="2103">
      <c r="A2103" s="20"/>
      <c r="B2103" s="20"/>
      <c r="C2103" s="30"/>
      <c r="D2103" s="30"/>
      <c r="E2103" s="30"/>
      <c r="F2103" s="22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</row>
    <row r="2104">
      <c r="A2104" s="20"/>
      <c r="B2104" s="20"/>
      <c r="C2104" s="30"/>
      <c r="D2104" s="30"/>
      <c r="E2104" s="30"/>
      <c r="F2104" s="22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</row>
    <row r="2105">
      <c r="A2105" s="20"/>
      <c r="B2105" s="20"/>
      <c r="C2105" s="30"/>
      <c r="D2105" s="30"/>
      <c r="E2105" s="30"/>
      <c r="F2105" s="22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</row>
    <row r="2106">
      <c r="A2106" s="20"/>
      <c r="B2106" s="20"/>
      <c r="C2106" s="30"/>
      <c r="D2106" s="30"/>
      <c r="E2106" s="30"/>
      <c r="F2106" s="22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</row>
    <row r="2107">
      <c r="A2107" s="20"/>
      <c r="B2107" s="20"/>
      <c r="C2107" s="30"/>
      <c r="D2107" s="30"/>
      <c r="E2107" s="30"/>
      <c r="F2107" s="22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</row>
    <row r="2108">
      <c r="A2108" s="20"/>
      <c r="B2108" s="20"/>
      <c r="C2108" s="30"/>
      <c r="D2108" s="30"/>
      <c r="E2108" s="30"/>
      <c r="F2108" s="22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</row>
    <row r="2109">
      <c r="A2109" s="20"/>
      <c r="B2109" s="20"/>
      <c r="C2109" s="30"/>
      <c r="D2109" s="30"/>
      <c r="E2109" s="30"/>
      <c r="F2109" s="22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</row>
    <row r="2110">
      <c r="A2110" s="20"/>
      <c r="B2110" s="20"/>
      <c r="C2110" s="30"/>
      <c r="D2110" s="30"/>
      <c r="E2110" s="30"/>
      <c r="F2110" s="22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</row>
    <row r="2111">
      <c r="A2111" s="20"/>
      <c r="B2111" s="20"/>
      <c r="C2111" s="30"/>
      <c r="D2111" s="30"/>
      <c r="E2111" s="30"/>
      <c r="F2111" s="22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</row>
    <row r="2112">
      <c r="A2112" s="20"/>
      <c r="B2112" s="20"/>
      <c r="C2112" s="30"/>
      <c r="D2112" s="30"/>
      <c r="E2112" s="30"/>
      <c r="F2112" s="22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</row>
    <row r="2113">
      <c r="A2113" s="20"/>
      <c r="B2113" s="20"/>
      <c r="C2113" s="30"/>
      <c r="D2113" s="30"/>
      <c r="E2113" s="30"/>
      <c r="F2113" s="22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</row>
    <row r="2114">
      <c r="A2114" s="20"/>
      <c r="B2114" s="20"/>
      <c r="C2114" s="30"/>
      <c r="D2114" s="30"/>
      <c r="E2114" s="30"/>
      <c r="F2114" s="22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</row>
    <row r="2115">
      <c r="A2115" s="20"/>
      <c r="B2115" s="20"/>
      <c r="C2115" s="30"/>
      <c r="D2115" s="30"/>
      <c r="E2115" s="30"/>
      <c r="F2115" s="22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</row>
    <row r="2116">
      <c r="A2116" s="20"/>
      <c r="B2116" s="20"/>
      <c r="C2116" s="30"/>
      <c r="D2116" s="30"/>
      <c r="E2116" s="30"/>
      <c r="F2116" s="22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</row>
    <row r="2117">
      <c r="A2117" s="20"/>
      <c r="B2117" s="20"/>
      <c r="C2117" s="30"/>
      <c r="D2117" s="30"/>
      <c r="E2117" s="30"/>
      <c r="F2117" s="22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</row>
    <row r="2118">
      <c r="A2118" s="20"/>
      <c r="B2118" s="20"/>
      <c r="C2118" s="30"/>
      <c r="D2118" s="30"/>
      <c r="E2118" s="30"/>
      <c r="F2118" s="22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</row>
    <row r="2119">
      <c r="A2119" s="20"/>
      <c r="B2119" s="20"/>
      <c r="C2119" s="30"/>
      <c r="D2119" s="30"/>
      <c r="E2119" s="30"/>
      <c r="F2119" s="22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</row>
    <row r="2120">
      <c r="A2120" s="20"/>
      <c r="B2120" s="20"/>
      <c r="C2120" s="30"/>
      <c r="D2120" s="30"/>
      <c r="E2120" s="30"/>
      <c r="F2120" s="22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</row>
    <row r="2121">
      <c r="A2121" s="20"/>
      <c r="B2121" s="20"/>
      <c r="C2121" s="30"/>
      <c r="D2121" s="30"/>
      <c r="E2121" s="30"/>
      <c r="F2121" s="22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</row>
    <row r="2122">
      <c r="A2122" s="20"/>
      <c r="B2122" s="20"/>
      <c r="C2122" s="30"/>
      <c r="D2122" s="30"/>
      <c r="E2122" s="30"/>
      <c r="F2122" s="22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</row>
    <row r="2123">
      <c r="A2123" s="20"/>
      <c r="B2123" s="20"/>
      <c r="C2123" s="30"/>
      <c r="D2123" s="30"/>
      <c r="E2123" s="30"/>
      <c r="F2123" s="22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</row>
    <row r="2124">
      <c r="A2124" s="20"/>
      <c r="B2124" s="20"/>
      <c r="C2124" s="30"/>
      <c r="D2124" s="30"/>
      <c r="E2124" s="30"/>
      <c r="F2124" s="22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</row>
    <row r="2125">
      <c r="A2125" s="20"/>
      <c r="B2125" s="20"/>
      <c r="C2125" s="30"/>
      <c r="D2125" s="30"/>
      <c r="E2125" s="30"/>
      <c r="F2125" s="22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</row>
    <row r="2126">
      <c r="A2126" s="20"/>
      <c r="B2126" s="20"/>
      <c r="C2126" s="30"/>
      <c r="D2126" s="30"/>
      <c r="E2126" s="30"/>
      <c r="F2126" s="22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</row>
    <row r="2127">
      <c r="A2127" s="20"/>
      <c r="B2127" s="20"/>
      <c r="C2127" s="30"/>
      <c r="D2127" s="30"/>
      <c r="E2127" s="30"/>
      <c r="F2127" s="22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</row>
    <row r="2128">
      <c r="A2128" s="20"/>
      <c r="B2128" s="20"/>
      <c r="C2128" s="30"/>
      <c r="D2128" s="30"/>
      <c r="E2128" s="30"/>
      <c r="F2128" s="22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</row>
    <row r="2129">
      <c r="A2129" s="20"/>
      <c r="B2129" s="20"/>
      <c r="C2129" s="30"/>
      <c r="D2129" s="30"/>
      <c r="E2129" s="30"/>
      <c r="F2129" s="22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</row>
    <row r="2130">
      <c r="A2130" s="20"/>
      <c r="B2130" s="20"/>
      <c r="C2130" s="30"/>
      <c r="D2130" s="30"/>
      <c r="E2130" s="30"/>
      <c r="F2130" s="22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</row>
    <row r="2131">
      <c r="A2131" s="20"/>
      <c r="B2131" s="20"/>
      <c r="C2131" s="30"/>
      <c r="D2131" s="30"/>
      <c r="E2131" s="30"/>
      <c r="F2131" s="22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</row>
    <row r="2132">
      <c r="A2132" s="20"/>
      <c r="B2132" s="20"/>
      <c r="C2132" s="30"/>
      <c r="D2132" s="30"/>
      <c r="E2132" s="30"/>
      <c r="F2132" s="22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</row>
    <row r="2133">
      <c r="A2133" s="20"/>
      <c r="B2133" s="20"/>
      <c r="C2133" s="30"/>
      <c r="D2133" s="30"/>
      <c r="E2133" s="30"/>
      <c r="F2133" s="22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</row>
    <row r="2134">
      <c r="A2134" s="20"/>
      <c r="B2134" s="20"/>
      <c r="C2134" s="30"/>
      <c r="D2134" s="30"/>
      <c r="E2134" s="30"/>
      <c r="F2134" s="22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</row>
    <row r="2135">
      <c r="A2135" s="20"/>
      <c r="B2135" s="20"/>
      <c r="C2135" s="30"/>
      <c r="D2135" s="30"/>
      <c r="E2135" s="30"/>
      <c r="F2135" s="22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</row>
    <row r="2136">
      <c r="A2136" s="20"/>
      <c r="B2136" s="20"/>
      <c r="C2136" s="30"/>
      <c r="D2136" s="30"/>
      <c r="E2136" s="30"/>
      <c r="F2136" s="22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</row>
    <row r="2137">
      <c r="A2137" s="20"/>
      <c r="B2137" s="20"/>
      <c r="C2137" s="30"/>
      <c r="D2137" s="30"/>
      <c r="E2137" s="30"/>
      <c r="F2137" s="22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</row>
    <row r="2138">
      <c r="A2138" s="20"/>
      <c r="B2138" s="20"/>
      <c r="C2138" s="30"/>
      <c r="D2138" s="30"/>
      <c r="E2138" s="30"/>
      <c r="F2138" s="22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</row>
    <row r="2139">
      <c r="A2139" s="20"/>
      <c r="B2139" s="20"/>
      <c r="C2139" s="30"/>
      <c r="D2139" s="30"/>
      <c r="E2139" s="30"/>
      <c r="F2139" s="22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</row>
    <row r="2140">
      <c r="A2140" s="20"/>
      <c r="B2140" s="20"/>
      <c r="C2140" s="30"/>
      <c r="D2140" s="30"/>
      <c r="E2140" s="30"/>
      <c r="F2140" s="22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</row>
    <row r="2141">
      <c r="A2141" s="20"/>
      <c r="B2141" s="20"/>
      <c r="C2141" s="30"/>
      <c r="D2141" s="30"/>
      <c r="E2141" s="30"/>
      <c r="F2141" s="22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</row>
    <row r="2142">
      <c r="A2142" s="20"/>
      <c r="B2142" s="20"/>
      <c r="C2142" s="30"/>
      <c r="D2142" s="30"/>
      <c r="E2142" s="30"/>
      <c r="F2142" s="22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</row>
    <row r="2143">
      <c r="A2143" s="20"/>
      <c r="B2143" s="20"/>
      <c r="C2143" s="30"/>
      <c r="D2143" s="30"/>
      <c r="E2143" s="30"/>
      <c r="F2143" s="22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</row>
    <row r="2144">
      <c r="A2144" s="20"/>
      <c r="B2144" s="20"/>
      <c r="C2144" s="30"/>
      <c r="D2144" s="30"/>
      <c r="E2144" s="30"/>
      <c r="F2144" s="22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</row>
    <row r="2145">
      <c r="A2145" s="20"/>
      <c r="B2145" s="20"/>
      <c r="C2145" s="30"/>
      <c r="D2145" s="30"/>
      <c r="E2145" s="30"/>
      <c r="F2145" s="22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</row>
    <row r="2146">
      <c r="A2146" s="20"/>
      <c r="B2146" s="20"/>
      <c r="C2146" s="30"/>
      <c r="D2146" s="30"/>
      <c r="E2146" s="30"/>
      <c r="F2146" s="22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</row>
    <row r="2147">
      <c r="A2147" s="20"/>
      <c r="B2147" s="20"/>
      <c r="C2147" s="30"/>
      <c r="D2147" s="30"/>
      <c r="E2147" s="30"/>
      <c r="F2147" s="22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</row>
    <row r="2148">
      <c r="A2148" s="20"/>
      <c r="B2148" s="20"/>
      <c r="C2148" s="30"/>
      <c r="D2148" s="30"/>
      <c r="E2148" s="30"/>
      <c r="F2148" s="22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</row>
    <row r="2149">
      <c r="A2149" s="20"/>
      <c r="B2149" s="20"/>
      <c r="C2149" s="30"/>
      <c r="D2149" s="30"/>
      <c r="E2149" s="30"/>
      <c r="F2149" s="22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</row>
    <row r="2150">
      <c r="A2150" s="20"/>
      <c r="B2150" s="20"/>
      <c r="C2150" s="30"/>
      <c r="D2150" s="30"/>
      <c r="E2150" s="30"/>
      <c r="F2150" s="22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</row>
    <row r="2151">
      <c r="A2151" s="20"/>
      <c r="B2151" s="20"/>
      <c r="C2151" s="30"/>
      <c r="D2151" s="30"/>
      <c r="E2151" s="30"/>
      <c r="F2151" s="22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</row>
    <row r="2152">
      <c r="A2152" s="20"/>
      <c r="B2152" s="20"/>
      <c r="C2152" s="30"/>
      <c r="D2152" s="30"/>
      <c r="E2152" s="30"/>
      <c r="F2152" s="22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</row>
    <row r="2153">
      <c r="A2153" s="20"/>
      <c r="B2153" s="20"/>
      <c r="C2153" s="30"/>
      <c r="D2153" s="30"/>
      <c r="E2153" s="30"/>
      <c r="F2153" s="22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</row>
    <row r="2154">
      <c r="A2154" s="20"/>
      <c r="B2154" s="20"/>
      <c r="C2154" s="30"/>
      <c r="D2154" s="30"/>
      <c r="E2154" s="30"/>
      <c r="F2154" s="22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</row>
    <row r="2155">
      <c r="A2155" s="20"/>
      <c r="B2155" s="20"/>
      <c r="C2155" s="30"/>
      <c r="D2155" s="30"/>
      <c r="E2155" s="30"/>
      <c r="F2155" s="22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</row>
    <row r="2156">
      <c r="A2156" s="20"/>
      <c r="B2156" s="20"/>
      <c r="C2156" s="30"/>
      <c r="D2156" s="30"/>
      <c r="E2156" s="30"/>
      <c r="F2156" s="22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</row>
    <row r="2157">
      <c r="A2157" s="20"/>
      <c r="B2157" s="20"/>
      <c r="C2157" s="30"/>
      <c r="D2157" s="30"/>
      <c r="E2157" s="30"/>
      <c r="F2157" s="22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</row>
    <row r="2158">
      <c r="A2158" s="20"/>
      <c r="B2158" s="20"/>
      <c r="C2158" s="30"/>
      <c r="D2158" s="30"/>
      <c r="E2158" s="30"/>
      <c r="F2158" s="22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</row>
    <row r="2159">
      <c r="A2159" s="20"/>
      <c r="B2159" s="20"/>
      <c r="C2159" s="30"/>
      <c r="D2159" s="30"/>
      <c r="E2159" s="30"/>
      <c r="F2159" s="22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</row>
    <row r="2160">
      <c r="A2160" s="20"/>
      <c r="B2160" s="20"/>
      <c r="C2160" s="30"/>
      <c r="D2160" s="30"/>
      <c r="E2160" s="30"/>
      <c r="F2160" s="22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</row>
    <row r="2161">
      <c r="A2161" s="20"/>
      <c r="B2161" s="20"/>
      <c r="C2161" s="30"/>
      <c r="D2161" s="30"/>
      <c r="E2161" s="30"/>
      <c r="F2161" s="22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</row>
    <row r="2162">
      <c r="A2162" s="20"/>
      <c r="B2162" s="20"/>
      <c r="C2162" s="30"/>
      <c r="D2162" s="30"/>
      <c r="E2162" s="30"/>
      <c r="F2162" s="22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</row>
    <row r="2163">
      <c r="A2163" s="20"/>
      <c r="B2163" s="20"/>
      <c r="C2163" s="30"/>
      <c r="D2163" s="30"/>
      <c r="E2163" s="30"/>
      <c r="F2163" s="22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</row>
    <row r="2164">
      <c r="A2164" s="20"/>
      <c r="B2164" s="20"/>
      <c r="C2164" s="30"/>
      <c r="D2164" s="30"/>
      <c r="E2164" s="30"/>
      <c r="F2164" s="22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</row>
    <row r="2165">
      <c r="A2165" s="20"/>
      <c r="B2165" s="20"/>
      <c r="C2165" s="30"/>
      <c r="D2165" s="30"/>
      <c r="E2165" s="30"/>
      <c r="F2165" s="22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</row>
    <row r="2166">
      <c r="A2166" s="20"/>
      <c r="B2166" s="20"/>
      <c r="C2166" s="30"/>
      <c r="D2166" s="30"/>
      <c r="E2166" s="30"/>
      <c r="F2166" s="22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</row>
    <row r="2167">
      <c r="A2167" s="20"/>
      <c r="B2167" s="20"/>
      <c r="C2167" s="30"/>
      <c r="D2167" s="30"/>
      <c r="E2167" s="30"/>
      <c r="F2167" s="22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</row>
    <row r="2168">
      <c r="A2168" s="20"/>
      <c r="B2168" s="20"/>
      <c r="C2168" s="30"/>
      <c r="D2168" s="30"/>
      <c r="E2168" s="30"/>
      <c r="F2168" s="22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</row>
    <row r="2169">
      <c r="A2169" s="20"/>
      <c r="B2169" s="20"/>
      <c r="C2169" s="30"/>
      <c r="D2169" s="30"/>
      <c r="E2169" s="30"/>
      <c r="F2169" s="22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</row>
    <row r="2170">
      <c r="A2170" s="20"/>
      <c r="B2170" s="20"/>
      <c r="C2170" s="30"/>
      <c r="D2170" s="30"/>
      <c r="E2170" s="30"/>
      <c r="F2170" s="22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</row>
    <row r="2171">
      <c r="A2171" s="20"/>
      <c r="B2171" s="20"/>
      <c r="C2171" s="30"/>
      <c r="D2171" s="30"/>
      <c r="E2171" s="30"/>
      <c r="F2171" s="22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</row>
    <row r="2172">
      <c r="A2172" s="20"/>
      <c r="B2172" s="20"/>
      <c r="C2172" s="30"/>
      <c r="D2172" s="30"/>
      <c r="E2172" s="30"/>
      <c r="F2172" s="22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</row>
    <row r="2173">
      <c r="A2173" s="20"/>
      <c r="B2173" s="20"/>
      <c r="C2173" s="30"/>
      <c r="D2173" s="30"/>
      <c r="E2173" s="30"/>
      <c r="F2173" s="22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</row>
    <row r="2174">
      <c r="A2174" s="20"/>
      <c r="B2174" s="20"/>
      <c r="C2174" s="30"/>
      <c r="D2174" s="30"/>
      <c r="E2174" s="30"/>
      <c r="F2174" s="22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</row>
    <row r="2175">
      <c r="A2175" s="20"/>
      <c r="B2175" s="20"/>
      <c r="C2175" s="30"/>
      <c r="D2175" s="30"/>
      <c r="E2175" s="30"/>
      <c r="F2175" s="22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</row>
    <row r="2176">
      <c r="A2176" s="20"/>
      <c r="B2176" s="20"/>
      <c r="C2176" s="30"/>
      <c r="D2176" s="30"/>
      <c r="E2176" s="30"/>
      <c r="F2176" s="22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</row>
    <row r="2177">
      <c r="A2177" s="20"/>
      <c r="B2177" s="20"/>
      <c r="C2177" s="30"/>
      <c r="D2177" s="30"/>
      <c r="E2177" s="30"/>
      <c r="F2177" s="22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</row>
    <row r="2178">
      <c r="A2178" s="20"/>
      <c r="B2178" s="20"/>
      <c r="C2178" s="30"/>
      <c r="D2178" s="30"/>
      <c r="E2178" s="30"/>
      <c r="F2178" s="22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</row>
    <row r="2179">
      <c r="A2179" s="20"/>
      <c r="B2179" s="20"/>
      <c r="C2179" s="30"/>
      <c r="D2179" s="30"/>
      <c r="E2179" s="30"/>
      <c r="F2179" s="22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</row>
    <row r="2180">
      <c r="A2180" s="20"/>
      <c r="B2180" s="20"/>
      <c r="C2180" s="30"/>
      <c r="D2180" s="30"/>
      <c r="E2180" s="30"/>
      <c r="F2180" s="22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</row>
    <row r="2181">
      <c r="A2181" s="20"/>
      <c r="B2181" s="20"/>
      <c r="C2181" s="30"/>
      <c r="D2181" s="30"/>
      <c r="E2181" s="30"/>
      <c r="F2181" s="22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</row>
    <row r="2182">
      <c r="A2182" s="20"/>
      <c r="B2182" s="20"/>
      <c r="C2182" s="30"/>
      <c r="D2182" s="30"/>
      <c r="E2182" s="30"/>
      <c r="F2182" s="22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</row>
    <row r="2183">
      <c r="A2183" s="20"/>
      <c r="B2183" s="20"/>
      <c r="C2183" s="30"/>
      <c r="D2183" s="30"/>
      <c r="E2183" s="30"/>
      <c r="F2183" s="22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</row>
    <row r="2184">
      <c r="A2184" s="20"/>
      <c r="B2184" s="20"/>
      <c r="C2184" s="30"/>
      <c r="D2184" s="30"/>
      <c r="E2184" s="30"/>
      <c r="F2184" s="22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</row>
    <row r="2185">
      <c r="A2185" s="20"/>
      <c r="B2185" s="20"/>
      <c r="C2185" s="30"/>
      <c r="D2185" s="30"/>
      <c r="E2185" s="30"/>
      <c r="F2185" s="22"/>
      <c r="G2185" s="23"/>
      <c r="H2185" s="23"/>
      <c r="I2185" s="23"/>
      <c r="J2185" s="23"/>
      <c r="K2185" s="23"/>
      <c r="L2185" s="23"/>
      <c r="M2185" s="23"/>
      <c r="N2185" s="23"/>
      <c r="O2185" s="23"/>
      <c r="P2185" s="23"/>
      <c r="Q2185" s="23"/>
      <c r="R2185" s="23"/>
      <c r="S2185" s="23"/>
      <c r="T2185" s="23"/>
      <c r="U2185" s="23"/>
    </row>
    <row r="2186">
      <c r="A2186" s="20"/>
      <c r="B2186" s="20"/>
      <c r="C2186" s="30"/>
      <c r="D2186" s="30"/>
      <c r="E2186" s="30"/>
      <c r="F2186" s="22"/>
      <c r="G2186" s="23"/>
      <c r="H2186" s="23"/>
      <c r="I2186" s="23"/>
      <c r="J2186" s="23"/>
      <c r="K2186" s="23"/>
      <c r="L2186" s="23"/>
      <c r="M2186" s="23"/>
      <c r="N2186" s="23"/>
      <c r="O2186" s="23"/>
      <c r="P2186" s="23"/>
      <c r="Q2186" s="23"/>
      <c r="R2186" s="23"/>
      <c r="S2186" s="23"/>
      <c r="T2186" s="23"/>
      <c r="U2186" s="23"/>
    </row>
    <row r="2187">
      <c r="A2187" s="20"/>
      <c r="B2187" s="20"/>
      <c r="C2187" s="30"/>
      <c r="D2187" s="30"/>
      <c r="E2187" s="30"/>
      <c r="F2187" s="22"/>
      <c r="G2187" s="23"/>
      <c r="H2187" s="23"/>
      <c r="I2187" s="23"/>
      <c r="J2187" s="23"/>
      <c r="K2187" s="23"/>
      <c r="L2187" s="23"/>
      <c r="M2187" s="23"/>
      <c r="N2187" s="23"/>
      <c r="O2187" s="23"/>
      <c r="P2187" s="23"/>
      <c r="Q2187" s="23"/>
      <c r="R2187" s="23"/>
      <c r="S2187" s="23"/>
      <c r="T2187" s="23"/>
      <c r="U2187" s="23"/>
    </row>
    <row r="2188">
      <c r="A2188" s="20"/>
      <c r="B2188" s="20"/>
      <c r="C2188" s="30"/>
      <c r="D2188" s="30"/>
      <c r="E2188" s="30"/>
      <c r="F2188" s="22"/>
      <c r="G2188" s="23"/>
      <c r="H2188" s="23"/>
      <c r="I2188" s="23"/>
      <c r="J2188" s="23"/>
      <c r="K2188" s="23"/>
      <c r="L2188" s="23"/>
      <c r="M2188" s="23"/>
      <c r="N2188" s="23"/>
      <c r="O2188" s="23"/>
      <c r="P2188" s="23"/>
      <c r="Q2188" s="23"/>
      <c r="R2188" s="23"/>
      <c r="S2188" s="23"/>
      <c r="T2188" s="23"/>
      <c r="U2188" s="23"/>
    </row>
    <row r="2189">
      <c r="A2189" s="20"/>
      <c r="B2189" s="20"/>
      <c r="C2189" s="30"/>
      <c r="D2189" s="30"/>
      <c r="E2189" s="30"/>
      <c r="F2189" s="22"/>
      <c r="G2189" s="23"/>
      <c r="H2189" s="23"/>
      <c r="I2189" s="23"/>
      <c r="J2189" s="23"/>
      <c r="K2189" s="23"/>
      <c r="L2189" s="23"/>
      <c r="M2189" s="23"/>
      <c r="N2189" s="23"/>
      <c r="O2189" s="23"/>
      <c r="P2189" s="23"/>
      <c r="Q2189" s="23"/>
      <c r="R2189" s="23"/>
      <c r="S2189" s="23"/>
      <c r="T2189" s="23"/>
      <c r="U2189" s="23"/>
    </row>
    <row r="2190">
      <c r="A2190" s="20"/>
      <c r="B2190" s="20"/>
      <c r="C2190" s="30"/>
      <c r="D2190" s="30"/>
      <c r="E2190" s="30"/>
      <c r="F2190" s="22"/>
      <c r="G2190" s="23"/>
      <c r="H2190" s="23"/>
      <c r="I2190" s="23"/>
      <c r="J2190" s="23"/>
      <c r="K2190" s="23"/>
      <c r="L2190" s="23"/>
      <c r="M2190" s="23"/>
      <c r="N2190" s="23"/>
      <c r="O2190" s="23"/>
      <c r="P2190" s="23"/>
      <c r="Q2190" s="23"/>
      <c r="R2190" s="23"/>
      <c r="S2190" s="23"/>
      <c r="T2190" s="23"/>
      <c r="U2190" s="23"/>
    </row>
    <row r="2191">
      <c r="A2191" s="20"/>
      <c r="B2191" s="20"/>
      <c r="C2191" s="30"/>
      <c r="D2191" s="30"/>
      <c r="E2191" s="30"/>
      <c r="F2191" s="22"/>
      <c r="G2191" s="23"/>
      <c r="H2191" s="23"/>
      <c r="I2191" s="23"/>
      <c r="J2191" s="23"/>
      <c r="K2191" s="23"/>
      <c r="L2191" s="23"/>
      <c r="M2191" s="23"/>
      <c r="N2191" s="23"/>
      <c r="O2191" s="23"/>
      <c r="P2191" s="23"/>
      <c r="Q2191" s="23"/>
      <c r="R2191" s="23"/>
      <c r="S2191" s="23"/>
      <c r="T2191" s="23"/>
      <c r="U2191" s="23"/>
    </row>
    <row r="2192">
      <c r="A2192" s="20"/>
      <c r="B2192" s="20"/>
      <c r="C2192" s="30"/>
      <c r="D2192" s="30"/>
      <c r="E2192" s="30"/>
      <c r="F2192" s="22"/>
      <c r="G2192" s="23"/>
      <c r="H2192" s="23"/>
      <c r="I2192" s="23"/>
      <c r="J2192" s="23"/>
      <c r="K2192" s="23"/>
      <c r="L2192" s="23"/>
      <c r="M2192" s="23"/>
      <c r="N2192" s="23"/>
      <c r="O2192" s="23"/>
      <c r="P2192" s="23"/>
      <c r="Q2192" s="23"/>
      <c r="R2192" s="23"/>
      <c r="S2192" s="23"/>
      <c r="T2192" s="23"/>
      <c r="U2192" s="23"/>
    </row>
    <row r="2193">
      <c r="A2193" s="20"/>
      <c r="B2193" s="20"/>
      <c r="C2193" s="30"/>
      <c r="D2193" s="30"/>
      <c r="E2193" s="30"/>
      <c r="F2193" s="22"/>
      <c r="G2193" s="23"/>
      <c r="H2193" s="23"/>
      <c r="I2193" s="23"/>
      <c r="J2193" s="23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</row>
    <row r="2194">
      <c r="A2194" s="20"/>
      <c r="B2194" s="20"/>
      <c r="C2194" s="30"/>
      <c r="D2194" s="30"/>
      <c r="E2194" s="30"/>
      <c r="F2194" s="22"/>
      <c r="G2194" s="23"/>
      <c r="H2194" s="23"/>
      <c r="I2194" s="23"/>
      <c r="J2194" s="23"/>
      <c r="K2194" s="23"/>
      <c r="L2194" s="23"/>
      <c r="M2194" s="23"/>
      <c r="N2194" s="23"/>
      <c r="O2194" s="23"/>
      <c r="P2194" s="23"/>
      <c r="Q2194" s="23"/>
      <c r="R2194" s="23"/>
      <c r="S2194" s="23"/>
      <c r="T2194" s="23"/>
      <c r="U2194" s="23"/>
    </row>
    <row r="2195">
      <c r="A2195" s="20"/>
      <c r="B2195" s="20"/>
      <c r="C2195" s="30"/>
      <c r="D2195" s="30"/>
      <c r="E2195" s="30"/>
      <c r="F2195" s="22"/>
      <c r="G2195" s="23"/>
      <c r="H2195" s="23"/>
      <c r="I2195" s="23"/>
      <c r="J2195" s="23"/>
      <c r="K2195" s="23"/>
      <c r="L2195" s="23"/>
      <c r="M2195" s="23"/>
      <c r="N2195" s="23"/>
      <c r="O2195" s="23"/>
      <c r="P2195" s="23"/>
      <c r="Q2195" s="23"/>
      <c r="R2195" s="23"/>
      <c r="S2195" s="23"/>
      <c r="T2195" s="23"/>
      <c r="U2195" s="23"/>
    </row>
    <row r="2196">
      <c r="A2196" s="20"/>
      <c r="B2196" s="20"/>
      <c r="C2196" s="30"/>
      <c r="D2196" s="30"/>
      <c r="E2196" s="30"/>
      <c r="F2196" s="22"/>
      <c r="G2196" s="23"/>
      <c r="H2196" s="23"/>
      <c r="I2196" s="23"/>
      <c r="J2196" s="23"/>
      <c r="K2196" s="23"/>
      <c r="L2196" s="23"/>
      <c r="M2196" s="23"/>
      <c r="N2196" s="23"/>
      <c r="O2196" s="23"/>
      <c r="P2196" s="23"/>
      <c r="Q2196" s="23"/>
      <c r="R2196" s="23"/>
      <c r="S2196" s="23"/>
      <c r="T2196" s="23"/>
      <c r="U2196" s="23"/>
    </row>
    <row r="2197">
      <c r="A2197" s="20"/>
      <c r="B2197" s="20"/>
      <c r="C2197" s="30"/>
      <c r="D2197" s="30"/>
      <c r="E2197" s="30"/>
      <c r="F2197" s="22"/>
      <c r="G2197" s="23"/>
      <c r="H2197" s="23"/>
      <c r="I2197" s="23"/>
      <c r="J2197" s="23"/>
      <c r="K2197" s="23"/>
      <c r="L2197" s="23"/>
      <c r="M2197" s="23"/>
      <c r="N2197" s="23"/>
      <c r="O2197" s="23"/>
      <c r="P2197" s="23"/>
      <c r="Q2197" s="23"/>
      <c r="R2197" s="23"/>
      <c r="S2197" s="23"/>
      <c r="T2197" s="23"/>
      <c r="U2197" s="23"/>
    </row>
    <row r="2198">
      <c r="A2198" s="20"/>
      <c r="B2198" s="20"/>
      <c r="C2198" s="30"/>
      <c r="D2198" s="30"/>
      <c r="E2198" s="30"/>
      <c r="F2198" s="22"/>
      <c r="G2198" s="23"/>
      <c r="H2198" s="23"/>
      <c r="I2198" s="23"/>
      <c r="J2198" s="23"/>
      <c r="K2198" s="23"/>
      <c r="L2198" s="23"/>
      <c r="M2198" s="23"/>
      <c r="N2198" s="23"/>
      <c r="O2198" s="23"/>
      <c r="P2198" s="23"/>
      <c r="Q2198" s="23"/>
      <c r="R2198" s="23"/>
      <c r="S2198" s="23"/>
      <c r="T2198" s="23"/>
      <c r="U2198" s="23"/>
    </row>
    <row r="2199">
      <c r="A2199" s="20"/>
      <c r="B2199" s="20"/>
      <c r="C2199" s="30"/>
      <c r="D2199" s="30"/>
      <c r="E2199" s="30"/>
      <c r="F2199" s="22"/>
      <c r="G2199" s="23"/>
      <c r="H2199" s="23"/>
      <c r="I2199" s="23"/>
      <c r="J2199" s="23"/>
      <c r="K2199" s="23"/>
      <c r="L2199" s="23"/>
      <c r="M2199" s="23"/>
      <c r="N2199" s="23"/>
      <c r="O2199" s="23"/>
      <c r="P2199" s="23"/>
      <c r="Q2199" s="23"/>
      <c r="R2199" s="23"/>
      <c r="S2199" s="23"/>
      <c r="T2199" s="23"/>
      <c r="U2199" s="23"/>
    </row>
    <row r="2200">
      <c r="A2200" s="20"/>
      <c r="B2200" s="20"/>
      <c r="C2200" s="30"/>
      <c r="D2200" s="30"/>
      <c r="E2200" s="30"/>
      <c r="F2200" s="22"/>
      <c r="G2200" s="23"/>
      <c r="H2200" s="23"/>
      <c r="I2200" s="23"/>
      <c r="J2200" s="23"/>
      <c r="K2200" s="23"/>
      <c r="L2200" s="23"/>
      <c r="M2200" s="23"/>
      <c r="N2200" s="23"/>
      <c r="O2200" s="23"/>
      <c r="P2200" s="23"/>
      <c r="Q2200" s="23"/>
      <c r="R2200" s="23"/>
      <c r="S2200" s="23"/>
      <c r="T2200" s="23"/>
      <c r="U2200" s="23"/>
    </row>
    <row r="2201">
      <c r="A2201" s="20"/>
      <c r="B2201" s="20"/>
      <c r="C2201" s="30"/>
      <c r="D2201" s="30"/>
      <c r="E2201" s="30"/>
      <c r="F2201" s="22"/>
      <c r="G2201" s="23"/>
      <c r="H2201" s="23"/>
      <c r="I2201" s="23"/>
      <c r="J2201" s="23"/>
      <c r="K2201" s="23"/>
      <c r="L2201" s="23"/>
      <c r="M2201" s="23"/>
      <c r="N2201" s="23"/>
      <c r="O2201" s="23"/>
      <c r="P2201" s="23"/>
      <c r="Q2201" s="23"/>
      <c r="R2201" s="23"/>
      <c r="S2201" s="23"/>
      <c r="T2201" s="23"/>
      <c r="U2201" s="23"/>
    </row>
    <row r="2202">
      <c r="A2202" s="20"/>
      <c r="B2202" s="20"/>
      <c r="C2202" s="30"/>
      <c r="D2202" s="30"/>
      <c r="E2202" s="30"/>
      <c r="F2202" s="22"/>
      <c r="G2202" s="23"/>
      <c r="H2202" s="23"/>
      <c r="I2202" s="23"/>
      <c r="J2202" s="23"/>
      <c r="K2202" s="23"/>
      <c r="L2202" s="23"/>
      <c r="M2202" s="23"/>
      <c r="N2202" s="23"/>
      <c r="O2202" s="23"/>
      <c r="P2202" s="23"/>
      <c r="Q2202" s="23"/>
      <c r="R2202" s="23"/>
      <c r="S2202" s="23"/>
      <c r="T2202" s="23"/>
      <c r="U2202" s="23"/>
    </row>
    <row r="2203">
      <c r="A2203" s="20"/>
      <c r="B2203" s="20"/>
      <c r="C2203" s="30"/>
      <c r="D2203" s="30"/>
      <c r="E2203" s="30"/>
      <c r="F2203" s="22"/>
      <c r="G2203" s="23"/>
      <c r="H2203" s="23"/>
      <c r="I2203" s="23"/>
      <c r="J2203" s="23"/>
      <c r="K2203" s="23"/>
      <c r="L2203" s="23"/>
      <c r="M2203" s="23"/>
      <c r="N2203" s="23"/>
      <c r="O2203" s="23"/>
      <c r="P2203" s="23"/>
      <c r="Q2203" s="23"/>
      <c r="R2203" s="23"/>
      <c r="S2203" s="23"/>
      <c r="T2203" s="23"/>
      <c r="U2203" s="23"/>
    </row>
    <row r="2204">
      <c r="A2204" s="20"/>
      <c r="B2204" s="20"/>
      <c r="C2204" s="30"/>
      <c r="D2204" s="30"/>
      <c r="E2204" s="30"/>
      <c r="F2204" s="22"/>
      <c r="G2204" s="23"/>
      <c r="H2204" s="23"/>
      <c r="I2204" s="23"/>
      <c r="J2204" s="23"/>
      <c r="K2204" s="23"/>
      <c r="L2204" s="23"/>
      <c r="M2204" s="23"/>
      <c r="N2204" s="23"/>
      <c r="O2204" s="23"/>
      <c r="P2204" s="23"/>
      <c r="Q2204" s="23"/>
      <c r="R2204" s="23"/>
      <c r="S2204" s="23"/>
      <c r="T2204" s="23"/>
      <c r="U2204" s="23"/>
    </row>
    <row r="2205">
      <c r="A2205" s="20"/>
      <c r="B2205" s="20"/>
      <c r="C2205" s="30"/>
      <c r="D2205" s="30"/>
      <c r="E2205" s="30"/>
      <c r="F2205" s="22"/>
      <c r="G2205" s="23"/>
      <c r="H2205" s="23"/>
      <c r="I2205" s="23"/>
      <c r="J2205" s="23"/>
      <c r="K2205" s="23"/>
      <c r="L2205" s="23"/>
      <c r="M2205" s="23"/>
      <c r="N2205" s="23"/>
      <c r="O2205" s="23"/>
      <c r="P2205" s="23"/>
      <c r="Q2205" s="23"/>
      <c r="R2205" s="23"/>
      <c r="S2205" s="23"/>
      <c r="T2205" s="23"/>
      <c r="U2205" s="23"/>
    </row>
    <row r="2206">
      <c r="A2206" s="20"/>
      <c r="B2206" s="20"/>
      <c r="C2206" s="30"/>
      <c r="D2206" s="30"/>
      <c r="E2206" s="30"/>
      <c r="F2206" s="22"/>
      <c r="G2206" s="23"/>
      <c r="H2206" s="23"/>
      <c r="I2206" s="23"/>
      <c r="J2206" s="23"/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</row>
    <row r="2207">
      <c r="A2207" s="20"/>
      <c r="B2207" s="20"/>
      <c r="C2207" s="30"/>
      <c r="D2207" s="30"/>
      <c r="E2207" s="30"/>
      <c r="F2207" s="22"/>
      <c r="G2207" s="23"/>
      <c r="H2207" s="23"/>
      <c r="I2207" s="23"/>
      <c r="J2207" s="23"/>
      <c r="K2207" s="23"/>
      <c r="L2207" s="23"/>
      <c r="M2207" s="23"/>
      <c r="N2207" s="23"/>
      <c r="O2207" s="23"/>
      <c r="P2207" s="23"/>
      <c r="Q2207" s="23"/>
      <c r="R2207" s="23"/>
      <c r="S2207" s="23"/>
      <c r="T2207" s="23"/>
      <c r="U2207" s="23"/>
    </row>
    <row r="2208">
      <c r="A2208" s="20"/>
      <c r="B2208" s="20"/>
      <c r="C2208" s="30"/>
      <c r="D2208" s="30"/>
      <c r="E2208" s="30"/>
      <c r="F2208" s="22"/>
      <c r="G2208" s="23"/>
      <c r="H2208" s="23"/>
      <c r="I2208" s="23"/>
      <c r="J2208" s="23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</row>
    <row r="2209">
      <c r="A2209" s="20"/>
      <c r="B2209" s="20"/>
      <c r="C2209" s="30"/>
      <c r="D2209" s="30"/>
      <c r="E2209" s="30"/>
      <c r="F2209" s="22"/>
      <c r="G2209" s="23"/>
      <c r="H2209" s="23"/>
      <c r="I2209" s="23"/>
      <c r="J2209" s="23"/>
      <c r="K2209" s="23"/>
      <c r="L2209" s="23"/>
      <c r="M2209" s="23"/>
      <c r="N2209" s="23"/>
      <c r="O2209" s="23"/>
      <c r="P2209" s="23"/>
      <c r="Q2209" s="23"/>
      <c r="R2209" s="23"/>
      <c r="S2209" s="23"/>
      <c r="T2209" s="23"/>
      <c r="U2209" s="23"/>
    </row>
    <row r="2210">
      <c r="A2210" s="20"/>
      <c r="B2210" s="20"/>
      <c r="C2210" s="30"/>
      <c r="D2210" s="30"/>
      <c r="E2210" s="30"/>
      <c r="F2210" s="22"/>
      <c r="G2210" s="23"/>
      <c r="H2210" s="23"/>
      <c r="I2210" s="23"/>
      <c r="J2210" s="23"/>
      <c r="K2210" s="23"/>
      <c r="L2210" s="23"/>
      <c r="M2210" s="23"/>
      <c r="N2210" s="23"/>
      <c r="O2210" s="23"/>
      <c r="P2210" s="23"/>
      <c r="Q2210" s="23"/>
      <c r="R2210" s="23"/>
      <c r="S2210" s="23"/>
      <c r="T2210" s="23"/>
      <c r="U2210" s="23"/>
    </row>
    <row r="2211">
      <c r="A2211" s="20"/>
      <c r="B2211" s="20"/>
      <c r="C2211" s="30"/>
      <c r="D2211" s="30"/>
      <c r="E2211" s="30"/>
      <c r="F2211" s="22"/>
      <c r="G2211" s="23"/>
      <c r="H2211" s="23"/>
      <c r="I2211" s="23"/>
      <c r="J2211" s="23"/>
      <c r="K2211" s="23"/>
      <c r="L2211" s="23"/>
      <c r="M2211" s="23"/>
      <c r="N2211" s="23"/>
      <c r="O2211" s="23"/>
      <c r="P2211" s="23"/>
      <c r="Q2211" s="23"/>
      <c r="R2211" s="23"/>
      <c r="S2211" s="23"/>
      <c r="T2211" s="23"/>
      <c r="U2211" s="23"/>
    </row>
    <row r="2212">
      <c r="A2212" s="20"/>
      <c r="B2212" s="20"/>
      <c r="C2212" s="30"/>
      <c r="D2212" s="30"/>
      <c r="E2212" s="30"/>
      <c r="F2212" s="22"/>
      <c r="G2212" s="23"/>
      <c r="H2212" s="23"/>
      <c r="I2212" s="23"/>
      <c r="J2212" s="23"/>
      <c r="K2212" s="23"/>
      <c r="L2212" s="23"/>
      <c r="M2212" s="23"/>
      <c r="N2212" s="23"/>
      <c r="O2212" s="23"/>
      <c r="P2212" s="23"/>
      <c r="Q2212" s="23"/>
      <c r="R2212" s="23"/>
      <c r="S2212" s="23"/>
      <c r="T2212" s="23"/>
      <c r="U2212" s="23"/>
    </row>
    <row r="2213">
      <c r="A2213" s="20"/>
      <c r="B2213" s="20"/>
      <c r="C2213" s="30"/>
      <c r="D2213" s="30"/>
      <c r="E2213" s="30"/>
      <c r="F2213" s="22"/>
      <c r="G2213" s="23"/>
      <c r="H2213" s="23"/>
      <c r="I2213" s="23"/>
      <c r="J2213" s="23"/>
      <c r="K2213" s="23"/>
      <c r="L2213" s="23"/>
      <c r="M2213" s="23"/>
      <c r="N2213" s="23"/>
      <c r="O2213" s="23"/>
      <c r="P2213" s="23"/>
      <c r="Q2213" s="23"/>
      <c r="R2213" s="23"/>
      <c r="S2213" s="23"/>
      <c r="T2213" s="23"/>
      <c r="U2213" s="23"/>
    </row>
    <row r="2214">
      <c r="A2214" s="20"/>
      <c r="B2214" s="20"/>
      <c r="C2214" s="30"/>
      <c r="D2214" s="30"/>
      <c r="E2214" s="30"/>
      <c r="F2214" s="22"/>
      <c r="G2214" s="23"/>
      <c r="H2214" s="23"/>
      <c r="I2214" s="23"/>
      <c r="J2214" s="23"/>
      <c r="K2214" s="23"/>
      <c r="L2214" s="23"/>
      <c r="M2214" s="23"/>
      <c r="N2214" s="23"/>
      <c r="O2214" s="23"/>
      <c r="P2214" s="23"/>
      <c r="Q2214" s="23"/>
      <c r="R2214" s="23"/>
      <c r="S2214" s="23"/>
      <c r="T2214" s="23"/>
      <c r="U2214" s="23"/>
    </row>
    <row r="2215">
      <c r="A2215" s="20"/>
      <c r="B2215" s="20"/>
      <c r="C2215" s="30"/>
      <c r="D2215" s="30"/>
      <c r="E2215" s="30"/>
      <c r="F2215" s="22"/>
      <c r="G2215" s="23"/>
      <c r="H2215" s="23"/>
      <c r="I2215" s="23"/>
      <c r="J2215" s="23"/>
      <c r="K2215" s="23"/>
      <c r="L2215" s="23"/>
      <c r="M2215" s="23"/>
      <c r="N2215" s="23"/>
      <c r="O2215" s="23"/>
      <c r="P2215" s="23"/>
      <c r="Q2215" s="23"/>
      <c r="R2215" s="23"/>
      <c r="S2215" s="23"/>
      <c r="T2215" s="23"/>
      <c r="U2215" s="23"/>
    </row>
    <row r="2216">
      <c r="A2216" s="20"/>
      <c r="B2216" s="20"/>
      <c r="C2216" s="30"/>
      <c r="D2216" s="30"/>
      <c r="E2216" s="30"/>
      <c r="F2216" s="22"/>
      <c r="G2216" s="23"/>
      <c r="H2216" s="23"/>
      <c r="I2216" s="23"/>
      <c r="J2216" s="23"/>
      <c r="K2216" s="23"/>
      <c r="L2216" s="23"/>
      <c r="M2216" s="23"/>
      <c r="N2216" s="23"/>
      <c r="O2216" s="23"/>
      <c r="P2216" s="23"/>
      <c r="Q2216" s="23"/>
      <c r="R2216" s="23"/>
      <c r="S2216" s="23"/>
      <c r="T2216" s="23"/>
      <c r="U2216" s="23"/>
    </row>
    <row r="2217">
      <c r="A2217" s="20"/>
      <c r="B2217" s="20"/>
      <c r="C2217" s="30"/>
      <c r="D2217" s="30"/>
      <c r="E2217" s="30"/>
      <c r="F2217" s="22"/>
      <c r="G2217" s="23"/>
      <c r="H2217" s="23"/>
      <c r="I2217" s="23"/>
      <c r="J2217" s="23"/>
      <c r="K2217" s="23"/>
      <c r="L2217" s="23"/>
      <c r="M2217" s="23"/>
      <c r="N2217" s="23"/>
      <c r="O2217" s="23"/>
      <c r="P2217" s="23"/>
      <c r="Q2217" s="23"/>
      <c r="R2217" s="23"/>
      <c r="S2217" s="23"/>
      <c r="T2217" s="23"/>
      <c r="U2217" s="23"/>
    </row>
    <row r="2218">
      <c r="A2218" s="20"/>
      <c r="B2218" s="20"/>
      <c r="C2218" s="30"/>
      <c r="D2218" s="30"/>
      <c r="E2218" s="30"/>
      <c r="F2218" s="22"/>
      <c r="G2218" s="23"/>
      <c r="H2218" s="23"/>
      <c r="I2218" s="23"/>
      <c r="J2218" s="23"/>
      <c r="K2218" s="23"/>
      <c r="L2218" s="23"/>
      <c r="M2218" s="23"/>
      <c r="N2218" s="23"/>
      <c r="O2218" s="23"/>
      <c r="P2218" s="23"/>
      <c r="Q2218" s="23"/>
      <c r="R2218" s="23"/>
      <c r="S2218" s="23"/>
      <c r="T2218" s="23"/>
      <c r="U2218" s="23"/>
    </row>
    <row r="2219">
      <c r="A2219" s="20"/>
      <c r="B2219" s="20"/>
      <c r="C2219" s="30"/>
      <c r="D2219" s="30"/>
      <c r="E2219" s="30"/>
      <c r="F2219" s="22"/>
      <c r="G2219" s="23"/>
      <c r="H2219" s="23"/>
      <c r="I2219" s="23"/>
      <c r="J2219" s="23"/>
      <c r="K2219" s="23"/>
      <c r="L2219" s="23"/>
      <c r="M2219" s="23"/>
      <c r="N2219" s="23"/>
      <c r="O2219" s="23"/>
      <c r="P2219" s="23"/>
      <c r="Q2219" s="23"/>
      <c r="R2219" s="23"/>
      <c r="S2219" s="23"/>
      <c r="T2219" s="23"/>
      <c r="U2219" s="23"/>
    </row>
    <row r="2220">
      <c r="A2220" s="20"/>
      <c r="B2220" s="20"/>
      <c r="C2220" s="30"/>
      <c r="D2220" s="30"/>
      <c r="E2220" s="30"/>
      <c r="F2220" s="22"/>
      <c r="G2220" s="23"/>
      <c r="H2220" s="23"/>
      <c r="I2220" s="23"/>
      <c r="J2220" s="23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</row>
    <row r="2221">
      <c r="A2221" s="20"/>
      <c r="B2221" s="20"/>
      <c r="C2221" s="30"/>
      <c r="D2221" s="30"/>
      <c r="E2221" s="30"/>
      <c r="F2221" s="22"/>
      <c r="G2221" s="23"/>
      <c r="H2221" s="23"/>
      <c r="I2221" s="23"/>
      <c r="J2221" s="23"/>
      <c r="K2221" s="23"/>
      <c r="L2221" s="23"/>
      <c r="M2221" s="23"/>
      <c r="N2221" s="23"/>
      <c r="O2221" s="23"/>
      <c r="P2221" s="23"/>
      <c r="Q2221" s="23"/>
      <c r="R2221" s="23"/>
      <c r="S2221" s="23"/>
      <c r="T2221" s="23"/>
      <c r="U2221" s="23"/>
    </row>
    <row r="2222">
      <c r="A2222" s="20"/>
      <c r="B2222" s="20"/>
      <c r="C2222" s="30"/>
      <c r="D2222" s="30"/>
      <c r="E2222" s="30"/>
      <c r="F2222" s="22"/>
      <c r="G2222" s="23"/>
      <c r="H2222" s="23"/>
      <c r="I2222" s="23"/>
      <c r="J2222" s="23"/>
      <c r="K2222" s="23"/>
      <c r="L2222" s="23"/>
      <c r="M2222" s="23"/>
      <c r="N2222" s="23"/>
      <c r="O2222" s="23"/>
      <c r="P2222" s="23"/>
      <c r="Q2222" s="23"/>
      <c r="R2222" s="23"/>
      <c r="S2222" s="23"/>
      <c r="T2222" s="23"/>
      <c r="U2222" s="23"/>
    </row>
    <row r="2223">
      <c r="A2223" s="20"/>
      <c r="B2223" s="20"/>
      <c r="C2223" s="30"/>
      <c r="D2223" s="30"/>
      <c r="E2223" s="30"/>
      <c r="F2223" s="22"/>
      <c r="G2223" s="23"/>
      <c r="H2223" s="23"/>
      <c r="I2223" s="23"/>
      <c r="J2223" s="23"/>
      <c r="K2223" s="23"/>
      <c r="L2223" s="23"/>
      <c r="M2223" s="23"/>
      <c r="N2223" s="23"/>
      <c r="O2223" s="23"/>
      <c r="P2223" s="23"/>
      <c r="Q2223" s="23"/>
      <c r="R2223" s="23"/>
      <c r="S2223" s="23"/>
      <c r="T2223" s="23"/>
      <c r="U2223" s="23"/>
    </row>
    <row r="2224">
      <c r="A2224" s="20"/>
      <c r="B2224" s="20"/>
      <c r="C2224" s="30"/>
      <c r="D2224" s="30"/>
      <c r="E2224" s="30"/>
      <c r="F2224" s="22"/>
      <c r="G2224" s="23"/>
      <c r="H2224" s="23"/>
      <c r="I2224" s="23"/>
      <c r="J2224" s="23"/>
      <c r="K2224" s="23"/>
      <c r="L2224" s="23"/>
      <c r="M2224" s="23"/>
      <c r="N2224" s="23"/>
      <c r="O2224" s="23"/>
      <c r="P2224" s="23"/>
      <c r="Q2224" s="23"/>
      <c r="R2224" s="23"/>
      <c r="S2224" s="23"/>
      <c r="T2224" s="23"/>
      <c r="U2224" s="23"/>
    </row>
    <row r="2225">
      <c r="A2225" s="20"/>
      <c r="B2225" s="20"/>
      <c r="C2225" s="30"/>
      <c r="D2225" s="30"/>
      <c r="E2225" s="30"/>
      <c r="F2225" s="22"/>
      <c r="G2225" s="23"/>
      <c r="H2225" s="23"/>
      <c r="I2225" s="23"/>
      <c r="J2225" s="23"/>
      <c r="K2225" s="23"/>
      <c r="L2225" s="23"/>
      <c r="M2225" s="23"/>
      <c r="N2225" s="23"/>
      <c r="O2225" s="23"/>
      <c r="P2225" s="23"/>
      <c r="Q2225" s="23"/>
      <c r="R2225" s="23"/>
      <c r="S2225" s="23"/>
      <c r="T2225" s="23"/>
      <c r="U2225" s="23"/>
    </row>
    <row r="2226">
      <c r="A2226" s="20"/>
      <c r="B2226" s="20"/>
      <c r="C2226" s="30"/>
      <c r="D2226" s="30"/>
      <c r="E2226" s="30"/>
      <c r="F2226" s="22"/>
      <c r="G2226" s="23"/>
      <c r="H2226" s="23"/>
      <c r="I2226" s="23"/>
      <c r="J2226" s="23"/>
      <c r="K2226" s="23"/>
      <c r="L2226" s="23"/>
      <c r="M2226" s="23"/>
      <c r="N2226" s="23"/>
      <c r="O2226" s="23"/>
      <c r="P2226" s="23"/>
      <c r="Q2226" s="23"/>
      <c r="R2226" s="23"/>
      <c r="S2226" s="23"/>
      <c r="T2226" s="23"/>
      <c r="U2226" s="23"/>
    </row>
    <row r="2227">
      <c r="A2227" s="20"/>
      <c r="B2227" s="20"/>
      <c r="C2227" s="30"/>
      <c r="D2227" s="30"/>
      <c r="E2227" s="30"/>
      <c r="F2227" s="22"/>
      <c r="G2227" s="23"/>
      <c r="H2227" s="23"/>
      <c r="I2227" s="23"/>
      <c r="J2227" s="23"/>
      <c r="K2227" s="23"/>
      <c r="L2227" s="23"/>
      <c r="M2227" s="23"/>
      <c r="N2227" s="23"/>
      <c r="O2227" s="23"/>
      <c r="P2227" s="23"/>
      <c r="Q2227" s="23"/>
      <c r="R2227" s="23"/>
      <c r="S2227" s="23"/>
      <c r="T2227" s="23"/>
      <c r="U2227" s="23"/>
    </row>
    <row r="2228">
      <c r="A2228" s="20"/>
      <c r="B2228" s="20"/>
      <c r="C2228" s="30"/>
      <c r="D2228" s="30"/>
      <c r="E2228" s="30"/>
      <c r="F2228" s="22"/>
      <c r="G2228" s="23"/>
      <c r="H2228" s="23"/>
      <c r="I2228" s="23"/>
      <c r="J2228" s="23"/>
      <c r="K2228" s="23"/>
      <c r="L2228" s="23"/>
      <c r="M2228" s="23"/>
      <c r="N2228" s="23"/>
      <c r="O2228" s="23"/>
      <c r="P2228" s="23"/>
      <c r="Q2228" s="23"/>
      <c r="R2228" s="23"/>
      <c r="S2228" s="23"/>
      <c r="T2228" s="23"/>
      <c r="U2228" s="23"/>
    </row>
    <row r="2229">
      <c r="A2229" s="20"/>
      <c r="B2229" s="20"/>
      <c r="C2229" s="30"/>
      <c r="D2229" s="30"/>
      <c r="E2229" s="30"/>
      <c r="F2229" s="22"/>
      <c r="G2229" s="23"/>
      <c r="H2229" s="23"/>
      <c r="I2229" s="23"/>
      <c r="J2229" s="23"/>
      <c r="K2229" s="23"/>
      <c r="L2229" s="23"/>
      <c r="M2229" s="23"/>
      <c r="N2229" s="23"/>
      <c r="O2229" s="23"/>
      <c r="P2229" s="23"/>
      <c r="Q2229" s="23"/>
      <c r="R2229" s="23"/>
      <c r="S2229" s="23"/>
      <c r="T2229" s="23"/>
      <c r="U2229" s="23"/>
    </row>
    <row r="2230">
      <c r="A2230" s="20"/>
      <c r="B2230" s="20"/>
      <c r="C2230" s="30"/>
      <c r="D2230" s="30"/>
      <c r="E2230" s="30"/>
      <c r="F2230" s="22"/>
      <c r="G2230" s="23"/>
      <c r="H2230" s="23"/>
      <c r="I2230" s="23"/>
      <c r="J2230" s="23"/>
      <c r="K2230" s="23"/>
      <c r="L2230" s="23"/>
      <c r="M2230" s="23"/>
      <c r="N2230" s="23"/>
      <c r="O2230" s="23"/>
      <c r="P2230" s="23"/>
      <c r="Q2230" s="23"/>
      <c r="R2230" s="23"/>
      <c r="S2230" s="23"/>
      <c r="T2230" s="23"/>
      <c r="U2230" s="23"/>
    </row>
    <row r="2231">
      <c r="A2231" s="20"/>
      <c r="B2231" s="20"/>
      <c r="C2231" s="30"/>
      <c r="D2231" s="30"/>
      <c r="E2231" s="30"/>
      <c r="F2231" s="22"/>
      <c r="G2231" s="23"/>
      <c r="H2231" s="23"/>
      <c r="I2231" s="23"/>
      <c r="J2231" s="23"/>
      <c r="K2231" s="23"/>
      <c r="L2231" s="23"/>
      <c r="M2231" s="23"/>
      <c r="N2231" s="23"/>
      <c r="O2231" s="23"/>
      <c r="P2231" s="23"/>
      <c r="Q2231" s="23"/>
      <c r="R2231" s="23"/>
      <c r="S2231" s="23"/>
      <c r="T2231" s="23"/>
      <c r="U2231" s="23"/>
    </row>
    <row r="2232">
      <c r="A2232" s="20"/>
      <c r="B2232" s="20"/>
      <c r="C2232" s="30"/>
      <c r="D2232" s="30"/>
      <c r="E2232" s="30"/>
      <c r="F2232" s="22"/>
      <c r="G2232" s="23"/>
      <c r="H2232" s="23"/>
      <c r="I2232" s="23"/>
      <c r="J2232" s="23"/>
      <c r="K2232" s="23"/>
      <c r="L2232" s="23"/>
      <c r="M2232" s="23"/>
      <c r="N2232" s="23"/>
      <c r="O2232" s="23"/>
      <c r="P2232" s="23"/>
      <c r="Q2232" s="23"/>
      <c r="R2232" s="23"/>
      <c r="S2232" s="23"/>
      <c r="T2232" s="23"/>
      <c r="U2232" s="23"/>
    </row>
    <row r="2233">
      <c r="A2233" s="20"/>
      <c r="B2233" s="20"/>
      <c r="C2233" s="30"/>
      <c r="D2233" s="30"/>
      <c r="E2233" s="30"/>
      <c r="F2233" s="22"/>
      <c r="G2233" s="23"/>
      <c r="H2233" s="23"/>
      <c r="I2233" s="23"/>
      <c r="J2233" s="23"/>
      <c r="K2233" s="23"/>
      <c r="L2233" s="23"/>
      <c r="M2233" s="23"/>
      <c r="N2233" s="23"/>
      <c r="O2233" s="23"/>
      <c r="P2233" s="23"/>
      <c r="Q2233" s="23"/>
      <c r="R2233" s="23"/>
      <c r="S2233" s="23"/>
      <c r="T2233" s="23"/>
      <c r="U2233" s="23"/>
    </row>
    <row r="2234">
      <c r="A2234" s="20"/>
      <c r="B2234" s="20"/>
      <c r="C2234" s="30"/>
      <c r="D2234" s="30"/>
      <c r="E2234" s="30"/>
      <c r="F2234" s="22"/>
      <c r="G2234" s="23"/>
      <c r="H2234" s="23"/>
      <c r="I2234" s="23"/>
      <c r="J2234" s="23"/>
      <c r="K2234" s="23"/>
      <c r="L2234" s="23"/>
      <c r="M2234" s="23"/>
      <c r="N2234" s="23"/>
      <c r="O2234" s="23"/>
      <c r="P2234" s="23"/>
      <c r="Q2234" s="23"/>
      <c r="R2234" s="23"/>
      <c r="S2234" s="23"/>
      <c r="T2234" s="23"/>
      <c r="U2234" s="23"/>
    </row>
    <row r="2235">
      <c r="A2235" s="20"/>
      <c r="B2235" s="20"/>
      <c r="C2235" s="30"/>
      <c r="D2235" s="30"/>
      <c r="E2235" s="30"/>
      <c r="F2235" s="22"/>
      <c r="G2235" s="23"/>
      <c r="H2235" s="23"/>
      <c r="I2235" s="23"/>
      <c r="J2235" s="23"/>
      <c r="K2235" s="23"/>
      <c r="L2235" s="23"/>
      <c r="M2235" s="23"/>
      <c r="N2235" s="23"/>
      <c r="O2235" s="23"/>
      <c r="P2235" s="23"/>
      <c r="Q2235" s="23"/>
      <c r="R2235" s="23"/>
      <c r="S2235" s="23"/>
      <c r="T2235" s="23"/>
      <c r="U2235" s="23"/>
    </row>
    <row r="2236">
      <c r="A2236" s="20"/>
      <c r="B2236" s="20"/>
      <c r="C2236" s="30"/>
      <c r="D2236" s="30"/>
      <c r="E2236" s="30"/>
      <c r="F2236" s="22"/>
      <c r="G2236" s="23"/>
      <c r="H2236" s="23"/>
      <c r="I2236" s="23"/>
      <c r="J2236" s="23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</row>
    <row r="2237">
      <c r="A2237" s="20"/>
      <c r="B2237" s="20"/>
      <c r="C2237" s="30"/>
      <c r="D2237" s="30"/>
      <c r="E2237" s="30"/>
      <c r="F2237" s="22"/>
      <c r="G2237" s="23"/>
      <c r="H2237" s="23"/>
      <c r="I2237" s="23"/>
      <c r="J2237" s="23"/>
      <c r="K2237" s="23"/>
      <c r="L2237" s="23"/>
      <c r="M2237" s="23"/>
      <c r="N2237" s="23"/>
      <c r="O2237" s="23"/>
      <c r="P2237" s="23"/>
      <c r="Q2237" s="23"/>
      <c r="R2237" s="23"/>
      <c r="S2237" s="23"/>
      <c r="T2237" s="23"/>
      <c r="U2237" s="23"/>
    </row>
    <row r="2238">
      <c r="A2238" s="20"/>
      <c r="B2238" s="20"/>
      <c r="C2238" s="30"/>
      <c r="D2238" s="30"/>
      <c r="E2238" s="30"/>
      <c r="F2238" s="22"/>
      <c r="G2238" s="23"/>
      <c r="H2238" s="23"/>
      <c r="I2238" s="23"/>
      <c r="J2238" s="23"/>
      <c r="K2238" s="23"/>
      <c r="L2238" s="23"/>
      <c r="M2238" s="23"/>
      <c r="N2238" s="23"/>
      <c r="O2238" s="23"/>
      <c r="P2238" s="23"/>
      <c r="Q2238" s="23"/>
      <c r="R2238" s="23"/>
      <c r="S2238" s="23"/>
      <c r="T2238" s="23"/>
      <c r="U2238" s="23"/>
    </row>
    <row r="2239">
      <c r="A2239" s="20"/>
      <c r="B2239" s="20"/>
      <c r="C2239" s="30"/>
      <c r="D2239" s="30"/>
      <c r="E2239" s="30"/>
      <c r="F2239" s="22"/>
      <c r="G2239" s="23"/>
      <c r="H2239" s="23"/>
      <c r="I2239" s="23"/>
      <c r="J2239" s="23"/>
      <c r="K2239" s="23"/>
      <c r="L2239" s="23"/>
      <c r="M2239" s="23"/>
      <c r="N2239" s="23"/>
      <c r="O2239" s="23"/>
      <c r="P2239" s="23"/>
      <c r="Q2239" s="23"/>
      <c r="R2239" s="23"/>
      <c r="S2239" s="23"/>
      <c r="T2239" s="23"/>
      <c r="U2239" s="23"/>
    </row>
    <row r="2240">
      <c r="A2240" s="20"/>
      <c r="B2240" s="20"/>
      <c r="C2240" s="30"/>
      <c r="D2240" s="30"/>
      <c r="E2240" s="30"/>
      <c r="F2240" s="22"/>
      <c r="G2240" s="23"/>
      <c r="H2240" s="23"/>
      <c r="I2240" s="23"/>
      <c r="J2240" s="23"/>
      <c r="K2240" s="23"/>
      <c r="L2240" s="23"/>
      <c r="M2240" s="23"/>
      <c r="N2240" s="23"/>
      <c r="O2240" s="23"/>
      <c r="P2240" s="23"/>
      <c r="Q2240" s="23"/>
      <c r="R2240" s="23"/>
      <c r="S2240" s="23"/>
      <c r="T2240" s="23"/>
      <c r="U2240" s="23"/>
    </row>
    <row r="2241">
      <c r="A2241" s="20"/>
      <c r="B2241" s="20"/>
      <c r="C2241" s="30"/>
      <c r="D2241" s="30"/>
      <c r="E2241" s="30"/>
      <c r="F2241" s="22"/>
      <c r="G2241" s="23"/>
      <c r="H2241" s="23"/>
      <c r="I2241" s="23"/>
      <c r="J2241" s="23"/>
      <c r="K2241" s="23"/>
      <c r="L2241" s="23"/>
      <c r="M2241" s="23"/>
      <c r="N2241" s="23"/>
      <c r="O2241" s="23"/>
      <c r="P2241" s="23"/>
      <c r="Q2241" s="23"/>
      <c r="R2241" s="23"/>
      <c r="S2241" s="23"/>
      <c r="T2241" s="23"/>
      <c r="U2241" s="23"/>
    </row>
    <row r="2242">
      <c r="A2242" s="20"/>
      <c r="B2242" s="20"/>
      <c r="C2242" s="30"/>
      <c r="D2242" s="30"/>
      <c r="E2242" s="30"/>
      <c r="F2242" s="22"/>
      <c r="G2242" s="23"/>
      <c r="H2242" s="23"/>
      <c r="I2242" s="23"/>
      <c r="J2242" s="23"/>
      <c r="K2242" s="23"/>
      <c r="L2242" s="23"/>
      <c r="M2242" s="23"/>
      <c r="N2242" s="23"/>
      <c r="O2242" s="23"/>
      <c r="P2242" s="23"/>
      <c r="Q2242" s="23"/>
      <c r="R2242" s="23"/>
      <c r="S2242" s="23"/>
      <c r="T2242" s="23"/>
      <c r="U2242" s="23"/>
    </row>
    <row r="2243">
      <c r="A2243" s="20"/>
      <c r="B2243" s="20"/>
      <c r="C2243" s="30"/>
      <c r="D2243" s="30"/>
      <c r="E2243" s="30"/>
      <c r="F2243" s="22"/>
      <c r="G2243" s="23"/>
      <c r="H2243" s="23"/>
      <c r="I2243" s="23"/>
      <c r="J2243" s="23"/>
      <c r="K2243" s="23"/>
      <c r="L2243" s="23"/>
      <c r="M2243" s="23"/>
      <c r="N2243" s="23"/>
      <c r="O2243" s="23"/>
      <c r="P2243" s="23"/>
      <c r="Q2243" s="23"/>
      <c r="R2243" s="23"/>
      <c r="S2243" s="23"/>
      <c r="T2243" s="23"/>
      <c r="U2243" s="23"/>
    </row>
    <row r="2244">
      <c r="A2244" s="20"/>
      <c r="B2244" s="20"/>
      <c r="C2244" s="30"/>
      <c r="D2244" s="30"/>
      <c r="E2244" s="30"/>
      <c r="F2244" s="22"/>
      <c r="G2244" s="23"/>
      <c r="H2244" s="23"/>
      <c r="I2244" s="23"/>
      <c r="J2244" s="23"/>
      <c r="K2244" s="23"/>
      <c r="L2244" s="23"/>
      <c r="M2244" s="23"/>
      <c r="N2244" s="23"/>
      <c r="O2244" s="23"/>
      <c r="P2244" s="23"/>
      <c r="Q2244" s="23"/>
      <c r="R2244" s="23"/>
      <c r="S2244" s="23"/>
      <c r="T2244" s="23"/>
      <c r="U2244" s="23"/>
    </row>
    <row r="2245">
      <c r="A2245" s="20"/>
      <c r="B2245" s="20"/>
      <c r="C2245" s="30"/>
      <c r="D2245" s="30"/>
      <c r="E2245" s="30"/>
      <c r="F2245" s="22"/>
      <c r="G2245" s="23"/>
      <c r="H2245" s="23"/>
      <c r="I2245" s="23"/>
      <c r="J2245" s="23"/>
      <c r="K2245" s="23"/>
      <c r="L2245" s="23"/>
      <c r="M2245" s="23"/>
      <c r="N2245" s="23"/>
      <c r="O2245" s="23"/>
      <c r="P2245" s="23"/>
      <c r="Q2245" s="23"/>
      <c r="R2245" s="23"/>
      <c r="S2245" s="23"/>
      <c r="T2245" s="23"/>
      <c r="U2245" s="23"/>
    </row>
    <row r="2246">
      <c r="A2246" s="20"/>
      <c r="B2246" s="20"/>
      <c r="C2246" s="30"/>
      <c r="D2246" s="30"/>
      <c r="E2246" s="30"/>
      <c r="F2246" s="22"/>
      <c r="G2246" s="23"/>
      <c r="H2246" s="23"/>
      <c r="I2246" s="23"/>
      <c r="J2246" s="23"/>
      <c r="K2246" s="23"/>
      <c r="L2246" s="23"/>
      <c r="M2246" s="23"/>
      <c r="N2246" s="23"/>
      <c r="O2246" s="23"/>
      <c r="P2246" s="23"/>
      <c r="Q2246" s="23"/>
      <c r="R2246" s="23"/>
      <c r="S2246" s="23"/>
      <c r="T2246" s="23"/>
      <c r="U2246" s="23"/>
    </row>
    <row r="2247">
      <c r="A2247" s="20"/>
      <c r="B2247" s="20"/>
      <c r="C2247" s="30"/>
      <c r="D2247" s="30"/>
      <c r="E2247" s="30"/>
      <c r="F2247" s="22"/>
      <c r="G2247" s="23"/>
      <c r="H2247" s="23"/>
      <c r="I2247" s="23"/>
      <c r="J2247" s="23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</row>
    <row r="2248">
      <c r="A2248" s="20"/>
      <c r="B2248" s="20"/>
      <c r="C2248" s="30"/>
      <c r="D2248" s="30"/>
      <c r="E2248" s="30"/>
      <c r="F2248" s="22"/>
      <c r="G2248" s="23"/>
      <c r="H2248" s="23"/>
      <c r="I2248" s="23"/>
      <c r="J2248" s="23"/>
      <c r="K2248" s="23"/>
      <c r="L2248" s="23"/>
      <c r="M2248" s="23"/>
      <c r="N2248" s="23"/>
      <c r="O2248" s="23"/>
      <c r="P2248" s="23"/>
      <c r="Q2248" s="23"/>
      <c r="R2248" s="23"/>
      <c r="S2248" s="23"/>
      <c r="T2248" s="23"/>
      <c r="U2248" s="23"/>
    </row>
    <row r="2249">
      <c r="A2249" s="20"/>
      <c r="B2249" s="20"/>
      <c r="C2249" s="30"/>
      <c r="D2249" s="30"/>
      <c r="E2249" s="30"/>
      <c r="F2249" s="22"/>
      <c r="G2249" s="23"/>
      <c r="H2249" s="23"/>
      <c r="I2249" s="23"/>
      <c r="J2249" s="23"/>
      <c r="K2249" s="23"/>
      <c r="L2249" s="23"/>
      <c r="M2249" s="23"/>
      <c r="N2249" s="23"/>
      <c r="O2249" s="23"/>
      <c r="P2249" s="23"/>
      <c r="Q2249" s="23"/>
      <c r="R2249" s="23"/>
      <c r="S2249" s="23"/>
      <c r="T2249" s="23"/>
      <c r="U2249" s="23"/>
    </row>
    <row r="2250">
      <c r="A2250" s="20"/>
      <c r="B2250" s="20"/>
      <c r="C2250" s="30"/>
      <c r="D2250" s="30"/>
      <c r="E2250" s="30"/>
      <c r="F2250" s="22"/>
      <c r="G2250" s="23"/>
      <c r="H2250" s="23"/>
      <c r="I2250" s="23"/>
      <c r="J2250" s="23"/>
      <c r="K2250" s="23"/>
      <c r="L2250" s="23"/>
      <c r="M2250" s="23"/>
      <c r="N2250" s="23"/>
      <c r="O2250" s="23"/>
      <c r="P2250" s="23"/>
      <c r="Q2250" s="23"/>
      <c r="R2250" s="23"/>
      <c r="S2250" s="23"/>
      <c r="T2250" s="23"/>
      <c r="U2250" s="23"/>
    </row>
    <row r="2251">
      <c r="A2251" s="20"/>
      <c r="B2251" s="20"/>
      <c r="C2251" s="30"/>
      <c r="D2251" s="30"/>
      <c r="E2251" s="30"/>
      <c r="F2251" s="22"/>
      <c r="G2251" s="23"/>
      <c r="H2251" s="23"/>
      <c r="I2251" s="23"/>
      <c r="J2251" s="23"/>
      <c r="K2251" s="23"/>
      <c r="L2251" s="23"/>
      <c r="M2251" s="23"/>
      <c r="N2251" s="23"/>
      <c r="O2251" s="23"/>
      <c r="P2251" s="23"/>
      <c r="Q2251" s="23"/>
      <c r="R2251" s="23"/>
      <c r="S2251" s="23"/>
      <c r="T2251" s="23"/>
      <c r="U2251" s="23"/>
    </row>
    <row r="2252">
      <c r="A2252" s="20"/>
      <c r="B2252" s="20"/>
      <c r="C2252" s="30"/>
      <c r="D2252" s="30"/>
      <c r="E2252" s="30"/>
      <c r="F2252" s="22"/>
      <c r="G2252" s="23"/>
      <c r="H2252" s="23"/>
      <c r="I2252" s="23"/>
      <c r="J2252" s="23"/>
      <c r="K2252" s="23"/>
      <c r="L2252" s="23"/>
      <c r="M2252" s="23"/>
      <c r="N2252" s="23"/>
      <c r="O2252" s="23"/>
      <c r="P2252" s="23"/>
      <c r="Q2252" s="23"/>
      <c r="R2252" s="23"/>
      <c r="S2252" s="23"/>
      <c r="T2252" s="23"/>
      <c r="U2252" s="23"/>
    </row>
    <row r="2253">
      <c r="A2253" s="20"/>
      <c r="B2253" s="20"/>
      <c r="C2253" s="30"/>
      <c r="D2253" s="30"/>
      <c r="E2253" s="30"/>
      <c r="F2253" s="22"/>
      <c r="G2253" s="23"/>
      <c r="H2253" s="23"/>
      <c r="I2253" s="23"/>
      <c r="J2253" s="23"/>
      <c r="K2253" s="23"/>
      <c r="L2253" s="23"/>
      <c r="M2253" s="23"/>
      <c r="N2253" s="23"/>
      <c r="O2253" s="23"/>
      <c r="P2253" s="23"/>
      <c r="Q2253" s="23"/>
      <c r="R2253" s="23"/>
      <c r="S2253" s="23"/>
      <c r="T2253" s="23"/>
      <c r="U2253" s="23"/>
    </row>
    <row r="2254">
      <c r="A2254" s="20"/>
      <c r="B2254" s="20"/>
      <c r="C2254" s="30"/>
      <c r="D2254" s="30"/>
      <c r="E2254" s="30"/>
      <c r="F2254" s="22"/>
      <c r="G2254" s="23"/>
      <c r="H2254" s="23"/>
      <c r="I2254" s="23"/>
      <c r="J2254" s="23"/>
      <c r="K2254" s="23"/>
      <c r="L2254" s="23"/>
      <c r="M2254" s="23"/>
      <c r="N2254" s="23"/>
      <c r="O2254" s="23"/>
      <c r="P2254" s="23"/>
      <c r="Q2254" s="23"/>
      <c r="R2254" s="23"/>
      <c r="S2254" s="23"/>
      <c r="T2254" s="23"/>
      <c r="U2254" s="23"/>
    </row>
    <row r="2255">
      <c r="A2255" s="20"/>
      <c r="B2255" s="20"/>
      <c r="C2255" s="30"/>
      <c r="D2255" s="30"/>
      <c r="E2255" s="30"/>
      <c r="F2255" s="22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</row>
    <row r="2256">
      <c r="A2256" s="20"/>
      <c r="B2256" s="20"/>
      <c r="C2256" s="30"/>
      <c r="D2256" s="30"/>
      <c r="E2256" s="30"/>
      <c r="F2256" s="22"/>
      <c r="G2256" s="23"/>
      <c r="H2256" s="23"/>
      <c r="I2256" s="23"/>
      <c r="J2256" s="23"/>
      <c r="K2256" s="23"/>
      <c r="L2256" s="23"/>
      <c r="M2256" s="23"/>
      <c r="N2256" s="23"/>
      <c r="O2256" s="23"/>
      <c r="P2256" s="23"/>
      <c r="Q2256" s="23"/>
      <c r="R2256" s="23"/>
      <c r="S2256" s="23"/>
      <c r="T2256" s="23"/>
      <c r="U2256" s="23"/>
    </row>
    <row r="2257">
      <c r="A2257" s="20"/>
      <c r="B2257" s="20"/>
      <c r="C2257" s="30"/>
      <c r="D2257" s="30"/>
      <c r="E2257" s="30"/>
      <c r="F2257" s="22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</row>
    <row r="2258">
      <c r="A2258" s="20"/>
      <c r="B2258" s="20"/>
      <c r="C2258" s="30"/>
      <c r="D2258" s="30"/>
      <c r="E2258" s="30"/>
      <c r="F2258" s="22"/>
      <c r="G2258" s="23"/>
      <c r="H2258" s="23"/>
      <c r="I2258" s="23"/>
      <c r="J2258" s="23"/>
      <c r="K2258" s="23"/>
      <c r="L2258" s="23"/>
      <c r="M2258" s="23"/>
      <c r="N2258" s="23"/>
      <c r="O2258" s="23"/>
      <c r="P2258" s="23"/>
      <c r="Q2258" s="23"/>
      <c r="R2258" s="23"/>
      <c r="S2258" s="23"/>
      <c r="T2258" s="23"/>
      <c r="U2258" s="23"/>
    </row>
    <row r="2259">
      <c r="A2259" s="20"/>
      <c r="B2259" s="20"/>
      <c r="C2259" s="30"/>
      <c r="D2259" s="30"/>
      <c r="E2259" s="30"/>
      <c r="F2259" s="22"/>
      <c r="G2259" s="23"/>
      <c r="H2259" s="23"/>
      <c r="I2259" s="23"/>
      <c r="J2259" s="23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</row>
    <row r="2260">
      <c r="A2260" s="20"/>
      <c r="B2260" s="20"/>
      <c r="C2260" s="30"/>
      <c r="D2260" s="30"/>
      <c r="E2260" s="30"/>
      <c r="F2260" s="22"/>
      <c r="G2260" s="23"/>
      <c r="H2260" s="23"/>
      <c r="I2260" s="23"/>
      <c r="J2260" s="23"/>
      <c r="K2260" s="23"/>
      <c r="L2260" s="23"/>
      <c r="M2260" s="23"/>
      <c r="N2260" s="23"/>
      <c r="O2260" s="23"/>
      <c r="P2260" s="23"/>
      <c r="Q2260" s="23"/>
      <c r="R2260" s="23"/>
      <c r="S2260" s="23"/>
      <c r="T2260" s="23"/>
      <c r="U2260" s="23"/>
    </row>
    <row r="2261">
      <c r="A2261" s="20"/>
      <c r="B2261" s="20"/>
      <c r="C2261" s="30"/>
      <c r="D2261" s="30"/>
      <c r="E2261" s="30"/>
      <c r="F2261" s="22"/>
      <c r="G2261" s="23"/>
      <c r="H2261" s="23"/>
      <c r="I2261" s="23"/>
      <c r="J2261" s="23"/>
      <c r="K2261" s="23"/>
      <c r="L2261" s="23"/>
      <c r="M2261" s="23"/>
      <c r="N2261" s="23"/>
      <c r="O2261" s="23"/>
      <c r="P2261" s="23"/>
      <c r="Q2261" s="23"/>
      <c r="R2261" s="23"/>
      <c r="S2261" s="23"/>
      <c r="T2261" s="23"/>
      <c r="U2261" s="23"/>
    </row>
    <row r="2262">
      <c r="A2262" s="20"/>
      <c r="B2262" s="20"/>
      <c r="C2262" s="30"/>
      <c r="D2262" s="30"/>
      <c r="E2262" s="30"/>
      <c r="F2262" s="22"/>
      <c r="G2262" s="23"/>
      <c r="H2262" s="23"/>
      <c r="I2262" s="23"/>
      <c r="J2262" s="23"/>
      <c r="K2262" s="23"/>
      <c r="L2262" s="23"/>
      <c r="M2262" s="23"/>
      <c r="N2262" s="23"/>
      <c r="O2262" s="23"/>
      <c r="P2262" s="23"/>
      <c r="Q2262" s="23"/>
      <c r="R2262" s="23"/>
      <c r="S2262" s="23"/>
      <c r="T2262" s="23"/>
      <c r="U2262" s="23"/>
    </row>
    <row r="2263">
      <c r="A2263" s="20"/>
      <c r="B2263" s="20"/>
      <c r="C2263" s="30"/>
      <c r="D2263" s="30"/>
      <c r="E2263" s="30"/>
      <c r="F2263" s="22"/>
      <c r="G2263" s="23"/>
      <c r="H2263" s="23"/>
      <c r="I2263" s="23"/>
      <c r="J2263" s="23"/>
      <c r="K2263" s="23"/>
      <c r="L2263" s="23"/>
      <c r="M2263" s="23"/>
      <c r="N2263" s="23"/>
      <c r="O2263" s="23"/>
      <c r="P2263" s="23"/>
      <c r="Q2263" s="23"/>
      <c r="R2263" s="23"/>
      <c r="S2263" s="23"/>
      <c r="T2263" s="23"/>
      <c r="U2263" s="23"/>
    </row>
    <row r="2264">
      <c r="A2264" s="20"/>
      <c r="B2264" s="20"/>
      <c r="C2264" s="30"/>
      <c r="D2264" s="30"/>
      <c r="E2264" s="30"/>
      <c r="F2264" s="22"/>
      <c r="G2264" s="23"/>
      <c r="H2264" s="23"/>
      <c r="I2264" s="23"/>
      <c r="J2264" s="23"/>
      <c r="K2264" s="23"/>
      <c r="L2264" s="23"/>
      <c r="M2264" s="23"/>
      <c r="N2264" s="23"/>
      <c r="O2264" s="23"/>
      <c r="P2264" s="23"/>
      <c r="Q2264" s="23"/>
      <c r="R2264" s="23"/>
      <c r="S2264" s="23"/>
      <c r="T2264" s="23"/>
      <c r="U2264" s="23"/>
    </row>
    <row r="2265">
      <c r="A2265" s="20"/>
      <c r="B2265" s="20"/>
      <c r="C2265" s="30"/>
      <c r="D2265" s="30"/>
      <c r="E2265" s="30"/>
      <c r="F2265" s="22"/>
      <c r="G2265" s="23"/>
      <c r="H2265" s="23"/>
      <c r="I2265" s="23"/>
      <c r="J2265" s="23"/>
      <c r="K2265" s="23"/>
      <c r="L2265" s="23"/>
      <c r="M2265" s="23"/>
      <c r="N2265" s="23"/>
      <c r="O2265" s="23"/>
      <c r="P2265" s="23"/>
      <c r="Q2265" s="23"/>
      <c r="R2265" s="23"/>
      <c r="S2265" s="23"/>
      <c r="T2265" s="23"/>
      <c r="U2265" s="23"/>
    </row>
    <row r="2266">
      <c r="A2266" s="20"/>
      <c r="B2266" s="20"/>
      <c r="C2266" s="30"/>
      <c r="D2266" s="30"/>
      <c r="E2266" s="30"/>
      <c r="F2266" s="22"/>
      <c r="G2266" s="23"/>
      <c r="H2266" s="23"/>
      <c r="I2266" s="23"/>
      <c r="J2266" s="23"/>
      <c r="K2266" s="23"/>
      <c r="L2266" s="23"/>
      <c r="M2266" s="23"/>
      <c r="N2266" s="23"/>
      <c r="O2266" s="23"/>
      <c r="P2266" s="23"/>
      <c r="Q2266" s="23"/>
      <c r="R2266" s="23"/>
      <c r="S2266" s="23"/>
      <c r="T2266" s="23"/>
      <c r="U2266" s="23"/>
    </row>
    <row r="2267">
      <c r="A2267" s="20"/>
      <c r="B2267" s="20"/>
      <c r="C2267" s="30"/>
      <c r="D2267" s="30"/>
      <c r="E2267" s="30"/>
      <c r="F2267" s="22"/>
      <c r="G2267" s="23"/>
      <c r="H2267" s="23"/>
      <c r="I2267" s="23"/>
      <c r="J2267" s="23"/>
      <c r="K2267" s="23"/>
      <c r="L2267" s="23"/>
      <c r="M2267" s="23"/>
      <c r="N2267" s="23"/>
      <c r="O2267" s="23"/>
      <c r="P2267" s="23"/>
      <c r="Q2267" s="23"/>
      <c r="R2267" s="23"/>
      <c r="S2267" s="23"/>
      <c r="T2267" s="23"/>
      <c r="U2267" s="23"/>
    </row>
    <row r="2268">
      <c r="A2268" s="20"/>
      <c r="B2268" s="20"/>
      <c r="C2268" s="30"/>
      <c r="D2268" s="30"/>
      <c r="E2268" s="30"/>
      <c r="F2268" s="22"/>
      <c r="G2268" s="23"/>
      <c r="H2268" s="23"/>
      <c r="I2268" s="23"/>
      <c r="J2268" s="23"/>
      <c r="K2268" s="23"/>
      <c r="L2268" s="23"/>
      <c r="M2268" s="23"/>
      <c r="N2268" s="23"/>
      <c r="O2268" s="23"/>
      <c r="P2268" s="23"/>
      <c r="Q2268" s="23"/>
      <c r="R2268" s="23"/>
      <c r="S2268" s="23"/>
      <c r="T2268" s="23"/>
      <c r="U2268" s="23"/>
    </row>
    <row r="2269">
      <c r="A2269" s="20"/>
      <c r="B2269" s="20"/>
      <c r="C2269" s="30"/>
      <c r="D2269" s="30"/>
      <c r="E2269" s="30"/>
      <c r="F2269" s="22"/>
      <c r="G2269" s="23"/>
      <c r="H2269" s="23"/>
      <c r="I2269" s="23"/>
      <c r="J2269" s="23"/>
      <c r="K2269" s="23"/>
      <c r="L2269" s="23"/>
      <c r="M2269" s="23"/>
      <c r="N2269" s="23"/>
      <c r="O2269" s="23"/>
      <c r="P2269" s="23"/>
      <c r="Q2269" s="23"/>
      <c r="R2269" s="23"/>
      <c r="S2269" s="23"/>
      <c r="T2269" s="23"/>
      <c r="U2269" s="23"/>
    </row>
    <row r="2270">
      <c r="A2270" s="20"/>
      <c r="B2270" s="20"/>
      <c r="C2270" s="30"/>
      <c r="D2270" s="30"/>
      <c r="E2270" s="30"/>
      <c r="F2270" s="22"/>
      <c r="G2270" s="23"/>
      <c r="H2270" s="23"/>
      <c r="I2270" s="23"/>
      <c r="J2270" s="23"/>
      <c r="K2270" s="23"/>
      <c r="L2270" s="23"/>
      <c r="M2270" s="23"/>
      <c r="N2270" s="23"/>
      <c r="O2270" s="23"/>
      <c r="P2270" s="23"/>
      <c r="Q2270" s="23"/>
      <c r="R2270" s="23"/>
      <c r="S2270" s="23"/>
      <c r="T2270" s="23"/>
      <c r="U2270" s="23"/>
    </row>
    <row r="2271">
      <c r="A2271" s="20"/>
      <c r="B2271" s="20"/>
      <c r="C2271" s="30"/>
      <c r="D2271" s="30"/>
      <c r="E2271" s="30"/>
      <c r="F2271" s="22"/>
      <c r="G2271" s="23"/>
      <c r="H2271" s="23"/>
      <c r="I2271" s="23"/>
      <c r="J2271" s="23"/>
      <c r="K2271" s="23"/>
      <c r="L2271" s="23"/>
      <c r="M2271" s="23"/>
      <c r="N2271" s="23"/>
      <c r="O2271" s="23"/>
      <c r="P2271" s="23"/>
      <c r="Q2271" s="23"/>
      <c r="R2271" s="23"/>
      <c r="S2271" s="23"/>
      <c r="T2271" s="23"/>
      <c r="U2271" s="23"/>
    </row>
    <row r="2272">
      <c r="A2272" s="20"/>
      <c r="B2272" s="20"/>
      <c r="C2272" s="30"/>
      <c r="D2272" s="30"/>
      <c r="E2272" s="30"/>
      <c r="F2272" s="22"/>
      <c r="G2272" s="23"/>
      <c r="H2272" s="23"/>
      <c r="I2272" s="23"/>
      <c r="J2272" s="23"/>
      <c r="K2272" s="23"/>
      <c r="L2272" s="23"/>
      <c r="M2272" s="23"/>
      <c r="N2272" s="23"/>
      <c r="O2272" s="23"/>
      <c r="P2272" s="23"/>
      <c r="Q2272" s="23"/>
      <c r="R2272" s="23"/>
      <c r="S2272" s="23"/>
      <c r="T2272" s="23"/>
      <c r="U2272" s="23"/>
    </row>
    <row r="2273">
      <c r="A2273" s="20"/>
      <c r="B2273" s="20"/>
      <c r="C2273" s="30"/>
      <c r="D2273" s="30"/>
      <c r="E2273" s="30"/>
      <c r="F2273" s="22"/>
      <c r="G2273" s="23"/>
      <c r="H2273" s="23"/>
      <c r="I2273" s="23"/>
      <c r="J2273" s="23"/>
      <c r="K2273" s="23"/>
      <c r="L2273" s="23"/>
      <c r="M2273" s="23"/>
      <c r="N2273" s="23"/>
      <c r="O2273" s="23"/>
      <c r="P2273" s="23"/>
      <c r="Q2273" s="23"/>
      <c r="R2273" s="23"/>
      <c r="S2273" s="23"/>
      <c r="T2273" s="23"/>
      <c r="U2273" s="23"/>
    </row>
    <row r="2274">
      <c r="A2274" s="20"/>
      <c r="B2274" s="20"/>
      <c r="C2274" s="30"/>
      <c r="D2274" s="30"/>
      <c r="E2274" s="30"/>
      <c r="F2274" s="22"/>
      <c r="G2274" s="23"/>
      <c r="H2274" s="23"/>
      <c r="I2274" s="23"/>
      <c r="J2274" s="23"/>
      <c r="K2274" s="23"/>
      <c r="L2274" s="23"/>
      <c r="M2274" s="23"/>
      <c r="N2274" s="23"/>
      <c r="O2274" s="23"/>
      <c r="P2274" s="23"/>
      <c r="Q2274" s="23"/>
      <c r="R2274" s="23"/>
      <c r="S2274" s="23"/>
      <c r="T2274" s="23"/>
      <c r="U2274" s="23"/>
    </row>
    <row r="2275">
      <c r="A2275" s="20"/>
      <c r="B2275" s="20"/>
      <c r="C2275" s="30"/>
      <c r="D2275" s="30"/>
      <c r="E2275" s="30"/>
      <c r="F2275" s="22"/>
      <c r="G2275" s="23"/>
      <c r="H2275" s="23"/>
      <c r="I2275" s="23"/>
      <c r="J2275" s="23"/>
      <c r="K2275" s="23"/>
      <c r="L2275" s="23"/>
      <c r="M2275" s="23"/>
      <c r="N2275" s="23"/>
      <c r="O2275" s="23"/>
      <c r="P2275" s="23"/>
      <c r="Q2275" s="23"/>
      <c r="R2275" s="23"/>
      <c r="S2275" s="23"/>
      <c r="T2275" s="23"/>
      <c r="U2275" s="23"/>
    </row>
    <row r="2276">
      <c r="A2276" s="20"/>
      <c r="B2276" s="20"/>
      <c r="C2276" s="30"/>
      <c r="D2276" s="30"/>
      <c r="E2276" s="30"/>
      <c r="F2276" s="22"/>
      <c r="G2276" s="23"/>
      <c r="H2276" s="23"/>
      <c r="I2276" s="23"/>
      <c r="J2276" s="23"/>
      <c r="K2276" s="23"/>
      <c r="L2276" s="23"/>
      <c r="M2276" s="23"/>
      <c r="N2276" s="23"/>
      <c r="O2276" s="23"/>
      <c r="P2276" s="23"/>
      <c r="Q2276" s="23"/>
      <c r="R2276" s="23"/>
      <c r="S2276" s="23"/>
      <c r="T2276" s="23"/>
      <c r="U2276" s="23"/>
    </row>
    <row r="2277">
      <c r="A2277" s="20"/>
      <c r="B2277" s="20"/>
      <c r="C2277" s="30"/>
      <c r="D2277" s="30"/>
      <c r="E2277" s="30"/>
      <c r="F2277" s="22"/>
      <c r="G2277" s="23"/>
      <c r="H2277" s="23"/>
      <c r="I2277" s="23"/>
      <c r="J2277" s="23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</row>
    <row r="2278">
      <c r="A2278" s="20"/>
      <c r="B2278" s="20"/>
      <c r="C2278" s="30"/>
      <c r="D2278" s="30"/>
      <c r="E2278" s="30"/>
      <c r="F2278" s="22"/>
      <c r="G2278" s="23"/>
      <c r="H2278" s="23"/>
      <c r="I2278" s="23"/>
      <c r="J2278" s="23"/>
      <c r="K2278" s="23"/>
      <c r="L2278" s="23"/>
      <c r="M2278" s="23"/>
      <c r="N2278" s="23"/>
      <c r="O2278" s="23"/>
      <c r="P2278" s="23"/>
      <c r="Q2278" s="23"/>
      <c r="R2278" s="23"/>
      <c r="S2278" s="23"/>
      <c r="T2278" s="23"/>
      <c r="U2278" s="23"/>
    </row>
    <row r="2279">
      <c r="A2279" s="20"/>
      <c r="B2279" s="20"/>
      <c r="C2279" s="30"/>
      <c r="D2279" s="30"/>
      <c r="E2279" s="30"/>
      <c r="F2279" s="22"/>
      <c r="G2279" s="23"/>
      <c r="H2279" s="23"/>
      <c r="I2279" s="23"/>
      <c r="J2279" s="23"/>
      <c r="K2279" s="23"/>
      <c r="L2279" s="23"/>
      <c r="M2279" s="23"/>
      <c r="N2279" s="23"/>
      <c r="O2279" s="23"/>
      <c r="P2279" s="23"/>
      <c r="Q2279" s="23"/>
      <c r="R2279" s="23"/>
      <c r="S2279" s="23"/>
      <c r="T2279" s="23"/>
      <c r="U2279" s="23"/>
    </row>
    <row r="2280">
      <c r="A2280" s="20"/>
      <c r="B2280" s="20"/>
      <c r="C2280" s="30"/>
      <c r="D2280" s="30"/>
      <c r="E2280" s="30"/>
      <c r="F2280" s="22"/>
      <c r="G2280" s="23"/>
      <c r="H2280" s="23"/>
      <c r="I2280" s="23"/>
      <c r="J2280" s="23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</row>
    <row r="2281">
      <c r="A2281" s="20"/>
      <c r="B2281" s="20"/>
      <c r="C2281" s="30"/>
      <c r="D2281" s="30"/>
      <c r="E2281" s="30"/>
      <c r="F2281" s="22"/>
      <c r="G2281" s="23"/>
      <c r="H2281" s="23"/>
      <c r="I2281" s="23"/>
      <c r="J2281" s="23"/>
      <c r="K2281" s="23"/>
      <c r="L2281" s="23"/>
      <c r="M2281" s="23"/>
      <c r="N2281" s="23"/>
      <c r="O2281" s="23"/>
      <c r="P2281" s="23"/>
      <c r="Q2281" s="23"/>
      <c r="R2281" s="23"/>
      <c r="S2281" s="23"/>
      <c r="T2281" s="23"/>
      <c r="U2281" s="23"/>
    </row>
    <row r="2282">
      <c r="A2282" s="20"/>
      <c r="B2282" s="20"/>
      <c r="C2282" s="30"/>
      <c r="D2282" s="30"/>
      <c r="E2282" s="30"/>
      <c r="F2282" s="22"/>
      <c r="G2282" s="23"/>
      <c r="H2282" s="23"/>
      <c r="I2282" s="23"/>
      <c r="J2282" s="23"/>
      <c r="K2282" s="23"/>
      <c r="L2282" s="23"/>
      <c r="M2282" s="23"/>
      <c r="N2282" s="23"/>
      <c r="O2282" s="23"/>
      <c r="P2282" s="23"/>
      <c r="Q2282" s="23"/>
      <c r="R2282" s="23"/>
      <c r="S2282" s="23"/>
      <c r="T2282" s="23"/>
      <c r="U2282" s="23"/>
    </row>
    <row r="2283">
      <c r="A2283" s="20"/>
      <c r="B2283" s="20"/>
      <c r="C2283" s="30"/>
      <c r="D2283" s="30"/>
      <c r="E2283" s="30"/>
      <c r="F2283" s="22"/>
      <c r="G2283" s="23"/>
      <c r="H2283" s="23"/>
      <c r="I2283" s="23"/>
      <c r="J2283" s="23"/>
      <c r="K2283" s="23"/>
      <c r="L2283" s="23"/>
      <c r="M2283" s="23"/>
      <c r="N2283" s="23"/>
      <c r="O2283" s="23"/>
      <c r="P2283" s="23"/>
      <c r="Q2283" s="23"/>
      <c r="R2283" s="23"/>
      <c r="S2283" s="23"/>
      <c r="T2283" s="23"/>
      <c r="U2283" s="23"/>
    </row>
    <row r="2284">
      <c r="A2284" s="20"/>
      <c r="B2284" s="20"/>
      <c r="C2284" s="30"/>
      <c r="D2284" s="30"/>
      <c r="E2284" s="30"/>
      <c r="F2284" s="22"/>
      <c r="G2284" s="23"/>
      <c r="H2284" s="23"/>
      <c r="I2284" s="23"/>
      <c r="J2284" s="23"/>
      <c r="K2284" s="23"/>
      <c r="L2284" s="23"/>
      <c r="M2284" s="23"/>
      <c r="N2284" s="23"/>
      <c r="O2284" s="23"/>
      <c r="P2284" s="23"/>
      <c r="Q2284" s="23"/>
      <c r="R2284" s="23"/>
      <c r="S2284" s="23"/>
      <c r="T2284" s="23"/>
      <c r="U2284" s="23"/>
    </row>
    <row r="2285">
      <c r="A2285" s="20"/>
      <c r="B2285" s="20"/>
      <c r="C2285" s="30"/>
      <c r="D2285" s="30"/>
      <c r="E2285" s="30"/>
      <c r="F2285" s="22"/>
      <c r="G2285" s="23"/>
      <c r="H2285" s="23"/>
      <c r="I2285" s="23"/>
      <c r="J2285" s="23"/>
      <c r="K2285" s="23"/>
      <c r="L2285" s="23"/>
      <c r="M2285" s="23"/>
      <c r="N2285" s="23"/>
      <c r="O2285" s="23"/>
      <c r="P2285" s="23"/>
      <c r="Q2285" s="23"/>
      <c r="R2285" s="23"/>
      <c r="S2285" s="23"/>
      <c r="T2285" s="23"/>
      <c r="U2285" s="23"/>
    </row>
    <row r="2286">
      <c r="A2286" s="20"/>
      <c r="B2286" s="20"/>
      <c r="C2286" s="30"/>
      <c r="D2286" s="30"/>
      <c r="E2286" s="30"/>
      <c r="F2286" s="22"/>
      <c r="G2286" s="23"/>
      <c r="H2286" s="23"/>
      <c r="I2286" s="23"/>
      <c r="J2286" s="23"/>
      <c r="K2286" s="23"/>
      <c r="L2286" s="23"/>
      <c r="M2286" s="23"/>
      <c r="N2286" s="23"/>
      <c r="O2286" s="23"/>
      <c r="P2286" s="23"/>
      <c r="Q2286" s="23"/>
      <c r="R2286" s="23"/>
      <c r="S2286" s="23"/>
      <c r="T2286" s="23"/>
      <c r="U2286" s="23"/>
    </row>
    <row r="2287">
      <c r="A2287" s="20"/>
      <c r="B2287" s="20"/>
      <c r="C2287" s="30"/>
      <c r="D2287" s="30"/>
      <c r="E2287" s="30"/>
      <c r="F2287" s="22"/>
      <c r="G2287" s="23"/>
      <c r="H2287" s="23"/>
      <c r="I2287" s="23"/>
      <c r="J2287" s="23"/>
      <c r="K2287" s="23"/>
      <c r="L2287" s="23"/>
      <c r="M2287" s="23"/>
      <c r="N2287" s="23"/>
      <c r="O2287" s="23"/>
      <c r="P2287" s="23"/>
      <c r="Q2287" s="23"/>
      <c r="R2287" s="23"/>
      <c r="S2287" s="23"/>
      <c r="T2287" s="23"/>
      <c r="U2287" s="23"/>
    </row>
    <row r="2288">
      <c r="A2288" s="20"/>
      <c r="B2288" s="20"/>
      <c r="C2288" s="30"/>
      <c r="D2288" s="30"/>
      <c r="E2288" s="30"/>
      <c r="F2288" s="22"/>
      <c r="G2288" s="23"/>
      <c r="H2288" s="23"/>
      <c r="I2288" s="23"/>
      <c r="J2288" s="23"/>
      <c r="K2288" s="23"/>
      <c r="L2288" s="23"/>
      <c r="M2288" s="23"/>
      <c r="N2288" s="23"/>
      <c r="O2288" s="23"/>
      <c r="P2288" s="23"/>
      <c r="Q2288" s="23"/>
      <c r="R2288" s="23"/>
      <c r="S2288" s="23"/>
      <c r="T2288" s="23"/>
      <c r="U2288" s="23"/>
    </row>
    <row r="2289">
      <c r="A2289" s="20"/>
      <c r="B2289" s="20"/>
      <c r="C2289" s="30"/>
      <c r="D2289" s="30"/>
      <c r="E2289" s="30"/>
      <c r="F2289" s="22"/>
      <c r="G2289" s="23"/>
      <c r="H2289" s="23"/>
      <c r="I2289" s="23"/>
      <c r="J2289" s="23"/>
      <c r="K2289" s="23"/>
      <c r="L2289" s="23"/>
      <c r="M2289" s="23"/>
      <c r="N2289" s="23"/>
      <c r="O2289" s="23"/>
      <c r="P2289" s="23"/>
      <c r="Q2289" s="23"/>
      <c r="R2289" s="23"/>
      <c r="S2289" s="23"/>
      <c r="T2289" s="23"/>
      <c r="U2289" s="23"/>
    </row>
    <row r="2290">
      <c r="A2290" s="20"/>
      <c r="B2290" s="20"/>
      <c r="C2290" s="30"/>
      <c r="D2290" s="30"/>
      <c r="E2290" s="30"/>
      <c r="F2290" s="22"/>
      <c r="G2290" s="23"/>
      <c r="H2290" s="23"/>
      <c r="I2290" s="23"/>
      <c r="J2290" s="23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</row>
    <row r="2291">
      <c r="A2291" s="20"/>
      <c r="B2291" s="20"/>
      <c r="C2291" s="30"/>
      <c r="D2291" s="30"/>
      <c r="E2291" s="30"/>
      <c r="F2291" s="22"/>
      <c r="G2291" s="23"/>
      <c r="H2291" s="23"/>
      <c r="I2291" s="23"/>
      <c r="J2291" s="23"/>
      <c r="K2291" s="23"/>
      <c r="L2291" s="23"/>
      <c r="M2291" s="23"/>
      <c r="N2291" s="23"/>
      <c r="O2291" s="23"/>
      <c r="P2291" s="23"/>
      <c r="Q2291" s="23"/>
      <c r="R2291" s="23"/>
      <c r="S2291" s="23"/>
      <c r="T2291" s="23"/>
      <c r="U2291" s="23"/>
    </row>
    <row r="2292">
      <c r="A2292" s="20"/>
      <c r="B2292" s="20"/>
      <c r="C2292" s="30"/>
      <c r="D2292" s="30"/>
      <c r="E2292" s="30"/>
      <c r="F2292" s="22"/>
      <c r="G2292" s="23"/>
      <c r="H2292" s="23"/>
      <c r="I2292" s="23"/>
      <c r="J2292" s="23"/>
      <c r="K2292" s="23"/>
      <c r="L2292" s="23"/>
      <c r="M2292" s="23"/>
      <c r="N2292" s="23"/>
      <c r="O2292" s="23"/>
      <c r="P2292" s="23"/>
      <c r="Q2292" s="23"/>
      <c r="R2292" s="23"/>
      <c r="S2292" s="23"/>
      <c r="T2292" s="23"/>
      <c r="U2292" s="23"/>
    </row>
    <row r="2293">
      <c r="A2293" s="20"/>
      <c r="B2293" s="20"/>
      <c r="C2293" s="30"/>
      <c r="D2293" s="30"/>
      <c r="E2293" s="30"/>
      <c r="F2293" s="22"/>
      <c r="G2293" s="23"/>
      <c r="H2293" s="23"/>
      <c r="I2293" s="23"/>
      <c r="J2293" s="23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</row>
    <row r="2294">
      <c r="A2294" s="20"/>
      <c r="B2294" s="20"/>
      <c r="C2294" s="30"/>
      <c r="D2294" s="30"/>
      <c r="E2294" s="30"/>
      <c r="F2294" s="22"/>
      <c r="G2294" s="23"/>
      <c r="H2294" s="23"/>
      <c r="I2294" s="23"/>
      <c r="J2294" s="23"/>
      <c r="K2294" s="23"/>
      <c r="L2294" s="23"/>
      <c r="M2294" s="23"/>
      <c r="N2294" s="23"/>
      <c r="O2294" s="23"/>
      <c r="P2294" s="23"/>
      <c r="Q2294" s="23"/>
      <c r="R2294" s="23"/>
      <c r="S2294" s="23"/>
      <c r="T2294" s="23"/>
      <c r="U2294" s="23"/>
    </row>
    <row r="2295">
      <c r="A2295" s="20"/>
      <c r="B2295" s="20"/>
      <c r="C2295" s="30"/>
      <c r="D2295" s="30"/>
      <c r="E2295" s="30"/>
      <c r="F2295" s="22"/>
      <c r="G2295" s="23"/>
      <c r="H2295" s="23"/>
      <c r="I2295" s="23"/>
      <c r="J2295" s="23"/>
      <c r="K2295" s="23"/>
      <c r="L2295" s="23"/>
      <c r="M2295" s="23"/>
      <c r="N2295" s="23"/>
      <c r="O2295" s="23"/>
      <c r="P2295" s="23"/>
      <c r="Q2295" s="23"/>
      <c r="R2295" s="23"/>
      <c r="S2295" s="23"/>
      <c r="T2295" s="23"/>
      <c r="U2295" s="23"/>
    </row>
    <row r="2296">
      <c r="A2296" s="20"/>
      <c r="B2296" s="20"/>
      <c r="C2296" s="30"/>
      <c r="D2296" s="30"/>
      <c r="E2296" s="30"/>
      <c r="F2296" s="22"/>
      <c r="G2296" s="23"/>
      <c r="H2296" s="23"/>
      <c r="I2296" s="23"/>
      <c r="J2296" s="23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</row>
    <row r="2297">
      <c r="A2297" s="20"/>
      <c r="B2297" s="20"/>
      <c r="C2297" s="30"/>
      <c r="D2297" s="30"/>
      <c r="E2297" s="30"/>
      <c r="F2297" s="22"/>
      <c r="G2297" s="23"/>
      <c r="H2297" s="23"/>
      <c r="I2297" s="23"/>
      <c r="J2297" s="23"/>
      <c r="K2297" s="23"/>
      <c r="L2297" s="23"/>
      <c r="M2297" s="23"/>
      <c r="N2297" s="23"/>
      <c r="O2297" s="23"/>
      <c r="P2297" s="23"/>
      <c r="Q2297" s="23"/>
      <c r="R2297" s="23"/>
      <c r="S2297" s="23"/>
      <c r="T2297" s="23"/>
      <c r="U2297" s="23"/>
    </row>
    <row r="2298">
      <c r="A2298" s="20"/>
      <c r="B2298" s="20"/>
      <c r="C2298" s="30"/>
      <c r="D2298" s="30"/>
      <c r="E2298" s="30"/>
      <c r="F2298" s="22"/>
      <c r="G2298" s="23"/>
      <c r="H2298" s="23"/>
      <c r="I2298" s="23"/>
      <c r="J2298" s="23"/>
      <c r="K2298" s="23"/>
      <c r="L2298" s="23"/>
      <c r="M2298" s="23"/>
      <c r="N2298" s="23"/>
      <c r="O2298" s="23"/>
      <c r="P2298" s="23"/>
      <c r="Q2298" s="23"/>
      <c r="R2298" s="23"/>
      <c r="S2298" s="23"/>
      <c r="T2298" s="23"/>
      <c r="U2298" s="23"/>
    </row>
    <row r="2299">
      <c r="A2299" s="20"/>
      <c r="B2299" s="20"/>
      <c r="C2299" s="30"/>
      <c r="D2299" s="30"/>
      <c r="E2299" s="30"/>
      <c r="F2299" s="22"/>
      <c r="G2299" s="23"/>
      <c r="H2299" s="23"/>
      <c r="I2299" s="23"/>
      <c r="J2299" s="23"/>
      <c r="K2299" s="23"/>
      <c r="L2299" s="23"/>
      <c r="M2299" s="23"/>
      <c r="N2299" s="23"/>
      <c r="O2299" s="23"/>
      <c r="P2299" s="23"/>
      <c r="Q2299" s="23"/>
      <c r="R2299" s="23"/>
      <c r="S2299" s="23"/>
      <c r="T2299" s="23"/>
      <c r="U2299" s="23"/>
    </row>
    <row r="2300">
      <c r="A2300" s="20"/>
      <c r="B2300" s="20"/>
      <c r="C2300" s="30"/>
      <c r="D2300" s="30"/>
      <c r="E2300" s="30"/>
      <c r="F2300" s="22"/>
      <c r="G2300" s="23"/>
      <c r="H2300" s="23"/>
      <c r="I2300" s="23"/>
      <c r="J2300" s="23"/>
      <c r="K2300" s="23"/>
      <c r="L2300" s="23"/>
      <c r="M2300" s="23"/>
      <c r="N2300" s="23"/>
      <c r="O2300" s="23"/>
      <c r="P2300" s="23"/>
      <c r="Q2300" s="23"/>
      <c r="R2300" s="23"/>
      <c r="S2300" s="23"/>
      <c r="T2300" s="23"/>
      <c r="U2300" s="23"/>
    </row>
    <row r="2301">
      <c r="A2301" s="20"/>
      <c r="B2301" s="20"/>
      <c r="C2301" s="30"/>
      <c r="D2301" s="30"/>
      <c r="E2301" s="30"/>
      <c r="F2301" s="22"/>
      <c r="G2301" s="23"/>
      <c r="H2301" s="23"/>
      <c r="I2301" s="23"/>
      <c r="J2301" s="23"/>
      <c r="K2301" s="23"/>
      <c r="L2301" s="23"/>
      <c r="M2301" s="23"/>
      <c r="N2301" s="23"/>
      <c r="O2301" s="23"/>
      <c r="P2301" s="23"/>
      <c r="Q2301" s="23"/>
      <c r="R2301" s="23"/>
      <c r="S2301" s="23"/>
      <c r="T2301" s="23"/>
      <c r="U2301" s="23"/>
    </row>
    <row r="2302">
      <c r="A2302" s="20"/>
      <c r="B2302" s="20"/>
      <c r="C2302" s="30"/>
      <c r="D2302" s="30"/>
      <c r="E2302" s="30"/>
      <c r="F2302" s="22"/>
      <c r="G2302" s="23"/>
      <c r="H2302" s="23"/>
      <c r="I2302" s="23"/>
      <c r="J2302" s="23"/>
      <c r="K2302" s="23"/>
      <c r="L2302" s="23"/>
      <c r="M2302" s="23"/>
      <c r="N2302" s="23"/>
      <c r="O2302" s="23"/>
      <c r="P2302" s="23"/>
      <c r="Q2302" s="23"/>
      <c r="R2302" s="23"/>
      <c r="S2302" s="23"/>
      <c r="T2302" s="23"/>
      <c r="U2302" s="23"/>
    </row>
    <row r="2303">
      <c r="A2303" s="20"/>
      <c r="B2303" s="20"/>
      <c r="C2303" s="30"/>
      <c r="D2303" s="30"/>
      <c r="E2303" s="30"/>
      <c r="F2303" s="22"/>
      <c r="G2303" s="23"/>
      <c r="H2303" s="23"/>
      <c r="I2303" s="23"/>
      <c r="J2303" s="23"/>
      <c r="K2303" s="23"/>
      <c r="L2303" s="23"/>
      <c r="M2303" s="23"/>
      <c r="N2303" s="23"/>
      <c r="O2303" s="23"/>
      <c r="P2303" s="23"/>
      <c r="Q2303" s="23"/>
      <c r="R2303" s="23"/>
      <c r="S2303" s="23"/>
      <c r="T2303" s="23"/>
      <c r="U2303" s="23"/>
    </row>
    <row r="2304">
      <c r="A2304" s="20"/>
      <c r="B2304" s="20"/>
      <c r="C2304" s="30"/>
      <c r="D2304" s="30"/>
      <c r="E2304" s="30"/>
      <c r="F2304" s="22"/>
      <c r="G2304" s="23"/>
      <c r="H2304" s="23"/>
      <c r="I2304" s="23"/>
      <c r="J2304" s="23"/>
      <c r="K2304" s="23"/>
      <c r="L2304" s="23"/>
      <c r="M2304" s="23"/>
      <c r="N2304" s="23"/>
      <c r="O2304" s="23"/>
      <c r="P2304" s="23"/>
      <c r="Q2304" s="23"/>
      <c r="R2304" s="23"/>
      <c r="S2304" s="23"/>
      <c r="T2304" s="23"/>
      <c r="U2304" s="23"/>
    </row>
    <row r="2305">
      <c r="A2305" s="20"/>
      <c r="B2305" s="20"/>
      <c r="C2305" s="30"/>
      <c r="D2305" s="30"/>
      <c r="E2305" s="30"/>
      <c r="F2305" s="22"/>
      <c r="G2305" s="23"/>
      <c r="H2305" s="23"/>
      <c r="I2305" s="23"/>
      <c r="J2305" s="23"/>
      <c r="K2305" s="23"/>
      <c r="L2305" s="23"/>
      <c r="M2305" s="23"/>
      <c r="N2305" s="23"/>
      <c r="O2305" s="23"/>
      <c r="P2305" s="23"/>
      <c r="Q2305" s="23"/>
      <c r="R2305" s="23"/>
      <c r="S2305" s="23"/>
      <c r="T2305" s="23"/>
      <c r="U2305" s="23"/>
    </row>
    <row r="2306">
      <c r="A2306" s="20"/>
      <c r="B2306" s="20"/>
      <c r="C2306" s="30"/>
      <c r="D2306" s="30"/>
      <c r="E2306" s="30"/>
      <c r="F2306" s="22"/>
      <c r="G2306" s="23"/>
      <c r="H2306" s="23"/>
      <c r="I2306" s="23"/>
      <c r="J2306" s="23"/>
      <c r="K2306" s="23"/>
      <c r="L2306" s="23"/>
      <c r="M2306" s="23"/>
      <c r="N2306" s="23"/>
      <c r="O2306" s="23"/>
      <c r="P2306" s="23"/>
      <c r="Q2306" s="23"/>
      <c r="R2306" s="23"/>
      <c r="S2306" s="23"/>
      <c r="T2306" s="23"/>
      <c r="U2306" s="23"/>
    </row>
    <row r="2307">
      <c r="A2307" s="20"/>
      <c r="B2307" s="20"/>
      <c r="C2307" s="30"/>
      <c r="D2307" s="30"/>
      <c r="E2307" s="30"/>
      <c r="F2307" s="22"/>
      <c r="G2307" s="23"/>
      <c r="H2307" s="23"/>
      <c r="I2307" s="23"/>
      <c r="J2307" s="23"/>
      <c r="K2307" s="23"/>
      <c r="L2307" s="23"/>
      <c r="M2307" s="23"/>
      <c r="N2307" s="23"/>
      <c r="O2307" s="23"/>
      <c r="P2307" s="23"/>
      <c r="Q2307" s="23"/>
      <c r="R2307" s="23"/>
      <c r="S2307" s="23"/>
      <c r="T2307" s="23"/>
      <c r="U2307" s="23"/>
    </row>
    <row r="2308">
      <c r="A2308" s="20"/>
      <c r="B2308" s="20"/>
      <c r="C2308" s="30"/>
      <c r="D2308" s="30"/>
      <c r="E2308" s="30"/>
      <c r="F2308" s="22"/>
      <c r="G2308" s="23"/>
      <c r="H2308" s="23"/>
      <c r="I2308" s="23"/>
      <c r="J2308" s="23"/>
      <c r="K2308" s="23"/>
      <c r="L2308" s="23"/>
      <c r="M2308" s="23"/>
      <c r="N2308" s="23"/>
      <c r="O2308" s="23"/>
      <c r="P2308" s="23"/>
      <c r="Q2308" s="23"/>
      <c r="R2308" s="23"/>
      <c r="S2308" s="23"/>
      <c r="T2308" s="23"/>
      <c r="U2308" s="23"/>
    </row>
    <row r="2309">
      <c r="A2309" s="20"/>
      <c r="B2309" s="20"/>
      <c r="C2309" s="30"/>
      <c r="D2309" s="30"/>
      <c r="E2309" s="30"/>
      <c r="F2309" s="22"/>
      <c r="G2309" s="23"/>
      <c r="H2309" s="23"/>
      <c r="I2309" s="23"/>
      <c r="J2309" s="23"/>
      <c r="K2309" s="23"/>
      <c r="L2309" s="23"/>
      <c r="M2309" s="23"/>
      <c r="N2309" s="23"/>
      <c r="O2309" s="23"/>
      <c r="P2309" s="23"/>
      <c r="Q2309" s="23"/>
      <c r="R2309" s="23"/>
      <c r="S2309" s="23"/>
      <c r="T2309" s="23"/>
      <c r="U2309" s="23"/>
    </row>
    <row r="2310">
      <c r="A2310" s="20"/>
      <c r="B2310" s="20"/>
      <c r="C2310" s="30"/>
      <c r="D2310" s="30"/>
      <c r="E2310" s="30"/>
      <c r="F2310" s="22"/>
      <c r="G2310" s="23"/>
      <c r="H2310" s="23"/>
      <c r="I2310" s="23"/>
      <c r="J2310" s="23"/>
      <c r="K2310" s="23"/>
      <c r="L2310" s="23"/>
      <c r="M2310" s="23"/>
      <c r="N2310" s="23"/>
      <c r="O2310" s="23"/>
      <c r="P2310" s="23"/>
      <c r="Q2310" s="23"/>
      <c r="R2310" s="23"/>
      <c r="S2310" s="23"/>
      <c r="T2310" s="23"/>
      <c r="U2310" s="23"/>
    </row>
    <row r="2311">
      <c r="A2311" s="20"/>
      <c r="B2311" s="20"/>
      <c r="C2311" s="30"/>
      <c r="D2311" s="30"/>
      <c r="E2311" s="30"/>
      <c r="F2311" s="22"/>
      <c r="G2311" s="23"/>
      <c r="H2311" s="23"/>
      <c r="I2311" s="23"/>
      <c r="J2311" s="23"/>
      <c r="K2311" s="23"/>
      <c r="L2311" s="23"/>
      <c r="M2311" s="23"/>
      <c r="N2311" s="23"/>
      <c r="O2311" s="23"/>
      <c r="P2311" s="23"/>
      <c r="Q2311" s="23"/>
      <c r="R2311" s="23"/>
      <c r="S2311" s="23"/>
      <c r="T2311" s="23"/>
      <c r="U2311" s="23"/>
    </row>
    <row r="2312">
      <c r="A2312" s="20"/>
      <c r="B2312" s="20"/>
      <c r="C2312" s="30"/>
      <c r="D2312" s="30"/>
      <c r="E2312" s="30"/>
      <c r="F2312" s="22"/>
      <c r="G2312" s="23"/>
      <c r="H2312" s="23"/>
      <c r="I2312" s="23"/>
      <c r="J2312" s="23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</row>
    <row r="2313">
      <c r="A2313" s="20"/>
      <c r="B2313" s="20"/>
      <c r="C2313" s="30"/>
      <c r="D2313" s="30"/>
      <c r="E2313" s="30"/>
      <c r="F2313" s="22"/>
      <c r="G2313" s="23"/>
      <c r="H2313" s="23"/>
      <c r="I2313" s="23"/>
      <c r="J2313" s="23"/>
      <c r="K2313" s="23"/>
      <c r="L2313" s="23"/>
      <c r="M2313" s="23"/>
      <c r="N2313" s="23"/>
      <c r="O2313" s="23"/>
      <c r="P2313" s="23"/>
      <c r="Q2313" s="23"/>
      <c r="R2313" s="23"/>
      <c r="S2313" s="23"/>
      <c r="T2313" s="23"/>
      <c r="U2313" s="23"/>
    </row>
    <row r="2314">
      <c r="A2314" s="20"/>
      <c r="B2314" s="20"/>
      <c r="C2314" s="30"/>
      <c r="D2314" s="30"/>
      <c r="E2314" s="30"/>
      <c r="F2314" s="22"/>
      <c r="G2314" s="23"/>
      <c r="H2314" s="23"/>
      <c r="I2314" s="23"/>
      <c r="J2314" s="23"/>
      <c r="K2314" s="23"/>
      <c r="L2314" s="23"/>
      <c r="M2314" s="23"/>
      <c r="N2314" s="23"/>
      <c r="O2314" s="23"/>
      <c r="P2314" s="23"/>
      <c r="Q2314" s="23"/>
      <c r="R2314" s="23"/>
      <c r="S2314" s="23"/>
      <c r="T2314" s="23"/>
      <c r="U2314" s="23"/>
    </row>
    <row r="2315">
      <c r="A2315" s="20"/>
      <c r="B2315" s="20"/>
      <c r="C2315" s="30"/>
      <c r="D2315" s="30"/>
      <c r="E2315" s="30"/>
      <c r="F2315" s="22"/>
      <c r="G2315" s="23"/>
      <c r="H2315" s="23"/>
      <c r="I2315" s="23"/>
      <c r="J2315" s="23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</row>
    <row r="2316">
      <c r="A2316" s="20"/>
      <c r="B2316" s="20"/>
      <c r="C2316" s="30"/>
      <c r="D2316" s="30"/>
      <c r="E2316" s="30"/>
      <c r="F2316" s="22"/>
      <c r="G2316" s="23"/>
      <c r="H2316" s="23"/>
      <c r="I2316" s="23"/>
      <c r="J2316" s="23"/>
      <c r="K2316" s="23"/>
      <c r="L2316" s="23"/>
      <c r="M2316" s="23"/>
      <c r="N2316" s="23"/>
      <c r="O2316" s="23"/>
      <c r="P2316" s="23"/>
      <c r="Q2316" s="23"/>
      <c r="R2316" s="23"/>
      <c r="S2316" s="23"/>
      <c r="T2316" s="23"/>
      <c r="U2316" s="23"/>
    </row>
    <row r="2317">
      <c r="A2317" s="20"/>
      <c r="B2317" s="20"/>
      <c r="C2317" s="30"/>
      <c r="D2317" s="30"/>
      <c r="E2317" s="30"/>
      <c r="F2317" s="22"/>
      <c r="G2317" s="23"/>
      <c r="H2317" s="23"/>
      <c r="I2317" s="23"/>
      <c r="J2317" s="23"/>
      <c r="K2317" s="23"/>
      <c r="L2317" s="23"/>
      <c r="M2317" s="23"/>
      <c r="N2317" s="23"/>
      <c r="O2317" s="23"/>
      <c r="P2317" s="23"/>
      <c r="Q2317" s="23"/>
      <c r="R2317" s="23"/>
      <c r="S2317" s="23"/>
      <c r="T2317" s="23"/>
      <c r="U2317" s="23"/>
    </row>
    <row r="2318">
      <c r="A2318" s="20"/>
      <c r="B2318" s="20"/>
      <c r="C2318" s="30"/>
      <c r="D2318" s="30"/>
      <c r="E2318" s="30"/>
      <c r="F2318" s="22"/>
      <c r="G2318" s="23"/>
      <c r="H2318" s="23"/>
      <c r="I2318" s="23"/>
      <c r="J2318" s="23"/>
      <c r="K2318" s="23"/>
      <c r="L2318" s="23"/>
      <c r="M2318" s="23"/>
      <c r="N2318" s="23"/>
      <c r="O2318" s="23"/>
      <c r="P2318" s="23"/>
      <c r="Q2318" s="23"/>
      <c r="R2318" s="23"/>
      <c r="S2318" s="23"/>
      <c r="T2318" s="23"/>
      <c r="U2318" s="23"/>
    </row>
    <row r="2319">
      <c r="A2319" s="20"/>
      <c r="B2319" s="20"/>
      <c r="C2319" s="30"/>
      <c r="D2319" s="30"/>
      <c r="E2319" s="30"/>
      <c r="F2319" s="22"/>
      <c r="G2319" s="23"/>
      <c r="H2319" s="23"/>
      <c r="I2319" s="23"/>
      <c r="J2319" s="23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</row>
    <row r="2320">
      <c r="A2320" s="20"/>
      <c r="B2320" s="20"/>
      <c r="C2320" s="30"/>
      <c r="D2320" s="30"/>
      <c r="E2320" s="30"/>
      <c r="F2320" s="22"/>
      <c r="G2320" s="23"/>
      <c r="H2320" s="23"/>
      <c r="I2320" s="23"/>
      <c r="J2320" s="23"/>
      <c r="K2320" s="23"/>
      <c r="L2320" s="23"/>
      <c r="M2320" s="23"/>
      <c r="N2320" s="23"/>
      <c r="O2320" s="23"/>
      <c r="P2320" s="23"/>
      <c r="Q2320" s="23"/>
      <c r="R2320" s="23"/>
      <c r="S2320" s="23"/>
      <c r="T2320" s="23"/>
      <c r="U2320" s="23"/>
    </row>
    <row r="2321">
      <c r="A2321" s="20"/>
      <c r="B2321" s="20"/>
      <c r="C2321" s="30"/>
      <c r="D2321" s="30"/>
      <c r="E2321" s="30"/>
      <c r="F2321" s="22"/>
      <c r="G2321" s="23"/>
      <c r="H2321" s="23"/>
      <c r="I2321" s="23"/>
      <c r="J2321" s="23"/>
      <c r="K2321" s="23"/>
      <c r="L2321" s="23"/>
      <c r="M2321" s="23"/>
      <c r="N2321" s="23"/>
      <c r="O2321" s="23"/>
      <c r="P2321" s="23"/>
      <c r="Q2321" s="23"/>
      <c r="R2321" s="23"/>
      <c r="S2321" s="23"/>
      <c r="T2321" s="23"/>
      <c r="U2321" s="23"/>
    </row>
    <row r="2322">
      <c r="A2322" s="20"/>
      <c r="B2322" s="20"/>
      <c r="C2322" s="30"/>
      <c r="D2322" s="30"/>
      <c r="E2322" s="30"/>
      <c r="F2322" s="22"/>
      <c r="G2322" s="23"/>
      <c r="H2322" s="23"/>
      <c r="I2322" s="23"/>
      <c r="J2322" s="23"/>
      <c r="K2322" s="23"/>
      <c r="L2322" s="23"/>
      <c r="M2322" s="23"/>
      <c r="N2322" s="23"/>
      <c r="O2322" s="23"/>
      <c r="P2322" s="23"/>
      <c r="Q2322" s="23"/>
      <c r="R2322" s="23"/>
      <c r="S2322" s="23"/>
      <c r="T2322" s="23"/>
      <c r="U2322" s="23"/>
    </row>
    <row r="2323">
      <c r="A2323" s="20"/>
      <c r="B2323" s="20"/>
      <c r="C2323" s="30"/>
      <c r="D2323" s="30"/>
      <c r="E2323" s="30"/>
      <c r="F2323" s="22"/>
      <c r="G2323" s="23"/>
      <c r="H2323" s="23"/>
      <c r="I2323" s="23"/>
      <c r="J2323" s="23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</row>
    <row r="2324">
      <c r="A2324" s="20"/>
      <c r="B2324" s="20"/>
      <c r="C2324" s="30"/>
      <c r="D2324" s="30"/>
      <c r="E2324" s="30"/>
      <c r="F2324" s="22"/>
      <c r="G2324" s="23"/>
      <c r="H2324" s="23"/>
      <c r="I2324" s="23"/>
      <c r="J2324" s="23"/>
      <c r="K2324" s="23"/>
      <c r="L2324" s="23"/>
      <c r="M2324" s="23"/>
      <c r="N2324" s="23"/>
      <c r="O2324" s="23"/>
      <c r="P2324" s="23"/>
      <c r="Q2324" s="23"/>
      <c r="R2324" s="23"/>
      <c r="S2324" s="23"/>
      <c r="T2324" s="23"/>
      <c r="U2324" s="23"/>
    </row>
    <row r="2325">
      <c r="A2325" s="20"/>
      <c r="B2325" s="20"/>
      <c r="C2325" s="30"/>
      <c r="D2325" s="30"/>
      <c r="E2325" s="30"/>
      <c r="F2325" s="22"/>
      <c r="G2325" s="23"/>
      <c r="H2325" s="23"/>
      <c r="I2325" s="23"/>
      <c r="J2325" s="23"/>
      <c r="K2325" s="23"/>
      <c r="L2325" s="23"/>
      <c r="M2325" s="23"/>
      <c r="N2325" s="23"/>
      <c r="O2325" s="23"/>
      <c r="P2325" s="23"/>
      <c r="Q2325" s="23"/>
      <c r="R2325" s="23"/>
      <c r="S2325" s="23"/>
      <c r="T2325" s="23"/>
      <c r="U2325" s="23"/>
    </row>
    <row r="2326">
      <c r="A2326" s="20"/>
      <c r="B2326" s="20"/>
      <c r="C2326" s="30"/>
      <c r="D2326" s="30"/>
      <c r="E2326" s="30"/>
      <c r="F2326" s="22"/>
      <c r="G2326" s="23"/>
      <c r="H2326" s="23"/>
      <c r="I2326" s="23"/>
      <c r="J2326" s="23"/>
      <c r="K2326" s="23"/>
      <c r="L2326" s="23"/>
      <c r="M2326" s="23"/>
      <c r="N2326" s="23"/>
      <c r="O2326" s="23"/>
      <c r="P2326" s="23"/>
      <c r="Q2326" s="23"/>
      <c r="R2326" s="23"/>
      <c r="S2326" s="23"/>
      <c r="T2326" s="23"/>
      <c r="U2326" s="23"/>
    </row>
    <row r="2327">
      <c r="A2327" s="20"/>
      <c r="B2327" s="20"/>
      <c r="C2327" s="30"/>
      <c r="D2327" s="30"/>
      <c r="E2327" s="30"/>
      <c r="F2327" s="22"/>
      <c r="G2327" s="23"/>
      <c r="H2327" s="23"/>
      <c r="I2327" s="23"/>
      <c r="J2327" s="23"/>
      <c r="K2327" s="23"/>
      <c r="L2327" s="23"/>
      <c r="M2327" s="23"/>
      <c r="N2327" s="23"/>
      <c r="O2327" s="23"/>
      <c r="P2327" s="23"/>
      <c r="Q2327" s="23"/>
      <c r="R2327" s="23"/>
      <c r="S2327" s="23"/>
      <c r="T2327" s="23"/>
      <c r="U2327" s="23"/>
    </row>
    <row r="2328">
      <c r="A2328" s="20"/>
      <c r="B2328" s="20"/>
      <c r="C2328" s="30"/>
      <c r="D2328" s="30"/>
      <c r="E2328" s="30"/>
      <c r="F2328" s="22"/>
      <c r="G2328" s="23"/>
      <c r="H2328" s="23"/>
      <c r="I2328" s="23"/>
      <c r="J2328" s="23"/>
      <c r="K2328" s="23"/>
      <c r="L2328" s="23"/>
      <c r="M2328" s="23"/>
      <c r="N2328" s="23"/>
      <c r="O2328" s="23"/>
      <c r="P2328" s="23"/>
      <c r="Q2328" s="23"/>
      <c r="R2328" s="23"/>
      <c r="S2328" s="23"/>
      <c r="T2328" s="23"/>
      <c r="U2328" s="23"/>
    </row>
    <row r="2329">
      <c r="A2329" s="20"/>
      <c r="B2329" s="20"/>
      <c r="C2329" s="30"/>
      <c r="D2329" s="30"/>
      <c r="E2329" s="30"/>
      <c r="F2329" s="22"/>
      <c r="G2329" s="23"/>
      <c r="H2329" s="23"/>
      <c r="I2329" s="23"/>
      <c r="J2329" s="23"/>
      <c r="K2329" s="23"/>
      <c r="L2329" s="23"/>
      <c r="M2329" s="23"/>
      <c r="N2329" s="23"/>
      <c r="O2329" s="23"/>
      <c r="P2329" s="23"/>
      <c r="Q2329" s="23"/>
      <c r="R2329" s="23"/>
      <c r="S2329" s="23"/>
      <c r="T2329" s="23"/>
      <c r="U2329" s="23"/>
    </row>
    <row r="2330">
      <c r="A2330" s="20"/>
      <c r="B2330" s="20"/>
      <c r="C2330" s="30"/>
      <c r="D2330" s="30"/>
      <c r="E2330" s="30"/>
      <c r="F2330" s="22"/>
      <c r="G2330" s="23"/>
      <c r="H2330" s="23"/>
      <c r="I2330" s="23"/>
      <c r="J2330" s="23"/>
      <c r="K2330" s="23"/>
      <c r="L2330" s="23"/>
      <c r="M2330" s="23"/>
      <c r="N2330" s="23"/>
      <c r="O2330" s="23"/>
      <c r="P2330" s="23"/>
      <c r="Q2330" s="23"/>
      <c r="R2330" s="23"/>
      <c r="S2330" s="23"/>
      <c r="T2330" s="23"/>
      <c r="U2330" s="23"/>
    </row>
    <row r="2331">
      <c r="A2331" s="20"/>
      <c r="B2331" s="20"/>
      <c r="C2331" s="30"/>
      <c r="D2331" s="30"/>
      <c r="E2331" s="30"/>
      <c r="F2331" s="22"/>
      <c r="G2331" s="23"/>
      <c r="H2331" s="23"/>
      <c r="I2331" s="23"/>
      <c r="J2331" s="23"/>
      <c r="K2331" s="23"/>
      <c r="L2331" s="23"/>
      <c r="M2331" s="23"/>
      <c r="N2331" s="23"/>
      <c r="O2331" s="23"/>
      <c r="P2331" s="23"/>
      <c r="Q2331" s="23"/>
      <c r="R2331" s="23"/>
      <c r="S2331" s="23"/>
      <c r="T2331" s="23"/>
      <c r="U2331" s="23"/>
    </row>
    <row r="2332">
      <c r="A2332" s="20"/>
      <c r="B2332" s="20"/>
      <c r="C2332" s="30"/>
      <c r="D2332" s="30"/>
      <c r="E2332" s="30"/>
      <c r="F2332" s="22"/>
      <c r="G2332" s="23"/>
      <c r="H2332" s="23"/>
      <c r="I2332" s="23"/>
      <c r="J2332" s="23"/>
      <c r="K2332" s="23"/>
      <c r="L2332" s="23"/>
      <c r="M2332" s="23"/>
      <c r="N2332" s="23"/>
      <c r="O2332" s="23"/>
      <c r="P2332" s="23"/>
      <c r="Q2332" s="23"/>
      <c r="R2332" s="23"/>
      <c r="S2332" s="23"/>
      <c r="T2332" s="23"/>
      <c r="U2332" s="23"/>
    </row>
    <row r="2333">
      <c r="A2333" s="20"/>
      <c r="B2333" s="20"/>
      <c r="C2333" s="30"/>
      <c r="D2333" s="30"/>
      <c r="E2333" s="30"/>
      <c r="F2333" s="22"/>
      <c r="G2333" s="23"/>
      <c r="H2333" s="23"/>
      <c r="I2333" s="23"/>
      <c r="J2333" s="23"/>
      <c r="K2333" s="23"/>
      <c r="L2333" s="23"/>
      <c r="M2333" s="23"/>
      <c r="N2333" s="23"/>
      <c r="O2333" s="23"/>
      <c r="P2333" s="23"/>
      <c r="Q2333" s="23"/>
      <c r="R2333" s="23"/>
      <c r="S2333" s="23"/>
      <c r="T2333" s="23"/>
      <c r="U2333" s="23"/>
    </row>
    <row r="2334">
      <c r="A2334" s="20"/>
      <c r="B2334" s="20"/>
      <c r="C2334" s="30"/>
      <c r="D2334" s="30"/>
      <c r="E2334" s="30"/>
      <c r="F2334" s="22"/>
      <c r="G2334" s="23"/>
      <c r="H2334" s="23"/>
      <c r="I2334" s="23"/>
      <c r="J2334" s="23"/>
      <c r="K2334" s="23"/>
      <c r="L2334" s="23"/>
      <c r="M2334" s="23"/>
      <c r="N2334" s="23"/>
      <c r="O2334" s="23"/>
      <c r="P2334" s="23"/>
      <c r="Q2334" s="23"/>
      <c r="R2334" s="23"/>
      <c r="S2334" s="23"/>
      <c r="T2334" s="23"/>
      <c r="U2334" s="23"/>
    </row>
    <row r="2335">
      <c r="A2335" s="20"/>
      <c r="B2335" s="20"/>
      <c r="C2335" s="30"/>
      <c r="D2335" s="30"/>
      <c r="E2335" s="30"/>
      <c r="F2335" s="22"/>
      <c r="G2335" s="23"/>
      <c r="H2335" s="23"/>
      <c r="I2335" s="23"/>
      <c r="J2335" s="23"/>
      <c r="K2335" s="23"/>
      <c r="L2335" s="23"/>
      <c r="M2335" s="23"/>
      <c r="N2335" s="23"/>
      <c r="O2335" s="23"/>
      <c r="P2335" s="23"/>
      <c r="Q2335" s="23"/>
      <c r="R2335" s="23"/>
      <c r="S2335" s="23"/>
      <c r="T2335" s="23"/>
      <c r="U2335" s="23"/>
    </row>
    <row r="2336">
      <c r="A2336" s="20"/>
      <c r="B2336" s="20"/>
      <c r="C2336" s="30"/>
      <c r="D2336" s="30"/>
      <c r="E2336" s="30"/>
      <c r="F2336" s="22"/>
      <c r="G2336" s="23"/>
      <c r="H2336" s="23"/>
      <c r="I2336" s="23"/>
      <c r="J2336" s="23"/>
      <c r="K2336" s="23"/>
      <c r="L2336" s="23"/>
      <c r="M2336" s="23"/>
      <c r="N2336" s="23"/>
      <c r="O2336" s="23"/>
      <c r="P2336" s="23"/>
      <c r="Q2336" s="23"/>
      <c r="R2336" s="23"/>
      <c r="S2336" s="23"/>
      <c r="T2336" s="23"/>
      <c r="U2336" s="23"/>
    </row>
    <row r="2337">
      <c r="A2337" s="20"/>
      <c r="B2337" s="20"/>
      <c r="C2337" s="30"/>
      <c r="D2337" s="30"/>
      <c r="E2337" s="30"/>
      <c r="F2337" s="22"/>
      <c r="G2337" s="23"/>
      <c r="H2337" s="23"/>
      <c r="I2337" s="23"/>
      <c r="J2337" s="23"/>
      <c r="K2337" s="23"/>
      <c r="L2337" s="23"/>
      <c r="M2337" s="23"/>
      <c r="N2337" s="23"/>
      <c r="O2337" s="23"/>
      <c r="P2337" s="23"/>
      <c r="Q2337" s="23"/>
      <c r="R2337" s="23"/>
      <c r="S2337" s="23"/>
      <c r="T2337" s="23"/>
      <c r="U2337" s="23"/>
    </row>
    <row r="2338">
      <c r="A2338" s="20"/>
      <c r="B2338" s="20"/>
      <c r="C2338" s="30"/>
      <c r="D2338" s="30"/>
      <c r="E2338" s="30"/>
      <c r="F2338" s="22"/>
      <c r="G2338" s="23"/>
      <c r="H2338" s="23"/>
      <c r="I2338" s="23"/>
      <c r="J2338" s="23"/>
      <c r="K2338" s="23"/>
      <c r="L2338" s="23"/>
      <c r="M2338" s="23"/>
      <c r="N2338" s="23"/>
      <c r="O2338" s="23"/>
      <c r="P2338" s="23"/>
      <c r="Q2338" s="23"/>
      <c r="R2338" s="23"/>
      <c r="S2338" s="23"/>
      <c r="T2338" s="23"/>
      <c r="U2338" s="23"/>
    </row>
    <row r="2339">
      <c r="A2339" s="20"/>
      <c r="B2339" s="20"/>
      <c r="C2339" s="30"/>
      <c r="D2339" s="30"/>
      <c r="E2339" s="30"/>
      <c r="F2339" s="22"/>
      <c r="G2339" s="23"/>
      <c r="H2339" s="23"/>
      <c r="I2339" s="23"/>
      <c r="J2339" s="23"/>
      <c r="K2339" s="23"/>
      <c r="L2339" s="23"/>
      <c r="M2339" s="23"/>
      <c r="N2339" s="23"/>
      <c r="O2339" s="23"/>
      <c r="P2339" s="23"/>
      <c r="Q2339" s="23"/>
      <c r="R2339" s="23"/>
      <c r="S2339" s="23"/>
      <c r="T2339" s="23"/>
      <c r="U2339" s="23"/>
    </row>
    <row r="2340">
      <c r="A2340" s="20"/>
      <c r="B2340" s="20"/>
      <c r="C2340" s="30"/>
      <c r="D2340" s="30"/>
      <c r="E2340" s="30"/>
      <c r="F2340" s="22"/>
      <c r="G2340" s="23"/>
      <c r="H2340" s="23"/>
      <c r="I2340" s="23"/>
      <c r="J2340" s="23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</row>
    <row r="2341">
      <c r="A2341" s="20"/>
      <c r="B2341" s="20"/>
      <c r="C2341" s="30"/>
      <c r="D2341" s="30"/>
      <c r="E2341" s="30"/>
      <c r="F2341" s="22"/>
      <c r="G2341" s="23"/>
      <c r="H2341" s="23"/>
      <c r="I2341" s="23"/>
      <c r="J2341" s="23"/>
      <c r="K2341" s="23"/>
      <c r="L2341" s="23"/>
      <c r="M2341" s="23"/>
      <c r="N2341" s="23"/>
      <c r="O2341" s="23"/>
      <c r="P2341" s="23"/>
      <c r="Q2341" s="23"/>
      <c r="R2341" s="23"/>
      <c r="S2341" s="23"/>
      <c r="T2341" s="23"/>
      <c r="U2341" s="23"/>
    </row>
    <row r="2342">
      <c r="A2342" s="20"/>
      <c r="B2342" s="20"/>
      <c r="C2342" s="30"/>
      <c r="D2342" s="30"/>
      <c r="E2342" s="30"/>
      <c r="F2342" s="22"/>
      <c r="G2342" s="23"/>
      <c r="H2342" s="23"/>
      <c r="I2342" s="23"/>
      <c r="J2342" s="23"/>
      <c r="K2342" s="23"/>
      <c r="L2342" s="23"/>
      <c r="M2342" s="23"/>
      <c r="N2342" s="23"/>
      <c r="O2342" s="23"/>
      <c r="P2342" s="23"/>
      <c r="Q2342" s="23"/>
      <c r="R2342" s="23"/>
      <c r="S2342" s="23"/>
      <c r="T2342" s="23"/>
      <c r="U2342" s="23"/>
    </row>
    <row r="2343">
      <c r="A2343" s="20"/>
      <c r="B2343" s="20"/>
      <c r="C2343" s="30"/>
      <c r="D2343" s="30"/>
      <c r="E2343" s="30"/>
      <c r="F2343" s="22"/>
      <c r="G2343" s="23"/>
      <c r="H2343" s="23"/>
      <c r="I2343" s="23"/>
      <c r="J2343" s="23"/>
      <c r="K2343" s="23"/>
      <c r="L2343" s="23"/>
      <c r="M2343" s="23"/>
      <c r="N2343" s="23"/>
      <c r="O2343" s="23"/>
      <c r="P2343" s="23"/>
      <c r="Q2343" s="23"/>
      <c r="R2343" s="23"/>
      <c r="S2343" s="23"/>
      <c r="T2343" s="23"/>
      <c r="U2343" s="23"/>
    </row>
    <row r="2344">
      <c r="A2344" s="20"/>
      <c r="B2344" s="20"/>
      <c r="C2344" s="30"/>
      <c r="D2344" s="30"/>
      <c r="E2344" s="30"/>
      <c r="F2344" s="22"/>
      <c r="G2344" s="23"/>
      <c r="H2344" s="23"/>
      <c r="I2344" s="23"/>
      <c r="J2344" s="23"/>
      <c r="K2344" s="23"/>
      <c r="L2344" s="23"/>
      <c r="M2344" s="23"/>
      <c r="N2344" s="23"/>
      <c r="O2344" s="23"/>
      <c r="P2344" s="23"/>
      <c r="Q2344" s="23"/>
      <c r="R2344" s="23"/>
      <c r="S2344" s="23"/>
      <c r="T2344" s="23"/>
      <c r="U2344" s="23"/>
    </row>
    <row r="2345">
      <c r="A2345" s="20"/>
      <c r="B2345" s="20"/>
      <c r="C2345" s="30"/>
      <c r="D2345" s="30"/>
      <c r="E2345" s="30"/>
      <c r="F2345" s="22"/>
      <c r="G2345" s="23"/>
      <c r="H2345" s="23"/>
      <c r="I2345" s="23"/>
      <c r="J2345" s="23"/>
      <c r="K2345" s="23"/>
      <c r="L2345" s="23"/>
      <c r="M2345" s="23"/>
      <c r="N2345" s="23"/>
      <c r="O2345" s="23"/>
      <c r="P2345" s="23"/>
      <c r="Q2345" s="23"/>
      <c r="R2345" s="23"/>
      <c r="S2345" s="23"/>
      <c r="T2345" s="23"/>
      <c r="U2345" s="23"/>
    </row>
    <row r="2346">
      <c r="A2346" s="20"/>
      <c r="B2346" s="20"/>
      <c r="C2346" s="30"/>
      <c r="D2346" s="30"/>
      <c r="E2346" s="30"/>
      <c r="F2346" s="22"/>
      <c r="G2346" s="23"/>
      <c r="H2346" s="23"/>
      <c r="I2346" s="23"/>
      <c r="J2346" s="23"/>
      <c r="K2346" s="23"/>
      <c r="L2346" s="23"/>
      <c r="M2346" s="23"/>
      <c r="N2346" s="23"/>
      <c r="O2346" s="23"/>
      <c r="P2346" s="23"/>
      <c r="Q2346" s="23"/>
      <c r="R2346" s="23"/>
      <c r="S2346" s="23"/>
      <c r="T2346" s="23"/>
      <c r="U2346" s="23"/>
    </row>
    <row r="2347">
      <c r="A2347" s="20"/>
      <c r="B2347" s="20"/>
      <c r="C2347" s="30"/>
      <c r="D2347" s="30"/>
      <c r="E2347" s="30"/>
      <c r="F2347" s="22"/>
      <c r="G2347" s="23"/>
      <c r="H2347" s="23"/>
      <c r="I2347" s="23"/>
      <c r="J2347" s="23"/>
      <c r="K2347" s="23"/>
      <c r="L2347" s="23"/>
      <c r="M2347" s="23"/>
      <c r="N2347" s="23"/>
      <c r="O2347" s="23"/>
      <c r="P2347" s="23"/>
      <c r="Q2347" s="23"/>
      <c r="R2347" s="23"/>
      <c r="S2347" s="23"/>
      <c r="T2347" s="23"/>
      <c r="U2347" s="23"/>
    </row>
    <row r="2348">
      <c r="A2348" s="20"/>
      <c r="B2348" s="20"/>
      <c r="C2348" s="30"/>
      <c r="D2348" s="30"/>
      <c r="E2348" s="30"/>
      <c r="F2348" s="22"/>
      <c r="G2348" s="23"/>
      <c r="H2348" s="23"/>
      <c r="I2348" s="23"/>
      <c r="J2348" s="23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</row>
    <row r="2349">
      <c r="A2349" s="20"/>
      <c r="B2349" s="20"/>
      <c r="C2349" s="30"/>
      <c r="D2349" s="30"/>
      <c r="E2349" s="30"/>
      <c r="F2349" s="22"/>
      <c r="G2349" s="23"/>
      <c r="H2349" s="23"/>
      <c r="I2349" s="23"/>
      <c r="J2349" s="23"/>
      <c r="K2349" s="23"/>
      <c r="L2349" s="23"/>
      <c r="M2349" s="23"/>
      <c r="N2349" s="23"/>
      <c r="O2349" s="23"/>
      <c r="P2349" s="23"/>
      <c r="Q2349" s="23"/>
      <c r="R2349" s="23"/>
      <c r="S2349" s="23"/>
      <c r="T2349" s="23"/>
      <c r="U2349" s="23"/>
    </row>
    <row r="2350">
      <c r="A2350" s="20"/>
      <c r="B2350" s="20"/>
      <c r="C2350" s="30"/>
      <c r="D2350" s="30"/>
      <c r="E2350" s="30"/>
      <c r="F2350" s="22"/>
      <c r="G2350" s="23"/>
      <c r="H2350" s="23"/>
      <c r="I2350" s="23"/>
      <c r="J2350" s="23"/>
      <c r="K2350" s="23"/>
      <c r="L2350" s="23"/>
      <c r="M2350" s="23"/>
      <c r="N2350" s="23"/>
      <c r="O2350" s="23"/>
      <c r="P2350" s="23"/>
      <c r="Q2350" s="23"/>
      <c r="R2350" s="23"/>
      <c r="S2350" s="23"/>
      <c r="T2350" s="23"/>
      <c r="U2350" s="23"/>
    </row>
    <row r="2351">
      <c r="A2351" s="20"/>
      <c r="B2351" s="20"/>
      <c r="C2351" s="30"/>
      <c r="D2351" s="30"/>
      <c r="E2351" s="30"/>
      <c r="F2351" s="22"/>
      <c r="G2351" s="23"/>
      <c r="H2351" s="23"/>
      <c r="I2351" s="23"/>
      <c r="J2351" s="23"/>
      <c r="K2351" s="23"/>
      <c r="L2351" s="23"/>
      <c r="M2351" s="23"/>
      <c r="N2351" s="23"/>
      <c r="O2351" s="23"/>
      <c r="P2351" s="23"/>
      <c r="Q2351" s="23"/>
      <c r="R2351" s="23"/>
      <c r="S2351" s="23"/>
      <c r="T2351" s="23"/>
      <c r="U2351" s="23"/>
    </row>
    <row r="2352">
      <c r="A2352" s="20"/>
      <c r="B2352" s="20"/>
      <c r="C2352" s="30"/>
      <c r="D2352" s="30"/>
      <c r="E2352" s="30"/>
      <c r="F2352" s="22"/>
      <c r="G2352" s="23"/>
      <c r="H2352" s="23"/>
      <c r="I2352" s="23"/>
      <c r="J2352" s="23"/>
      <c r="K2352" s="23"/>
      <c r="L2352" s="23"/>
      <c r="M2352" s="23"/>
      <c r="N2352" s="23"/>
      <c r="O2352" s="23"/>
      <c r="P2352" s="23"/>
      <c r="Q2352" s="23"/>
      <c r="R2352" s="23"/>
      <c r="S2352" s="23"/>
      <c r="T2352" s="23"/>
      <c r="U2352" s="23"/>
    </row>
    <row r="2353">
      <c r="A2353" s="20"/>
      <c r="B2353" s="20"/>
      <c r="C2353" s="30"/>
      <c r="D2353" s="30"/>
      <c r="E2353" s="30"/>
      <c r="F2353" s="22"/>
      <c r="G2353" s="23"/>
      <c r="H2353" s="23"/>
      <c r="I2353" s="23"/>
      <c r="J2353" s="23"/>
      <c r="K2353" s="23"/>
      <c r="L2353" s="23"/>
      <c r="M2353" s="23"/>
      <c r="N2353" s="23"/>
      <c r="O2353" s="23"/>
      <c r="P2353" s="23"/>
      <c r="Q2353" s="23"/>
      <c r="R2353" s="23"/>
      <c r="S2353" s="23"/>
      <c r="T2353" s="23"/>
      <c r="U2353" s="23"/>
    </row>
    <row r="2354">
      <c r="A2354" s="20"/>
      <c r="B2354" s="20"/>
      <c r="C2354" s="30"/>
      <c r="D2354" s="30"/>
      <c r="E2354" s="30"/>
      <c r="F2354" s="22"/>
      <c r="G2354" s="23"/>
      <c r="H2354" s="23"/>
      <c r="I2354" s="23"/>
      <c r="J2354" s="23"/>
      <c r="K2354" s="23"/>
      <c r="L2354" s="23"/>
      <c r="M2354" s="23"/>
      <c r="N2354" s="23"/>
      <c r="O2354" s="23"/>
      <c r="P2354" s="23"/>
      <c r="Q2354" s="23"/>
      <c r="R2354" s="23"/>
      <c r="S2354" s="23"/>
      <c r="T2354" s="23"/>
      <c r="U2354" s="23"/>
    </row>
    <row r="2355">
      <c r="A2355" s="20"/>
      <c r="B2355" s="20"/>
      <c r="C2355" s="30"/>
      <c r="D2355" s="30"/>
      <c r="E2355" s="30"/>
      <c r="F2355" s="22"/>
      <c r="G2355" s="23"/>
      <c r="H2355" s="23"/>
      <c r="I2355" s="23"/>
      <c r="J2355" s="23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</row>
    <row r="2356">
      <c r="A2356" s="20"/>
      <c r="B2356" s="20"/>
      <c r="C2356" s="30"/>
      <c r="D2356" s="30"/>
      <c r="E2356" s="30"/>
      <c r="F2356" s="22"/>
      <c r="G2356" s="23"/>
      <c r="H2356" s="23"/>
      <c r="I2356" s="23"/>
      <c r="J2356" s="23"/>
      <c r="K2356" s="23"/>
      <c r="L2356" s="23"/>
      <c r="M2356" s="23"/>
      <c r="N2356" s="23"/>
      <c r="O2356" s="23"/>
      <c r="P2356" s="23"/>
      <c r="Q2356" s="23"/>
      <c r="R2356" s="23"/>
      <c r="S2356" s="23"/>
      <c r="T2356" s="23"/>
      <c r="U2356" s="23"/>
    </row>
    <row r="2357">
      <c r="A2357" s="20"/>
      <c r="B2357" s="20"/>
      <c r="C2357" s="30"/>
      <c r="D2357" s="30"/>
      <c r="E2357" s="30"/>
      <c r="F2357" s="22"/>
      <c r="G2357" s="23"/>
      <c r="H2357" s="23"/>
      <c r="I2357" s="23"/>
      <c r="J2357" s="23"/>
      <c r="K2357" s="23"/>
      <c r="L2357" s="23"/>
      <c r="M2357" s="23"/>
      <c r="N2357" s="23"/>
      <c r="O2357" s="23"/>
      <c r="P2357" s="23"/>
      <c r="Q2357" s="23"/>
      <c r="R2357" s="23"/>
      <c r="S2357" s="23"/>
      <c r="T2357" s="23"/>
      <c r="U2357" s="23"/>
    </row>
    <row r="2358">
      <c r="A2358" s="20"/>
      <c r="B2358" s="20"/>
      <c r="C2358" s="30"/>
      <c r="D2358" s="30"/>
      <c r="E2358" s="30"/>
      <c r="F2358" s="22"/>
      <c r="G2358" s="23"/>
      <c r="H2358" s="23"/>
      <c r="I2358" s="23"/>
      <c r="J2358" s="23"/>
      <c r="K2358" s="23"/>
      <c r="L2358" s="23"/>
      <c r="M2358" s="23"/>
      <c r="N2358" s="23"/>
      <c r="O2358" s="23"/>
      <c r="P2358" s="23"/>
      <c r="Q2358" s="23"/>
      <c r="R2358" s="23"/>
      <c r="S2358" s="23"/>
      <c r="T2358" s="23"/>
      <c r="U2358" s="23"/>
    </row>
    <row r="2359">
      <c r="A2359" s="20"/>
      <c r="B2359" s="20"/>
      <c r="C2359" s="30"/>
      <c r="D2359" s="30"/>
      <c r="E2359" s="30"/>
      <c r="F2359" s="22"/>
      <c r="G2359" s="23"/>
      <c r="H2359" s="23"/>
      <c r="I2359" s="23"/>
      <c r="J2359" s="23"/>
      <c r="K2359" s="23"/>
      <c r="L2359" s="23"/>
      <c r="M2359" s="23"/>
      <c r="N2359" s="23"/>
      <c r="O2359" s="23"/>
      <c r="P2359" s="23"/>
      <c r="Q2359" s="23"/>
      <c r="R2359" s="23"/>
      <c r="S2359" s="23"/>
      <c r="T2359" s="23"/>
      <c r="U2359" s="23"/>
    </row>
    <row r="2360">
      <c r="A2360" s="20"/>
      <c r="B2360" s="20"/>
      <c r="C2360" s="30"/>
      <c r="D2360" s="30"/>
      <c r="E2360" s="30"/>
      <c r="F2360" s="22"/>
      <c r="G2360" s="23"/>
      <c r="H2360" s="23"/>
      <c r="I2360" s="23"/>
      <c r="J2360" s="23"/>
      <c r="K2360" s="23"/>
      <c r="L2360" s="23"/>
      <c r="M2360" s="23"/>
      <c r="N2360" s="23"/>
      <c r="O2360" s="23"/>
      <c r="P2360" s="23"/>
      <c r="Q2360" s="23"/>
      <c r="R2360" s="23"/>
      <c r="S2360" s="23"/>
      <c r="T2360" s="23"/>
      <c r="U2360" s="23"/>
    </row>
    <row r="2361">
      <c r="A2361" s="20"/>
      <c r="B2361" s="20"/>
      <c r="C2361" s="30"/>
      <c r="D2361" s="30"/>
      <c r="E2361" s="30"/>
      <c r="F2361" s="22"/>
      <c r="G2361" s="23"/>
      <c r="H2361" s="23"/>
      <c r="I2361" s="23"/>
      <c r="J2361" s="23"/>
      <c r="K2361" s="23"/>
      <c r="L2361" s="23"/>
      <c r="M2361" s="23"/>
      <c r="N2361" s="23"/>
      <c r="O2361" s="23"/>
      <c r="P2361" s="23"/>
      <c r="Q2361" s="23"/>
      <c r="R2361" s="23"/>
      <c r="S2361" s="23"/>
      <c r="T2361" s="23"/>
      <c r="U2361" s="23"/>
    </row>
    <row r="2362">
      <c r="A2362" s="20"/>
      <c r="B2362" s="20"/>
      <c r="C2362" s="30"/>
      <c r="D2362" s="30"/>
      <c r="E2362" s="30"/>
      <c r="F2362" s="22"/>
      <c r="G2362" s="23"/>
      <c r="H2362" s="23"/>
      <c r="I2362" s="23"/>
      <c r="J2362" s="23"/>
      <c r="K2362" s="23"/>
      <c r="L2362" s="23"/>
      <c r="M2362" s="23"/>
      <c r="N2362" s="23"/>
      <c r="O2362" s="23"/>
      <c r="P2362" s="23"/>
      <c r="Q2362" s="23"/>
      <c r="R2362" s="23"/>
      <c r="S2362" s="23"/>
      <c r="T2362" s="23"/>
      <c r="U2362" s="23"/>
    </row>
    <row r="2363">
      <c r="A2363" s="20"/>
      <c r="B2363" s="20"/>
      <c r="C2363" s="30"/>
      <c r="D2363" s="30"/>
      <c r="E2363" s="30"/>
      <c r="F2363" s="22"/>
      <c r="G2363" s="23"/>
      <c r="H2363" s="23"/>
      <c r="I2363" s="23"/>
      <c r="J2363" s="23"/>
      <c r="K2363" s="23"/>
      <c r="L2363" s="23"/>
      <c r="M2363" s="23"/>
      <c r="N2363" s="23"/>
      <c r="O2363" s="23"/>
      <c r="P2363" s="23"/>
      <c r="Q2363" s="23"/>
      <c r="R2363" s="23"/>
      <c r="S2363" s="23"/>
      <c r="T2363" s="23"/>
      <c r="U2363" s="23"/>
    </row>
    <row r="2364">
      <c r="A2364" s="20"/>
      <c r="B2364" s="20"/>
      <c r="C2364" s="30"/>
      <c r="D2364" s="30"/>
      <c r="E2364" s="30"/>
      <c r="F2364" s="22"/>
      <c r="G2364" s="23"/>
      <c r="H2364" s="23"/>
      <c r="I2364" s="23"/>
      <c r="J2364" s="23"/>
      <c r="K2364" s="23"/>
      <c r="L2364" s="23"/>
      <c r="M2364" s="23"/>
      <c r="N2364" s="23"/>
      <c r="O2364" s="23"/>
      <c r="P2364" s="23"/>
      <c r="Q2364" s="23"/>
      <c r="R2364" s="23"/>
      <c r="S2364" s="23"/>
      <c r="T2364" s="23"/>
      <c r="U2364" s="23"/>
    </row>
    <row r="2365">
      <c r="A2365" s="20"/>
      <c r="B2365" s="20"/>
      <c r="C2365" s="30"/>
      <c r="D2365" s="30"/>
      <c r="E2365" s="30"/>
      <c r="F2365" s="22"/>
      <c r="G2365" s="23"/>
      <c r="H2365" s="23"/>
      <c r="I2365" s="23"/>
      <c r="J2365" s="23"/>
      <c r="K2365" s="23"/>
      <c r="L2365" s="23"/>
      <c r="M2365" s="23"/>
      <c r="N2365" s="23"/>
      <c r="O2365" s="23"/>
      <c r="P2365" s="23"/>
      <c r="Q2365" s="23"/>
      <c r="R2365" s="23"/>
      <c r="S2365" s="23"/>
      <c r="T2365" s="23"/>
      <c r="U2365" s="23"/>
    </row>
    <row r="2366">
      <c r="A2366" s="20"/>
      <c r="B2366" s="20"/>
      <c r="C2366" s="30"/>
      <c r="D2366" s="30"/>
      <c r="E2366" s="30"/>
      <c r="F2366" s="22"/>
      <c r="G2366" s="23"/>
      <c r="H2366" s="23"/>
      <c r="I2366" s="23"/>
      <c r="J2366" s="23"/>
      <c r="K2366" s="23"/>
      <c r="L2366" s="23"/>
      <c r="M2366" s="23"/>
      <c r="N2366" s="23"/>
      <c r="O2366" s="23"/>
      <c r="P2366" s="23"/>
      <c r="Q2366" s="23"/>
      <c r="R2366" s="23"/>
      <c r="S2366" s="23"/>
      <c r="T2366" s="23"/>
      <c r="U2366" s="23"/>
    </row>
    <row r="2367">
      <c r="A2367" s="20"/>
      <c r="B2367" s="20"/>
      <c r="C2367" s="30"/>
      <c r="D2367" s="30"/>
      <c r="E2367" s="30"/>
      <c r="F2367" s="22"/>
      <c r="G2367" s="23"/>
      <c r="H2367" s="23"/>
      <c r="I2367" s="23"/>
      <c r="J2367" s="23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</row>
    <row r="2368">
      <c r="A2368" s="20"/>
      <c r="B2368" s="20"/>
      <c r="C2368" s="30"/>
      <c r="D2368" s="30"/>
      <c r="E2368" s="30"/>
      <c r="F2368" s="22"/>
      <c r="G2368" s="23"/>
      <c r="H2368" s="23"/>
      <c r="I2368" s="23"/>
      <c r="J2368" s="23"/>
      <c r="K2368" s="23"/>
      <c r="L2368" s="23"/>
      <c r="M2368" s="23"/>
      <c r="N2368" s="23"/>
      <c r="O2368" s="23"/>
      <c r="P2368" s="23"/>
      <c r="Q2368" s="23"/>
      <c r="R2368" s="23"/>
      <c r="S2368" s="23"/>
      <c r="T2368" s="23"/>
      <c r="U2368" s="23"/>
    </row>
    <row r="2369">
      <c r="A2369" s="20"/>
      <c r="B2369" s="20"/>
      <c r="C2369" s="30"/>
      <c r="D2369" s="30"/>
      <c r="E2369" s="30"/>
      <c r="F2369" s="22"/>
      <c r="G2369" s="23"/>
      <c r="H2369" s="23"/>
      <c r="I2369" s="23"/>
      <c r="J2369" s="23"/>
      <c r="K2369" s="23"/>
      <c r="L2369" s="23"/>
      <c r="M2369" s="23"/>
      <c r="N2369" s="23"/>
      <c r="O2369" s="23"/>
      <c r="P2369" s="23"/>
      <c r="Q2369" s="23"/>
      <c r="R2369" s="23"/>
      <c r="S2369" s="23"/>
      <c r="T2369" s="23"/>
      <c r="U2369" s="23"/>
    </row>
    <row r="2370">
      <c r="A2370" s="20"/>
      <c r="B2370" s="20"/>
      <c r="C2370" s="30"/>
      <c r="D2370" s="30"/>
      <c r="E2370" s="30"/>
      <c r="F2370" s="22"/>
      <c r="G2370" s="23"/>
      <c r="H2370" s="23"/>
      <c r="I2370" s="23"/>
      <c r="J2370" s="23"/>
      <c r="K2370" s="23"/>
      <c r="L2370" s="23"/>
      <c r="M2370" s="23"/>
      <c r="N2370" s="23"/>
      <c r="O2370" s="23"/>
      <c r="P2370" s="23"/>
      <c r="Q2370" s="23"/>
      <c r="R2370" s="23"/>
      <c r="S2370" s="23"/>
      <c r="T2370" s="23"/>
      <c r="U2370" s="23"/>
    </row>
    <row r="2371">
      <c r="A2371" s="20"/>
      <c r="B2371" s="20"/>
      <c r="C2371" s="30"/>
      <c r="D2371" s="30"/>
      <c r="E2371" s="30"/>
      <c r="F2371" s="22"/>
      <c r="G2371" s="23"/>
      <c r="H2371" s="23"/>
      <c r="I2371" s="23"/>
      <c r="J2371" s="23"/>
      <c r="K2371" s="23"/>
      <c r="L2371" s="23"/>
      <c r="M2371" s="23"/>
      <c r="N2371" s="23"/>
      <c r="O2371" s="23"/>
      <c r="P2371" s="23"/>
      <c r="Q2371" s="23"/>
      <c r="R2371" s="23"/>
      <c r="S2371" s="23"/>
      <c r="T2371" s="23"/>
      <c r="U2371" s="23"/>
    </row>
    <row r="2372">
      <c r="A2372" s="20"/>
      <c r="B2372" s="20"/>
      <c r="C2372" s="30"/>
      <c r="D2372" s="30"/>
      <c r="E2372" s="30"/>
      <c r="F2372" s="22"/>
      <c r="G2372" s="23"/>
      <c r="H2372" s="23"/>
      <c r="I2372" s="23"/>
      <c r="J2372" s="23"/>
      <c r="K2372" s="23"/>
      <c r="L2372" s="23"/>
      <c r="M2372" s="23"/>
      <c r="N2372" s="23"/>
      <c r="O2372" s="23"/>
      <c r="P2372" s="23"/>
      <c r="Q2372" s="23"/>
      <c r="R2372" s="23"/>
      <c r="S2372" s="23"/>
      <c r="T2372" s="23"/>
      <c r="U2372" s="23"/>
    </row>
    <row r="2373">
      <c r="A2373" s="20"/>
      <c r="B2373" s="20"/>
      <c r="C2373" s="30"/>
      <c r="D2373" s="30"/>
      <c r="E2373" s="30"/>
      <c r="F2373" s="22"/>
      <c r="G2373" s="23"/>
      <c r="H2373" s="23"/>
      <c r="I2373" s="23"/>
      <c r="J2373" s="23"/>
      <c r="K2373" s="23"/>
      <c r="L2373" s="23"/>
      <c r="M2373" s="23"/>
      <c r="N2373" s="23"/>
      <c r="O2373" s="23"/>
      <c r="P2373" s="23"/>
      <c r="Q2373" s="23"/>
      <c r="R2373" s="23"/>
      <c r="S2373" s="23"/>
      <c r="T2373" s="23"/>
      <c r="U2373" s="23"/>
    </row>
    <row r="2374">
      <c r="A2374" s="20"/>
      <c r="B2374" s="20"/>
      <c r="C2374" s="30"/>
      <c r="D2374" s="30"/>
      <c r="E2374" s="30"/>
      <c r="F2374" s="22"/>
      <c r="G2374" s="23"/>
      <c r="H2374" s="23"/>
      <c r="I2374" s="23"/>
      <c r="J2374" s="23"/>
      <c r="K2374" s="23"/>
      <c r="L2374" s="23"/>
      <c r="M2374" s="23"/>
      <c r="N2374" s="23"/>
      <c r="O2374" s="23"/>
      <c r="P2374" s="23"/>
      <c r="Q2374" s="23"/>
      <c r="R2374" s="23"/>
      <c r="S2374" s="23"/>
      <c r="T2374" s="23"/>
      <c r="U2374" s="23"/>
    </row>
    <row r="2375">
      <c r="A2375" s="20"/>
      <c r="B2375" s="20"/>
      <c r="C2375" s="30"/>
      <c r="D2375" s="30"/>
      <c r="E2375" s="30"/>
      <c r="F2375" s="22"/>
      <c r="G2375" s="23"/>
      <c r="H2375" s="23"/>
      <c r="I2375" s="23"/>
      <c r="J2375" s="23"/>
      <c r="K2375" s="23"/>
      <c r="L2375" s="23"/>
      <c r="M2375" s="23"/>
      <c r="N2375" s="23"/>
      <c r="O2375" s="23"/>
      <c r="P2375" s="23"/>
      <c r="Q2375" s="23"/>
      <c r="R2375" s="23"/>
      <c r="S2375" s="23"/>
      <c r="T2375" s="23"/>
      <c r="U2375" s="23"/>
    </row>
    <row r="2376">
      <c r="A2376" s="20"/>
      <c r="B2376" s="20"/>
      <c r="C2376" s="30"/>
      <c r="D2376" s="30"/>
      <c r="E2376" s="30"/>
      <c r="F2376" s="22"/>
      <c r="G2376" s="23"/>
      <c r="H2376" s="23"/>
      <c r="I2376" s="23"/>
      <c r="J2376" s="23"/>
      <c r="K2376" s="23"/>
      <c r="L2376" s="23"/>
      <c r="M2376" s="23"/>
      <c r="N2376" s="23"/>
      <c r="O2376" s="23"/>
      <c r="P2376" s="23"/>
      <c r="Q2376" s="23"/>
      <c r="R2376" s="23"/>
      <c r="S2376" s="23"/>
      <c r="T2376" s="23"/>
      <c r="U2376" s="23"/>
    </row>
    <row r="2377">
      <c r="A2377" s="20"/>
      <c r="B2377" s="20"/>
      <c r="C2377" s="30"/>
      <c r="D2377" s="30"/>
      <c r="E2377" s="30"/>
      <c r="F2377" s="22"/>
      <c r="G2377" s="23"/>
      <c r="H2377" s="23"/>
      <c r="I2377" s="23"/>
      <c r="J2377" s="23"/>
      <c r="K2377" s="23"/>
      <c r="L2377" s="23"/>
      <c r="M2377" s="23"/>
      <c r="N2377" s="23"/>
      <c r="O2377" s="23"/>
      <c r="P2377" s="23"/>
      <c r="Q2377" s="23"/>
      <c r="R2377" s="23"/>
      <c r="S2377" s="23"/>
      <c r="T2377" s="23"/>
      <c r="U2377" s="23"/>
    </row>
    <row r="2378">
      <c r="A2378" s="20"/>
      <c r="B2378" s="20"/>
      <c r="C2378" s="30"/>
      <c r="D2378" s="30"/>
      <c r="E2378" s="30"/>
      <c r="F2378" s="22"/>
      <c r="G2378" s="23"/>
      <c r="H2378" s="23"/>
      <c r="I2378" s="23"/>
      <c r="J2378" s="23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</row>
    <row r="2379">
      <c r="A2379" s="20"/>
      <c r="B2379" s="20"/>
      <c r="C2379" s="30"/>
      <c r="D2379" s="30"/>
      <c r="E2379" s="30"/>
      <c r="F2379" s="22"/>
      <c r="G2379" s="23"/>
      <c r="H2379" s="23"/>
      <c r="I2379" s="23"/>
      <c r="J2379" s="23"/>
      <c r="K2379" s="23"/>
      <c r="L2379" s="23"/>
      <c r="M2379" s="23"/>
      <c r="N2379" s="23"/>
      <c r="O2379" s="23"/>
      <c r="P2379" s="23"/>
      <c r="Q2379" s="23"/>
      <c r="R2379" s="23"/>
      <c r="S2379" s="23"/>
      <c r="T2379" s="23"/>
      <c r="U2379" s="23"/>
    </row>
    <row r="2380">
      <c r="A2380" s="20"/>
      <c r="B2380" s="20"/>
      <c r="C2380" s="30"/>
      <c r="D2380" s="30"/>
      <c r="E2380" s="30"/>
      <c r="F2380" s="22"/>
      <c r="G2380" s="23"/>
      <c r="H2380" s="23"/>
      <c r="I2380" s="23"/>
      <c r="J2380" s="23"/>
      <c r="K2380" s="23"/>
      <c r="L2380" s="23"/>
      <c r="M2380" s="23"/>
      <c r="N2380" s="23"/>
      <c r="O2380" s="23"/>
      <c r="P2380" s="23"/>
      <c r="Q2380" s="23"/>
      <c r="R2380" s="23"/>
      <c r="S2380" s="23"/>
      <c r="T2380" s="23"/>
      <c r="U2380" s="23"/>
    </row>
    <row r="2381">
      <c r="A2381" s="20"/>
      <c r="B2381" s="20"/>
      <c r="C2381" s="30"/>
      <c r="D2381" s="30"/>
      <c r="E2381" s="30"/>
      <c r="F2381" s="22"/>
      <c r="G2381" s="23"/>
      <c r="H2381" s="23"/>
      <c r="I2381" s="23"/>
      <c r="J2381" s="23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</row>
    <row r="2382">
      <c r="A2382" s="20"/>
      <c r="B2382" s="20"/>
      <c r="C2382" s="30"/>
      <c r="D2382" s="30"/>
      <c r="E2382" s="30"/>
      <c r="F2382" s="22"/>
      <c r="G2382" s="23"/>
      <c r="H2382" s="23"/>
      <c r="I2382" s="23"/>
      <c r="J2382" s="23"/>
      <c r="K2382" s="23"/>
      <c r="L2382" s="23"/>
      <c r="M2382" s="23"/>
      <c r="N2382" s="23"/>
      <c r="O2382" s="23"/>
      <c r="P2382" s="23"/>
      <c r="Q2382" s="23"/>
      <c r="R2382" s="23"/>
      <c r="S2382" s="23"/>
      <c r="T2382" s="23"/>
      <c r="U2382" s="23"/>
    </row>
    <row r="2383">
      <c r="A2383" s="20"/>
      <c r="B2383" s="20"/>
      <c r="C2383" s="30"/>
      <c r="D2383" s="30"/>
      <c r="E2383" s="30"/>
      <c r="F2383" s="22"/>
      <c r="G2383" s="23"/>
      <c r="H2383" s="23"/>
      <c r="I2383" s="23"/>
      <c r="J2383" s="23"/>
      <c r="K2383" s="23"/>
      <c r="L2383" s="23"/>
      <c r="M2383" s="23"/>
      <c r="N2383" s="23"/>
      <c r="O2383" s="23"/>
      <c r="P2383" s="23"/>
      <c r="Q2383" s="23"/>
      <c r="R2383" s="23"/>
      <c r="S2383" s="23"/>
      <c r="T2383" s="23"/>
      <c r="U2383" s="23"/>
    </row>
    <row r="2384">
      <c r="A2384" s="20"/>
      <c r="B2384" s="20"/>
      <c r="C2384" s="30"/>
      <c r="D2384" s="30"/>
      <c r="E2384" s="30"/>
      <c r="F2384" s="22"/>
      <c r="G2384" s="23"/>
      <c r="H2384" s="23"/>
      <c r="I2384" s="23"/>
      <c r="J2384" s="23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</row>
    <row r="2385">
      <c r="A2385" s="20"/>
      <c r="B2385" s="20"/>
      <c r="C2385" s="30"/>
      <c r="D2385" s="30"/>
      <c r="E2385" s="30"/>
      <c r="F2385" s="22"/>
      <c r="G2385" s="23"/>
      <c r="H2385" s="23"/>
      <c r="I2385" s="23"/>
      <c r="J2385" s="23"/>
      <c r="K2385" s="23"/>
      <c r="L2385" s="23"/>
      <c r="M2385" s="23"/>
      <c r="N2385" s="23"/>
      <c r="O2385" s="23"/>
      <c r="P2385" s="23"/>
      <c r="Q2385" s="23"/>
      <c r="R2385" s="23"/>
      <c r="S2385" s="23"/>
      <c r="T2385" s="23"/>
      <c r="U2385" s="23"/>
    </row>
    <row r="2386">
      <c r="A2386" s="20"/>
      <c r="B2386" s="20"/>
      <c r="C2386" s="30"/>
      <c r="D2386" s="30"/>
      <c r="E2386" s="30"/>
      <c r="F2386" s="22"/>
      <c r="G2386" s="23"/>
      <c r="H2386" s="23"/>
      <c r="I2386" s="23"/>
      <c r="J2386" s="23"/>
      <c r="K2386" s="23"/>
      <c r="L2386" s="23"/>
      <c r="M2386" s="23"/>
      <c r="N2386" s="23"/>
      <c r="O2386" s="23"/>
      <c r="P2386" s="23"/>
      <c r="Q2386" s="23"/>
      <c r="R2386" s="23"/>
      <c r="S2386" s="23"/>
      <c r="T2386" s="23"/>
      <c r="U2386" s="23"/>
    </row>
    <row r="2387">
      <c r="A2387" s="20"/>
      <c r="B2387" s="20"/>
      <c r="C2387" s="30"/>
      <c r="D2387" s="30"/>
      <c r="E2387" s="30"/>
      <c r="F2387" s="22"/>
      <c r="G2387" s="23"/>
      <c r="H2387" s="23"/>
      <c r="I2387" s="23"/>
      <c r="J2387" s="23"/>
      <c r="K2387" s="23"/>
      <c r="L2387" s="23"/>
      <c r="M2387" s="23"/>
      <c r="N2387" s="23"/>
      <c r="O2387" s="23"/>
      <c r="P2387" s="23"/>
      <c r="Q2387" s="23"/>
      <c r="R2387" s="23"/>
      <c r="S2387" s="23"/>
      <c r="T2387" s="23"/>
      <c r="U2387" s="23"/>
    </row>
    <row r="2388">
      <c r="A2388" s="20"/>
      <c r="B2388" s="20"/>
      <c r="C2388" s="30"/>
      <c r="D2388" s="30"/>
      <c r="E2388" s="30"/>
      <c r="F2388" s="22"/>
      <c r="G2388" s="23"/>
      <c r="H2388" s="23"/>
      <c r="I2388" s="23"/>
      <c r="J2388" s="23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</row>
    <row r="2389">
      <c r="A2389" s="20"/>
      <c r="B2389" s="20"/>
      <c r="C2389" s="30"/>
      <c r="D2389" s="30"/>
      <c r="E2389" s="30"/>
      <c r="F2389" s="22"/>
      <c r="G2389" s="23"/>
      <c r="H2389" s="23"/>
      <c r="I2389" s="23"/>
      <c r="J2389" s="23"/>
      <c r="K2389" s="23"/>
      <c r="L2389" s="23"/>
      <c r="M2389" s="23"/>
      <c r="N2389" s="23"/>
      <c r="O2389" s="23"/>
      <c r="P2389" s="23"/>
      <c r="Q2389" s="23"/>
      <c r="R2389" s="23"/>
      <c r="S2389" s="23"/>
      <c r="T2389" s="23"/>
      <c r="U2389" s="23"/>
    </row>
    <row r="2390">
      <c r="A2390" s="20"/>
      <c r="B2390" s="20"/>
      <c r="C2390" s="30"/>
      <c r="D2390" s="30"/>
      <c r="E2390" s="30"/>
      <c r="F2390" s="22"/>
      <c r="G2390" s="23"/>
      <c r="H2390" s="23"/>
      <c r="I2390" s="23"/>
      <c r="J2390" s="23"/>
      <c r="K2390" s="23"/>
      <c r="L2390" s="23"/>
      <c r="M2390" s="23"/>
      <c r="N2390" s="23"/>
      <c r="O2390" s="23"/>
      <c r="P2390" s="23"/>
      <c r="Q2390" s="23"/>
      <c r="R2390" s="23"/>
      <c r="S2390" s="23"/>
      <c r="T2390" s="23"/>
      <c r="U2390" s="23"/>
    </row>
    <row r="2391">
      <c r="A2391" s="20"/>
      <c r="B2391" s="20"/>
      <c r="C2391" s="30"/>
      <c r="D2391" s="30"/>
      <c r="E2391" s="30"/>
      <c r="F2391" s="22"/>
      <c r="G2391" s="23"/>
      <c r="H2391" s="23"/>
      <c r="I2391" s="23"/>
      <c r="J2391" s="23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</row>
    <row r="2392">
      <c r="A2392" s="20"/>
      <c r="B2392" s="20"/>
      <c r="C2392" s="30"/>
      <c r="D2392" s="30"/>
      <c r="E2392" s="30"/>
      <c r="F2392" s="22"/>
      <c r="G2392" s="23"/>
      <c r="H2392" s="23"/>
      <c r="I2392" s="23"/>
      <c r="J2392" s="23"/>
      <c r="K2392" s="23"/>
      <c r="L2392" s="23"/>
      <c r="M2392" s="23"/>
      <c r="N2392" s="23"/>
      <c r="O2392" s="23"/>
      <c r="P2392" s="23"/>
      <c r="Q2392" s="23"/>
      <c r="R2392" s="23"/>
      <c r="S2392" s="23"/>
      <c r="T2392" s="23"/>
      <c r="U2392" s="23"/>
    </row>
    <row r="2393">
      <c r="A2393" s="20"/>
      <c r="B2393" s="20"/>
      <c r="C2393" s="30"/>
      <c r="D2393" s="30"/>
      <c r="E2393" s="30"/>
      <c r="F2393" s="22"/>
      <c r="G2393" s="23"/>
      <c r="H2393" s="23"/>
      <c r="I2393" s="23"/>
      <c r="J2393" s="23"/>
      <c r="K2393" s="23"/>
      <c r="L2393" s="23"/>
      <c r="M2393" s="23"/>
      <c r="N2393" s="23"/>
      <c r="O2393" s="23"/>
      <c r="P2393" s="23"/>
      <c r="Q2393" s="23"/>
      <c r="R2393" s="23"/>
      <c r="S2393" s="23"/>
      <c r="T2393" s="23"/>
      <c r="U2393" s="23"/>
    </row>
    <row r="2394">
      <c r="A2394" s="20"/>
      <c r="B2394" s="20"/>
      <c r="C2394" s="30"/>
      <c r="D2394" s="30"/>
      <c r="E2394" s="30"/>
      <c r="F2394" s="22"/>
      <c r="G2394" s="23"/>
      <c r="H2394" s="23"/>
      <c r="I2394" s="23"/>
      <c r="J2394" s="23"/>
      <c r="K2394" s="23"/>
      <c r="L2394" s="23"/>
      <c r="M2394" s="23"/>
      <c r="N2394" s="23"/>
      <c r="O2394" s="23"/>
      <c r="P2394" s="23"/>
      <c r="Q2394" s="23"/>
      <c r="R2394" s="23"/>
      <c r="S2394" s="23"/>
      <c r="T2394" s="23"/>
      <c r="U2394" s="23"/>
    </row>
    <row r="2395">
      <c r="A2395" s="20"/>
      <c r="B2395" s="20"/>
      <c r="C2395" s="30"/>
      <c r="D2395" s="30"/>
      <c r="E2395" s="30"/>
      <c r="F2395" s="22"/>
      <c r="G2395" s="23"/>
      <c r="H2395" s="23"/>
      <c r="I2395" s="23"/>
      <c r="J2395" s="23"/>
      <c r="K2395" s="23"/>
      <c r="L2395" s="23"/>
      <c r="M2395" s="23"/>
      <c r="N2395" s="23"/>
      <c r="O2395" s="23"/>
      <c r="P2395" s="23"/>
      <c r="Q2395" s="23"/>
      <c r="R2395" s="23"/>
      <c r="S2395" s="23"/>
      <c r="T2395" s="23"/>
      <c r="U2395" s="23"/>
    </row>
    <row r="2396">
      <c r="A2396" s="20"/>
      <c r="B2396" s="20"/>
      <c r="C2396" s="30"/>
      <c r="D2396" s="30"/>
      <c r="E2396" s="30"/>
      <c r="F2396" s="22"/>
      <c r="G2396" s="23"/>
      <c r="H2396" s="23"/>
      <c r="I2396" s="23"/>
      <c r="J2396" s="23"/>
      <c r="K2396" s="23"/>
      <c r="L2396" s="23"/>
      <c r="M2396" s="23"/>
      <c r="N2396" s="23"/>
      <c r="O2396" s="23"/>
      <c r="P2396" s="23"/>
      <c r="Q2396" s="23"/>
      <c r="R2396" s="23"/>
      <c r="S2396" s="23"/>
      <c r="T2396" s="23"/>
      <c r="U2396" s="23"/>
    </row>
    <row r="2397">
      <c r="A2397" s="20"/>
      <c r="B2397" s="20"/>
      <c r="C2397" s="30"/>
      <c r="D2397" s="30"/>
      <c r="E2397" s="30"/>
      <c r="F2397" s="22"/>
      <c r="G2397" s="23"/>
      <c r="H2397" s="23"/>
      <c r="I2397" s="23"/>
      <c r="J2397" s="23"/>
      <c r="K2397" s="23"/>
      <c r="L2397" s="23"/>
      <c r="M2397" s="23"/>
      <c r="N2397" s="23"/>
      <c r="O2397" s="23"/>
      <c r="P2397" s="23"/>
      <c r="Q2397" s="23"/>
      <c r="R2397" s="23"/>
      <c r="S2397" s="23"/>
      <c r="T2397" s="23"/>
      <c r="U2397" s="23"/>
    </row>
    <row r="2398">
      <c r="A2398" s="20"/>
      <c r="B2398" s="20"/>
      <c r="C2398" s="30"/>
      <c r="D2398" s="30"/>
      <c r="E2398" s="30"/>
      <c r="F2398" s="22"/>
      <c r="G2398" s="23"/>
      <c r="H2398" s="23"/>
      <c r="I2398" s="23"/>
      <c r="J2398" s="23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</row>
    <row r="2399">
      <c r="A2399" s="20"/>
      <c r="B2399" s="20"/>
      <c r="C2399" s="30"/>
      <c r="D2399" s="30"/>
      <c r="E2399" s="30"/>
      <c r="F2399" s="22"/>
      <c r="G2399" s="23"/>
      <c r="H2399" s="23"/>
      <c r="I2399" s="23"/>
      <c r="J2399" s="23"/>
      <c r="K2399" s="23"/>
      <c r="L2399" s="23"/>
      <c r="M2399" s="23"/>
      <c r="N2399" s="23"/>
      <c r="O2399" s="23"/>
      <c r="P2399" s="23"/>
      <c r="Q2399" s="23"/>
      <c r="R2399" s="23"/>
      <c r="S2399" s="23"/>
      <c r="T2399" s="23"/>
      <c r="U2399" s="23"/>
    </row>
    <row r="2400">
      <c r="A2400" s="20"/>
      <c r="B2400" s="20"/>
      <c r="C2400" s="30"/>
      <c r="D2400" s="30"/>
      <c r="E2400" s="30"/>
      <c r="F2400" s="22"/>
      <c r="G2400" s="23"/>
      <c r="H2400" s="23"/>
      <c r="I2400" s="23"/>
      <c r="J2400" s="23"/>
      <c r="K2400" s="23"/>
      <c r="L2400" s="23"/>
      <c r="M2400" s="23"/>
      <c r="N2400" s="23"/>
      <c r="O2400" s="23"/>
      <c r="P2400" s="23"/>
      <c r="Q2400" s="23"/>
      <c r="R2400" s="23"/>
      <c r="S2400" s="23"/>
      <c r="T2400" s="23"/>
      <c r="U2400" s="23"/>
    </row>
    <row r="2401">
      <c r="A2401" s="20"/>
      <c r="B2401" s="20"/>
      <c r="C2401" s="30"/>
      <c r="D2401" s="30"/>
      <c r="E2401" s="30"/>
      <c r="F2401" s="22"/>
      <c r="G2401" s="23"/>
      <c r="H2401" s="23"/>
      <c r="I2401" s="23"/>
      <c r="J2401" s="23"/>
      <c r="K2401" s="23"/>
      <c r="L2401" s="23"/>
      <c r="M2401" s="23"/>
      <c r="N2401" s="23"/>
      <c r="O2401" s="23"/>
      <c r="P2401" s="23"/>
      <c r="Q2401" s="23"/>
      <c r="R2401" s="23"/>
      <c r="S2401" s="23"/>
      <c r="T2401" s="23"/>
      <c r="U2401" s="23"/>
    </row>
    <row r="2402">
      <c r="A2402" s="20"/>
      <c r="B2402" s="20"/>
      <c r="C2402" s="30"/>
      <c r="D2402" s="30"/>
      <c r="E2402" s="30"/>
      <c r="F2402" s="22"/>
      <c r="G2402" s="23"/>
      <c r="H2402" s="23"/>
      <c r="I2402" s="23"/>
      <c r="J2402" s="23"/>
      <c r="K2402" s="23"/>
      <c r="L2402" s="23"/>
      <c r="M2402" s="23"/>
      <c r="N2402" s="23"/>
      <c r="O2402" s="23"/>
      <c r="P2402" s="23"/>
      <c r="Q2402" s="23"/>
      <c r="R2402" s="23"/>
      <c r="S2402" s="23"/>
      <c r="T2402" s="23"/>
      <c r="U2402" s="23"/>
    </row>
    <row r="2403">
      <c r="A2403" s="20"/>
      <c r="B2403" s="20"/>
      <c r="C2403" s="30"/>
      <c r="D2403" s="30"/>
      <c r="E2403" s="30"/>
      <c r="F2403" s="22"/>
      <c r="G2403" s="23"/>
      <c r="H2403" s="23"/>
      <c r="I2403" s="23"/>
      <c r="J2403" s="23"/>
      <c r="K2403" s="23"/>
      <c r="L2403" s="23"/>
      <c r="M2403" s="23"/>
      <c r="N2403" s="23"/>
      <c r="O2403" s="23"/>
      <c r="P2403" s="23"/>
      <c r="Q2403" s="23"/>
      <c r="R2403" s="23"/>
      <c r="S2403" s="23"/>
      <c r="T2403" s="23"/>
      <c r="U2403" s="23"/>
    </row>
    <row r="2404">
      <c r="A2404" s="20"/>
      <c r="B2404" s="20"/>
      <c r="C2404" s="30"/>
      <c r="D2404" s="30"/>
      <c r="E2404" s="30"/>
      <c r="F2404" s="22"/>
      <c r="G2404" s="23"/>
      <c r="H2404" s="23"/>
      <c r="I2404" s="23"/>
      <c r="J2404" s="23"/>
      <c r="K2404" s="23"/>
      <c r="L2404" s="23"/>
      <c r="M2404" s="23"/>
      <c r="N2404" s="23"/>
      <c r="O2404" s="23"/>
      <c r="P2404" s="23"/>
      <c r="Q2404" s="23"/>
      <c r="R2404" s="23"/>
      <c r="S2404" s="23"/>
      <c r="T2404" s="23"/>
      <c r="U2404" s="23"/>
    </row>
    <row r="2405">
      <c r="A2405" s="20"/>
      <c r="B2405" s="20"/>
      <c r="C2405" s="30"/>
      <c r="D2405" s="30"/>
      <c r="E2405" s="30"/>
      <c r="F2405" s="22"/>
      <c r="G2405" s="23"/>
      <c r="H2405" s="23"/>
      <c r="I2405" s="23"/>
      <c r="J2405" s="23"/>
      <c r="K2405" s="23"/>
      <c r="L2405" s="23"/>
      <c r="M2405" s="23"/>
      <c r="N2405" s="23"/>
      <c r="O2405" s="23"/>
      <c r="P2405" s="23"/>
      <c r="Q2405" s="23"/>
      <c r="R2405" s="23"/>
      <c r="S2405" s="23"/>
      <c r="T2405" s="23"/>
      <c r="U2405" s="23"/>
    </row>
    <row r="2406">
      <c r="A2406" s="20"/>
      <c r="B2406" s="20"/>
      <c r="C2406" s="30"/>
      <c r="D2406" s="30"/>
      <c r="E2406" s="30"/>
      <c r="F2406" s="22"/>
      <c r="G2406" s="23"/>
      <c r="H2406" s="23"/>
      <c r="I2406" s="23"/>
      <c r="J2406" s="23"/>
      <c r="K2406" s="23"/>
      <c r="L2406" s="23"/>
      <c r="M2406" s="23"/>
      <c r="N2406" s="23"/>
      <c r="O2406" s="23"/>
      <c r="P2406" s="23"/>
      <c r="Q2406" s="23"/>
      <c r="R2406" s="23"/>
      <c r="S2406" s="23"/>
      <c r="T2406" s="23"/>
      <c r="U2406" s="23"/>
    </row>
    <row r="2407">
      <c r="A2407" s="20"/>
      <c r="B2407" s="20"/>
      <c r="C2407" s="30"/>
      <c r="D2407" s="30"/>
      <c r="E2407" s="30"/>
      <c r="F2407" s="22"/>
      <c r="G2407" s="23"/>
      <c r="H2407" s="23"/>
      <c r="I2407" s="23"/>
      <c r="J2407" s="23"/>
      <c r="K2407" s="23"/>
      <c r="L2407" s="23"/>
      <c r="M2407" s="23"/>
      <c r="N2407" s="23"/>
      <c r="O2407" s="23"/>
      <c r="P2407" s="23"/>
      <c r="Q2407" s="23"/>
      <c r="R2407" s="23"/>
      <c r="S2407" s="23"/>
      <c r="T2407" s="23"/>
      <c r="U2407" s="23"/>
    </row>
    <row r="2408">
      <c r="A2408" s="20"/>
      <c r="B2408" s="20"/>
      <c r="C2408" s="30"/>
      <c r="D2408" s="30"/>
      <c r="E2408" s="30"/>
      <c r="F2408" s="22"/>
      <c r="G2408" s="23"/>
      <c r="H2408" s="23"/>
      <c r="I2408" s="23"/>
      <c r="J2408" s="23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</row>
    <row r="2409">
      <c r="A2409" s="20"/>
      <c r="B2409" s="20"/>
      <c r="C2409" s="30"/>
      <c r="D2409" s="30"/>
      <c r="E2409" s="30"/>
      <c r="F2409" s="22"/>
      <c r="G2409" s="23"/>
      <c r="H2409" s="23"/>
      <c r="I2409" s="23"/>
      <c r="J2409" s="23"/>
      <c r="K2409" s="23"/>
      <c r="L2409" s="23"/>
      <c r="M2409" s="23"/>
      <c r="N2409" s="23"/>
      <c r="O2409" s="23"/>
      <c r="P2409" s="23"/>
      <c r="Q2409" s="23"/>
      <c r="R2409" s="23"/>
      <c r="S2409" s="23"/>
      <c r="T2409" s="23"/>
      <c r="U2409" s="23"/>
    </row>
    <row r="2410">
      <c r="A2410" s="20"/>
      <c r="B2410" s="20"/>
      <c r="C2410" s="30"/>
      <c r="D2410" s="30"/>
      <c r="E2410" s="30"/>
      <c r="F2410" s="22"/>
      <c r="G2410" s="23"/>
      <c r="H2410" s="23"/>
      <c r="I2410" s="23"/>
      <c r="J2410" s="23"/>
      <c r="K2410" s="23"/>
      <c r="L2410" s="23"/>
      <c r="M2410" s="23"/>
      <c r="N2410" s="23"/>
      <c r="O2410" s="23"/>
      <c r="P2410" s="23"/>
      <c r="Q2410" s="23"/>
      <c r="R2410" s="23"/>
      <c r="S2410" s="23"/>
      <c r="T2410" s="23"/>
      <c r="U2410" s="23"/>
    </row>
    <row r="2411">
      <c r="A2411" s="20"/>
      <c r="B2411" s="20"/>
      <c r="C2411" s="30"/>
      <c r="D2411" s="30"/>
      <c r="E2411" s="30"/>
      <c r="F2411" s="22"/>
      <c r="G2411" s="23"/>
      <c r="H2411" s="23"/>
      <c r="I2411" s="23"/>
      <c r="J2411" s="23"/>
      <c r="K2411" s="23"/>
      <c r="L2411" s="23"/>
      <c r="M2411" s="23"/>
      <c r="N2411" s="23"/>
      <c r="O2411" s="23"/>
      <c r="P2411" s="23"/>
      <c r="Q2411" s="23"/>
      <c r="R2411" s="23"/>
      <c r="S2411" s="23"/>
      <c r="T2411" s="23"/>
      <c r="U2411" s="23"/>
    </row>
    <row r="2412">
      <c r="A2412" s="20"/>
      <c r="B2412" s="20"/>
      <c r="C2412" s="30"/>
      <c r="D2412" s="30"/>
      <c r="E2412" s="30"/>
      <c r="F2412" s="22"/>
      <c r="G2412" s="23"/>
      <c r="H2412" s="23"/>
      <c r="I2412" s="23"/>
      <c r="J2412" s="23"/>
      <c r="K2412" s="23"/>
      <c r="L2412" s="23"/>
      <c r="M2412" s="23"/>
      <c r="N2412" s="23"/>
      <c r="O2412" s="23"/>
      <c r="P2412" s="23"/>
      <c r="Q2412" s="23"/>
      <c r="R2412" s="23"/>
      <c r="S2412" s="23"/>
      <c r="T2412" s="23"/>
      <c r="U2412" s="23"/>
    </row>
    <row r="2413">
      <c r="A2413" s="20"/>
      <c r="B2413" s="20"/>
      <c r="C2413" s="30"/>
      <c r="D2413" s="30"/>
      <c r="E2413" s="30"/>
      <c r="F2413" s="22"/>
      <c r="G2413" s="23"/>
      <c r="H2413" s="23"/>
      <c r="I2413" s="23"/>
      <c r="J2413" s="23"/>
      <c r="K2413" s="23"/>
      <c r="L2413" s="23"/>
      <c r="M2413" s="23"/>
      <c r="N2413" s="23"/>
      <c r="O2413" s="23"/>
      <c r="P2413" s="23"/>
      <c r="Q2413" s="23"/>
      <c r="R2413" s="23"/>
      <c r="S2413" s="23"/>
      <c r="T2413" s="23"/>
      <c r="U2413" s="23"/>
    </row>
    <row r="2414">
      <c r="A2414" s="20"/>
      <c r="B2414" s="20"/>
      <c r="C2414" s="30"/>
      <c r="D2414" s="30"/>
      <c r="E2414" s="30"/>
      <c r="F2414" s="22"/>
      <c r="G2414" s="23"/>
      <c r="H2414" s="23"/>
      <c r="I2414" s="23"/>
      <c r="J2414" s="23"/>
      <c r="K2414" s="23"/>
      <c r="L2414" s="23"/>
      <c r="M2414" s="23"/>
      <c r="N2414" s="23"/>
      <c r="O2414" s="23"/>
      <c r="P2414" s="23"/>
      <c r="Q2414" s="23"/>
      <c r="R2414" s="23"/>
      <c r="S2414" s="23"/>
      <c r="T2414" s="23"/>
      <c r="U2414" s="23"/>
    </row>
    <row r="2415">
      <c r="A2415" s="20"/>
      <c r="B2415" s="20"/>
      <c r="C2415" s="30"/>
      <c r="D2415" s="30"/>
      <c r="E2415" s="30"/>
      <c r="F2415" s="22"/>
      <c r="G2415" s="23"/>
      <c r="H2415" s="23"/>
      <c r="I2415" s="23"/>
      <c r="J2415" s="23"/>
      <c r="K2415" s="23"/>
      <c r="L2415" s="23"/>
      <c r="M2415" s="23"/>
      <c r="N2415" s="23"/>
      <c r="O2415" s="23"/>
      <c r="P2415" s="23"/>
      <c r="Q2415" s="23"/>
      <c r="R2415" s="23"/>
      <c r="S2415" s="23"/>
      <c r="T2415" s="23"/>
      <c r="U2415" s="23"/>
    </row>
    <row r="2416">
      <c r="A2416" s="20"/>
      <c r="B2416" s="20"/>
      <c r="C2416" s="30"/>
      <c r="D2416" s="30"/>
      <c r="E2416" s="30"/>
      <c r="F2416" s="22"/>
      <c r="G2416" s="23"/>
      <c r="H2416" s="23"/>
      <c r="I2416" s="23"/>
      <c r="J2416" s="23"/>
      <c r="K2416" s="23"/>
      <c r="L2416" s="23"/>
      <c r="M2416" s="23"/>
      <c r="N2416" s="23"/>
      <c r="O2416" s="23"/>
      <c r="P2416" s="23"/>
      <c r="Q2416" s="23"/>
      <c r="R2416" s="23"/>
      <c r="S2416" s="23"/>
      <c r="T2416" s="23"/>
      <c r="U2416" s="23"/>
    </row>
    <row r="2417">
      <c r="A2417" s="20"/>
      <c r="B2417" s="20"/>
      <c r="C2417" s="30"/>
      <c r="D2417" s="30"/>
      <c r="E2417" s="30"/>
      <c r="F2417" s="22"/>
      <c r="G2417" s="23"/>
      <c r="H2417" s="23"/>
      <c r="I2417" s="23"/>
      <c r="J2417" s="23"/>
      <c r="K2417" s="23"/>
      <c r="L2417" s="23"/>
      <c r="M2417" s="23"/>
      <c r="N2417" s="23"/>
      <c r="O2417" s="23"/>
      <c r="P2417" s="23"/>
      <c r="Q2417" s="23"/>
      <c r="R2417" s="23"/>
      <c r="S2417" s="23"/>
      <c r="T2417" s="23"/>
      <c r="U2417" s="23"/>
    </row>
    <row r="2418">
      <c r="A2418" s="20"/>
      <c r="B2418" s="20"/>
      <c r="C2418" s="30"/>
      <c r="D2418" s="30"/>
      <c r="E2418" s="30"/>
      <c r="F2418" s="22"/>
      <c r="G2418" s="23"/>
      <c r="H2418" s="23"/>
      <c r="I2418" s="23"/>
      <c r="J2418" s="23"/>
      <c r="K2418" s="23"/>
      <c r="L2418" s="23"/>
      <c r="M2418" s="23"/>
      <c r="N2418" s="23"/>
      <c r="O2418" s="23"/>
      <c r="P2418" s="23"/>
      <c r="Q2418" s="23"/>
      <c r="R2418" s="23"/>
      <c r="S2418" s="23"/>
      <c r="T2418" s="23"/>
      <c r="U2418" s="23"/>
    </row>
    <row r="2419">
      <c r="A2419" s="20"/>
      <c r="B2419" s="20"/>
      <c r="C2419" s="30"/>
      <c r="D2419" s="30"/>
      <c r="E2419" s="30"/>
      <c r="F2419" s="22"/>
      <c r="G2419" s="23"/>
      <c r="H2419" s="23"/>
      <c r="I2419" s="23"/>
      <c r="J2419" s="23"/>
      <c r="K2419" s="23"/>
      <c r="L2419" s="23"/>
      <c r="M2419" s="23"/>
      <c r="N2419" s="23"/>
      <c r="O2419" s="23"/>
      <c r="P2419" s="23"/>
      <c r="Q2419" s="23"/>
      <c r="R2419" s="23"/>
      <c r="S2419" s="23"/>
      <c r="T2419" s="23"/>
      <c r="U2419" s="23"/>
    </row>
    <row r="2420">
      <c r="A2420" s="20"/>
      <c r="B2420" s="20"/>
      <c r="C2420" s="30"/>
      <c r="D2420" s="30"/>
      <c r="E2420" s="30"/>
      <c r="F2420" s="22"/>
      <c r="G2420" s="23"/>
      <c r="H2420" s="23"/>
      <c r="I2420" s="23"/>
      <c r="J2420" s="23"/>
      <c r="K2420" s="23"/>
      <c r="L2420" s="23"/>
      <c r="M2420" s="23"/>
      <c r="N2420" s="23"/>
      <c r="O2420" s="23"/>
      <c r="P2420" s="23"/>
      <c r="Q2420" s="23"/>
      <c r="R2420" s="23"/>
      <c r="S2420" s="23"/>
      <c r="T2420" s="23"/>
      <c r="U2420" s="23"/>
    </row>
    <row r="2421">
      <c r="A2421" s="20"/>
      <c r="B2421" s="20"/>
      <c r="C2421" s="30"/>
      <c r="D2421" s="30"/>
      <c r="E2421" s="30"/>
      <c r="F2421" s="22"/>
      <c r="G2421" s="23"/>
      <c r="H2421" s="23"/>
      <c r="I2421" s="23"/>
      <c r="J2421" s="23"/>
      <c r="K2421" s="23"/>
      <c r="L2421" s="23"/>
      <c r="M2421" s="23"/>
      <c r="N2421" s="23"/>
      <c r="O2421" s="23"/>
      <c r="P2421" s="23"/>
      <c r="Q2421" s="23"/>
      <c r="R2421" s="23"/>
      <c r="S2421" s="23"/>
      <c r="T2421" s="23"/>
      <c r="U2421" s="23"/>
    </row>
    <row r="2422">
      <c r="A2422" s="20"/>
      <c r="B2422" s="20"/>
      <c r="C2422" s="30"/>
      <c r="D2422" s="30"/>
      <c r="E2422" s="30"/>
      <c r="F2422" s="22"/>
      <c r="G2422" s="23"/>
      <c r="H2422" s="23"/>
      <c r="I2422" s="23"/>
      <c r="J2422" s="23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</row>
    <row r="2423">
      <c r="A2423" s="20"/>
      <c r="B2423" s="20"/>
      <c r="C2423" s="30"/>
      <c r="D2423" s="30"/>
      <c r="E2423" s="30"/>
      <c r="F2423" s="22"/>
      <c r="G2423" s="23"/>
      <c r="H2423" s="23"/>
      <c r="I2423" s="23"/>
      <c r="J2423" s="23"/>
      <c r="K2423" s="23"/>
      <c r="L2423" s="23"/>
      <c r="M2423" s="23"/>
      <c r="N2423" s="23"/>
      <c r="O2423" s="23"/>
      <c r="P2423" s="23"/>
      <c r="Q2423" s="23"/>
      <c r="R2423" s="23"/>
      <c r="S2423" s="23"/>
      <c r="T2423" s="23"/>
      <c r="U2423" s="23"/>
    </row>
    <row r="2424">
      <c r="A2424" s="20"/>
      <c r="B2424" s="20"/>
      <c r="C2424" s="30"/>
      <c r="D2424" s="30"/>
      <c r="E2424" s="30"/>
      <c r="F2424" s="22"/>
      <c r="G2424" s="23"/>
      <c r="H2424" s="23"/>
      <c r="I2424" s="23"/>
      <c r="J2424" s="23"/>
      <c r="K2424" s="23"/>
      <c r="L2424" s="23"/>
      <c r="M2424" s="23"/>
      <c r="N2424" s="23"/>
      <c r="O2424" s="23"/>
      <c r="P2424" s="23"/>
      <c r="Q2424" s="23"/>
      <c r="R2424" s="23"/>
      <c r="S2424" s="23"/>
      <c r="T2424" s="23"/>
      <c r="U2424" s="23"/>
    </row>
    <row r="2425">
      <c r="A2425" s="20"/>
      <c r="B2425" s="20"/>
      <c r="C2425" s="30"/>
      <c r="D2425" s="30"/>
      <c r="E2425" s="30"/>
      <c r="F2425" s="22"/>
      <c r="G2425" s="23"/>
      <c r="H2425" s="23"/>
      <c r="I2425" s="23"/>
      <c r="J2425" s="23"/>
      <c r="K2425" s="23"/>
      <c r="L2425" s="23"/>
      <c r="M2425" s="23"/>
      <c r="N2425" s="23"/>
      <c r="O2425" s="23"/>
      <c r="P2425" s="23"/>
      <c r="Q2425" s="23"/>
      <c r="R2425" s="23"/>
      <c r="S2425" s="23"/>
      <c r="T2425" s="23"/>
      <c r="U2425" s="23"/>
    </row>
    <row r="2426">
      <c r="A2426" s="20"/>
      <c r="B2426" s="20"/>
      <c r="C2426" s="30"/>
      <c r="D2426" s="30"/>
      <c r="E2426" s="30"/>
      <c r="F2426" s="22"/>
      <c r="G2426" s="23"/>
      <c r="H2426" s="23"/>
      <c r="I2426" s="23"/>
      <c r="J2426" s="23"/>
      <c r="K2426" s="23"/>
      <c r="L2426" s="23"/>
      <c r="M2426" s="23"/>
      <c r="N2426" s="23"/>
      <c r="O2426" s="23"/>
      <c r="P2426" s="23"/>
      <c r="Q2426" s="23"/>
      <c r="R2426" s="23"/>
      <c r="S2426" s="23"/>
      <c r="T2426" s="23"/>
      <c r="U2426" s="23"/>
    </row>
    <row r="2427">
      <c r="A2427" s="20"/>
      <c r="B2427" s="20"/>
      <c r="C2427" s="30"/>
      <c r="D2427" s="30"/>
      <c r="E2427" s="30"/>
      <c r="F2427" s="22"/>
      <c r="G2427" s="23"/>
      <c r="H2427" s="23"/>
      <c r="I2427" s="23"/>
      <c r="J2427" s="23"/>
      <c r="K2427" s="23"/>
      <c r="L2427" s="23"/>
      <c r="M2427" s="23"/>
      <c r="N2427" s="23"/>
      <c r="O2427" s="23"/>
      <c r="P2427" s="23"/>
      <c r="Q2427" s="23"/>
      <c r="R2427" s="23"/>
      <c r="S2427" s="23"/>
      <c r="T2427" s="23"/>
      <c r="U2427" s="23"/>
    </row>
    <row r="2428">
      <c r="A2428" s="20"/>
      <c r="B2428" s="20"/>
      <c r="C2428" s="30"/>
      <c r="D2428" s="30"/>
      <c r="E2428" s="30"/>
      <c r="F2428" s="22"/>
      <c r="G2428" s="23"/>
      <c r="H2428" s="23"/>
      <c r="I2428" s="23"/>
      <c r="J2428" s="23"/>
      <c r="K2428" s="23"/>
      <c r="L2428" s="23"/>
      <c r="M2428" s="23"/>
      <c r="N2428" s="23"/>
      <c r="O2428" s="23"/>
      <c r="P2428" s="23"/>
      <c r="Q2428" s="23"/>
      <c r="R2428" s="23"/>
      <c r="S2428" s="23"/>
      <c r="T2428" s="23"/>
      <c r="U2428" s="23"/>
    </row>
    <row r="2429">
      <c r="A2429" s="20"/>
      <c r="B2429" s="20"/>
      <c r="C2429" s="30"/>
      <c r="D2429" s="30"/>
      <c r="E2429" s="30"/>
      <c r="F2429" s="22"/>
      <c r="G2429" s="23"/>
      <c r="H2429" s="23"/>
      <c r="I2429" s="23"/>
      <c r="J2429" s="23"/>
      <c r="K2429" s="23"/>
      <c r="L2429" s="23"/>
      <c r="M2429" s="23"/>
      <c r="N2429" s="23"/>
      <c r="O2429" s="23"/>
      <c r="P2429" s="23"/>
      <c r="Q2429" s="23"/>
      <c r="R2429" s="23"/>
      <c r="S2429" s="23"/>
      <c r="T2429" s="23"/>
      <c r="U2429" s="23"/>
    </row>
    <row r="2430">
      <c r="A2430" s="20"/>
      <c r="B2430" s="20"/>
      <c r="C2430" s="30"/>
      <c r="D2430" s="30"/>
      <c r="E2430" s="30"/>
      <c r="F2430" s="22"/>
      <c r="G2430" s="23"/>
      <c r="H2430" s="23"/>
      <c r="I2430" s="23"/>
      <c r="J2430" s="23"/>
      <c r="K2430" s="23"/>
      <c r="L2430" s="23"/>
      <c r="M2430" s="23"/>
      <c r="N2430" s="23"/>
      <c r="O2430" s="23"/>
      <c r="P2430" s="23"/>
      <c r="Q2430" s="23"/>
      <c r="R2430" s="23"/>
      <c r="S2430" s="23"/>
      <c r="T2430" s="23"/>
      <c r="U2430" s="23"/>
    </row>
    <row r="2431">
      <c r="A2431" s="20"/>
      <c r="B2431" s="20"/>
      <c r="C2431" s="30"/>
      <c r="D2431" s="30"/>
      <c r="E2431" s="30"/>
      <c r="F2431" s="22"/>
      <c r="G2431" s="23"/>
      <c r="H2431" s="23"/>
      <c r="I2431" s="23"/>
      <c r="J2431" s="23"/>
      <c r="K2431" s="23"/>
      <c r="L2431" s="23"/>
      <c r="M2431" s="23"/>
      <c r="N2431" s="23"/>
      <c r="O2431" s="23"/>
      <c r="P2431" s="23"/>
      <c r="Q2431" s="23"/>
      <c r="R2431" s="23"/>
      <c r="S2431" s="23"/>
      <c r="T2431" s="23"/>
      <c r="U2431" s="23"/>
    </row>
    <row r="2432">
      <c r="A2432" s="20"/>
      <c r="B2432" s="20"/>
      <c r="C2432" s="30"/>
      <c r="D2432" s="30"/>
      <c r="E2432" s="30"/>
      <c r="F2432" s="22"/>
      <c r="G2432" s="23"/>
      <c r="H2432" s="23"/>
      <c r="I2432" s="23"/>
      <c r="J2432" s="23"/>
      <c r="K2432" s="23"/>
      <c r="L2432" s="23"/>
      <c r="M2432" s="23"/>
      <c r="N2432" s="23"/>
      <c r="O2432" s="23"/>
      <c r="P2432" s="23"/>
      <c r="Q2432" s="23"/>
      <c r="R2432" s="23"/>
      <c r="S2432" s="23"/>
      <c r="T2432" s="23"/>
      <c r="U2432" s="23"/>
    </row>
    <row r="2433">
      <c r="A2433" s="20"/>
      <c r="B2433" s="20"/>
      <c r="C2433" s="30"/>
      <c r="D2433" s="30"/>
      <c r="E2433" s="30"/>
      <c r="F2433" s="22"/>
      <c r="G2433" s="23"/>
      <c r="H2433" s="23"/>
      <c r="I2433" s="23"/>
      <c r="J2433" s="23"/>
      <c r="K2433" s="23"/>
      <c r="L2433" s="23"/>
      <c r="M2433" s="23"/>
      <c r="N2433" s="23"/>
      <c r="O2433" s="23"/>
      <c r="P2433" s="23"/>
      <c r="Q2433" s="23"/>
      <c r="R2433" s="23"/>
      <c r="S2433" s="23"/>
      <c r="T2433" s="23"/>
      <c r="U2433" s="23"/>
    </row>
    <row r="2434">
      <c r="A2434" s="20"/>
      <c r="B2434" s="20"/>
      <c r="C2434" s="30"/>
      <c r="D2434" s="30"/>
      <c r="E2434" s="30"/>
      <c r="F2434" s="22"/>
      <c r="G2434" s="23"/>
      <c r="H2434" s="23"/>
      <c r="I2434" s="23"/>
      <c r="J2434" s="23"/>
      <c r="K2434" s="23"/>
      <c r="L2434" s="23"/>
      <c r="M2434" s="23"/>
      <c r="N2434" s="23"/>
      <c r="O2434" s="23"/>
      <c r="P2434" s="23"/>
      <c r="Q2434" s="23"/>
      <c r="R2434" s="23"/>
      <c r="S2434" s="23"/>
      <c r="T2434" s="23"/>
      <c r="U2434" s="23"/>
    </row>
    <row r="2435">
      <c r="A2435" s="20"/>
      <c r="B2435" s="20"/>
      <c r="C2435" s="30"/>
      <c r="D2435" s="30"/>
      <c r="E2435" s="30"/>
      <c r="F2435" s="22"/>
      <c r="G2435" s="23"/>
      <c r="H2435" s="23"/>
      <c r="I2435" s="23"/>
      <c r="J2435" s="23"/>
      <c r="K2435" s="23"/>
      <c r="L2435" s="23"/>
      <c r="M2435" s="23"/>
      <c r="N2435" s="23"/>
      <c r="O2435" s="23"/>
      <c r="P2435" s="23"/>
      <c r="Q2435" s="23"/>
      <c r="R2435" s="23"/>
      <c r="S2435" s="23"/>
      <c r="T2435" s="23"/>
      <c r="U2435" s="23"/>
    </row>
    <row r="2436">
      <c r="A2436" s="20"/>
      <c r="B2436" s="20"/>
      <c r="C2436" s="30"/>
      <c r="D2436" s="30"/>
      <c r="E2436" s="30"/>
      <c r="F2436" s="22"/>
      <c r="G2436" s="23"/>
      <c r="H2436" s="23"/>
      <c r="I2436" s="23"/>
      <c r="J2436" s="23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</row>
    <row r="2437">
      <c r="A2437" s="20"/>
      <c r="B2437" s="20"/>
      <c r="C2437" s="30"/>
      <c r="D2437" s="30"/>
      <c r="E2437" s="30"/>
      <c r="F2437" s="22"/>
      <c r="G2437" s="23"/>
      <c r="H2437" s="23"/>
      <c r="I2437" s="23"/>
      <c r="J2437" s="23"/>
      <c r="K2437" s="23"/>
      <c r="L2437" s="23"/>
      <c r="M2437" s="23"/>
      <c r="N2437" s="23"/>
      <c r="O2437" s="23"/>
      <c r="P2437" s="23"/>
      <c r="Q2437" s="23"/>
      <c r="R2437" s="23"/>
      <c r="S2437" s="23"/>
      <c r="T2437" s="23"/>
      <c r="U2437" s="23"/>
    </row>
    <row r="2438">
      <c r="A2438" s="20"/>
      <c r="B2438" s="20"/>
      <c r="C2438" s="30"/>
      <c r="D2438" s="30"/>
      <c r="E2438" s="30"/>
      <c r="F2438" s="22"/>
      <c r="G2438" s="23"/>
      <c r="H2438" s="23"/>
      <c r="I2438" s="23"/>
      <c r="J2438" s="23"/>
      <c r="K2438" s="23"/>
      <c r="L2438" s="23"/>
      <c r="M2438" s="23"/>
      <c r="N2438" s="23"/>
      <c r="O2438" s="23"/>
      <c r="P2438" s="23"/>
      <c r="Q2438" s="23"/>
      <c r="R2438" s="23"/>
      <c r="S2438" s="23"/>
      <c r="T2438" s="23"/>
      <c r="U2438" s="23"/>
    </row>
    <row r="2439">
      <c r="A2439" s="20"/>
      <c r="B2439" s="20"/>
      <c r="C2439" s="30"/>
      <c r="D2439" s="30"/>
      <c r="E2439" s="30"/>
      <c r="F2439" s="22"/>
      <c r="G2439" s="23"/>
      <c r="H2439" s="23"/>
      <c r="I2439" s="23"/>
      <c r="J2439" s="23"/>
      <c r="K2439" s="23"/>
      <c r="L2439" s="23"/>
      <c r="M2439" s="23"/>
      <c r="N2439" s="23"/>
      <c r="O2439" s="23"/>
      <c r="P2439" s="23"/>
      <c r="Q2439" s="23"/>
      <c r="R2439" s="23"/>
      <c r="S2439" s="23"/>
      <c r="T2439" s="23"/>
      <c r="U2439" s="23"/>
    </row>
    <row r="2440">
      <c r="A2440" s="20"/>
      <c r="B2440" s="20"/>
      <c r="C2440" s="30"/>
      <c r="D2440" s="30"/>
      <c r="E2440" s="30"/>
      <c r="F2440" s="22"/>
      <c r="G2440" s="23"/>
      <c r="H2440" s="23"/>
      <c r="I2440" s="23"/>
      <c r="J2440" s="23"/>
      <c r="K2440" s="23"/>
      <c r="L2440" s="23"/>
      <c r="M2440" s="23"/>
      <c r="N2440" s="23"/>
      <c r="O2440" s="23"/>
      <c r="P2440" s="23"/>
      <c r="Q2440" s="23"/>
      <c r="R2440" s="23"/>
      <c r="S2440" s="23"/>
      <c r="T2440" s="23"/>
      <c r="U2440" s="23"/>
    </row>
    <row r="2441">
      <c r="A2441" s="20"/>
      <c r="B2441" s="20"/>
      <c r="C2441" s="30"/>
      <c r="D2441" s="30"/>
      <c r="E2441" s="30"/>
      <c r="F2441" s="22"/>
      <c r="G2441" s="23"/>
      <c r="H2441" s="23"/>
      <c r="I2441" s="23"/>
      <c r="J2441" s="23"/>
      <c r="K2441" s="23"/>
      <c r="L2441" s="23"/>
      <c r="M2441" s="23"/>
      <c r="N2441" s="23"/>
      <c r="O2441" s="23"/>
      <c r="P2441" s="23"/>
      <c r="Q2441" s="23"/>
      <c r="R2441" s="23"/>
      <c r="S2441" s="23"/>
      <c r="T2441" s="23"/>
      <c r="U2441" s="23"/>
    </row>
    <row r="2442">
      <c r="A2442" s="20"/>
      <c r="B2442" s="20"/>
      <c r="C2442" s="30"/>
      <c r="D2442" s="30"/>
      <c r="E2442" s="30"/>
      <c r="F2442" s="22"/>
      <c r="G2442" s="23"/>
      <c r="H2442" s="23"/>
      <c r="I2442" s="23"/>
      <c r="J2442" s="23"/>
      <c r="K2442" s="23"/>
      <c r="L2442" s="23"/>
      <c r="M2442" s="23"/>
      <c r="N2442" s="23"/>
      <c r="O2442" s="23"/>
      <c r="P2442" s="23"/>
      <c r="Q2442" s="23"/>
      <c r="R2442" s="23"/>
      <c r="S2442" s="23"/>
      <c r="T2442" s="23"/>
      <c r="U2442" s="23"/>
    </row>
    <row r="2443">
      <c r="A2443" s="20"/>
      <c r="B2443" s="20"/>
      <c r="C2443" s="30"/>
      <c r="D2443" s="30"/>
      <c r="E2443" s="30"/>
      <c r="F2443" s="22"/>
      <c r="G2443" s="23"/>
      <c r="H2443" s="23"/>
      <c r="I2443" s="23"/>
      <c r="J2443" s="23"/>
      <c r="K2443" s="23"/>
      <c r="L2443" s="23"/>
      <c r="M2443" s="23"/>
      <c r="N2443" s="23"/>
      <c r="O2443" s="23"/>
      <c r="P2443" s="23"/>
      <c r="Q2443" s="23"/>
      <c r="R2443" s="23"/>
      <c r="S2443" s="23"/>
      <c r="T2443" s="23"/>
      <c r="U2443" s="23"/>
    </row>
    <row r="2444">
      <c r="A2444" s="20"/>
      <c r="B2444" s="20"/>
      <c r="C2444" s="30"/>
      <c r="D2444" s="30"/>
      <c r="E2444" s="30"/>
      <c r="F2444" s="22"/>
      <c r="G2444" s="23"/>
      <c r="H2444" s="23"/>
      <c r="I2444" s="23"/>
      <c r="J2444" s="23"/>
      <c r="K2444" s="23"/>
      <c r="L2444" s="23"/>
      <c r="M2444" s="23"/>
      <c r="N2444" s="23"/>
      <c r="O2444" s="23"/>
      <c r="P2444" s="23"/>
      <c r="Q2444" s="23"/>
      <c r="R2444" s="23"/>
      <c r="S2444" s="23"/>
      <c r="T2444" s="23"/>
      <c r="U2444" s="23"/>
    </row>
    <row r="2445">
      <c r="A2445" s="20"/>
      <c r="B2445" s="20"/>
      <c r="C2445" s="30"/>
      <c r="D2445" s="30"/>
      <c r="E2445" s="30"/>
      <c r="F2445" s="22"/>
      <c r="G2445" s="23"/>
      <c r="H2445" s="23"/>
      <c r="I2445" s="23"/>
      <c r="J2445" s="23"/>
      <c r="K2445" s="23"/>
      <c r="L2445" s="23"/>
      <c r="M2445" s="23"/>
      <c r="N2445" s="23"/>
      <c r="O2445" s="23"/>
      <c r="P2445" s="23"/>
      <c r="Q2445" s="23"/>
      <c r="R2445" s="23"/>
      <c r="S2445" s="23"/>
      <c r="T2445" s="23"/>
      <c r="U2445" s="23"/>
    </row>
    <row r="2446">
      <c r="A2446" s="20"/>
      <c r="B2446" s="20"/>
      <c r="C2446" s="30"/>
      <c r="D2446" s="30"/>
      <c r="E2446" s="30"/>
      <c r="F2446" s="22"/>
      <c r="G2446" s="23"/>
      <c r="H2446" s="23"/>
      <c r="I2446" s="23"/>
      <c r="J2446" s="23"/>
      <c r="K2446" s="23"/>
      <c r="L2446" s="23"/>
      <c r="M2446" s="23"/>
      <c r="N2446" s="23"/>
      <c r="O2446" s="23"/>
      <c r="P2446" s="23"/>
      <c r="Q2446" s="23"/>
      <c r="R2446" s="23"/>
      <c r="S2446" s="23"/>
      <c r="T2446" s="23"/>
      <c r="U2446" s="23"/>
    </row>
    <row r="2447">
      <c r="A2447" s="20"/>
      <c r="B2447" s="20"/>
      <c r="C2447" s="30"/>
      <c r="D2447" s="30"/>
      <c r="E2447" s="30"/>
      <c r="F2447" s="22"/>
      <c r="G2447" s="23"/>
      <c r="H2447" s="23"/>
      <c r="I2447" s="23"/>
      <c r="J2447" s="23"/>
      <c r="K2447" s="23"/>
      <c r="L2447" s="23"/>
      <c r="M2447" s="23"/>
      <c r="N2447" s="23"/>
      <c r="O2447" s="23"/>
      <c r="P2447" s="23"/>
      <c r="Q2447" s="23"/>
      <c r="R2447" s="23"/>
      <c r="S2447" s="23"/>
      <c r="T2447" s="23"/>
      <c r="U2447" s="23"/>
    </row>
    <row r="2448">
      <c r="A2448" s="20"/>
      <c r="B2448" s="20"/>
      <c r="C2448" s="30"/>
      <c r="D2448" s="30"/>
      <c r="E2448" s="30"/>
      <c r="F2448" s="22"/>
      <c r="G2448" s="23"/>
      <c r="H2448" s="23"/>
      <c r="I2448" s="23"/>
      <c r="J2448" s="23"/>
      <c r="K2448" s="23"/>
      <c r="L2448" s="23"/>
      <c r="M2448" s="23"/>
      <c r="N2448" s="23"/>
      <c r="O2448" s="23"/>
      <c r="P2448" s="23"/>
      <c r="Q2448" s="23"/>
      <c r="R2448" s="23"/>
      <c r="S2448" s="23"/>
      <c r="T2448" s="23"/>
      <c r="U2448" s="23"/>
    </row>
    <row r="2449">
      <c r="A2449" s="20"/>
      <c r="B2449" s="20"/>
      <c r="C2449" s="30"/>
      <c r="D2449" s="30"/>
      <c r="E2449" s="30"/>
      <c r="F2449" s="22"/>
      <c r="G2449" s="23"/>
      <c r="H2449" s="23"/>
      <c r="I2449" s="23"/>
      <c r="J2449" s="23"/>
      <c r="K2449" s="23"/>
      <c r="L2449" s="23"/>
      <c r="M2449" s="23"/>
      <c r="N2449" s="23"/>
      <c r="O2449" s="23"/>
      <c r="P2449" s="23"/>
      <c r="Q2449" s="23"/>
      <c r="R2449" s="23"/>
      <c r="S2449" s="23"/>
      <c r="T2449" s="23"/>
      <c r="U2449" s="23"/>
    </row>
    <row r="2450">
      <c r="A2450" s="20"/>
      <c r="B2450" s="20"/>
      <c r="C2450" s="30"/>
      <c r="D2450" s="30"/>
      <c r="E2450" s="30"/>
      <c r="F2450" s="22"/>
      <c r="G2450" s="23"/>
      <c r="H2450" s="23"/>
      <c r="I2450" s="23"/>
      <c r="J2450" s="23"/>
      <c r="K2450" s="23"/>
      <c r="L2450" s="23"/>
      <c r="M2450" s="23"/>
      <c r="N2450" s="23"/>
      <c r="O2450" s="23"/>
      <c r="P2450" s="23"/>
      <c r="Q2450" s="23"/>
      <c r="R2450" s="23"/>
      <c r="S2450" s="23"/>
      <c r="T2450" s="23"/>
      <c r="U2450" s="23"/>
    </row>
    <row r="2451">
      <c r="A2451" s="20"/>
      <c r="B2451" s="20"/>
      <c r="C2451" s="30"/>
      <c r="D2451" s="30"/>
      <c r="E2451" s="30"/>
      <c r="F2451" s="22"/>
      <c r="G2451" s="23"/>
      <c r="H2451" s="23"/>
      <c r="I2451" s="23"/>
      <c r="J2451" s="23"/>
      <c r="K2451" s="23"/>
      <c r="L2451" s="23"/>
      <c r="M2451" s="23"/>
      <c r="N2451" s="23"/>
      <c r="O2451" s="23"/>
      <c r="P2451" s="23"/>
      <c r="Q2451" s="23"/>
      <c r="R2451" s="23"/>
      <c r="S2451" s="23"/>
      <c r="T2451" s="23"/>
      <c r="U2451" s="23"/>
    </row>
    <row r="2452">
      <c r="A2452" s="20"/>
      <c r="B2452" s="20"/>
      <c r="C2452" s="30"/>
      <c r="D2452" s="30"/>
      <c r="E2452" s="30"/>
      <c r="F2452" s="22"/>
      <c r="G2452" s="23"/>
      <c r="H2452" s="23"/>
      <c r="I2452" s="23"/>
      <c r="J2452" s="23"/>
      <c r="K2452" s="23"/>
      <c r="L2452" s="23"/>
      <c r="M2452" s="23"/>
      <c r="N2452" s="23"/>
      <c r="O2452" s="23"/>
      <c r="P2452" s="23"/>
      <c r="Q2452" s="23"/>
      <c r="R2452" s="23"/>
      <c r="S2452" s="23"/>
      <c r="T2452" s="23"/>
      <c r="U2452" s="23"/>
    </row>
    <row r="2453">
      <c r="A2453" s="20"/>
      <c r="B2453" s="20"/>
      <c r="C2453" s="30"/>
      <c r="D2453" s="30"/>
      <c r="E2453" s="30"/>
      <c r="F2453" s="22"/>
      <c r="G2453" s="23"/>
      <c r="H2453" s="23"/>
      <c r="I2453" s="23"/>
      <c r="J2453" s="23"/>
      <c r="K2453" s="23"/>
      <c r="L2453" s="23"/>
      <c r="M2453" s="23"/>
      <c r="N2453" s="23"/>
      <c r="O2453" s="23"/>
      <c r="P2453" s="23"/>
      <c r="Q2453" s="23"/>
      <c r="R2453" s="23"/>
      <c r="S2453" s="23"/>
      <c r="T2453" s="23"/>
      <c r="U2453" s="23"/>
    </row>
    <row r="2454">
      <c r="A2454" s="20"/>
      <c r="B2454" s="20"/>
      <c r="C2454" s="30"/>
      <c r="D2454" s="30"/>
      <c r="E2454" s="30"/>
      <c r="F2454" s="22"/>
      <c r="G2454" s="23"/>
      <c r="H2454" s="23"/>
      <c r="I2454" s="23"/>
      <c r="J2454" s="23"/>
      <c r="K2454" s="23"/>
      <c r="L2454" s="23"/>
      <c r="M2454" s="23"/>
      <c r="N2454" s="23"/>
      <c r="O2454" s="23"/>
      <c r="P2454" s="23"/>
      <c r="Q2454" s="23"/>
      <c r="R2454" s="23"/>
      <c r="S2454" s="23"/>
      <c r="T2454" s="23"/>
      <c r="U2454" s="23"/>
    </row>
    <row r="2455">
      <c r="A2455" s="20"/>
      <c r="B2455" s="20"/>
      <c r="C2455" s="30"/>
      <c r="D2455" s="30"/>
      <c r="E2455" s="30"/>
      <c r="F2455" s="22"/>
      <c r="G2455" s="23"/>
      <c r="H2455" s="23"/>
      <c r="I2455" s="23"/>
      <c r="J2455" s="23"/>
      <c r="K2455" s="23"/>
      <c r="L2455" s="23"/>
      <c r="M2455" s="23"/>
      <c r="N2455" s="23"/>
      <c r="O2455" s="23"/>
      <c r="P2455" s="23"/>
      <c r="Q2455" s="23"/>
      <c r="R2455" s="23"/>
      <c r="S2455" s="23"/>
      <c r="T2455" s="23"/>
      <c r="U2455" s="23"/>
    </row>
    <row r="2456">
      <c r="A2456" s="20"/>
      <c r="B2456" s="20"/>
      <c r="C2456" s="30"/>
      <c r="D2456" s="30"/>
      <c r="E2456" s="30"/>
      <c r="F2456" s="22"/>
      <c r="G2456" s="23"/>
      <c r="H2456" s="23"/>
      <c r="I2456" s="23"/>
      <c r="J2456" s="23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</row>
    <row r="2457">
      <c r="A2457" s="20"/>
      <c r="B2457" s="20"/>
      <c r="C2457" s="30"/>
      <c r="D2457" s="30"/>
      <c r="E2457" s="30"/>
      <c r="F2457" s="22"/>
      <c r="G2457" s="23"/>
      <c r="H2457" s="23"/>
      <c r="I2457" s="23"/>
      <c r="J2457" s="23"/>
      <c r="K2457" s="23"/>
      <c r="L2457" s="23"/>
      <c r="M2457" s="23"/>
      <c r="N2457" s="23"/>
      <c r="O2457" s="23"/>
      <c r="P2457" s="23"/>
      <c r="Q2457" s="23"/>
      <c r="R2457" s="23"/>
      <c r="S2457" s="23"/>
      <c r="T2457" s="23"/>
      <c r="U2457" s="23"/>
    </row>
    <row r="2458">
      <c r="A2458" s="20"/>
      <c r="B2458" s="20"/>
      <c r="C2458" s="30"/>
      <c r="D2458" s="30"/>
      <c r="E2458" s="30"/>
      <c r="F2458" s="22"/>
      <c r="G2458" s="23"/>
      <c r="H2458" s="23"/>
      <c r="I2458" s="23"/>
      <c r="J2458" s="23"/>
      <c r="K2458" s="23"/>
      <c r="L2458" s="23"/>
      <c r="M2458" s="23"/>
      <c r="N2458" s="23"/>
      <c r="O2458" s="23"/>
      <c r="P2458" s="23"/>
      <c r="Q2458" s="23"/>
      <c r="R2458" s="23"/>
      <c r="S2458" s="23"/>
      <c r="T2458" s="23"/>
      <c r="U2458" s="23"/>
    </row>
    <row r="2459">
      <c r="A2459" s="20"/>
      <c r="B2459" s="20"/>
      <c r="C2459" s="30"/>
      <c r="D2459" s="30"/>
      <c r="E2459" s="30"/>
      <c r="F2459" s="22"/>
      <c r="G2459" s="23"/>
      <c r="H2459" s="23"/>
      <c r="I2459" s="23"/>
      <c r="J2459" s="23"/>
      <c r="K2459" s="23"/>
      <c r="L2459" s="23"/>
      <c r="M2459" s="23"/>
      <c r="N2459" s="23"/>
      <c r="O2459" s="23"/>
      <c r="P2459" s="23"/>
      <c r="Q2459" s="23"/>
      <c r="R2459" s="23"/>
      <c r="S2459" s="23"/>
      <c r="T2459" s="23"/>
      <c r="U2459" s="23"/>
    </row>
    <row r="2460">
      <c r="A2460" s="20"/>
      <c r="B2460" s="20"/>
      <c r="C2460" s="30"/>
      <c r="D2460" s="30"/>
      <c r="E2460" s="30"/>
      <c r="F2460" s="22"/>
      <c r="G2460" s="23"/>
      <c r="H2460" s="23"/>
      <c r="I2460" s="23"/>
      <c r="J2460" s="23"/>
      <c r="K2460" s="23"/>
      <c r="L2460" s="23"/>
      <c r="M2460" s="23"/>
      <c r="N2460" s="23"/>
      <c r="O2460" s="23"/>
      <c r="P2460" s="23"/>
      <c r="Q2460" s="23"/>
      <c r="R2460" s="23"/>
      <c r="S2460" s="23"/>
      <c r="T2460" s="23"/>
      <c r="U2460" s="23"/>
    </row>
    <row r="2461">
      <c r="A2461" s="20"/>
      <c r="B2461" s="20"/>
      <c r="C2461" s="30"/>
      <c r="D2461" s="30"/>
      <c r="E2461" s="30"/>
      <c r="F2461" s="22"/>
      <c r="G2461" s="23"/>
      <c r="H2461" s="23"/>
      <c r="I2461" s="23"/>
      <c r="J2461" s="23"/>
      <c r="K2461" s="23"/>
      <c r="L2461" s="23"/>
      <c r="M2461" s="23"/>
      <c r="N2461" s="23"/>
      <c r="O2461" s="23"/>
      <c r="P2461" s="23"/>
      <c r="Q2461" s="23"/>
      <c r="R2461" s="23"/>
      <c r="S2461" s="23"/>
      <c r="T2461" s="23"/>
      <c r="U2461" s="23"/>
    </row>
    <row r="2462">
      <c r="A2462" s="20"/>
      <c r="B2462" s="20"/>
      <c r="C2462" s="30"/>
      <c r="D2462" s="30"/>
      <c r="E2462" s="30"/>
      <c r="F2462" s="22"/>
      <c r="G2462" s="23"/>
      <c r="H2462" s="23"/>
      <c r="I2462" s="23"/>
      <c r="J2462" s="23"/>
      <c r="K2462" s="23"/>
      <c r="L2462" s="23"/>
      <c r="M2462" s="23"/>
      <c r="N2462" s="23"/>
      <c r="O2462" s="23"/>
      <c r="P2462" s="23"/>
      <c r="Q2462" s="23"/>
      <c r="R2462" s="23"/>
      <c r="S2462" s="23"/>
      <c r="T2462" s="23"/>
      <c r="U2462" s="23"/>
    </row>
    <row r="2463">
      <c r="A2463" s="20"/>
      <c r="B2463" s="20"/>
      <c r="C2463" s="30"/>
      <c r="D2463" s="30"/>
      <c r="E2463" s="30"/>
      <c r="F2463" s="22"/>
      <c r="G2463" s="23"/>
      <c r="H2463" s="23"/>
      <c r="I2463" s="23"/>
      <c r="J2463" s="23"/>
      <c r="K2463" s="23"/>
      <c r="L2463" s="23"/>
      <c r="M2463" s="23"/>
      <c r="N2463" s="23"/>
      <c r="O2463" s="23"/>
      <c r="P2463" s="23"/>
      <c r="Q2463" s="23"/>
      <c r="R2463" s="23"/>
      <c r="S2463" s="23"/>
      <c r="T2463" s="23"/>
      <c r="U2463" s="23"/>
    </row>
    <row r="2464">
      <c r="A2464" s="20"/>
      <c r="B2464" s="20"/>
      <c r="C2464" s="30"/>
      <c r="D2464" s="30"/>
      <c r="E2464" s="30"/>
      <c r="F2464" s="22"/>
      <c r="G2464" s="23"/>
      <c r="H2464" s="23"/>
      <c r="I2464" s="23"/>
      <c r="J2464" s="23"/>
      <c r="K2464" s="23"/>
      <c r="L2464" s="23"/>
      <c r="M2464" s="23"/>
      <c r="N2464" s="23"/>
      <c r="O2464" s="23"/>
      <c r="P2464" s="23"/>
      <c r="Q2464" s="23"/>
      <c r="R2464" s="23"/>
      <c r="S2464" s="23"/>
      <c r="T2464" s="23"/>
      <c r="U2464" s="23"/>
    </row>
    <row r="2465">
      <c r="A2465" s="20"/>
      <c r="B2465" s="20"/>
      <c r="C2465" s="30"/>
      <c r="D2465" s="30"/>
      <c r="E2465" s="30"/>
      <c r="F2465" s="22"/>
      <c r="G2465" s="23"/>
      <c r="H2465" s="23"/>
      <c r="I2465" s="23"/>
      <c r="J2465" s="23"/>
      <c r="K2465" s="23"/>
      <c r="L2465" s="23"/>
      <c r="M2465" s="23"/>
      <c r="N2465" s="23"/>
      <c r="O2465" s="23"/>
      <c r="P2465" s="23"/>
      <c r="Q2465" s="23"/>
      <c r="R2465" s="23"/>
      <c r="S2465" s="23"/>
      <c r="T2465" s="23"/>
      <c r="U2465" s="23"/>
    </row>
    <row r="2466">
      <c r="A2466" s="20"/>
      <c r="B2466" s="20"/>
      <c r="C2466" s="30"/>
      <c r="D2466" s="30"/>
      <c r="E2466" s="30"/>
      <c r="F2466" s="22"/>
      <c r="G2466" s="23"/>
      <c r="H2466" s="23"/>
      <c r="I2466" s="23"/>
      <c r="J2466" s="23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</row>
    <row r="2467">
      <c r="A2467" s="20"/>
      <c r="B2467" s="20"/>
      <c r="C2467" s="30"/>
      <c r="D2467" s="30"/>
      <c r="E2467" s="30"/>
      <c r="F2467" s="22"/>
      <c r="G2467" s="23"/>
      <c r="H2467" s="23"/>
      <c r="I2467" s="23"/>
      <c r="J2467" s="23"/>
      <c r="K2467" s="23"/>
      <c r="L2467" s="23"/>
      <c r="M2467" s="23"/>
      <c r="N2467" s="23"/>
      <c r="O2467" s="23"/>
      <c r="P2467" s="23"/>
      <c r="Q2467" s="23"/>
      <c r="R2467" s="23"/>
      <c r="S2467" s="23"/>
      <c r="T2467" s="23"/>
      <c r="U2467" s="23"/>
    </row>
    <row r="2468">
      <c r="A2468" s="20"/>
      <c r="B2468" s="20"/>
      <c r="C2468" s="30"/>
      <c r="D2468" s="30"/>
      <c r="E2468" s="30"/>
      <c r="F2468" s="22"/>
      <c r="G2468" s="23"/>
      <c r="H2468" s="23"/>
      <c r="I2468" s="23"/>
      <c r="J2468" s="23"/>
      <c r="K2468" s="23"/>
      <c r="L2468" s="23"/>
      <c r="M2468" s="23"/>
      <c r="N2468" s="23"/>
      <c r="O2468" s="23"/>
      <c r="P2468" s="23"/>
      <c r="Q2468" s="23"/>
      <c r="R2468" s="23"/>
      <c r="S2468" s="23"/>
      <c r="T2468" s="23"/>
      <c r="U2468" s="23"/>
    </row>
    <row r="2469">
      <c r="A2469" s="20"/>
      <c r="B2469" s="20"/>
      <c r="C2469" s="30"/>
      <c r="D2469" s="30"/>
      <c r="E2469" s="30"/>
      <c r="F2469" s="22"/>
      <c r="G2469" s="23"/>
      <c r="H2469" s="23"/>
      <c r="I2469" s="23"/>
      <c r="J2469" s="23"/>
      <c r="K2469" s="23"/>
      <c r="L2469" s="23"/>
      <c r="M2469" s="23"/>
      <c r="N2469" s="23"/>
      <c r="O2469" s="23"/>
      <c r="P2469" s="23"/>
      <c r="Q2469" s="23"/>
      <c r="R2469" s="23"/>
      <c r="S2469" s="23"/>
      <c r="T2469" s="23"/>
      <c r="U2469" s="23"/>
    </row>
    <row r="2470">
      <c r="A2470" s="20"/>
      <c r="B2470" s="20"/>
      <c r="C2470" s="30"/>
      <c r="D2470" s="30"/>
      <c r="E2470" s="30"/>
      <c r="F2470" s="22"/>
      <c r="G2470" s="23"/>
      <c r="H2470" s="23"/>
      <c r="I2470" s="23"/>
      <c r="J2470" s="23"/>
      <c r="K2470" s="23"/>
      <c r="L2470" s="23"/>
      <c r="M2470" s="23"/>
      <c r="N2470" s="23"/>
      <c r="O2470" s="23"/>
      <c r="P2470" s="23"/>
      <c r="Q2470" s="23"/>
      <c r="R2470" s="23"/>
      <c r="S2470" s="23"/>
      <c r="T2470" s="23"/>
      <c r="U2470" s="23"/>
    </row>
    <row r="2471">
      <c r="A2471" s="20"/>
      <c r="B2471" s="20"/>
      <c r="C2471" s="30"/>
      <c r="D2471" s="30"/>
      <c r="E2471" s="30"/>
      <c r="F2471" s="22"/>
      <c r="G2471" s="23"/>
      <c r="H2471" s="23"/>
      <c r="I2471" s="23"/>
      <c r="J2471" s="23"/>
      <c r="K2471" s="23"/>
      <c r="L2471" s="23"/>
      <c r="M2471" s="23"/>
      <c r="N2471" s="23"/>
      <c r="O2471" s="23"/>
      <c r="P2471" s="23"/>
      <c r="Q2471" s="23"/>
      <c r="R2471" s="23"/>
      <c r="S2471" s="23"/>
      <c r="T2471" s="23"/>
      <c r="U2471" s="23"/>
    </row>
    <row r="2472">
      <c r="A2472" s="20"/>
      <c r="B2472" s="20"/>
      <c r="C2472" s="30"/>
      <c r="D2472" s="30"/>
      <c r="E2472" s="30"/>
      <c r="F2472" s="22"/>
      <c r="G2472" s="23"/>
      <c r="H2472" s="23"/>
      <c r="I2472" s="23"/>
      <c r="J2472" s="23"/>
      <c r="K2472" s="23"/>
      <c r="L2472" s="23"/>
      <c r="M2472" s="23"/>
      <c r="N2472" s="23"/>
      <c r="O2472" s="23"/>
      <c r="P2472" s="23"/>
      <c r="Q2472" s="23"/>
      <c r="R2472" s="23"/>
      <c r="S2472" s="23"/>
      <c r="T2472" s="23"/>
      <c r="U2472" s="23"/>
    </row>
    <row r="2473">
      <c r="A2473" s="20"/>
      <c r="B2473" s="20"/>
      <c r="C2473" s="30"/>
      <c r="D2473" s="30"/>
      <c r="E2473" s="30"/>
      <c r="F2473" s="22"/>
      <c r="G2473" s="23"/>
      <c r="H2473" s="23"/>
      <c r="I2473" s="23"/>
      <c r="J2473" s="23"/>
      <c r="K2473" s="23"/>
      <c r="L2473" s="23"/>
      <c r="M2473" s="23"/>
      <c r="N2473" s="23"/>
      <c r="O2473" s="23"/>
      <c r="P2473" s="23"/>
      <c r="Q2473" s="23"/>
      <c r="R2473" s="23"/>
      <c r="S2473" s="23"/>
      <c r="T2473" s="23"/>
      <c r="U2473" s="23"/>
    </row>
    <row r="2474">
      <c r="A2474" s="20"/>
      <c r="B2474" s="20"/>
      <c r="C2474" s="30"/>
      <c r="D2474" s="30"/>
      <c r="E2474" s="30"/>
      <c r="F2474" s="22"/>
      <c r="G2474" s="23"/>
      <c r="H2474" s="23"/>
      <c r="I2474" s="23"/>
      <c r="J2474" s="23"/>
      <c r="K2474" s="23"/>
      <c r="L2474" s="23"/>
      <c r="M2474" s="23"/>
      <c r="N2474" s="23"/>
      <c r="O2474" s="23"/>
      <c r="P2474" s="23"/>
      <c r="Q2474" s="23"/>
      <c r="R2474" s="23"/>
      <c r="S2474" s="23"/>
      <c r="T2474" s="23"/>
      <c r="U2474" s="23"/>
    </row>
    <row r="2475">
      <c r="A2475" s="20"/>
      <c r="B2475" s="20"/>
      <c r="C2475" s="30"/>
      <c r="D2475" s="30"/>
      <c r="E2475" s="30"/>
      <c r="F2475" s="22"/>
      <c r="G2475" s="23"/>
      <c r="H2475" s="23"/>
      <c r="I2475" s="23"/>
      <c r="J2475" s="23"/>
      <c r="K2475" s="23"/>
      <c r="L2475" s="23"/>
      <c r="M2475" s="23"/>
      <c r="N2475" s="23"/>
      <c r="O2475" s="23"/>
      <c r="P2475" s="23"/>
      <c r="Q2475" s="23"/>
      <c r="R2475" s="23"/>
      <c r="S2475" s="23"/>
      <c r="T2475" s="23"/>
      <c r="U2475" s="23"/>
    </row>
    <row r="2476">
      <c r="A2476" s="20"/>
      <c r="B2476" s="20"/>
      <c r="C2476" s="30"/>
      <c r="D2476" s="30"/>
      <c r="E2476" s="30"/>
      <c r="F2476" s="22"/>
      <c r="G2476" s="23"/>
      <c r="H2476" s="23"/>
      <c r="I2476" s="23"/>
      <c r="J2476" s="23"/>
      <c r="K2476" s="23"/>
      <c r="L2476" s="23"/>
      <c r="M2476" s="23"/>
      <c r="N2476" s="23"/>
      <c r="O2476" s="23"/>
      <c r="P2476" s="23"/>
      <c r="Q2476" s="23"/>
      <c r="R2476" s="23"/>
      <c r="S2476" s="23"/>
      <c r="T2476" s="23"/>
      <c r="U2476" s="23"/>
    </row>
    <row r="2477">
      <c r="A2477" s="20"/>
      <c r="B2477" s="20"/>
      <c r="C2477" s="30"/>
      <c r="D2477" s="30"/>
      <c r="E2477" s="30"/>
      <c r="F2477" s="22"/>
      <c r="G2477" s="23"/>
      <c r="H2477" s="23"/>
      <c r="I2477" s="23"/>
      <c r="J2477" s="23"/>
      <c r="K2477" s="23"/>
      <c r="L2477" s="23"/>
      <c r="M2477" s="23"/>
      <c r="N2477" s="23"/>
      <c r="O2477" s="23"/>
      <c r="P2477" s="23"/>
      <c r="Q2477" s="23"/>
      <c r="R2477" s="23"/>
      <c r="S2477" s="23"/>
      <c r="T2477" s="23"/>
      <c r="U2477" s="23"/>
    </row>
    <row r="2478">
      <c r="A2478" s="20"/>
      <c r="B2478" s="20"/>
      <c r="C2478" s="30"/>
      <c r="D2478" s="30"/>
      <c r="E2478" s="30"/>
      <c r="F2478" s="22"/>
      <c r="G2478" s="23"/>
      <c r="H2478" s="23"/>
      <c r="I2478" s="23"/>
      <c r="J2478" s="23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</row>
    <row r="2479">
      <c r="A2479" s="20"/>
      <c r="B2479" s="20"/>
      <c r="C2479" s="30"/>
      <c r="D2479" s="30"/>
      <c r="E2479" s="30"/>
      <c r="F2479" s="22"/>
      <c r="G2479" s="23"/>
      <c r="H2479" s="23"/>
      <c r="I2479" s="23"/>
      <c r="J2479" s="23"/>
      <c r="K2479" s="23"/>
      <c r="L2479" s="23"/>
      <c r="M2479" s="23"/>
      <c r="N2479" s="23"/>
      <c r="O2479" s="23"/>
      <c r="P2479" s="23"/>
      <c r="Q2479" s="23"/>
      <c r="R2479" s="23"/>
      <c r="S2479" s="23"/>
      <c r="T2479" s="23"/>
      <c r="U2479" s="23"/>
    </row>
    <row r="2480">
      <c r="A2480" s="20"/>
      <c r="B2480" s="20"/>
      <c r="C2480" s="30"/>
      <c r="D2480" s="30"/>
      <c r="E2480" s="30"/>
      <c r="F2480" s="22"/>
      <c r="G2480" s="23"/>
      <c r="H2480" s="23"/>
      <c r="I2480" s="23"/>
      <c r="J2480" s="23"/>
      <c r="K2480" s="23"/>
      <c r="L2480" s="23"/>
      <c r="M2480" s="23"/>
      <c r="N2480" s="23"/>
      <c r="O2480" s="23"/>
      <c r="P2480" s="23"/>
      <c r="Q2480" s="23"/>
      <c r="R2480" s="23"/>
      <c r="S2480" s="23"/>
      <c r="T2480" s="23"/>
      <c r="U2480" s="23"/>
    </row>
    <row r="2481">
      <c r="A2481" s="20"/>
      <c r="B2481" s="20"/>
      <c r="C2481" s="30"/>
      <c r="D2481" s="30"/>
      <c r="E2481" s="30"/>
      <c r="F2481" s="22"/>
      <c r="G2481" s="23"/>
      <c r="H2481" s="23"/>
      <c r="I2481" s="23"/>
      <c r="J2481" s="23"/>
      <c r="K2481" s="23"/>
      <c r="L2481" s="23"/>
      <c r="M2481" s="23"/>
      <c r="N2481" s="23"/>
      <c r="O2481" s="23"/>
      <c r="P2481" s="23"/>
      <c r="Q2481" s="23"/>
      <c r="R2481" s="23"/>
      <c r="S2481" s="23"/>
      <c r="T2481" s="23"/>
      <c r="U2481" s="23"/>
    </row>
    <row r="2482">
      <c r="A2482" s="20"/>
      <c r="B2482" s="20"/>
      <c r="C2482" s="30"/>
      <c r="D2482" s="30"/>
      <c r="E2482" s="30"/>
      <c r="F2482" s="22"/>
      <c r="G2482" s="23"/>
      <c r="H2482" s="23"/>
      <c r="I2482" s="23"/>
      <c r="J2482" s="23"/>
      <c r="K2482" s="23"/>
      <c r="L2482" s="23"/>
      <c r="M2482" s="23"/>
      <c r="N2482" s="23"/>
      <c r="O2482" s="23"/>
      <c r="P2482" s="23"/>
      <c r="Q2482" s="23"/>
      <c r="R2482" s="23"/>
      <c r="S2482" s="23"/>
      <c r="T2482" s="23"/>
      <c r="U2482" s="23"/>
    </row>
    <row r="2483">
      <c r="A2483" s="20"/>
      <c r="B2483" s="20"/>
      <c r="C2483" s="30"/>
      <c r="D2483" s="30"/>
      <c r="E2483" s="30"/>
      <c r="F2483" s="22"/>
      <c r="G2483" s="23"/>
      <c r="H2483" s="23"/>
      <c r="I2483" s="23"/>
      <c r="J2483" s="23"/>
      <c r="K2483" s="23"/>
      <c r="L2483" s="23"/>
      <c r="M2483" s="23"/>
      <c r="N2483" s="23"/>
      <c r="O2483" s="23"/>
      <c r="P2483" s="23"/>
      <c r="Q2483" s="23"/>
      <c r="R2483" s="23"/>
      <c r="S2483" s="23"/>
      <c r="T2483" s="23"/>
      <c r="U2483" s="23"/>
    </row>
    <row r="2484">
      <c r="A2484" s="20"/>
      <c r="B2484" s="20"/>
      <c r="C2484" s="30"/>
      <c r="D2484" s="30"/>
      <c r="E2484" s="30"/>
      <c r="F2484" s="22"/>
      <c r="G2484" s="23"/>
      <c r="H2484" s="23"/>
      <c r="I2484" s="23"/>
      <c r="J2484" s="23"/>
      <c r="K2484" s="23"/>
      <c r="L2484" s="23"/>
      <c r="M2484" s="23"/>
      <c r="N2484" s="23"/>
      <c r="O2484" s="23"/>
      <c r="P2484" s="23"/>
      <c r="Q2484" s="23"/>
      <c r="R2484" s="23"/>
      <c r="S2484" s="23"/>
      <c r="T2484" s="23"/>
      <c r="U2484" s="23"/>
    </row>
    <row r="2485">
      <c r="A2485" s="20"/>
      <c r="B2485" s="20"/>
      <c r="C2485" s="30"/>
      <c r="D2485" s="30"/>
      <c r="E2485" s="30"/>
      <c r="F2485" s="22"/>
      <c r="G2485" s="23"/>
      <c r="H2485" s="23"/>
      <c r="I2485" s="23"/>
      <c r="J2485" s="23"/>
      <c r="K2485" s="23"/>
      <c r="L2485" s="23"/>
      <c r="M2485" s="23"/>
      <c r="N2485" s="23"/>
      <c r="O2485" s="23"/>
      <c r="P2485" s="23"/>
      <c r="Q2485" s="23"/>
      <c r="R2485" s="23"/>
      <c r="S2485" s="23"/>
      <c r="T2485" s="23"/>
      <c r="U2485" s="23"/>
    </row>
    <row r="2486">
      <c r="A2486" s="20"/>
      <c r="B2486" s="20"/>
      <c r="C2486" s="30"/>
      <c r="D2486" s="30"/>
      <c r="E2486" s="30"/>
      <c r="F2486" s="22"/>
      <c r="G2486" s="23"/>
      <c r="H2486" s="23"/>
      <c r="I2486" s="23"/>
      <c r="J2486" s="23"/>
      <c r="K2486" s="23"/>
      <c r="L2486" s="23"/>
      <c r="M2486" s="23"/>
      <c r="N2486" s="23"/>
      <c r="O2486" s="23"/>
      <c r="P2486" s="23"/>
      <c r="Q2486" s="23"/>
      <c r="R2486" s="23"/>
      <c r="S2486" s="23"/>
      <c r="T2486" s="23"/>
      <c r="U2486" s="23"/>
    </row>
    <row r="2487">
      <c r="A2487" s="20"/>
      <c r="B2487" s="20"/>
      <c r="C2487" s="30"/>
      <c r="D2487" s="30"/>
      <c r="E2487" s="30"/>
      <c r="F2487" s="22"/>
      <c r="G2487" s="23"/>
      <c r="H2487" s="23"/>
      <c r="I2487" s="23"/>
      <c r="J2487" s="23"/>
      <c r="K2487" s="23"/>
      <c r="L2487" s="23"/>
      <c r="M2487" s="23"/>
      <c r="N2487" s="23"/>
      <c r="O2487" s="23"/>
      <c r="P2487" s="23"/>
      <c r="Q2487" s="23"/>
      <c r="R2487" s="23"/>
      <c r="S2487" s="23"/>
      <c r="T2487" s="23"/>
      <c r="U2487" s="23"/>
    </row>
    <row r="2488">
      <c r="A2488" s="20"/>
      <c r="B2488" s="20"/>
      <c r="C2488" s="30"/>
      <c r="D2488" s="30"/>
      <c r="E2488" s="30"/>
      <c r="F2488" s="22"/>
      <c r="G2488" s="23"/>
      <c r="H2488" s="23"/>
      <c r="I2488" s="23"/>
      <c r="J2488" s="23"/>
      <c r="K2488" s="23"/>
      <c r="L2488" s="23"/>
      <c r="M2488" s="23"/>
      <c r="N2488" s="23"/>
      <c r="O2488" s="23"/>
      <c r="P2488" s="23"/>
      <c r="Q2488" s="23"/>
      <c r="R2488" s="23"/>
      <c r="S2488" s="23"/>
      <c r="T2488" s="23"/>
      <c r="U2488" s="23"/>
    </row>
    <row r="2489">
      <c r="A2489" s="20"/>
      <c r="B2489" s="20"/>
      <c r="C2489" s="30"/>
      <c r="D2489" s="30"/>
      <c r="E2489" s="30"/>
      <c r="F2489" s="22"/>
      <c r="G2489" s="23"/>
      <c r="H2489" s="23"/>
      <c r="I2489" s="23"/>
      <c r="J2489" s="23"/>
      <c r="K2489" s="23"/>
      <c r="L2489" s="23"/>
      <c r="M2489" s="23"/>
      <c r="N2489" s="23"/>
      <c r="O2489" s="23"/>
      <c r="P2489" s="23"/>
      <c r="Q2489" s="23"/>
      <c r="R2489" s="23"/>
      <c r="S2489" s="23"/>
      <c r="T2489" s="23"/>
      <c r="U2489" s="23"/>
    </row>
    <row r="2490">
      <c r="A2490" s="20"/>
      <c r="B2490" s="20"/>
      <c r="C2490" s="30"/>
      <c r="D2490" s="30"/>
      <c r="E2490" s="30"/>
      <c r="F2490" s="22"/>
      <c r="G2490" s="23"/>
      <c r="H2490" s="23"/>
      <c r="I2490" s="23"/>
      <c r="J2490" s="23"/>
      <c r="K2490" s="23"/>
      <c r="L2490" s="23"/>
      <c r="M2490" s="23"/>
      <c r="N2490" s="23"/>
      <c r="O2490" s="23"/>
      <c r="P2490" s="23"/>
      <c r="Q2490" s="23"/>
      <c r="R2490" s="23"/>
      <c r="S2490" s="23"/>
      <c r="T2490" s="23"/>
      <c r="U2490" s="23"/>
    </row>
    <row r="2491">
      <c r="A2491" s="20"/>
      <c r="B2491" s="20"/>
      <c r="C2491" s="30"/>
      <c r="D2491" s="30"/>
      <c r="E2491" s="30"/>
      <c r="F2491" s="22"/>
      <c r="G2491" s="23"/>
      <c r="H2491" s="23"/>
      <c r="I2491" s="23"/>
      <c r="J2491" s="23"/>
      <c r="K2491" s="23"/>
      <c r="L2491" s="23"/>
      <c r="M2491" s="23"/>
      <c r="N2491" s="23"/>
      <c r="O2491" s="23"/>
      <c r="P2491" s="23"/>
      <c r="Q2491" s="23"/>
      <c r="R2491" s="23"/>
      <c r="S2491" s="23"/>
      <c r="T2491" s="23"/>
      <c r="U2491" s="23"/>
    </row>
    <row r="2492">
      <c r="A2492" s="20"/>
      <c r="B2492" s="20"/>
      <c r="C2492" s="30"/>
      <c r="D2492" s="30"/>
      <c r="E2492" s="30"/>
      <c r="F2492" s="22"/>
      <c r="G2492" s="23"/>
      <c r="H2492" s="23"/>
      <c r="I2492" s="23"/>
      <c r="J2492" s="23"/>
      <c r="K2492" s="23"/>
      <c r="L2492" s="23"/>
      <c r="M2492" s="23"/>
      <c r="N2492" s="23"/>
      <c r="O2492" s="23"/>
      <c r="P2492" s="23"/>
      <c r="Q2492" s="23"/>
      <c r="R2492" s="23"/>
      <c r="S2492" s="23"/>
      <c r="T2492" s="23"/>
      <c r="U2492" s="23"/>
    </row>
    <row r="2493">
      <c r="A2493" s="20"/>
      <c r="B2493" s="20"/>
      <c r="C2493" s="30"/>
      <c r="D2493" s="30"/>
      <c r="E2493" s="30"/>
      <c r="F2493" s="22"/>
      <c r="G2493" s="23"/>
      <c r="H2493" s="23"/>
      <c r="I2493" s="23"/>
      <c r="J2493" s="23"/>
      <c r="K2493" s="23"/>
      <c r="L2493" s="23"/>
      <c r="M2493" s="23"/>
      <c r="N2493" s="23"/>
      <c r="O2493" s="23"/>
      <c r="P2493" s="23"/>
      <c r="Q2493" s="23"/>
      <c r="R2493" s="23"/>
      <c r="S2493" s="23"/>
      <c r="T2493" s="23"/>
      <c r="U2493" s="23"/>
    </row>
    <row r="2494">
      <c r="A2494" s="20"/>
      <c r="B2494" s="20"/>
      <c r="C2494" s="30"/>
      <c r="D2494" s="30"/>
      <c r="E2494" s="30"/>
      <c r="F2494" s="22"/>
      <c r="G2494" s="23"/>
      <c r="H2494" s="23"/>
      <c r="I2494" s="23"/>
      <c r="J2494" s="23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</row>
    <row r="2495">
      <c r="A2495" s="20"/>
      <c r="B2495" s="20"/>
      <c r="C2495" s="30"/>
      <c r="D2495" s="30"/>
      <c r="E2495" s="30"/>
      <c r="F2495" s="22"/>
      <c r="G2495" s="23"/>
      <c r="H2495" s="23"/>
      <c r="I2495" s="23"/>
      <c r="J2495" s="23"/>
      <c r="K2495" s="23"/>
      <c r="L2495" s="23"/>
      <c r="M2495" s="23"/>
      <c r="N2495" s="23"/>
      <c r="O2495" s="23"/>
      <c r="P2495" s="23"/>
      <c r="Q2495" s="23"/>
      <c r="R2495" s="23"/>
      <c r="S2495" s="23"/>
      <c r="T2495" s="23"/>
      <c r="U2495" s="23"/>
    </row>
    <row r="2496">
      <c r="A2496" s="20"/>
      <c r="B2496" s="20"/>
      <c r="C2496" s="30"/>
      <c r="D2496" s="30"/>
      <c r="E2496" s="30"/>
      <c r="F2496" s="22"/>
      <c r="G2496" s="23"/>
      <c r="H2496" s="23"/>
      <c r="I2496" s="23"/>
      <c r="J2496" s="23"/>
      <c r="K2496" s="23"/>
      <c r="L2496" s="23"/>
      <c r="M2496" s="23"/>
      <c r="N2496" s="23"/>
      <c r="O2496" s="23"/>
      <c r="P2496" s="23"/>
      <c r="Q2496" s="23"/>
      <c r="R2496" s="23"/>
      <c r="S2496" s="23"/>
      <c r="T2496" s="23"/>
      <c r="U2496" s="23"/>
    </row>
    <row r="2497">
      <c r="A2497" s="20"/>
      <c r="B2497" s="20"/>
      <c r="C2497" s="30"/>
      <c r="D2497" s="30"/>
      <c r="E2497" s="30"/>
      <c r="F2497" s="22"/>
      <c r="G2497" s="23"/>
      <c r="H2497" s="23"/>
      <c r="I2497" s="23"/>
      <c r="J2497" s="23"/>
      <c r="K2497" s="23"/>
      <c r="L2497" s="23"/>
      <c r="M2497" s="23"/>
      <c r="N2497" s="23"/>
      <c r="O2497" s="23"/>
      <c r="P2497" s="23"/>
      <c r="Q2497" s="23"/>
      <c r="R2497" s="23"/>
      <c r="S2497" s="23"/>
      <c r="T2497" s="23"/>
      <c r="U2497" s="23"/>
    </row>
    <row r="2498">
      <c r="A2498" s="20"/>
      <c r="B2498" s="20"/>
      <c r="C2498" s="30"/>
      <c r="D2498" s="30"/>
      <c r="E2498" s="30"/>
      <c r="F2498" s="22"/>
      <c r="G2498" s="23"/>
      <c r="H2498" s="23"/>
      <c r="I2498" s="23"/>
      <c r="J2498" s="23"/>
      <c r="K2498" s="23"/>
      <c r="L2498" s="23"/>
      <c r="M2498" s="23"/>
      <c r="N2498" s="23"/>
      <c r="O2498" s="23"/>
      <c r="P2498" s="23"/>
      <c r="Q2498" s="23"/>
      <c r="R2498" s="23"/>
      <c r="S2498" s="23"/>
      <c r="T2498" s="23"/>
      <c r="U2498" s="23"/>
    </row>
    <row r="2499">
      <c r="A2499" s="20"/>
      <c r="B2499" s="20"/>
      <c r="C2499" s="30"/>
      <c r="D2499" s="30"/>
      <c r="E2499" s="30"/>
      <c r="F2499" s="22"/>
      <c r="G2499" s="23"/>
      <c r="H2499" s="23"/>
      <c r="I2499" s="23"/>
      <c r="J2499" s="23"/>
      <c r="K2499" s="23"/>
      <c r="L2499" s="23"/>
      <c r="M2499" s="23"/>
      <c r="N2499" s="23"/>
      <c r="O2499" s="23"/>
      <c r="P2499" s="23"/>
      <c r="Q2499" s="23"/>
      <c r="R2499" s="23"/>
      <c r="S2499" s="23"/>
      <c r="T2499" s="23"/>
      <c r="U2499" s="23"/>
    </row>
    <row r="2500">
      <c r="A2500" s="20"/>
      <c r="B2500" s="20"/>
      <c r="C2500" s="30"/>
      <c r="D2500" s="30"/>
      <c r="E2500" s="30"/>
      <c r="F2500" s="22"/>
      <c r="G2500" s="23"/>
      <c r="H2500" s="23"/>
      <c r="I2500" s="23"/>
      <c r="J2500" s="23"/>
      <c r="K2500" s="23"/>
      <c r="L2500" s="23"/>
      <c r="M2500" s="23"/>
      <c r="N2500" s="23"/>
      <c r="O2500" s="23"/>
      <c r="P2500" s="23"/>
      <c r="Q2500" s="23"/>
      <c r="R2500" s="23"/>
      <c r="S2500" s="23"/>
      <c r="T2500" s="23"/>
      <c r="U2500" s="23"/>
    </row>
    <row r="2501">
      <c r="A2501" s="20"/>
      <c r="B2501" s="20"/>
      <c r="C2501" s="30"/>
      <c r="D2501" s="30"/>
      <c r="E2501" s="30"/>
      <c r="F2501" s="22"/>
      <c r="G2501" s="23"/>
      <c r="H2501" s="23"/>
      <c r="I2501" s="23"/>
      <c r="J2501" s="23"/>
      <c r="K2501" s="23"/>
      <c r="L2501" s="23"/>
      <c r="M2501" s="23"/>
      <c r="N2501" s="23"/>
      <c r="O2501" s="23"/>
      <c r="P2501" s="23"/>
      <c r="Q2501" s="23"/>
      <c r="R2501" s="23"/>
      <c r="S2501" s="23"/>
      <c r="T2501" s="23"/>
      <c r="U2501" s="23"/>
    </row>
    <row r="2502">
      <c r="A2502" s="20"/>
      <c r="B2502" s="20"/>
      <c r="C2502" s="30"/>
      <c r="D2502" s="30"/>
      <c r="E2502" s="30"/>
      <c r="F2502" s="22"/>
      <c r="G2502" s="23"/>
      <c r="H2502" s="23"/>
      <c r="I2502" s="23"/>
      <c r="J2502" s="23"/>
      <c r="K2502" s="23"/>
      <c r="L2502" s="23"/>
      <c r="M2502" s="23"/>
      <c r="N2502" s="23"/>
      <c r="O2502" s="23"/>
      <c r="P2502" s="23"/>
      <c r="Q2502" s="23"/>
      <c r="R2502" s="23"/>
      <c r="S2502" s="23"/>
      <c r="T2502" s="23"/>
      <c r="U2502" s="23"/>
    </row>
    <row r="2503">
      <c r="A2503" s="20"/>
      <c r="B2503" s="20"/>
      <c r="C2503" s="30"/>
      <c r="D2503" s="30"/>
      <c r="E2503" s="30"/>
      <c r="F2503" s="22"/>
      <c r="G2503" s="23"/>
      <c r="H2503" s="23"/>
      <c r="I2503" s="23"/>
      <c r="J2503" s="23"/>
      <c r="K2503" s="23"/>
      <c r="L2503" s="23"/>
      <c r="M2503" s="23"/>
      <c r="N2503" s="23"/>
      <c r="O2503" s="23"/>
      <c r="P2503" s="23"/>
      <c r="Q2503" s="23"/>
      <c r="R2503" s="23"/>
      <c r="S2503" s="23"/>
      <c r="T2503" s="23"/>
      <c r="U2503" s="23"/>
    </row>
    <row r="2504">
      <c r="A2504" s="20"/>
      <c r="B2504" s="20"/>
      <c r="C2504" s="30"/>
      <c r="D2504" s="30"/>
      <c r="E2504" s="30"/>
      <c r="F2504" s="22"/>
      <c r="G2504" s="23"/>
      <c r="H2504" s="23"/>
      <c r="I2504" s="23"/>
      <c r="J2504" s="23"/>
      <c r="K2504" s="23"/>
      <c r="L2504" s="23"/>
      <c r="M2504" s="23"/>
      <c r="N2504" s="23"/>
      <c r="O2504" s="23"/>
      <c r="P2504" s="23"/>
      <c r="Q2504" s="23"/>
      <c r="R2504" s="23"/>
      <c r="S2504" s="23"/>
      <c r="T2504" s="23"/>
      <c r="U2504" s="23"/>
    </row>
    <row r="2505">
      <c r="A2505" s="20"/>
      <c r="B2505" s="20"/>
      <c r="C2505" s="30"/>
      <c r="D2505" s="30"/>
      <c r="E2505" s="30"/>
      <c r="F2505" s="22"/>
      <c r="G2505" s="23"/>
      <c r="H2505" s="23"/>
      <c r="I2505" s="23"/>
      <c r="J2505" s="23"/>
      <c r="K2505" s="23"/>
      <c r="L2505" s="23"/>
      <c r="M2505" s="23"/>
      <c r="N2505" s="23"/>
      <c r="O2505" s="23"/>
      <c r="P2505" s="23"/>
      <c r="Q2505" s="23"/>
      <c r="R2505" s="23"/>
      <c r="S2505" s="23"/>
      <c r="T2505" s="23"/>
      <c r="U2505" s="23"/>
    </row>
    <row r="2506">
      <c r="A2506" s="20"/>
      <c r="B2506" s="20"/>
      <c r="C2506" s="30"/>
      <c r="D2506" s="30"/>
      <c r="E2506" s="30"/>
      <c r="F2506" s="22"/>
      <c r="G2506" s="23"/>
      <c r="H2506" s="23"/>
      <c r="I2506" s="23"/>
      <c r="J2506" s="23"/>
      <c r="K2506" s="23"/>
      <c r="L2506" s="23"/>
      <c r="M2506" s="23"/>
      <c r="N2506" s="23"/>
      <c r="O2506" s="23"/>
      <c r="P2506" s="23"/>
      <c r="Q2506" s="23"/>
      <c r="R2506" s="23"/>
      <c r="S2506" s="23"/>
      <c r="T2506" s="23"/>
      <c r="U2506" s="23"/>
    </row>
    <row r="2507">
      <c r="A2507" s="20"/>
      <c r="B2507" s="20"/>
      <c r="C2507" s="30"/>
      <c r="D2507" s="30"/>
      <c r="E2507" s="30"/>
      <c r="F2507" s="22"/>
      <c r="G2507" s="23"/>
      <c r="H2507" s="23"/>
      <c r="I2507" s="23"/>
      <c r="J2507" s="23"/>
      <c r="K2507" s="23"/>
      <c r="L2507" s="23"/>
      <c r="M2507" s="23"/>
      <c r="N2507" s="23"/>
      <c r="O2507" s="23"/>
      <c r="P2507" s="23"/>
      <c r="Q2507" s="23"/>
      <c r="R2507" s="23"/>
      <c r="S2507" s="23"/>
      <c r="T2507" s="23"/>
      <c r="U2507" s="23"/>
    </row>
    <row r="2508">
      <c r="A2508" s="20"/>
      <c r="B2508" s="20"/>
      <c r="C2508" s="30"/>
      <c r="D2508" s="30"/>
      <c r="E2508" s="30"/>
      <c r="F2508" s="22"/>
      <c r="G2508" s="23"/>
      <c r="H2508" s="23"/>
      <c r="I2508" s="23"/>
      <c r="J2508" s="23"/>
      <c r="K2508" s="23"/>
      <c r="L2508" s="23"/>
      <c r="M2508" s="23"/>
      <c r="N2508" s="23"/>
      <c r="O2508" s="23"/>
      <c r="P2508" s="23"/>
      <c r="Q2508" s="23"/>
      <c r="R2508" s="23"/>
      <c r="S2508" s="23"/>
      <c r="T2508" s="23"/>
      <c r="U2508" s="23"/>
    </row>
    <row r="2509">
      <c r="A2509" s="20"/>
      <c r="B2509" s="20"/>
      <c r="C2509" s="30"/>
      <c r="D2509" s="30"/>
      <c r="E2509" s="30"/>
      <c r="F2509" s="22"/>
      <c r="G2509" s="23"/>
      <c r="H2509" s="23"/>
      <c r="I2509" s="23"/>
      <c r="J2509" s="23"/>
      <c r="K2509" s="23"/>
      <c r="L2509" s="23"/>
      <c r="M2509" s="23"/>
      <c r="N2509" s="23"/>
      <c r="O2509" s="23"/>
      <c r="P2509" s="23"/>
      <c r="Q2509" s="23"/>
      <c r="R2509" s="23"/>
      <c r="S2509" s="23"/>
      <c r="T2509" s="23"/>
      <c r="U2509" s="23"/>
    </row>
    <row r="2510">
      <c r="A2510" s="20"/>
      <c r="B2510" s="20"/>
      <c r="C2510" s="30"/>
      <c r="D2510" s="30"/>
      <c r="E2510" s="30"/>
      <c r="F2510" s="22"/>
      <c r="G2510" s="23"/>
      <c r="H2510" s="23"/>
      <c r="I2510" s="23"/>
      <c r="J2510" s="23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</row>
    <row r="2511">
      <c r="A2511" s="20"/>
      <c r="B2511" s="20"/>
      <c r="C2511" s="30"/>
      <c r="D2511" s="30"/>
      <c r="E2511" s="30"/>
      <c r="F2511" s="22"/>
      <c r="G2511" s="23"/>
      <c r="H2511" s="23"/>
      <c r="I2511" s="23"/>
      <c r="J2511" s="23"/>
      <c r="K2511" s="23"/>
      <c r="L2511" s="23"/>
      <c r="M2511" s="23"/>
      <c r="N2511" s="23"/>
      <c r="O2511" s="23"/>
      <c r="P2511" s="23"/>
      <c r="Q2511" s="23"/>
      <c r="R2511" s="23"/>
      <c r="S2511" s="23"/>
      <c r="T2511" s="23"/>
      <c r="U2511" s="23"/>
    </row>
    <row r="2512">
      <c r="A2512" s="20"/>
      <c r="B2512" s="20"/>
      <c r="C2512" s="30"/>
      <c r="D2512" s="30"/>
      <c r="E2512" s="30"/>
      <c r="F2512" s="22"/>
      <c r="G2512" s="23"/>
      <c r="H2512" s="23"/>
      <c r="I2512" s="23"/>
      <c r="J2512" s="23"/>
      <c r="K2512" s="23"/>
      <c r="L2512" s="23"/>
      <c r="M2512" s="23"/>
      <c r="N2512" s="23"/>
      <c r="O2512" s="23"/>
      <c r="P2512" s="23"/>
      <c r="Q2512" s="23"/>
      <c r="R2512" s="23"/>
      <c r="S2512" s="23"/>
      <c r="T2512" s="23"/>
      <c r="U2512" s="23"/>
    </row>
    <row r="2513">
      <c r="A2513" s="20"/>
      <c r="B2513" s="20"/>
      <c r="C2513" s="30"/>
      <c r="D2513" s="30"/>
      <c r="E2513" s="30"/>
      <c r="F2513" s="22"/>
      <c r="G2513" s="23"/>
      <c r="H2513" s="23"/>
      <c r="I2513" s="23"/>
      <c r="J2513" s="23"/>
      <c r="K2513" s="23"/>
      <c r="L2513" s="23"/>
      <c r="M2513" s="23"/>
      <c r="N2513" s="23"/>
      <c r="O2513" s="23"/>
      <c r="P2513" s="23"/>
      <c r="Q2513" s="23"/>
      <c r="R2513" s="23"/>
      <c r="S2513" s="23"/>
      <c r="T2513" s="23"/>
      <c r="U2513" s="23"/>
    </row>
    <row r="2514">
      <c r="A2514" s="20"/>
      <c r="B2514" s="20"/>
      <c r="C2514" s="30"/>
      <c r="D2514" s="30"/>
      <c r="E2514" s="30"/>
      <c r="F2514" s="22"/>
      <c r="G2514" s="23"/>
      <c r="H2514" s="23"/>
      <c r="I2514" s="23"/>
      <c r="J2514" s="23"/>
      <c r="K2514" s="23"/>
      <c r="L2514" s="23"/>
      <c r="M2514" s="23"/>
      <c r="N2514" s="23"/>
      <c r="O2514" s="23"/>
      <c r="P2514" s="23"/>
      <c r="Q2514" s="23"/>
      <c r="R2514" s="23"/>
      <c r="S2514" s="23"/>
      <c r="T2514" s="23"/>
      <c r="U2514" s="23"/>
    </row>
    <row r="2515">
      <c r="A2515" s="20"/>
      <c r="B2515" s="20"/>
      <c r="C2515" s="30"/>
      <c r="D2515" s="30"/>
      <c r="E2515" s="30"/>
      <c r="F2515" s="22"/>
      <c r="G2515" s="23"/>
      <c r="H2515" s="23"/>
      <c r="I2515" s="23"/>
      <c r="J2515" s="23"/>
      <c r="K2515" s="23"/>
      <c r="L2515" s="23"/>
      <c r="M2515" s="23"/>
      <c r="N2515" s="23"/>
      <c r="O2515" s="23"/>
      <c r="P2515" s="23"/>
      <c r="Q2515" s="23"/>
      <c r="R2515" s="23"/>
      <c r="S2515" s="23"/>
      <c r="T2515" s="23"/>
      <c r="U2515" s="23"/>
    </row>
    <row r="2516">
      <c r="A2516" s="20"/>
      <c r="B2516" s="20"/>
      <c r="C2516" s="30"/>
      <c r="D2516" s="30"/>
      <c r="E2516" s="30"/>
      <c r="F2516" s="22"/>
      <c r="G2516" s="23"/>
      <c r="H2516" s="23"/>
      <c r="I2516" s="23"/>
      <c r="J2516" s="23"/>
      <c r="K2516" s="23"/>
      <c r="L2516" s="23"/>
      <c r="M2516" s="23"/>
      <c r="N2516" s="23"/>
      <c r="O2516" s="23"/>
      <c r="P2516" s="23"/>
      <c r="Q2516" s="23"/>
      <c r="R2516" s="23"/>
      <c r="S2516" s="23"/>
      <c r="T2516" s="23"/>
      <c r="U2516" s="23"/>
    </row>
    <row r="2517">
      <c r="A2517" s="20"/>
      <c r="B2517" s="20"/>
      <c r="C2517" s="30"/>
      <c r="D2517" s="30"/>
      <c r="E2517" s="30"/>
      <c r="F2517" s="22"/>
      <c r="G2517" s="23"/>
      <c r="H2517" s="23"/>
      <c r="I2517" s="23"/>
      <c r="J2517" s="23"/>
      <c r="K2517" s="23"/>
      <c r="L2517" s="23"/>
      <c r="M2517" s="23"/>
      <c r="N2517" s="23"/>
      <c r="O2517" s="23"/>
      <c r="P2517" s="23"/>
      <c r="Q2517" s="23"/>
      <c r="R2517" s="23"/>
      <c r="S2517" s="23"/>
      <c r="T2517" s="23"/>
      <c r="U2517" s="23"/>
    </row>
    <row r="2518">
      <c r="A2518" s="20"/>
      <c r="B2518" s="20"/>
      <c r="C2518" s="30"/>
      <c r="D2518" s="30"/>
      <c r="E2518" s="30"/>
      <c r="F2518" s="22"/>
      <c r="G2518" s="23"/>
      <c r="H2518" s="23"/>
      <c r="I2518" s="23"/>
      <c r="J2518" s="23"/>
      <c r="K2518" s="23"/>
      <c r="L2518" s="23"/>
      <c r="M2518" s="23"/>
      <c r="N2518" s="23"/>
      <c r="O2518" s="23"/>
      <c r="P2518" s="23"/>
      <c r="Q2518" s="23"/>
      <c r="R2518" s="23"/>
      <c r="S2518" s="23"/>
      <c r="T2518" s="23"/>
      <c r="U2518" s="23"/>
    </row>
    <row r="2519">
      <c r="A2519" s="20"/>
      <c r="B2519" s="20"/>
      <c r="C2519" s="30"/>
      <c r="D2519" s="30"/>
      <c r="E2519" s="30"/>
      <c r="F2519" s="22"/>
      <c r="G2519" s="23"/>
      <c r="H2519" s="23"/>
      <c r="I2519" s="23"/>
      <c r="J2519" s="23"/>
      <c r="K2519" s="23"/>
      <c r="L2519" s="23"/>
      <c r="M2519" s="23"/>
      <c r="N2519" s="23"/>
      <c r="O2519" s="23"/>
      <c r="P2519" s="23"/>
      <c r="Q2519" s="23"/>
      <c r="R2519" s="23"/>
      <c r="S2519" s="23"/>
      <c r="T2519" s="23"/>
      <c r="U2519" s="23"/>
    </row>
    <row r="2520">
      <c r="A2520" s="20"/>
      <c r="B2520" s="20"/>
      <c r="C2520" s="30"/>
      <c r="D2520" s="30"/>
      <c r="E2520" s="30"/>
      <c r="F2520" s="22"/>
      <c r="G2520" s="23"/>
      <c r="H2520" s="23"/>
      <c r="I2520" s="23"/>
      <c r="J2520" s="23"/>
      <c r="K2520" s="23"/>
      <c r="L2520" s="23"/>
      <c r="M2520" s="23"/>
      <c r="N2520" s="23"/>
      <c r="O2520" s="23"/>
      <c r="P2520" s="23"/>
      <c r="Q2520" s="23"/>
      <c r="R2520" s="23"/>
      <c r="S2520" s="23"/>
      <c r="T2520" s="23"/>
      <c r="U2520" s="23"/>
    </row>
    <row r="2521">
      <c r="A2521" s="20"/>
      <c r="B2521" s="20"/>
      <c r="C2521" s="30"/>
      <c r="D2521" s="30"/>
      <c r="E2521" s="30"/>
      <c r="F2521" s="22"/>
      <c r="G2521" s="23"/>
      <c r="H2521" s="23"/>
      <c r="I2521" s="23"/>
      <c r="J2521" s="23"/>
      <c r="K2521" s="23"/>
      <c r="L2521" s="23"/>
      <c r="M2521" s="23"/>
      <c r="N2521" s="23"/>
      <c r="O2521" s="23"/>
      <c r="P2521" s="23"/>
      <c r="Q2521" s="23"/>
      <c r="R2521" s="23"/>
      <c r="S2521" s="23"/>
      <c r="T2521" s="23"/>
      <c r="U2521" s="23"/>
    </row>
    <row r="2522">
      <c r="A2522" s="20"/>
      <c r="B2522" s="20"/>
      <c r="C2522" s="30"/>
      <c r="D2522" s="30"/>
      <c r="E2522" s="30"/>
      <c r="F2522" s="22"/>
      <c r="G2522" s="23"/>
      <c r="H2522" s="23"/>
      <c r="I2522" s="23"/>
      <c r="J2522" s="23"/>
      <c r="K2522" s="23"/>
      <c r="L2522" s="23"/>
      <c r="M2522" s="23"/>
      <c r="N2522" s="23"/>
      <c r="O2522" s="23"/>
      <c r="P2522" s="23"/>
      <c r="Q2522" s="23"/>
      <c r="R2522" s="23"/>
      <c r="S2522" s="23"/>
      <c r="T2522" s="23"/>
      <c r="U2522" s="23"/>
    </row>
    <row r="2523">
      <c r="A2523" s="20"/>
      <c r="B2523" s="20"/>
      <c r="C2523" s="30"/>
      <c r="D2523" s="30"/>
      <c r="E2523" s="30"/>
      <c r="F2523" s="22"/>
      <c r="G2523" s="23"/>
      <c r="H2523" s="23"/>
      <c r="I2523" s="23"/>
      <c r="J2523" s="23"/>
      <c r="K2523" s="23"/>
      <c r="L2523" s="23"/>
      <c r="M2523" s="23"/>
      <c r="N2523" s="23"/>
      <c r="O2523" s="23"/>
      <c r="P2523" s="23"/>
      <c r="Q2523" s="23"/>
      <c r="R2523" s="23"/>
      <c r="S2523" s="23"/>
      <c r="T2523" s="23"/>
      <c r="U2523" s="23"/>
    </row>
    <row r="2524">
      <c r="A2524" s="20"/>
      <c r="B2524" s="20"/>
      <c r="C2524" s="30"/>
      <c r="D2524" s="30"/>
      <c r="E2524" s="30"/>
      <c r="F2524" s="22"/>
      <c r="G2524" s="23"/>
      <c r="H2524" s="23"/>
      <c r="I2524" s="23"/>
      <c r="J2524" s="23"/>
      <c r="K2524" s="23"/>
      <c r="L2524" s="23"/>
      <c r="M2524" s="23"/>
      <c r="N2524" s="23"/>
      <c r="O2524" s="23"/>
      <c r="P2524" s="23"/>
      <c r="Q2524" s="23"/>
      <c r="R2524" s="23"/>
      <c r="S2524" s="23"/>
      <c r="T2524" s="23"/>
      <c r="U2524" s="23"/>
    </row>
    <row r="2525">
      <c r="A2525" s="20"/>
      <c r="B2525" s="20"/>
      <c r="C2525" s="30"/>
      <c r="D2525" s="30"/>
      <c r="E2525" s="30"/>
      <c r="F2525" s="22"/>
      <c r="G2525" s="23"/>
      <c r="H2525" s="23"/>
      <c r="I2525" s="23"/>
      <c r="J2525" s="23"/>
      <c r="K2525" s="23"/>
      <c r="L2525" s="23"/>
      <c r="M2525" s="23"/>
      <c r="N2525" s="23"/>
      <c r="O2525" s="23"/>
      <c r="P2525" s="23"/>
      <c r="Q2525" s="23"/>
      <c r="R2525" s="23"/>
      <c r="S2525" s="23"/>
      <c r="T2525" s="23"/>
      <c r="U2525" s="23"/>
    </row>
    <row r="2526">
      <c r="A2526" s="20"/>
      <c r="B2526" s="20"/>
      <c r="C2526" s="30"/>
      <c r="D2526" s="30"/>
      <c r="E2526" s="30"/>
      <c r="F2526" s="22"/>
      <c r="G2526" s="23"/>
      <c r="H2526" s="23"/>
      <c r="I2526" s="23"/>
      <c r="J2526" s="23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</row>
    <row r="2527">
      <c r="A2527" s="20"/>
      <c r="B2527" s="20"/>
      <c r="C2527" s="30"/>
      <c r="D2527" s="30"/>
      <c r="E2527" s="30"/>
      <c r="F2527" s="22"/>
      <c r="G2527" s="23"/>
      <c r="H2527" s="23"/>
      <c r="I2527" s="23"/>
      <c r="J2527" s="23"/>
      <c r="K2527" s="23"/>
      <c r="L2527" s="23"/>
      <c r="M2527" s="23"/>
      <c r="N2527" s="23"/>
      <c r="O2527" s="23"/>
      <c r="P2527" s="23"/>
      <c r="Q2527" s="23"/>
      <c r="R2527" s="23"/>
      <c r="S2527" s="23"/>
      <c r="T2527" s="23"/>
      <c r="U2527" s="23"/>
    </row>
    <row r="2528">
      <c r="A2528" s="20"/>
      <c r="B2528" s="20"/>
      <c r="C2528" s="30"/>
      <c r="D2528" s="30"/>
      <c r="E2528" s="30"/>
      <c r="F2528" s="22"/>
      <c r="G2528" s="23"/>
      <c r="H2528" s="23"/>
      <c r="I2528" s="23"/>
      <c r="J2528" s="23"/>
      <c r="K2528" s="23"/>
      <c r="L2528" s="23"/>
      <c r="M2528" s="23"/>
      <c r="N2528" s="23"/>
      <c r="O2528" s="23"/>
      <c r="P2528" s="23"/>
      <c r="Q2528" s="23"/>
      <c r="R2528" s="23"/>
      <c r="S2528" s="23"/>
      <c r="T2528" s="23"/>
      <c r="U2528" s="23"/>
    </row>
    <row r="2529">
      <c r="A2529" s="20"/>
      <c r="B2529" s="20"/>
      <c r="C2529" s="30"/>
      <c r="D2529" s="30"/>
      <c r="E2529" s="30"/>
      <c r="F2529" s="22"/>
      <c r="G2529" s="23"/>
      <c r="H2529" s="23"/>
      <c r="I2529" s="23"/>
      <c r="J2529" s="23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</row>
    <row r="2530">
      <c r="A2530" s="20"/>
      <c r="B2530" s="20"/>
      <c r="C2530" s="30"/>
      <c r="D2530" s="30"/>
      <c r="E2530" s="30"/>
      <c r="F2530" s="22"/>
      <c r="G2530" s="23"/>
      <c r="H2530" s="23"/>
      <c r="I2530" s="23"/>
      <c r="J2530" s="23"/>
      <c r="K2530" s="23"/>
      <c r="L2530" s="23"/>
      <c r="M2530" s="23"/>
      <c r="N2530" s="23"/>
      <c r="O2530" s="23"/>
      <c r="P2530" s="23"/>
      <c r="Q2530" s="23"/>
      <c r="R2530" s="23"/>
      <c r="S2530" s="23"/>
      <c r="T2530" s="23"/>
      <c r="U2530" s="23"/>
    </row>
    <row r="2531">
      <c r="A2531" s="20"/>
      <c r="B2531" s="20"/>
      <c r="C2531" s="30"/>
      <c r="D2531" s="30"/>
      <c r="E2531" s="30"/>
      <c r="F2531" s="22"/>
      <c r="G2531" s="23"/>
      <c r="H2531" s="23"/>
      <c r="I2531" s="23"/>
      <c r="J2531" s="23"/>
      <c r="K2531" s="23"/>
      <c r="L2531" s="23"/>
      <c r="M2531" s="23"/>
      <c r="N2531" s="23"/>
      <c r="O2531" s="23"/>
      <c r="P2531" s="23"/>
      <c r="Q2531" s="23"/>
      <c r="R2531" s="23"/>
      <c r="S2531" s="23"/>
      <c r="T2531" s="23"/>
      <c r="U2531" s="23"/>
    </row>
    <row r="2532">
      <c r="A2532" s="20"/>
      <c r="B2532" s="20"/>
      <c r="C2532" s="30"/>
      <c r="D2532" s="30"/>
      <c r="E2532" s="30"/>
      <c r="F2532" s="22"/>
      <c r="G2532" s="23"/>
      <c r="H2532" s="23"/>
      <c r="I2532" s="23"/>
      <c r="J2532" s="23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</row>
    <row r="2533">
      <c r="A2533" s="20"/>
      <c r="B2533" s="20"/>
      <c r="C2533" s="30"/>
      <c r="D2533" s="30"/>
      <c r="E2533" s="30"/>
      <c r="F2533" s="22"/>
      <c r="G2533" s="23"/>
      <c r="H2533" s="23"/>
      <c r="I2533" s="23"/>
      <c r="J2533" s="23"/>
      <c r="K2533" s="23"/>
      <c r="L2533" s="23"/>
      <c r="M2533" s="23"/>
      <c r="N2533" s="23"/>
      <c r="O2533" s="23"/>
      <c r="P2533" s="23"/>
      <c r="Q2533" s="23"/>
      <c r="R2533" s="23"/>
      <c r="S2533" s="23"/>
      <c r="T2533" s="23"/>
      <c r="U2533" s="23"/>
    </row>
    <row r="2534">
      <c r="A2534" s="20"/>
      <c r="B2534" s="20"/>
      <c r="C2534" s="30"/>
      <c r="D2534" s="30"/>
      <c r="E2534" s="30"/>
      <c r="F2534" s="22"/>
      <c r="G2534" s="23"/>
      <c r="H2534" s="23"/>
      <c r="I2534" s="23"/>
      <c r="J2534" s="23"/>
      <c r="K2534" s="23"/>
      <c r="L2534" s="23"/>
      <c r="M2534" s="23"/>
      <c r="N2534" s="23"/>
      <c r="O2534" s="23"/>
      <c r="P2534" s="23"/>
      <c r="Q2534" s="23"/>
      <c r="R2534" s="23"/>
      <c r="S2534" s="23"/>
      <c r="T2534" s="23"/>
      <c r="U2534" s="23"/>
    </row>
    <row r="2535">
      <c r="A2535" s="20"/>
      <c r="B2535" s="20"/>
      <c r="C2535" s="30"/>
      <c r="D2535" s="30"/>
      <c r="E2535" s="30"/>
      <c r="F2535" s="22"/>
      <c r="G2535" s="23"/>
      <c r="H2535" s="23"/>
      <c r="I2535" s="23"/>
      <c r="J2535" s="23"/>
      <c r="K2535" s="23"/>
      <c r="L2535" s="23"/>
      <c r="M2535" s="23"/>
      <c r="N2535" s="23"/>
      <c r="O2535" s="23"/>
      <c r="P2535" s="23"/>
      <c r="Q2535" s="23"/>
      <c r="R2535" s="23"/>
      <c r="S2535" s="23"/>
      <c r="T2535" s="23"/>
      <c r="U2535" s="23"/>
    </row>
    <row r="2536">
      <c r="A2536" s="20"/>
      <c r="B2536" s="20"/>
      <c r="C2536" s="30"/>
      <c r="D2536" s="30"/>
      <c r="E2536" s="30"/>
      <c r="F2536" s="22"/>
      <c r="G2536" s="23"/>
      <c r="H2536" s="23"/>
      <c r="I2536" s="23"/>
      <c r="J2536" s="23"/>
      <c r="K2536" s="23"/>
      <c r="L2536" s="23"/>
      <c r="M2536" s="23"/>
      <c r="N2536" s="23"/>
      <c r="O2536" s="23"/>
      <c r="P2536" s="23"/>
      <c r="Q2536" s="23"/>
      <c r="R2536" s="23"/>
      <c r="S2536" s="23"/>
      <c r="T2536" s="23"/>
      <c r="U2536" s="23"/>
    </row>
    <row r="2537">
      <c r="A2537" s="20"/>
      <c r="B2537" s="20"/>
      <c r="C2537" s="30"/>
      <c r="D2537" s="30"/>
      <c r="E2537" s="30"/>
      <c r="F2537" s="22"/>
      <c r="G2537" s="23"/>
      <c r="H2537" s="23"/>
      <c r="I2537" s="23"/>
      <c r="J2537" s="23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</row>
    <row r="2538">
      <c r="A2538" s="20"/>
      <c r="B2538" s="20"/>
      <c r="C2538" s="30"/>
      <c r="D2538" s="30"/>
      <c r="E2538" s="30"/>
      <c r="F2538" s="22"/>
      <c r="G2538" s="23"/>
      <c r="H2538" s="23"/>
      <c r="I2538" s="23"/>
      <c r="J2538" s="23"/>
      <c r="K2538" s="23"/>
      <c r="L2538" s="23"/>
      <c r="M2538" s="23"/>
      <c r="N2538" s="23"/>
      <c r="O2538" s="23"/>
      <c r="P2538" s="23"/>
      <c r="Q2538" s="23"/>
      <c r="R2538" s="23"/>
      <c r="S2538" s="23"/>
      <c r="T2538" s="23"/>
      <c r="U2538" s="23"/>
    </row>
    <row r="2539">
      <c r="A2539" s="20"/>
      <c r="B2539" s="20"/>
      <c r="C2539" s="30"/>
      <c r="D2539" s="30"/>
      <c r="E2539" s="30"/>
      <c r="F2539" s="22"/>
      <c r="G2539" s="23"/>
      <c r="H2539" s="23"/>
      <c r="I2539" s="23"/>
      <c r="J2539" s="23"/>
      <c r="K2539" s="23"/>
      <c r="L2539" s="23"/>
      <c r="M2539" s="23"/>
      <c r="N2539" s="23"/>
      <c r="O2539" s="23"/>
      <c r="P2539" s="23"/>
      <c r="Q2539" s="23"/>
      <c r="R2539" s="23"/>
      <c r="S2539" s="23"/>
      <c r="T2539" s="23"/>
      <c r="U2539" s="23"/>
    </row>
    <row r="2540">
      <c r="A2540" s="20"/>
      <c r="B2540" s="20"/>
      <c r="C2540" s="30"/>
      <c r="D2540" s="30"/>
      <c r="E2540" s="30"/>
      <c r="F2540" s="22"/>
      <c r="G2540" s="23"/>
      <c r="H2540" s="23"/>
      <c r="I2540" s="23"/>
      <c r="J2540" s="23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</row>
    <row r="2541">
      <c r="A2541" s="20"/>
      <c r="B2541" s="20"/>
      <c r="C2541" s="30"/>
      <c r="D2541" s="30"/>
      <c r="E2541" s="30"/>
      <c r="F2541" s="22"/>
      <c r="G2541" s="23"/>
      <c r="H2541" s="23"/>
      <c r="I2541" s="23"/>
      <c r="J2541" s="23"/>
      <c r="K2541" s="23"/>
      <c r="L2541" s="23"/>
      <c r="M2541" s="23"/>
      <c r="N2541" s="23"/>
      <c r="O2541" s="23"/>
      <c r="P2541" s="23"/>
      <c r="Q2541" s="23"/>
      <c r="R2541" s="23"/>
      <c r="S2541" s="23"/>
      <c r="T2541" s="23"/>
      <c r="U2541" s="23"/>
    </row>
    <row r="2542">
      <c r="A2542" s="20"/>
      <c r="B2542" s="20"/>
      <c r="C2542" s="30"/>
      <c r="D2542" s="30"/>
      <c r="E2542" s="30"/>
      <c r="F2542" s="22"/>
      <c r="G2542" s="23"/>
      <c r="H2542" s="23"/>
      <c r="I2542" s="23"/>
      <c r="J2542" s="23"/>
      <c r="K2542" s="23"/>
      <c r="L2542" s="23"/>
      <c r="M2542" s="23"/>
      <c r="N2542" s="23"/>
      <c r="O2542" s="23"/>
      <c r="P2542" s="23"/>
      <c r="Q2542" s="23"/>
      <c r="R2542" s="23"/>
      <c r="S2542" s="23"/>
      <c r="T2542" s="23"/>
      <c r="U2542" s="23"/>
    </row>
    <row r="2543">
      <c r="A2543" s="20"/>
      <c r="B2543" s="20"/>
      <c r="C2543" s="30"/>
      <c r="D2543" s="30"/>
      <c r="E2543" s="30"/>
      <c r="F2543" s="22"/>
      <c r="G2543" s="23"/>
      <c r="H2543" s="23"/>
      <c r="I2543" s="23"/>
      <c r="J2543" s="23"/>
      <c r="K2543" s="23"/>
      <c r="L2543" s="23"/>
      <c r="M2543" s="23"/>
      <c r="N2543" s="23"/>
      <c r="O2543" s="23"/>
      <c r="P2543" s="23"/>
      <c r="Q2543" s="23"/>
      <c r="R2543" s="23"/>
      <c r="S2543" s="23"/>
      <c r="T2543" s="23"/>
      <c r="U2543" s="23"/>
    </row>
    <row r="2544">
      <c r="A2544" s="20"/>
      <c r="B2544" s="20"/>
      <c r="C2544" s="30"/>
      <c r="D2544" s="30"/>
      <c r="E2544" s="30"/>
      <c r="F2544" s="22"/>
      <c r="G2544" s="23"/>
      <c r="H2544" s="23"/>
      <c r="I2544" s="23"/>
      <c r="J2544" s="23"/>
      <c r="K2544" s="23"/>
      <c r="L2544" s="23"/>
      <c r="M2544" s="23"/>
      <c r="N2544" s="23"/>
      <c r="O2544" s="23"/>
      <c r="P2544" s="23"/>
      <c r="Q2544" s="23"/>
      <c r="R2544" s="23"/>
      <c r="S2544" s="23"/>
      <c r="T2544" s="23"/>
      <c r="U2544" s="23"/>
    </row>
    <row r="2545">
      <c r="A2545" s="20"/>
      <c r="B2545" s="20"/>
      <c r="C2545" s="30"/>
      <c r="D2545" s="30"/>
      <c r="E2545" s="30"/>
      <c r="F2545" s="22"/>
      <c r="G2545" s="23"/>
      <c r="H2545" s="23"/>
      <c r="I2545" s="23"/>
      <c r="J2545" s="23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</row>
    <row r="2546">
      <c r="A2546" s="20"/>
      <c r="B2546" s="20"/>
      <c r="C2546" s="30"/>
      <c r="D2546" s="30"/>
      <c r="E2546" s="30"/>
      <c r="F2546" s="22"/>
      <c r="G2546" s="23"/>
      <c r="H2546" s="23"/>
      <c r="I2546" s="23"/>
      <c r="J2546" s="23"/>
      <c r="K2546" s="23"/>
      <c r="L2546" s="23"/>
      <c r="M2546" s="23"/>
      <c r="N2546" s="23"/>
      <c r="O2546" s="23"/>
      <c r="P2546" s="23"/>
      <c r="Q2546" s="23"/>
      <c r="R2546" s="23"/>
      <c r="S2546" s="23"/>
      <c r="T2546" s="23"/>
      <c r="U2546" s="23"/>
    </row>
    <row r="2547">
      <c r="A2547" s="20"/>
      <c r="B2547" s="20"/>
      <c r="C2547" s="30"/>
      <c r="D2547" s="30"/>
      <c r="E2547" s="30"/>
      <c r="F2547" s="22"/>
      <c r="G2547" s="23"/>
      <c r="H2547" s="23"/>
      <c r="I2547" s="23"/>
      <c r="J2547" s="23"/>
      <c r="K2547" s="23"/>
      <c r="L2547" s="23"/>
      <c r="M2547" s="23"/>
      <c r="N2547" s="23"/>
      <c r="O2547" s="23"/>
      <c r="P2547" s="23"/>
      <c r="Q2547" s="23"/>
      <c r="R2547" s="23"/>
      <c r="S2547" s="23"/>
      <c r="T2547" s="23"/>
      <c r="U2547" s="23"/>
    </row>
    <row r="2548">
      <c r="A2548" s="20"/>
      <c r="B2548" s="20"/>
      <c r="C2548" s="30"/>
      <c r="D2548" s="30"/>
      <c r="E2548" s="30"/>
      <c r="F2548" s="22"/>
      <c r="G2548" s="23"/>
      <c r="H2548" s="23"/>
      <c r="I2548" s="23"/>
      <c r="J2548" s="23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</row>
    <row r="2549">
      <c r="A2549" s="20"/>
      <c r="B2549" s="20"/>
      <c r="C2549" s="30"/>
      <c r="D2549" s="30"/>
      <c r="E2549" s="30"/>
      <c r="F2549" s="22"/>
      <c r="G2549" s="23"/>
      <c r="H2549" s="23"/>
      <c r="I2549" s="23"/>
      <c r="J2549" s="23"/>
      <c r="K2549" s="23"/>
      <c r="L2549" s="23"/>
      <c r="M2549" s="23"/>
      <c r="N2549" s="23"/>
      <c r="O2549" s="23"/>
      <c r="P2549" s="23"/>
      <c r="Q2549" s="23"/>
      <c r="R2549" s="23"/>
      <c r="S2549" s="23"/>
      <c r="T2549" s="23"/>
      <c r="U2549" s="23"/>
    </row>
    <row r="2550">
      <c r="A2550" s="20"/>
      <c r="B2550" s="20"/>
      <c r="C2550" s="30"/>
      <c r="D2550" s="30"/>
      <c r="E2550" s="30"/>
      <c r="F2550" s="22"/>
      <c r="G2550" s="23"/>
      <c r="H2550" s="23"/>
      <c r="I2550" s="23"/>
      <c r="J2550" s="23"/>
      <c r="K2550" s="23"/>
      <c r="L2550" s="23"/>
      <c r="M2550" s="23"/>
      <c r="N2550" s="23"/>
      <c r="O2550" s="23"/>
      <c r="P2550" s="23"/>
      <c r="Q2550" s="23"/>
      <c r="R2550" s="23"/>
      <c r="S2550" s="23"/>
      <c r="T2550" s="23"/>
      <c r="U2550" s="23"/>
    </row>
    <row r="2551">
      <c r="A2551" s="20"/>
      <c r="B2551" s="20"/>
      <c r="C2551" s="30"/>
      <c r="D2551" s="30"/>
      <c r="E2551" s="30"/>
      <c r="F2551" s="22"/>
      <c r="G2551" s="23"/>
      <c r="H2551" s="23"/>
      <c r="I2551" s="23"/>
      <c r="J2551" s="23"/>
      <c r="K2551" s="23"/>
      <c r="L2551" s="23"/>
      <c r="M2551" s="23"/>
      <c r="N2551" s="23"/>
      <c r="O2551" s="23"/>
      <c r="P2551" s="23"/>
      <c r="Q2551" s="23"/>
      <c r="R2551" s="23"/>
      <c r="S2551" s="23"/>
      <c r="T2551" s="23"/>
      <c r="U2551" s="23"/>
    </row>
    <row r="2552">
      <c r="A2552" s="20"/>
      <c r="B2552" s="20"/>
      <c r="C2552" s="30"/>
      <c r="D2552" s="30"/>
      <c r="E2552" s="30"/>
      <c r="F2552" s="22"/>
      <c r="G2552" s="23"/>
      <c r="H2552" s="23"/>
      <c r="I2552" s="23"/>
      <c r="J2552" s="23"/>
      <c r="K2552" s="23"/>
      <c r="L2552" s="23"/>
      <c r="M2552" s="23"/>
      <c r="N2552" s="23"/>
      <c r="O2552" s="23"/>
      <c r="P2552" s="23"/>
      <c r="Q2552" s="23"/>
      <c r="R2552" s="23"/>
      <c r="S2552" s="23"/>
      <c r="T2552" s="23"/>
      <c r="U2552" s="23"/>
    </row>
    <row r="2553">
      <c r="A2553" s="20"/>
      <c r="B2553" s="20"/>
      <c r="C2553" s="30"/>
      <c r="D2553" s="30"/>
      <c r="E2553" s="30"/>
      <c r="F2553" s="22"/>
      <c r="G2553" s="23"/>
      <c r="H2553" s="23"/>
      <c r="I2553" s="23"/>
      <c r="J2553" s="23"/>
      <c r="K2553" s="23"/>
      <c r="L2553" s="23"/>
      <c r="M2553" s="23"/>
      <c r="N2553" s="23"/>
      <c r="O2553" s="23"/>
      <c r="P2553" s="23"/>
      <c r="Q2553" s="23"/>
      <c r="R2553" s="23"/>
      <c r="S2553" s="23"/>
      <c r="T2553" s="23"/>
      <c r="U2553" s="23"/>
    </row>
    <row r="2554">
      <c r="A2554" s="20"/>
      <c r="B2554" s="20"/>
      <c r="C2554" s="30"/>
      <c r="D2554" s="30"/>
      <c r="E2554" s="30"/>
      <c r="F2554" s="22"/>
      <c r="G2554" s="23"/>
      <c r="H2554" s="23"/>
      <c r="I2554" s="23"/>
      <c r="J2554" s="23"/>
      <c r="K2554" s="23"/>
      <c r="L2554" s="23"/>
      <c r="M2554" s="23"/>
      <c r="N2554" s="23"/>
      <c r="O2554" s="23"/>
      <c r="P2554" s="23"/>
      <c r="Q2554" s="23"/>
      <c r="R2554" s="23"/>
      <c r="S2554" s="23"/>
      <c r="T2554" s="23"/>
      <c r="U2554" s="23"/>
    </row>
    <row r="2555">
      <c r="A2555" s="20"/>
      <c r="B2555" s="20"/>
      <c r="C2555" s="30"/>
      <c r="D2555" s="30"/>
      <c r="E2555" s="30"/>
      <c r="F2555" s="22"/>
      <c r="G2555" s="23"/>
      <c r="H2555" s="23"/>
      <c r="I2555" s="23"/>
      <c r="J2555" s="23"/>
      <c r="K2555" s="23"/>
      <c r="L2555" s="23"/>
      <c r="M2555" s="23"/>
      <c r="N2555" s="23"/>
      <c r="O2555" s="23"/>
      <c r="P2555" s="23"/>
      <c r="Q2555" s="23"/>
      <c r="R2555" s="23"/>
      <c r="S2555" s="23"/>
      <c r="T2555" s="23"/>
      <c r="U2555" s="23"/>
    </row>
    <row r="2556">
      <c r="A2556" s="20"/>
      <c r="B2556" s="20"/>
      <c r="C2556" s="30"/>
      <c r="D2556" s="30"/>
      <c r="E2556" s="30"/>
      <c r="F2556" s="22"/>
      <c r="G2556" s="23"/>
      <c r="H2556" s="23"/>
      <c r="I2556" s="23"/>
      <c r="J2556" s="23"/>
      <c r="K2556" s="23"/>
      <c r="L2556" s="23"/>
      <c r="M2556" s="23"/>
      <c r="N2556" s="23"/>
      <c r="O2556" s="23"/>
      <c r="P2556" s="23"/>
      <c r="Q2556" s="23"/>
      <c r="R2556" s="23"/>
      <c r="S2556" s="23"/>
      <c r="T2556" s="23"/>
      <c r="U2556" s="23"/>
    </row>
    <row r="2557">
      <c r="A2557" s="20"/>
      <c r="B2557" s="20"/>
      <c r="C2557" s="30"/>
      <c r="D2557" s="30"/>
      <c r="E2557" s="30"/>
      <c r="F2557" s="22"/>
      <c r="G2557" s="23"/>
      <c r="H2557" s="23"/>
      <c r="I2557" s="23"/>
      <c r="J2557" s="23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</row>
    <row r="2558">
      <c r="A2558" s="20"/>
      <c r="B2558" s="20"/>
      <c r="C2558" s="30"/>
      <c r="D2558" s="30"/>
      <c r="E2558" s="30"/>
      <c r="F2558" s="22"/>
      <c r="G2558" s="23"/>
      <c r="H2558" s="23"/>
      <c r="I2558" s="23"/>
      <c r="J2558" s="23"/>
      <c r="K2558" s="23"/>
      <c r="L2558" s="23"/>
      <c r="M2558" s="23"/>
      <c r="N2558" s="23"/>
      <c r="O2558" s="23"/>
      <c r="P2558" s="23"/>
      <c r="Q2558" s="23"/>
      <c r="R2558" s="23"/>
      <c r="S2558" s="23"/>
      <c r="T2558" s="23"/>
      <c r="U2558" s="23"/>
    </row>
    <row r="2559">
      <c r="A2559" s="20"/>
      <c r="B2559" s="20"/>
      <c r="C2559" s="30"/>
      <c r="D2559" s="30"/>
      <c r="E2559" s="30"/>
      <c r="F2559" s="22"/>
      <c r="G2559" s="23"/>
      <c r="H2559" s="23"/>
      <c r="I2559" s="23"/>
      <c r="J2559" s="23"/>
      <c r="K2559" s="23"/>
      <c r="L2559" s="23"/>
      <c r="M2559" s="23"/>
      <c r="N2559" s="23"/>
      <c r="O2559" s="23"/>
      <c r="P2559" s="23"/>
      <c r="Q2559" s="23"/>
      <c r="R2559" s="23"/>
      <c r="S2559" s="23"/>
      <c r="T2559" s="23"/>
      <c r="U2559" s="23"/>
    </row>
    <row r="2560">
      <c r="A2560" s="20"/>
      <c r="B2560" s="20"/>
      <c r="C2560" s="30"/>
      <c r="D2560" s="30"/>
      <c r="E2560" s="30"/>
      <c r="F2560" s="22"/>
      <c r="G2560" s="23"/>
      <c r="H2560" s="23"/>
      <c r="I2560" s="23"/>
      <c r="J2560" s="23"/>
      <c r="K2560" s="23"/>
      <c r="L2560" s="23"/>
      <c r="M2560" s="23"/>
      <c r="N2560" s="23"/>
      <c r="O2560" s="23"/>
      <c r="P2560" s="23"/>
      <c r="Q2560" s="23"/>
      <c r="R2560" s="23"/>
      <c r="S2560" s="23"/>
      <c r="T2560" s="23"/>
      <c r="U2560" s="23"/>
    </row>
    <row r="2561">
      <c r="A2561" s="20"/>
      <c r="B2561" s="20"/>
      <c r="C2561" s="30"/>
      <c r="D2561" s="30"/>
      <c r="E2561" s="30"/>
      <c r="F2561" s="22"/>
      <c r="G2561" s="23"/>
      <c r="H2561" s="23"/>
      <c r="I2561" s="23"/>
      <c r="J2561" s="23"/>
      <c r="K2561" s="23"/>
      <c r="L2561" s="23"/>
      <c r="M2561" s="23"/>
      <c r="N2561" s="23"/>
      <c r="O2561" s="23"/>
      <c r="P2561" s="23"/>
      <c r="Q2561" s="23"/>
      <c r="R2561" s="23"/>
      <c r="S2561" s="23"/>
      <c r="T2561" s="23"/>
      <c r="U2561" s="23"/>
    </row>
    <row r="2562">
      <c r="A2562" s="20"/>
      <c r="B2562" s="20"/>
      <c r="C2562" s="30"/>
      <c r="D2562" s="30"/>
      <c r="E2562" s="30"/>
      <c r="F2562" s="22"/>
      <c r="G2562" s="23"/>
      <c r="H2562" s="23"/>
      <c r="I2562" s="23"/>
      <c r="J2562" s="23"/>
      <c r="K2562" s="23"/>
      <c r="L2562" s="23"/>
      <c r="M2562" s="23"/>
      <c r="N2562" s="23"/>
      <c r="O2562" s="23"/>
      <c r="P2562" s="23"/>
      <c r="Q2562" s="23"/>
      <c r="R2562" s="23"/>
      <c r="S2562" s="23"/>
      <c r="T2562" s="23"/>
      <c r="U2562" s="23"/>
    </row>
    <row r="2563">
      <c r="A2563" s="20"/>
      <c r="B2563" s="20"/>
      <c r="C2563" s="30"/>
      <c r="D2563" s="30"/>
      <c r="E2563" s="30"/>
      <c r="F2563" s="22"/>
      <c r="G2563" s="23"/>
      <c r="H2563" s="23"/>
      <c r="I2563" s="23"/>
      <c r="J2563" s="23"/>
      <c r="K2563" s="23"/>
      <c r="L2563" s="23"/>
      <c r="M2563" s="23"/>
      <c r="N2563" s="23"/>
      <c r="O2563" s="23"/>
      <c r="P2563" s="23"/>
      <c r="Q2563" s="23"/>
      <c r="R2563" s="23"/>
      <c r="S2563" s="23"/>
      <c r="T2563" s="23"/>
      <c r="U2563" s="23"/>
    </row>
    <row r="2564">
      <c r="A2564" s="20"/>
      <c r="B2564" s="20"/>
      <c r="C2564" s="30"/>
      <c r="D2564" s="30"/>
      <c r="E2564" s="30"/>
      <c r="F2564" s="22"/>
      <c r="G2564" s="23"/>
      <c r="H2564" s="23"/>
      <c r="I2564" s="23"/>
      <c r="J2564" s="23"/>
      <c r="K2564" s="23"/>
      <c r="L2564" s="23"/>
      <c r="M2564" s="23"/>
      <c r="N2564" s="23"/>
      <c r="O2564" s="23"/>
      <c r="P2564" s="23"/>
      <c r="Q2564" s="23"/>
      <c r="R2564" s="23"/>
      <c r="S2564" s="23"/>
      <c r="T2564" s="23"/>
      <c r="U2564" s="23"/>
    </row>
    <row r="2565">
      <c r="A2565" s="20"/>
      <c r="B2565" s="20"/>
      <c r="C2565" s="30"/>
      <c r="D2565" s="30"/>
      <c r="E2565" s="30"/>
      <c r="F2565" s="22"/>
      <c r="G2565" s="23"/>
      <c r="H2565" s="23"/>
      <c r="I2565" s="23"/>
      <c r="J2565" s="23"/>
      <c r="K2565" s="23"/>
      <c r="L2565" s="23"/>
      <c r="M2565" s="23"/>
      <c r="N2565" s="23"/>
      <c r="O2565" s="23"/>
      <c r="P2565" s="23"/>
      <c r="Q2565" s="23"/>
      <c r="R2565" s="23"/>
      <c r="S2565" s="23"/>
      <c r="T2565" s="23"/>
      <c r="U2565" s="23"/>
    </row>
    <row r="2566">
      <c r="A2566" s="20"/>
      <c r="B2566" s="20"/>
      <c r="C2566" s="30"/>
      <c r="D2566" s="30"/>
      <c r="E2566" s="30"/>
      <c r="F2566" s="22"/>
      <c r="G2566" s="23"/>
      <c r="H2566" s="23"/>
      <c r="I2566" s="23"/>
      <c r="J2566" s="23"/>
      <c r="K2566" s="23"/>
      <c r="L2566" s="23"/>
      <c r="M2566" s="23"/>
      <c r="N2566" s="23"/>
      <c r="O2566" s="23"/>
      <c r="P2566" s="23"/>
      <c r="Q2566" s="23"/>
      <c r="R2566" s="23"/>
      <c r="S2566" s="23"/>
      <c r="T2566" s="23"/>
      <c r="U2566" s="23"/>
    </row>
    <row r="2567">
      <c r="A2567" s="20"/>
      <c r="B2567" s="20"/>
      <c r="C2567" s="30"/>
      <c r="D2567" s="30"/>
      <c r="E2567" s="30"/>
      <c r="F2567" s="22"/>
      <c r="G2567" s="23"/>
      <c r="H2567" s="23"/>
      <c r="I2567" s="23"/>
      <c r="J2567" s="23"/>
      <c r="K2567" s="23"/>
      <c r="L2567" s="23"/>
      <c r="M2567" s="23"/>
      <c r="N2567" s="23"/>
      <c r="O2567" s="23"/>
      <c r="P2567" s="23"/>
      <c r="Q2567" s="23"/>
      <c r="R2567" s="23"/>
      <c r="S2567" s="23"/>
      <c r="T2567" s="23"/>
      <c r="U2567" s="23"/>
    </row>
    <row r="2568">
      <c r="A2568" s="20"/>
      <c r="B2568" s="20"/>
      <c r="C2568" s="30"/>
      <c r="D2568" s="30"/>
      <c r="E2568" s="30"/>
      <c r="F2568" s="22"/>
      <c r="G2568" s="23"/>
      <c r="H2568" s="23"/>
      <c r="I2568" s="23"/>
      <c r="J2568" s="23"/>
      <c r="K2568" s="23"/>
      <c r="L2568" s="23"/>
      <c r="M2568" s="23"/>
      <c r="N2568" s="23"/>
      <c r="O2568" s="23"/>
      <c r="P2568" s="23"/>
      <c r="Q2568" s="23"/>
      <c r="R2568" s="23"/>
      <c r="S2568" s="23"/>
      <c r="T2568" s="23"/>
      <c r="U2568" s="23"/>
    </row>
    <row r="2569">
      <c r="A2569" s="20"/>
      <c r="B2569" s="20"/>
      <c r="C2569" s="30"/>
      <c r="D2569" s="30"/>
      <c r="E2569" s="30"/>
      <c r="F2569" s="22"/>
      <c r="G2569" s="23"/>
      <c r="H2569" s="23"/>
      <c r="I2569" s="23"/>
      <c r="J2569" s="23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</row>
    <row r="2570">
      <c r="A2570" s="20"/>
      <c r="B2570" s="20"/>
      <c r="C2570" s="30"/>
      <c r="D2570" s="30"/>
      <c r="E2570" s="30"/>
      <c r="F2570" s="22"/>
      <c r="G2570" s="23"/>
      <c r="H2570" s="23"/>
      <c r="I2570" s="23"/>
      <c r="J2570" s="23"/>
      <c r="K2570" s="23"/>
      <c r="L2570" s="23"/>
      <c r="M2570" s="23"/>
      <c r="N2570" s="23"/>
      <c r="O2570" s="23"/>
      <c r="P2570" s="23"/>
      <c r="Q2570" s="23"/>
      <c r="R2570" s="23"/>
      <c r="S2570" s="23"/>
      <c r="T2570" s="23"/>
      <c r="U2570" s="23"/>
    </row>
    <row r="2571">
      <c r="A2571" s="20"/>
      <c r="B2571" s="20"/>
      <c r="C2571" s="30"/>
      <c r="D2571" s="30"/>
      <c r="E2571" s="30"/>
      <c r="F2571" s="22"/>
      <c r="G2571" s="23"/>
      <c r="H2571" s="23"/>
      <c r="I2571" s="23"/>
      <c r="J2571" s="23"/>
      <c r="K2571" s="23"/>
      <c r="L2571" s="23"/>
      <c r="M2571" s="23"/>
      <c r="N2571" s="23"/>
      <c r="O2571" s="23"/>
      <c r="P2571" s="23"/>
      <c r="Q2571" s="23"/>
      <c r="R2571" s="23"/>
      <c r="S2571" s="23"/>
      <c r="T2571" s="23"/>
      <c r="U2571" s="23"/>
    </row>
    <row r="2572">
      <c r="A2572" s="20"/>
      <c r="B2572" s="20"/>
      <c r="C2572" s="30"/>
      <c r="D2572" s="30"/>
      <c r="E2572" s="30"/>
      <c r="F2572" s="22"/>
      <c r="G2572" s="23"/>
      <c r="H2572" s="23"/>
      <c r="I2572" s="23"/>
      <c r="J2572" s="23"/>
      <c r="K2572" s="23"/>
      <c r="L2572" s="23"/>
      <c r="M2572" s="23"/>
      <c r="N2572" s="23"/>
      <c r="O2572" s="23"/>
      <c r="P2572" s="23"/>
      <c r="Q2572" s="23"/>
      <c r="R2572" s="23"/>
      <c r="S2572" s="23"/>
      <c r="T2572" s="23"/>
      <c r="U2572" s="23"/>
    </row>
    <row r="2573">
      <c r="A2573" s="20"/>
      <c r="B2573" s="20"/>
      <c r="C2573" s="30"/>
      <c r="D2573" s="30"/>
      <c r="E2573" s="30"/>
      <c r="F2573" s="22"/>
      <c r="G2573" s="23"/>
      <c r="H2573" s="23"/>
      <c r="I2573" s="23"/>
      <c r="J2573" s="23"/>
      <c r="K2573" s="23"/>
      <c r="L2573" s="23"/>
      <c r="M2573" s="23"/>
      <c r="N2573" s="23"/>
      <c r="O2573" s="23"/>
      <c r="P2573" s="23"/>
      <c r="Q2573" s="23"/>
      <c r="R2573" s="23"/>
      <c r="S2573" s="23"/>
      <c r="T2573" s="23"/>
      <c r="U2573" s="23"/>
    </row>
    <row r="2574">
      <c r="A2574" s="20"/>
      <c r="B2574" s="20"/>
      <c r="C2574" s="30"/>
      <c r="D2574" s="30"/>
      <c r="E2574" s="30"/>
      <c r="F2574" s="22"/>
      <c r="G2574" s="23"/>
      <c r="H2574" s="23"/>
      <c r="I2574" s="23"/>
      <c r="J2574" s="23"/>
      <c r="K2574" s="23"/>
      <c r="L2574" s="23"/>
      <c r="M2574" s="23"/>
      <c r="N2574" s="23"/>
      <c r="O2574" s="23"/>
      <c r="P2574" s="23"/>
      <c r="Q2574" s="23"/>
      <c r="R2574" s="23"/>
      <c r="S2574" s="23"/>
      <c r="T2574" s="23"/>
      <c r="U2574" s="23"/>
    </row>
    <row r="2575">
      <c r="A2575" s="20"/>
      <c r="B2575" s="20"/>
      <c r="C2575" s="30"/>
      <c r="D2575" s="30"/>
      <c r="E2575" s="30"/>
      <c r="F2575" s="22"/>
      <c r="G2575" s="23"/>
      <c r="H2575" s="23"/>
      <c r="I2575" s="23"/>
      <c r="J2575" s="23"/>
      <c r="K2575" s="23"/>
      <c r="L2575" s="23"/>
      <c r="M2575" s="23"/>
      <c r="N2575" s="23"/>
      <c r="O2575" s="23"/>
      <c r="P2575" s="23"/>
      <c r="Q2575" s="23"/>
      <c r="R2575" s="23"/>
      <c r="S2575" s="23"/>
      <c r="T2575" s="23"/>
      <c r="U2575" s="23"/>
    </row>
    <row r="2576">
      <c r="A2576" s="20"/>
      <c r="B2576" s="20"/>
      <c r="C2576" s="30"/>
      <c r="D2576" s="30"/>
      <c r="E2576" s="30"/>
      <c r="F2576" s="22"/>
      <c r="G2576" s="23"/>
      <c r="H2576" s="23"/>
      <c r="I2576" s="23"/>
      <c r="J2576" s="23"/>
      <c r="K2576" s="23"/>
      <c r="L2576" s="23"/>
      <c r="M2576" s="23"/>
      <c r="N2576" s="23"/>
      <c r="O2576" s="23"/>
      <c r="P2576" s="23"/>
      <c r="Q2576" s="23"/>
      <c r="R2576" s="23"/>
      <c r="S2576" s="23"/>
      <c r="T2576" s="23"/>
      <c r="U2576" s="23"/>
    </row>
    <row r="2577">
      <c r="A2577" s="20"/>
      <c r="B2577" s="20"/>
      <c r="C2577" s="30"/>
      <c r="D2577" s="30"/>
      <c r="E2577" s="30"/>
      <c r="F2577" s="22"/>
      <c r="G2577" s="23"/>
      <c r="H2577" s="23"/>
      <c r="I2577" s="23"/>
      <c r="J2577" s="23"/>
      <c r="K2577" s="23"/>
      <c r="L2577" s="23"/>
      <c r="M2577" s="23"/>
      <c r="N2577" s="23"/>
      <c r="O2577" s="23"/>
      <c r="P2577" s="23"/>
      <c r="Q2577" s="23"/>
      <c r="R2577" s="23"/>
      <c r="S2577" s="23"/>
      <c r="T2577" s="23"/>
      <c r="U2577" s="23"/>
    </row>
    <row r="2578">
      <c r="A2578" s="20"/>
      <c r="B2578" s="20"/>
      <c r="C2578" s="30"/>
      <c r="D2578" s="30"/>
      <c r="E2578" s="30"/>
      <c r="F2578" s="22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</row>
    <row r="2579">
      <c r="A2579" s="20"/>
      <c r="B2579" s="20"/>
      <c r="C2579" s="30"/>
      <c r="D2579" s="30"/>
      <c r="E2579" s="30"/>
      <c r="F2579" s="22"/>
      <c r="G2579" s="23"/>
      <c r="H2579" s="23"/>
      <c r="I2579" s="23"/>
      <c r="J2579" s="23"/>
      <c r="K2579" s="23"/>
      <c r="L2579" s="23"/>
      <c r="M2579" s="23"/>
      <c r="N2579" s="23"/>
      <c r="O2579" s="23"/>
      <c r="P2579" s="23"/>
      <c r="Q2579" s="23"/>
      <c r="R2579" s="23"/>
      <c r="S2579" s="23"/>
      <c r="T2579" s="23"/>
      <c r="U2579" s="23"/>
    </row>
    <row r="2580">
      <c r="A2580" s="20"/>
      <c r="B2580" s="20"/>
      <c r="C2580" s="30"/>
      <c r="D2580" s="30"/>
      <c r="E2580" s="30"/>
      <c r="F2580" s="22"/>
      <c r="G2580" s="23"/>
      <c r="H2580" s="23"/>
      <c r="I2580" s="23"/>
      <c r="J2580" s="23"/>
      <c r="K2580" s="23"/>
      <c r="L2580" s="23"/>
      <c r="M2580" s="23"/>
      <c r="N2580" s="23"/>
      <c r="O2580" s="23"/>
      <c r="P2580" s="23"/>
      <c r="Q2580" s="23"/>
      <c r="R2580" s="23"/>
      <c r="S2580" s="23"/>
      <c r="T2580" s="23"/>
      <c r="U2580" s="23"/>
    </row>
    <row r="2581">
      <c r="A2581" s="20"/>
      <c r="B2581" s="20"/>
      <c r="C2581" s="30"/>
      <c r="D2581" s="30"/>
      <c r="E2581" s="30"/>
      <c r="F2581" s="22"/>
      <c r="G2581" s="23"/>
      <c r="H2581" s="23"/>
      <c r="I2581" s="23"/>
      <c r="J2581" s="23"/>
      <c r="K2581" s="23"/>
      <c r="L2581" s="23"/>
      <c r="M2581" s="23"/>
      <c r="N2581" s="23"/>
      <c r="O2581" s="23"/>
      <c r="P2581" s="23"/>
      <c r="Q2581" s="23"/>
      <c r="R2581" s="23"/>
      <c r="S2581" s="23"/>
      <c r="T2581" s="23"/>
      <c r="U2581" s="23"/>
    </row>
    <row r="2582">
      <c r="A2582" s="20"/>
      <c r="B2582" s="20"/>
      <c r="C2582" s="30"/>
      <c r="D2582" s="30"/>
      <c r="E2582" s="30"/>
      <c r="F2582" s="22"/>
      <c r="G2582" s="23"/>
      <c r="H2582" s="23"/>
      <c r="I2582" s="23"/>
      <c r="J2582" s="23"/>
      <c r="K2582" s="23"/>
      <c r="L2582" s="23"/>
      <c r="M2582" s="23"/>
      <c r="N2582" s="23"/>
      <c r="O2582" s="23"/>
      <c r="P2582" s="23"/>
      <c r="Q2582" s="23"/>
      <c r="R2582" s="23"/>
      <c r="S2582" s="23"/>
      <c r="T2582" s="23"/>
      <c r="U2582" s="23"/>
    </row>
    <row r="2583">
      <c r="A2583" s="20"/>
      <c r="B2583" s="20"/>
      <c r="C2583" s="30"/>
      <c r="D2583" s="30"/>
      <c r="E2583" s="30"/>
      <c r="F2583" s="22"/>
      <c r="G2583" s="23"/>
      <c r="H2583" s="23"/>
      <c r="I2583" s="23"/>
      <c r="J2583" s="23"/>
      <c r="K2583" s="23"/>
      <c r="L2583" s="23"/>
      <c r="M2583" s="23"/>
      <c r="N2583" s="23"/>
      <c r="O2583" s="23"/>
      <c r="P2583" s="23"/>
      <c r="Q2583" s="23"/>
      <c r="R2583" s="23"/>
      <c r="S2583" s="23"/>
      <c r="T2583" s="23"/>
      <c r="U2583" s="23"/>
    </row>
    <row r="2584">
      <c r="A2584" s="20"/>
      <c r="B2584" s="20"/>
      <c r="C2584" s="30"/>
      <c r="D2584" s="30"/>
      <c r="E2584" s="30"/>
      <c r="F2584" s="22"/>
      <c r="G2584" s="23"/>
      <c r="H2584" s="23"/>
      <c r="I2584" s="23"/>
      <c r="J2584" s="23"/>
      <c r="K2584" s="23"/>
      <c r="L2584" s="23"/>
      <c r="M2584" s="23"/>
      <c r="N2584" s="23"/>
      <c r="O2584" s="23"/>
      <c r="P2584" s="23"/>
      <c r="Q2584" s="23"/>
      <c r="R2584" s="23"/>
      <c r="S2584" s="23"/>
      <c r="T2584" s="23"/>
      <c r="U2584" s="23"/>
    </row>
    <row r="2585">
      <c r="A2585" s="20"/>
      <c r="B2585" s="20"/>
      <c r="C2585" s="30"/>
      <c r="D2585" s="30"/>
      <c r="E2585" s="30"/>
      <c r="F2585" s="22"/>
      <c r="G2585" s="23"/>
      <c r="H2585" s="23"/>
      <c r="I2585" s="23"/>
      <c r="J2585" s="23"/>
      <c r="K2585" s="23"/>
      <c r="L2585" s="23"/>
      <c r="M2585" s="23"/>
      <c r="N2585" s="23"/>
      <c r="O2585" s="23"/>
      <c r="P2585" s="23"/>
      <c r="Q2585" s="23"/>
      <c r="R2585" s="23"/>
      <c r="S2585" s="23"/>
      <c r="T2585" s="23"/>
      <c r="U2585" s="23"/>
    </row>
    <row r="2586">
      <c r="A2586" s="20"/>
      <c r="B2586" s="20"/>
      <c r="C2586" s="30"/>
      <c r="D2586" s="30"/>
      <c r="E2586" s="30"/>
      <c r="F2586" s="22"/>
      <c r="G2586" s="23"/>
      <c r="H2586" s="23"/>
      <c r="I2586" s="23"/>
      <c r="J2586" s="23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</row>
    <row r="2587">
      <c r="A2587" s="20"/>
      <c r="B2587" s="20"/>
      <c r="C2587" s="30"/>
      <c r="D2587" s="30"/>
      <c r="E2587" s="30"/>
      <c r="F2587" s="22"/>
      <c r="G2587" s="23"/>
      <c r="H2587" s="23"/>
      <c r="I2587" s="23"/>
      <c r="J2587" s="23"/>
      <c r="K2587" s="23"/>
      <c r="L2587" s="23"/>
      <c r="M2587" s="23"/>
      <c r="N2587" s="23"/>
      <c r="O2587" s="23"/>
      <c r="P2587" s="23"/>
      <c r="Q2587" s="23"/>
      <c r="R2587" s="23"/>
      <c r="S2587" s="23"/>
      <c r="T2587" s="23"/>
      <c r="U2587" s="23"/>
    </row>
    <row r="2588">
      <c r="A2588" s="20"/>
      <c r="B2588" s="20"/>
      <c r="C2588" s="30"/>
      <c r="D2588" s="30"/>
      <c r="E2588" s="30"/>
      <c r="F2588" s="22"/>
      <c r="G2588" s="23"/>
      <c r="H2588" s="23"/>
      <c r="I2588" s="23"/>
      <c r="J2588" s="23"/>
      <c r="K2588" s="23"/>
      <c r="L2588" s="23"/>
      <c r="M2588" s="23"/>
      <c r="N2588" s="23"/>
      <c r="O2588" s="23"/>
      <c r="P2588" s="23"/>
      <c r="Q2588" s="23"/>
      <c r="R2588" s="23"/>
      <c r="S2588" s="23"/>
      <c r="T2588" s="23"/>
      <c r="U2588" s="23"/>
    </row>
    <row r="2589">
      <c r="A2589" s="20"/>
      <c r="B2589" s="20"/>
      <c r="C2589" s="30"/>
      <c r="D2589" s="30"/>
      <c r="E2589" s="30"/>
      <c r="F2589" s="22"/>
      <c r="G2589" s="23"/>
      <c r="H2589" s="23"/>
      <c r="I2589" s="23"/>
      <c r="J2589" s="23"/>
      <c r="K2589" s="23"/>
      <c r="L2589" s="23"/>
      <c r="M2589" s="23"/>
      <c r="N2589" s="23"/>
      <c r="O2589" s="23"/>
      <c r="P2589" s="23"/>
      <c r="Q2589" s="23"/>
      <c r="R2589" s="23"/>
      <c r="S2589" s="23"/>
      <c r="T2589" s="23"/>
      <c r="U2589" s="23"/>
    </row>
    <row r="2590">
      <c r="A2590" s="20"/>
      <c r="B2590" s="20"/>
      <c r="C2590" s="30"/>
      <c r="D2590" s="30"/>
      <c r="E2590" s="30"/>
      <c r="F2590" s="22"/>
      <c r="G2590" s="23"/>
      <c r="H2590" s="23"/>
      <c r="I2590" s="23"/>
      <c r="J2590" s="23"/>
      <c r="K2590" s="23"/>
      <c r="L2590" s="23"/>
      <c r="M2590" s="23"/>
      <c r="N2590" s="23"/>
      <c r="O2590" s="23"/>
      <c r="P2590" s="23"/>
      <c r="Q2590" s="23"/>
      <c r="R2590" s="23"/>
      <c r="S2590" s="23"/>
      <c r="T2590" s="23"/>
      <c r="U2590" s="23"/>
    </row>
    <row r="2591">
      <c r="A2591" s="20"/>
      <c r="B2591" s="20"/>
      <c r="C2591" s="30"/>
      <c r="D2591" s="30"/>
      <c r="E2591" s="30"/>
      <c r="F2591" s="22"/>
      <c r="G2591" s="23"/>
      <c r="H2591" s="23"/>
      <c r="I2591" s="23"/>
      <c r="J2591" s="23"/>
      <c r="K2591" s="23"/>
      <c r="L2591" s="23"/>
      <c r="M2591" s="23"/>
      <c r="N2591" s="23"/>
      <c r="O2591" s="23"/>
      <c r="P2591" s="23"/>
      <c r="Q2591" s="23"/>
      <c r="R2591" s="23"/>
      <c r="S2591" s="23"/>
      <c r="T2591" s="23"/>
      <c r="U2591" s="23"/>
    </row>
    <row r="2592">
      <c r="A2592" s="20"/>
      <c r="B2592" s="20"/>
      <c r="C2592" s="30"/>
      <c r="D2592" s="30"/>
      <c r="E2592" s="30"/>
      <c r="F2592" s="22"/>
      <c r="G2592" s="23"/>
      <c r="H2592" s="23"/>
      <c r="I2592" s="23"/>
      <c r="J2592" s="23"/>
      <c r="K2592" s="23"/>
      <c r="L2592" s="23"/>
      <c r="M2592" s="23"/>
      <c r="N2592" s="23"/>
      <c r="O2592" s="23"/>
      <c r="P2592" s="23"/>
      <c r="Q2592" s="23"/>
      <c r="R2592" s="23"/>
      <c r="S2592" s="23"/>
      <c r="T2592" s="23"/>
      <c r="U2592" s="23"/>
    </row>
    <row r="2593">
      <c r="A2593" s="20"/>
      <c r="B2593" s="20"/>
      <c r="C2593" s="30"/>
      <c r="D2593" s="30"/>
      <c r="E2593" s="30"/>
      <c r="F2593" s="22"/>
      <c r="G2593" s="23"/>
      <c r="H2593" s="23"/>
      <c r="I2593" s="23"/>
      <c r="J2593" s="23"/>
      <c r="K2593" s="23"/>
      <c r="L2593" s="23"/>
      <c r="M2593" s="23"/>
      <c r="N2593" s="23"/>
      <c r="O2593" s="23"/>
      <c r="P2593" s="23"/>
      <c r="Q2593" s="23"/>
      <c r="R2593" s="23"/>
      <c r="S2593" s="23"/>
      <c r="T2593" s="23"/>
      <c r="U2593" s="23"/>
    </row>
    <row r="2594">
      <c r="A2594" s="20"/>
      <c r="B2594" s="20"/>
      <c r="C2594" s="30"/>
      <c r="D2594" s="30"/>
      <c r="E2594" s="30"/>
      <c r="F2594" s="22"/>
      <c r="G2594" s="23"/>
      <c r="H2594" s="23"/>
      <c r="I2594" s="23"/>
      <c r="J2594" s="23"/>
      <c r="K2594" s="23"/>
      <c r="L2594" s="23"/>
      <c r="M2594" s="23"/>
      <c r="N2594" s="23"/>
      <c r="O2594" s="23"/>
      <c r="P2594" s="23"/>
      <c r="Q2594" s="23"/>
      <c r="R2594" s="23"/>
      <c r="S2594" s="23"/>
      <c r="T2594" s="23"/>
      <c r="U2594" s="23"/>
    </row>
    <row r="2595">
      <c r="A2595" s="20"/>
      <c r="B2595" s="20"/>
      <c r="C2595" s="30"/>
      <c r="D2595" s="30"/>
      <c r="E2595" s="30"/>
      <c r="F2595" s="22"/>
      <c r="G2595" s="23"/>
      <c r="H2595" s="23"/>
      <c r="I2595" s="23"/>
      <c r="J2595" s="23"/>
      <c r="K2595" s="23"/>
      <c r="L2595" s="23"/>
      <c r="M2595" s="23"/>
      <c r="N2595" s="23"/>
      <c r="O2595" s="23"/>
      <c r="P2595" s="23"/>
      <c r="Q2595" s="23"/>
      <c r="R2595" s="23"/>
      <c r="S2595" s="23"/>
      <c r="T2595" s="23"/>
      <c r="U2595" s="23"/>
    </row>
    <row r="2596">
      <c r="A2596" s="20"/>
      <c r="B2596" s="20"/>
      <c r="C2596" s="30"/>
      <c r="D2596" s="30"/>
      <c r="E2596" s="30"/>
      <c r="F2596" s="22"/>
      <c r="G2596" s="23"/>
      <c r="H2596" s="23"/>
      <c r="I2596" s="23"/>
      <c r="J2596" s="23"/>
      <c r="K2596" s="23"/>
      <c r="L2596" s="23"/>
      <c r="M2596" s="23"/>
      <c r="N2596" s="23"/>
      <c r="O2596" s="23"/>
      <c r="P2596" s="23"/>
      <c r="Q2596" s="23"/>
      <c r="R2596" s="23"/>
      <c r="S2596" s="23"/>
      <c r="T2596" s="23"/>
      <c r="U2596" s="23"/>
    </row>
    <row r="2597">
      <c r="A2597" s="20"/>
      <c r="B2597" s="20"/>
      <c r="C2597" s="30"/>
      <c r="D2597" s="30"/>
      <c r="E2597" s="30"/>
      <c r="F2597" s="22"/>
      <c r="G2597" s="23"/>
      <c r="H2597" s="23"/>
      <c r="I2597" s="23"/>
      <c r="J2597" s="23"/>
      <c r="K2597" s="23"/>
      <c r="L2597" s="23"/>
      <c r="M2597" s="23"/>
      <c r="N2597" s="23"/>
      <c r="O2597" s="23"/>
      <c r="P2597" s="23"/>
      <c r="Q2597" s="23"/>
      <c r="R2597" s="23"/>
      <c r="S2597" s="23"/>
      <c r="T2597" s="23"/>
      <c r="U2597" s="23"/>
    </row>
    <row r="2598">
      <c r="A2598" s="20"/>
      <c r="B2598" s="20"/>
      <c r="C2598" s="30"/>
      <c r="D2598" s="30"/>
      <c r="E2598" s="30"/>
      <c r="F2598" s="22"/>
      <c r="G2598" s="23"/>
      <c r="H2598" s="23"/>
      <c r="I2598" s="23"/>
      <c r="J2598" s="23"/>
      <c r="K2598" s="23"/>
      <c r="L2598" s="23"/>
      <c r="M2598" s="23"/>
      <c r="N2598" s="23"/>
      <c r="O2598" s="23"/>
      <c r="P2598" s="23"/>
      <c r="Q2598" s="23"/>
      <c r="R2598" s="23"/>
      <c r="S2598" s="23"/>
      <c r="T2598" s="23"/>
      <c r="U2598" s="23"/>
    </row>
    <row r="2599">
      <c r="A2599" s="20"/>
      <c r="B2599" s="20"/>
      <c r="C2599" s="30"/>
      <c r="D2599" s="30"/>
      <c r="E2599" s="30"/>
      <c r="F2599" s="22"/>
      <c r="G2599" s="23"/>
      <c r="H2599" s="23"/>
      <c r="I2599" s="23"/>
      <c r="J2599" s="23"/>
      <c r="K2599" s="23"/>
      <c r="L2599" s="23"/>
      <c r="M2599" s="23"/>
      <c r="N2599" s="23"/>
      <c r="O2599" s="23"/>
      <c r="P2599" s="23"/>
      <c r="Q2599" s="23"/>
      <c r="R2599" s="23"/>
      <c r="S2599" s="23"/>
      <c r="T2599" s="23"/>
      <c r="U2599" s="23"/>
    </row>
    <row r="2600">
      <c r="A2600" s="20"/>
      <c r="B2600" s="20"/>
      <c r="C2600" s="30"/>
      <c r="D2600" s="30"/>
      <c r="E2600" s="30"/>
      <c r="F2600" s="22"/>
      <c r="G2600" s="23"/>
      <c r="H2600" s="23"/>
      <c r="I2600" s="23"/>
      <c r="J2600" s="23"/>
      <c r="K2600" s="23"/>
      <c r="L2600" s="23"/>
      <c r="M2600" s="23"/>
      <c r="N2600" s="23"/>
      <c r="O2600" s="23"/>
      <c r="P2600" s="23"/>
      <c r="Q2600" s="23"/>
      <c r="R2600" s="23"/>
      <c r="S2600" s="23"/>
      <c r="T2600" s="23"/>
      <c r="U2600" s="23"/>
    </row>
    <row r="2601">
      <c r="A2601" s="20"/>
      <c r="B2601" s="20"/>
      <c r="C2601" s="30"/>
      <c r="D2601" s="30"/>
      <c r="E2601" s="30"/>
      <c r="F2601" s="22"/>
      <c r="G2601" s="23"/>
      <c r="H2601" s="23"/>
      <c r="I2601" s="23"/>
      <c r="J2601" s="23"/>
      <c r="K2601" s="23"/>
      <c r="L2601" s="23"/>
      <c r="M2601" s="23"/>
      <c r="N2601" s="23"/>
      <c r="O2601" s="23"/>
      <c r="P2601" s="23"/>
      <c r="Q2601" s="23"/>
      <c r="R2601" s="23"/>
      <c r="S2601" s="23"/>
      <c r="T2601" s="23"/>
      <c r="U2601" s="23"/>
    </row>
    <row r="2602">
      <c r="A2602" s="20"/>
      <c r="B2602" s="20"/>
      <c r="C2602" s="30"/>
      <c r="D2602" s="30"/>
      <c r="E2602" s="30"/>
      <c r="F2602" s="22"/>
      <c r="G2602" s="23"/>
      <c r="H2602" s="23"/>
      <c r="I2602" s="23"/>
      <c r="J2602" s="23"/>
      <c r="K2602" s="23"/>
      <c r="L2602" s="23"/>
      <c r="M2602" s="23"/>
      <c r="N2602" s="23"/>
      <c r="O2602" s="23"/>
      <c r="P2602" s="23"/>
      <c r="Q2602" s="23"/>
      <c r="R2602" s="23"/>
      <c r="S2602" s="23"/>
      <c r="T2602" s="23"/>
      <c r="U2602" s="23"/>
    </row>
    <row r="2603">
      <c r="A2603" s="20"/>
      <c r="B2603" s="20"/>
      <c r="C2603" s="30"/>
      <c r="D2603" s="30"/>
      <c r="E2603" s="30"/>
      <c r="F2603" s="22"/>
      <c r="G2603" s="23"/>
      <c r="H2603" s="23"/>
      <c r="I2603" s="23"/>
      <c r="J2603" s="23"/>
      <c r="K2603" s="23"/>
      <c r="L2603" s="23"/>
      <c r="M2603" s="23"/>
      <c r="N2603" s="23"/>
      <c r="O2603" s="23"/>
      <c r="P2603" s="23"/>
      <c r="Q2603" s="23"/>
      <c r="R2603" s="23"/>
      <c r="S2603" s="23"/>
      <c r="T2603" s="23"/>
      <c r="U2603" s="23"/>
    </row>
    <row r="2604">
      <c r="A2604" s="20"/>
      <c r="B2604" s="20"/>
      <c r="C2604" s="30"/>
      <c r="D2604" s="30"/>
      <c r="E2604" s="30"/>
      <c r="F2604" s="22"/>
      <c r="G2604" s="23"/>
      <c r="H2604" s="23"/>
      <c r="I2604" s="23"/>
      <c r="J2604" s="23"/>
      <c r="K2604" s="23"/>
      <c r="L2604" s="23"/>
      <c r="M2604" s="23"/>
      <c r="N2604" s="23"/>
      <c r="O2604" s="23"/>
      <c r="P2604" s="23"/>
      <c r="Q2604" s="23"/>
      <c r="R2604" s="23"/>
      <c r="S2604" s="23"/>
      <c r="T2604" s="23"/>
      <c r="U2604" s="23"/>
    </row>
    <row r="2605">
      <c r="A2605" s="20"/>
      <c r="B2605" s="20"/>
      <c r="C2605" s="30"/>
      <c r="D2605" s="30"/>
      <c r="E2605" s="30"/>
      <c r="F2605" s="22"/>
      <c r="G2605" s="23"/>
      <c r="H2605" s="23"/>
      <c r="I2605" s="23"/>
      <c r="J2605" s="23"/>
      <c r="K2605" s="23"/>
      <c r="L2605" s="23"/>
      <c r="M2605" s="23"/>
      <c r="N2605" s="23"/>
      <c r="O2605" s="23"/>
      <c r="P2605" s="23"/>
      <c r="Q2605" s="23"/>
      <c r="R2605" s="23"/>
      <c r="S2605" s="23"/>
      <c r="T2605" s="23"/>
      <c r="U2605" s="23"/>
    </row>
    <row r="2606">
      <c r="A2606" s="20"/>
      <c r="B2606" s="20"/>
      <c r="C2606" s="30"/>
      <c r="D2606" s="30"/>
      <c r="E2606" s="30"/>
      <c r="F2606" s="22"/>
      <c r="G2606" s="23"/>
      <c r="H2606" s="23"/>
      <c r="I2606" s="23"/>
      <c r="J2606" s="23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</row>
    <row r="2607">
      <c r="A2607" s="20"/>
      <c r="B2607" s="20"/>
      <c r="C2607" s="30"/>
      <c r="D2607" s="30"/>
      <c r="E2607" s="30"/>
      <c r="F2607" s="22"/>
      <c r="G2607" s="23"/>
      <c r="H2607" s="23"/>
      <c r="I2607" s="23"/>
      <c r="J2607" s="23"/>
      <c r="K2607" s="23"/>
      <c r="L2607" s="23"/>
      <c r="M2607" s="23"/>
      <c r="N2607" s="23"/>
      <c r="O2607" s="23"/>
      <c r="P2607" s="23"/>
      <c r="Q2607" s="23"/>
      <c r="R2607" s="23"/>
      <c r="S2607" s="23"/>
      <c r="T2607" s="23"/>
      <c r="U2607" s="23"/>
    </row>
    <row r="2608">
      <c r="A2608" s="20"/>
      <c r="B2608" s="20"/>
      <c r="C2608" s="30"/>
      <c r="D2608" s="30"/>
      <c r="E2608" s="30"/>
      <c r="F2608" s="22"/>
      <c r="G2608" s="23"/>
      <c r="H2608" s="23"/>
      <c r="I2608" s="23"/>
      <c r="J2608" s="23"/>
      <c r="K2608" s="23"/>
      <c r="L2608" s="23"/>
      <c r="M2608" s="23"/>
      <c r="N2608" s="23"/>
      <c r="O2608" s="23"/>
      <c r="P2608" s="23"/>
      <c r="Q2608" s="23"/>
      <c r="R2608" s="23"/>
      <c r="S2608" s="23"/>
      <c r="T2608" s="23"/>
      <c r="U2608" s="23"/>
    </row>
    <row r="2609">
      <c r="A2609" s="20"/>
      <c r="B2609" s="20"/>
      <c r="C2609" s="30"/>
      <c r="D2609" s="30"/>
      <c r="E2609" s="30"/>
      <c r="F2609" s="22"/>
      <c r="G2609" s="23"/>
      <c r="H2609" s="23"/>
      <c r="I2609" s="23"/>
      <c r="J2609" s="23"/>
      <c r="K2609" s="23"/>
      <c r="L2609" s="23"/>
      <c r="M2609" s="23"/>
      <c r="N2609" s="23"/>
      <c r="O2609" s="23"/>
      <c r="P2609" s="23"/>
      <c r="Q2609" s="23"/>
      <c r="R2609" s="23"/>
      <c r="S2609" s="23"/>
      <c r="T2609" s="23"/>
      <c r="U2609" s="23"/>
    </row>
    <row r="2610">
      <c r="A2610" s="20"/>
      <c r="B2610" s="20"/>
      <c r="C2610" s="30"/>
      <c r="D2610" s="30"/>
      <c r="E2610" s="30"/>
      <c r="F2610" s="22"/>
      <c r="G2610" s="23"/>
      <c r="H2610" s="23"/>
      <c r="I2610" s="23"/>
      <c r="J2610" s="23"/>
      <c r="K2610" s="23"/>
      <c r="L2610" s="23"/>
      <c r="M2610" s="23"/>
      <c r="N2610" s="23"/>
      <c r="O2610" s="23"/>
      <c r="P2610" s="23"/>
      <c r="Q2610" s="23"/>
      <c r="R2610" s="23"/>
      <c r="S2610" s="23"/>
      <c r="T2610" s="23"/>
      <c r="U2610" s="23"/>
    </row>
    <row r="2611">
      <c r="A2611" s="20"/>
      <c r="B2611" s="20"/>
      <c r="C2611" s="30"/>
      <c r="D2611" s="30"/>
      <c r="E2611" s="30"/>
      <c r="F2611" s="22"/>
      <c r="G2611" s="23"/>
      <c r="H2611" s="23"/>
      <c r="I2611" s="23"/>
      <c r="J2611" s="23"/>
      <c r="K2611" s="23"/>
      <c r="L2611" s="23"/>
      <c r="M2611" s="23"/>
      <c r="N2611" s="23"/>
      <c r="O2611" s="23"/>
      <c r="P2611" s="23"/>
      <c r="Q2611" s="23"/>
      <c r="R2611" s="23"/>
      <c r="S2611" s="23"/>
      <c r="T2611" s="23"/>
      <c r="U2611" s="23"/>
    </row>
    <row r="2612">
      <c r="A2612" s="20"/>
      <c r="B2612" s="20"/>
      <c r="C2612" s="30"/>
      <c r="D2612" s="30"/>
      <c r="E2612" s="30"/>
      <c r="F2612" s="22"/>
      <c r="G2612" s="23"/>
      <c r="H2612" s="23"/>
      <c r="I2612" s="23"/>
      <c r="J2612" s="23"/>
      <c r="K2612" s="23"/>
      <c r="L2612" s="23"/>
      <c r="M2612" s="23"/>
      <c r="N2612" s="23"/>
      <c r="O2612" s="23"/>
      <c r="P2612" s="23"/>
      <c r="Q2612" s="23"/>
      <c r="R2612" s="23"/>
      <c r="S2612" s="23"/>
      <c r="T2612" s="23"/>
      <c r="U2612" s="23"/>
    </row>
    <row r="2613">
      <c r="A2613" s="20"/>
      <c r="B2613" s="20"/>
      <c r="C2613" s="30"/>
      <c r="D2613" s="30"/>
      <c r="E2613" s="30"/>
      <c r="F2613" s="22"/>
      <c r="G2613" s="23"/>
      <c r="H2613" s="23"/>
      <c r="I2613" s="23"/>
      <c r="J2613" s="23"/>
      <c r="K2613" s="23"/>
      <c r="L2613" s="23"/>
      <c r="M2613" s="23"/>
      <c r="N2613" s="23"/>
      <c r="O2613" s="23"/>
      <c r="P2613" s="23"/>
      <c r="Q2613" s="23"/>
      <c r="R2613" s="23"/>
      <c r="S2613" s="23"/>
      <c r="T2613" s="23"/>
      <c r="U2613" s="23"/>
    </row>
    <row r="2614">
      <c r="A2614" s="20"/>
      <c r="B2614" s="20"/>
      <c r="C2614" s="30"/>
      <c r="D2614" s="30"/>
      <c r="E2614" s="30"/>
      <c r="F2614" s="22"/>
      <c r="G2614" s="23"/>
      <c r="H2614" s="23"/>
      <c r="I2614" s="23"/>
      <c r="J2614" s="23"/>
      <c r="K2614" s="23"/>
      <c r="L2614" s="23"/>
      <c r="M2614" s="23"/>
      <c r="N2614" s="23"/>
      <c r="O2614" s="23"/>
      <c r="P2614" s="23"/>
      <c r="Q2614" s="23"/>
      <c r="R2614" s="23"/>
      <c r="S2614" s="23"/>
      <c r="T2614" s="23"/>
      <c r="U2614" s="23"/>
    </row>
    <row r="2615">
      <c r="A2615" s="20"/>
      <c r="B2615" s="20"/>
      <c r="C2615" s="30"/>
      <c r="D2615" s="30"/>
      <c r="E2615" s="30"/>
      <c r="F2615" s="22"/>
      <c r="G2615" s="23"/>
      <c r="H2615" s="23"/>
      <c r="I2615" s="23"/>
      <c r="J2615" s="23"/>
      <c r="K2615" s="23"/>
      <c r="L2615" s="23"/>
      <c r="M2615" s="23"/>
      <c r="N2615" s="23"/>
      <c r="O2615" s="23"/>
      <c r="P2615" s="23"/>
      <c r="Q2615" s="23"/>
      <c r="R2615" s="23"/>
      <c r="S2615" s="23"/>
      <c r="T2615" s="23"/>
      <c r="U2615" s="23"/>
    </row>
    <row r="2616">
      <c r="A2616" s="20"/>
      <c r="B2616" s="20"/>
      <c r="C2616" s="30"/>
      <c r="D2616" s="30"/>
      <c r="E2616" s="30"/>
      <c r="F2616" s="22"/>
      <c r="G2616" s="23"/>
      <c r="H2616" s="23"/>
      <c r="I2616" s="23"/>
      <c r="J2616" s="23"/>
      <c r="K2616" s="23"/>
      <c r="L2616" s="23"/>
      <c r="M2616" s="23"/>
      <c r="N2616" s="23"/>
      <c r="O2616" s="23"/>
      <c r="P2616" s="23"/>
      <c r="Q2616" s="23"/>
      <c r="R2616" s="23"/>
      <c r="S2616" s="23"/>
      <c r="T2616" s="23"/>
      <c r="U2616" s="23"/>
    </row>
    <row r="2617">
      <c r="A2617" s="20"/>
      <c r="B2617" s="20"/>
      <c r="C2617" s="30"/>
      <c r="D2617" s="30"/>
      <c r="E2617" s="30"/>
      <c r="F2617" s="22"/>
      <c r="G2617" s="23"/>
      <c r="H2617" s="23"/>
      <c r="I2617" s="23"/>
      <c r="J2617" s="23"/>
      <c r="K2617" s="23"/>
      <c r="L2617" s="23"/>
      <c r="M2617" s="23"/>
      <c r="N2617" s="23"/>
      <c r="O2617" s="23"/>
      <c r="P2617" s="23"/>
      <c r="Q2617" s="23"/>
      <c r="R2617" s="23"/>
      <c r="S2617" s="23"/>
      <c r="T2617" s="23"/>
      <c r="U2617" s="23"/>
    </row>
    <row r="2618">
      <c r="A2618" s="20"/>
      <c r="B2618" s="20"/>
      <c r="C2618" s="30"/>
      <c r="D2618" s="30"/>
      <c r="E2618" s="30"/>
      <c r="F2618" s="22"/>
      <c r="G2618" s="23"/>
      <c r="H2618" s="23"/>
      <c r="I2618" s="23"/>
      <c r="J2618" s="23"/>
      <c r="K2618" s="23"/>
      <c r="L2618" s="23"/>
      <c r="M2618" s="23"/>
      <c r="N2618" s="23"/>
      <c r="O2618" s="23"/>
      <c r="P2618" s="23"/>
      <c r="Q2618" s="23"/>
      <c r="R2618" s="23"/>
      <c r="S2618" s="23"/>
      <c r="T2618" s="23"/>
      <c r="U2618" s="23"/>
    </row>
    <row r="2619">
      <c r="A2619" s="20"/>
      <c r="B2619" s="20"/>
      <c r="C2619" s="30"/>
      <c r="D2619" s="30"/>
      <c r="E2619" s="30"/>
      <c r="F2619" s="22"/>
      <c r="G2619" s="23"/>
      <c r="H2619" s="23"/>
      <c r="I2619" s="23"/>
      <c r="J2619" s="23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</row>
    <row r="2620">
      <c r="A2620" s="20"/>
      <c r="B2620" s="20"/>
      <c r="C2620" s="30"/>
      <c r="D2620" s="30"/>
      <c r="E2620" s="30"/>
      <c r="F2620" s="22"/>
      <c r="G2620" s="23"/>
      <c r="H2620" s="23"/>
      <c r="I2620" s="23"/>
      <c r="J2620" s="23"/>
      <c r="K2620" s="23"/>
      <c r="L2620" s="23"/>
      <c r="M2620" s="23"/>
      <c r="N2620" s="23"/>
      <c r="O2620" s="23"/>
      <c r="P2620" s="23"/>
      <c r="Q2620" s="23"/>
      <c r="R2620" s="23"/>
      <c r="S2620" s="23"/>
      <c r="T2620" s="23"/>
      <c r="U2620" s="23"/>
    </row>
    <row r="2621">
      <c r="A2621" s="20"/>
      <c r="B2621" s="20"/>
      <c r="C2621" s="30"/>
      <c r="D2621" s="30"/>
      <c r="E2621" s="30"/>
      <c r="F2621" s="22"/>
      <c r="G2621" s="23"/>
      <c r="H2621" s="23"/>
      <c r="I2621" s="23"/>
      <c r="J2621" s="23"/>
      <c r="K2621" s="23"/>
      <c r="L2621" s="23"/>
      <c r="M2621" s="23"/>
      <c r="N2621" s="23"/>
      <c r="O2621" s="23"/>
      <c r="P2621" s="23"/>
      <c r="Q2621" s="23"/>
      <c r="R2621" s="23"/>
      <c r="S2621" s="23"/>
      <c r="T2621" s="23"/>
      <c r="U2621" s="23"/>
    </row>
    <row r="2622">
      <c r="A2622" s="20"/>
      <c r="B2622" s="20"/>
      <c r="C2622" s="30"/>
      <c r="D2622" s="30"/>
      <c r="E2622" s="30"/>
      <c r="F2622" s="22"/>
      <c r="G2622" s="23"/>
      <c r="H2622" s="23"/>
      <c r="I2622" s="23"/>
      <c r="J2622" s="23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</row>
    <row r="2623">
      <c r="A2623" s="20"/>
      <c r="B2623" s="20"/>
      <c r="C2623" s="30"/>
      <c r="D2623" s="30"/>
      <c r="E2623" s="30"/>
      <c r="F2623" s="22"/>
      <c r="G2623" s="23"/>
      <c r="H2623" s="23"/>
      <c r="I2623" s="23"/>
      <c r="J2623" s="23"/>
      <c r="K2623" s="23"/>
      <c r="L2623" s="23"/>
      <c r="M2623" s="23"/>
      <c r="N2623" s="23"/>
      <c r="O2623" s="23"/>
      <c r="P2623" s="23"/>
      <c r="Q2623" s="23"/>
      <c r="R2623" s="23"/>
      <c r="S2623" s="23"/>
      <c r="T2623" s="23"/>
      <c r="U2623" s="23"/>
    </row>
    <row r="2624">
      <c r="A2624" s="20"/>
      <c r="B2624" s="20"/>
      <c r="C2624" s="30"/>
      <c r="D2624" s="30"/>
      <c r="E2624" s="30"/>
      <c r="F2624" s="22"/>
      <c r="G2624" s="23"/>
      <c r="H2624" s="23"/>
      <c r="I2624" s="23"/>
      <c r="J2624" s="23"/>
      <c r="K2624" s="23"/>
      <c r="L2624" s="23"/>
      <c r="M2624" s="23"/>
      <c r="N2624" s="23"/>
      <c r="O2624" s="23"/>
      <c r="P2624" s="23"/>
      <c r="Q2624" s="23"/>
      <c r="R2624" s="23"/>
      <c r="S2624" s="23"/>
      <c r="T2624" s="23"/>
      <c r="U2624" s="23"/>
    </row>
    <row r="2625">
      <c r="A2625" s="20"/>
      <c r="B2625" s="20"/>
      <c r="C2625" s="30"/>
      <c r="D2625" s="30"/>
      <c r="E2625" s="30"/>
      <c r="F2625" s="22"/>
      <c r="G2625" s="23"/>
      <c r="H2625" s="23"/>
      <c r="I2625" s="23"/>
      <c r="J2625" s="23"/>
      <c r="K2625" s="23"/>
      <c r="L2625" s="23"/>
      <c r="M2625" s="23"/>
      <c r="N2625" s="23"/>
      <c r="O2625" s="23"/>
      <c r="P2625" s="23"/>
      <c r="Q2625" s="23"/>
      <c r="R2625" s="23"/>
      <c r="S2625" s="23"/>
      <c r="T2625" s="23"/>
      <c r="U2625" s="23"/>
    </row>
    <row r="2626">
      <c r="A2626" s="20"/>
      <c r="B2626" s="20"/>
      <c r="C2626" s="30"/>
      <c r="D2626" s="30"/>
      <c r="E2626" s="30"/>
      <c r="F2626" s="22"/>
      <c r="G2626" s="23"/>
      <c r="H2626" s="23"/>
      <c r="I2626" s="23"/>
      <c r="J2626" s="23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</row>
    <row r="2627">
      <c r="A2627" s="20"/>
      <c r="B2627" s="20"/>
      <c r="C2627" s="30"/>
      <c r="D2627" s="30"/>
      <c r="E2627" s="30"/>
      <c r="F2627" s="22"/>
      <c r="G2627" s="23"/>
      <c r="H2627" s="23"/>
      <c r="I2627" s="23"/>
      <c r="J2627" s="23"/>
      <c r="K2627" s="23"/>
      <c r="L2627" s="23"/>
      <c r="M2627" s="23"/>
      <c r="N2627" s="23"/>
      <c r="O2627" s="23"/>
      <c r="P2627" s="23"/>
      <c r="Q2627" s="23"/>
      <c r="R2627" s="23"/>
      <c r="S2627" s="23"/>
      <c r="T2627" s="23"/>
      <c r="U2627" s="23"/>
    </row>
    <row r="2628">
      <c r="A2628" s="20"/>
      <c r="B2628" s="20"/>
      <c r="C2628" s="30"/>
      <c r="D2628" s="30"/>
      <c r="E2628" s="30"/>
      <c r="F2628" s="22"/>
      <c r="G2628" s="23"/>
      <c r="H2628" s="23"/>
      <c r="I2628" s="23"/>
      <c r="J2628" s="23"/>
      <c r="K2628" s="23"/>
      <c r="L2628" s="23"/>
      <c r="M2628" s="23"/>
      <c r="N2628" s="23"/>
      <c r="O2628" s="23"/>
      <c r="P2628" s="23"/>
      <c r="Q2628" s="23"/>
      <c r="R2628" s="23"/>
      <c r="S2628" s="23"/>
      <c r="T2628" s="23"/>
      <c r="U2628" s="23"/>
    </row>
    <row r="2629">
      <c r="A2629" s="20"/>
      <c r="B2629" s="20"/>
      <c r="C2629" s="30"/>
      <c r="D2629" s="30"/>
      <c r="E2629" s="30"/>
      <c r="F2629" s="22"/>
      <c r="G2629" s="23"/>
      <c r="H2629" s="23"/>
      <c r="I2629" s="23"/>
      <c r="J2629" s="23"/>
      <c r="K2629" s="23"/>
      <c r="L2629" s="23"/>
      <c r="M2629" s="23"/>
      <c r="N2629" s="23"/>
      <c r="O2629" s="23"/>
      <c r="P2629" s="23"/>
      <c r="Q2629" s="23"/>
      <c r="R2629" s="23"/>
      <c r="S2629" s="23"/>
      <c r="T2629" s="23"/>
      <c r="U2629" s="23"/>
    </row>
    <row r="2630">
      <c r="A2630" s="20"/>
      <c r="B2630" s="20"/>
      <c r="C2630" s="30"/>
      <c r="D2630" s="30"/>
      <c r="E2630" s="30"/>
      <c r="F2630" s="22"/>
      <c r="G2630" s="23"/>
      <c r="H2630" s="23"/>
      <c r="I2630" s="23"/>
      <c r="J2630" s="23"/>
      <c r="K2630" s="23"/>
      <c r="L2630" s="23"/>
      <c r="M2630" s="23"/>
      <c r="N2630" s="23"/>
      <c r="O2630" s="23"/>
      <c r="P2630" s="23"/>
      <c r="Q2630" s="23"/>
      <c r="R2630" s="23"/>
      <c r="S2630" s="23"/>
      <c r="T2630" s="23"/>
      <c r="U2630" s="23"/>
    </row>
    <row r="2631">
      <c r="A2631" s="20"/>
      <c r="B2631" s="20"/>
      <c r="C2631" s="30"/>
      <c r="D2631" s="30"/>
      <c r="E2631" s="30"/>
      <c r="F2631" s="22"/>
      <c r="G2631" s="23"/>
      <c r="H2631" s="23"/>
      <c r="I2631" s="23"/>
      <c r="J2631" s="23"/>
      <c r="K2631" s="23"/>
      <c r="L2631" s="23"/>
      <c r="M2631" s="23"/>
      <c r="N2631" s="23"/>
      <c r="O2631" s="23"/>
      <c r="P2631" s="23"/>
      <c r="Q2631" s="23"/>
      <c r="R2631" s="23"/>
      <c r="S2631" s="23"/>
      <c r="T2631" s="23"/>
      <c r="U2631" s="23"/>
    </row>
    <row r="2632">
      <c r="A2632" s="20"/>
      <c r="B2632" s="20"/>
      <c r="C2632" s="30"/>
      <c r="D2632" s="30"/>
      <c r="E2632" s="30"/>
      <c r="F2632" s="22"/>
      <c r="G2632" s="23"/>
      <c r="H2632" s="23"/>
      <c r="I2632" s="23"/>
      <c r="J2632" s="23"/>
      <c r="K2632" s="23"/>
      <c r="L2632" s="23"/>
      <c r="M2632" s="23"/>
      <c r="N2632" s="23"/>
      <c r="O2632" s="23"/>
      <c r="P2632" s="23"/>
      <c r="Q2632" s="23"/>
      <c r="R2632" s="23"/>
      <c r="S2632" s="23"/>
      <c r="T2632" s="23"/>
      <c r="U2632" s="23"/>
    </row>
    <row r="2633">
      <c r="A2633" s="20"/>
      <c r="B2633" s="20"/>
      <c r="C2633" s="30"/>
      <c r="D2633" s="30"/>
      <c r="E2633" s="30"/>
      <c r="F2633" s="22"/>
      <c r="G2633" s="23"/>
      <c r="H2633" s="23"/>
      <c r="I2633" s="23"/>
      <c r="J2633" s="23"/>
      <c r="K2633" s="23"/>
      <c r="L2633" s="23"/>
      <c r="M2633" s="23"/>
      <c r="N2633" s="23"/>
      <c r="O2633" s="23"/>
      <c r="P2633" s="23"/>
      <c r="Q2633" s="23"/>
      <c r="R2633" s="23"/>
      <c r="S2633" s="23"/>
      <c r="T2633" s="23"/>
      <c r="U2633" s="23"/>
    </row>
    <row r="2634">
      <c r="A2634" s="20"/>
      <c r="B2634" s="20"/>
      <c r="C2634" s="30"/>
      <c r="D2634" s="30"/>
      <c r="E2634" s="30"/>
      <c r="F2634" s="22"/>
      <c r="G2634" s="23"/>
      <c r="H2634" s="23"/>
      <c r="I2634" s="23"/>
      <c r="J2634" s="23"/>
      <c r="K2634" s="23"/>
      <c r="L2634" s="23"/>
      <c r="M2634" s="23"/>
      <c r="N2634" s="23"/>
      <c r="O2634" s="23"/>
      <c r="P2634" s="23"/>
      <c r="Q2634" s="23"/>
      <c r="R2634" s="23"/>
      <c r="S2634" s="23"/>
      <c r="T2634" s="23"/>
      <c r="U2634" s="23"/>
    </row>
    <row r="2635">
      <c r="A2635" s="20"/>
      <c r="B2635" s="20"/>
      <c r="C2635" s="30"/>
      <c r="D2635" s="30"/>
      <c r="E2635" s="30"/>
      <c r="F2635" s="22"/>
      <c r="G2635" s="23"/>
      <c r="H2635" s="23"/>
      <c r="I2635" s="23"/>
      <c r="J2635" s="23"/>
      <c r="K2635" s="23"/>
      <c r="L2635" s="23"/>
      <c r="M2635" s="23"/>
      <c r="N2635" s="23"/>
      <c r="O2635" s="23"/>
      <c r="P2635" s="23"/>
      <c r="Q2635" s="23"/>
      <c r="R2635" s="23"/>
      <c r="S2635" s="23"/>
      <c r="T2635" s="23"/>
      <c r="U2635" s="23"/>
    </row>
    <row r="2636">
      <c r="A2636" s="20"/>
      <c r="B2636" s="20"/>
      <c r="C2636" s="30"/>
      <c r="D2636" s="30"/>
      <c r="E2636" s="30"/>
      <c r="F2636" s="22"/>
      <c r="G2636" s="23"/>
      <c r="H2636" s="23"/>
      <c r="I2636" s="23"/>
      <c r="J2636" s="23"/>
      <c r="K2636" s="23"/>
      <c r="L2636" s="23"/>
      <c r="M2636" s="23"/>
      <c r="N2636" s="23"/>
      <c r="O2636" s="23"/>
      <c r="P2636" s="23"/>
      <c r="Q2636" s="23"/>
      <c r="R2636" s="23"/>
      <c r="S2636" s="23"/>
      <c r="T2636" s="23"/>
      <c r="U2636" s="23"/>
    </row>
    <row r="2637">
      <c r="A2637" s="20"/>
      <c r="B2637" s="20"/>
      <c r="C2637" s="30"/>
      <c r="D2637" s="30"/>
      <c r="E2637" s="30"/>
      <c r="F2637" s="22"/>
      <c r="G2637" s="23"/>
      <c r="H2637" s="23"/>
      <c r="I2637" s="23"/>
      <c r="J2637" s="23"/>
      <c r="K2637" s="23"/>
      <c r="L2637" s="23"/>
      <c r="M2637" s="23"/>
      <c r="N2637" s="23"/>
      <c r="O2637" s="23"/>
      <c r="P2637" s="23"/>
      <c r="Q2637" s="23"/>
      <c r="R2637" s="23"/>
      <c r="S2637" s="23"/>
      <c r="T2637" s="23"/>
      <c r="U2637" s="23"/>
    </row>
    <row r="2638">
      <c r="A2638" s="20"/>
      <c r="B2638" s="20"/>
      <c r="C2638" s="30"/>
      <c r="D2638" s="30"/>
      <c r="E2638" s="30"/>
      <c r="F2638" s="22"/>
      <c r="G2638" s="23"/>
      <c r="H2638" s="23"/>
      <c r="I2638" s="23"/>
      <c r="J2638" s="23"/>
      <c r="K2638" s="23"/>
      <c r="L2638" s="23"/>
      <c r="M2638" s="23"/>
      <c r="N2638" s="23"/>
      <c r="O2638" s="23"/>
      <c r="P2638" s="23"/>
      <c r="Q2638" s="23"/>
      <c r="R2638" s="23"/>
      <c r="S2638" s="23"/>
      <c r="T2638" s="23"/>
      <c r="U2638" s="23"/>
    </row>
    <row r="2639">
      <c r="A2639" s="20"/>
      <c r="B2639" s="20"/>
      <c r="C2639" s="30"/>
      <c r="D2639" s="30"/>
      <c r="E2639" s="30"/>
      <c r="F2639" s="22"/>
      <c r="G2639" s="23"/>
      <c r="H2639" s="23"/>
      <c r="I2639" s="23"/>
      <c r="J2639" s="23"/>
      <c r="K2639" s="23"/>
      <c r="L2639" s="23"/>
      <c r="M2639" s="23"/>
      <c r="N2639" s="23"/>
      <c r="O2639" s="23"/>
      <c r="P2639" s="23"/>
      <c r="Q2639" s="23"/>
      <c r="R2639" s="23"/>
      <c r="S2639" s="23"/>
      <c r="T2639" s="23"/>
      <c r="U2639" s="23"/>
    </row>
    <row r="2640">
      <c r="A2640" s="20"/>
      <c r="B2640" s="20"/>
      <c r="C2640" s="30"/>
      <c r="D2640" s="30"/>
      <c r="E2640" s="30"/>
      <c r="F2640" s="22"/>
      <c r="G2640" s="23"/>
      <c r="H2640" s="23"/>
      <c r="I2640" s="23"/>
      <c r="J2640" s="23"/>
      <c r="K2640" s="23"/>
      <c r="L2640" s="23"/>
      <c r="M2640" s="23"/>
      <c r="N2640" s="23"/>
      <c r="O2640" s="23"/>
      <c r="P2640" s="23"/>
      <c r="Q2640" s="23"/>
      <c r="R2640" s="23"/>
      <c r="S2640" s="23"/>
      <c r="T2640" s="23"/>
      <c r="U2640" s="23"/>
    </row>
    <row r="2641">
      <c r="A2641" s="20"/>
      <c r="B2641" s="20"/>
      <c r="C2641" s="30"/>
      <c r="D2641" s="30"/>
      <c r="E2641" s="30"/>
      <c r="F2641" s="22"/>
      <c r="G2641" s="23"/>
      <c r="H2641" s="23"/>
      <c r="I2641" s="23"/>
      <c r="J2641" s="23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</row>
    <row r="2642">
      <c r="A2642" s="20"/>
      <c r="B2642" s="20"/>
      <c r="C2642" s="30"/>
      <c r="D2642" s="30"/>
      <c r="E2642" s="30"/>
      <c r="F2642" s="22"/>
      <c r="G2642" s="23"/>
      <c r="H2642" s="23"/>
      <c r="I2642" s="23"/>
      <c r="J2642" s="23"/>
      <c r="K2642" s="23"/>
      <c r="L2642" s="23"/>
      <c r="M2642" s="23"/>
      <c r="N2642" s="23"/>
      <c r="O2642" s="23"/>
      <c r="P2642" s="23"/>
      <c r="Q2642" s="23"/>
      <c r="R2642" s="23"/>
      <c r="S2642" s="23"/>
      <c r="T2642" s="23"/>
      <c r="U2642" s="23"/>
    </row>
    <row r="2643">
      <c r="A2643" s="20"/>
      <c r="B2643" s="20"/>
      <c r="C2643" s="30"/>
      <c r="D2643" s="30"/>
      <c r="E2643" s="30"/>
      <c r="F2643" s="22"/>
      <c r="G2643" s="23"/>
      <c r="H2643" s="23"/>
      <c r="I2643" s="23"/>
      <c r="J2643" s="23"/>
      <c r="K2643" s="23"/>
      <c r="L2643" s="23"/>
      <c r="M2643" s="23"/>
      <c r="N2643" s="23"/>
      <c r="O2643" s="23"/>
      <c r="P2643" s="23"/>
      <c r="Q2643" s="23"/>
      <c r="R2643" s="23"/>
      <c r="S2643" s="23"/>
      <c r="T2643" s="23"/>
      <c r="U2643" s="23"/>
    </row>
    <row r="2644">
      <c r="A2644" s="20"/>
      <c r="B2644" s="20"/>
      <c r="C2644" s="30"/>
      <c r="D2644" s="30"/>
      <c r="E2644" s="30"/>
      <c r="F2644" s="22"/>
      <c r="G2644" s="23"/>
      <c r="H2644" s="23"/>
      <c r="I2644" s="23"/>
      <c r="J2644" s="23"/>
      <c r="K2644" s="23"/>
      <c r="L2644" s="23"/>
      <c r="M2644" s="23"/>
      <c r="N2644" s="23"/>
      <c r="O2644" s="23"/>
      <c r="P2644" s="23"/>
      <c r="Q2644" s="23"/>
      <c r="R2644" s="23"/>
      <c r="S2644" s="23"/>
      <c r="T2644" s="23"/>
      <c r="U2644" s="23"/>
    </row>
    <row r="2645">
      <c r="A2645" s="20"/>
      <c r="B2645" s="20"/>
      <c r="C2645" s="30"/>
      <c r="D2645" s="30"/>
      <c r="E2645" s="30"/>
      <c r="F2645" s="22"/>
      <c r="G2645" s="23"/>
      <c r="H2645" s="23"/>
      <c r="I2645" s="23"/>
      <c r="J2645" s="23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</row>
    <row r="2646">
      <c r="A2646" s="20"/>
      <c r="B2646" s="20"/>
      <c r="C2646" s="30"/>
      <c r="D2646" s="30"/>
      <c r="E2646" s="30"/>
      <c r="F2646" s="22"/>
      <c r="G2646" s="23"/>
      <c r="H2646" s="23"/>
      <c r="I2646" s="23"/>
      <c r="J2646" s="23"/>
      <c r="K2646" s="23"/>
      <c r="L2646" s="23"/>
      <c r="M2646" s="23"/>
      <c r="N2646" s="23"/>
      <c r="O2646" s="23"/>
      <c r="P2646" s="23"/>
      <c r="Q2646" s="23"/>
      <c r="R2646" s="23"/>
      <c r="S2646" s="23"/>
      <c r="T2646" s="23"/>
      <c r="U2646" s="23"/>
    </row>
    <row r="2647">
      <c r="A2647" s="20"/>
      <c r="B2647" s="20"/>
      <c r="C2647" s="30"/>
      <c r="D2647" s="30"/>
      <c r="E2647" s="30"/>
      <c r="F2647" s="22"/>
      <c r="G2647" s="23"/>
      <c r="H2647" s="23"/>
      <c r="I2647" s="23"/>
      <c r="J2647" s="23"/>
      <c r="K2647" s="23"/>
      <c r="L2647" s="23"/>
      <c r="M2647" s="23"/>
      <c r="N2647" s="23"/>
      <c r="O2647" s="23"/>
      <c r="P2647" s="23"/>
      <c r="Q2647" s="23"/>
      <c r="R2647" s="23"/>
      <c r="S2647" s="23"/>
      <c r="T2647" s="23"/>
      <c r="U2647" s="23"/>
    </row>
    <row r="2648">
      <c r="A2648" s="20"/>
      <c r="B2648" s="20"/>
      <c r="C2648" s="30"/>
      <c r="D2648" s="30"/>
      <c r="E2648" s="30"/>
      <c r="F2648" s="22"/>
      <c r="G2648" s="23"/>
      <c r="H2648" s="23"/>
      <c r="I2648" s="23"/>
      <c r="J2648" s="23"/>
      <c r="K2648" s="23"/>
      <c r="L2648" s="23"/>
      <c r="M2648" s="23"/>
      <c r="N2648" s="23"/>
      <c r="O2648" s="23"/>
      <c r="P2648" s="23"/>
      <c r="Q2648" s="23"/>
      <c r="R2648" s="23"/>
      <c r="S2648" s="23"/>
      <c r="T2648" s="23"/>
      <c r="U2648" s="23"/>
    </row>
    <row r="2649">
      <c r="A2649" s="20"/>
      <c r="B2649" s="20"/>
      <c r="C2649" s="30"/>
      <c r="D2649" s="30"/>
      <c r="E2649" s="30"/>
      <c r="F2649" s="22"/>
      <c r="G2649" s="23"/>
      <c r="H2649" s="23"/>
      <c r="I2649" s="23"/>
      <c r="J2649" s="23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</row>
    <row r="2650">
      <c r="A2650" s="20"/>
      <c r="B2650" s="20"/>
      <c r="C2650" s="30"/>
      <c r="D2650" s="30"/>
      <c r="E2650" s="30"/>
      <c r="F2650" s="22"/>
      <c r="G2650" s="23"/>
      <c r="H2650" s="23"/>
      <c r="I2650" s="23"/>
      <c r="J2650" s="23"/>
      <c r="K2650" s="23"/>
      <c r="L2650" s="23"/>
      <c r="M2650" s="23"/>
      <c r="N2650" s="23"/>
      <c r="O2650" s="23"/>
      <c r="P2650" s="23"/>
      <c r="Q2650" s="23"/>
      <c r="R2650" s="23"/>
      <c r="S2650" s="23"/>
      <c r="T2650" s="23"/>
      <c r="U2650" s="23"/>
    </row>
    <row r="2651">
      <c r="A2651" s="20"/>
      <c r="B2651" s="20"/>
      <c r="C2651" s="30"/>
      <c r="D2651" s="30"/>
      <c r="E2651" s="30"/>
      <c r="F2651" s="22"/>
      <c r="G2651" s="23"/>
      <c r="H2651" s="23"/>
      <c r="I2651" s="23"/>
      <c r="J2651" s="23"/>
      <c r="K2651" s="23"/>
      <c r="L2651" s="23"/>
      <c r="M2651" s="23"/>
      <c r="N2651" s="23"/>
      <c r="O2651" s="23"/>
      <c r="P2651" s="23"/>
      <c r="Q2651" s="23"/>
      <c r="R2651" s="23"/>
      <c r="S2651" s="23"/>
      <c r="T2651" s="23"/>
      <c r="U2651" s="23"/>
    </row>
    <row r="2652">
      <c r="A2652" s="20"/>
      <c r="B2652" s="20"/>
      <c r="C2652" s="30"/>
      <c r="D2652" s="30"/>
      <c r="E2652" s="30"/>
      <c r="F2652" s="22"/>
      <c r="G2652" s="23"/>
      <c r="H2652" s="23"/>
      <c r="I2652" s="23"/>
      <c r="J2652" s="23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</row>
    <row r="2653">
      <c r="A2653" s="20"/>
      <c r="B2653" s="20"/>
      <c r="C2653" s="30"/>
      <c r="D2653" s="30"/>
      <c r="E2653" s="30"/>
      <c r="F2653" s="22"/>
      <c r="G2653" s="23"/>
      <c r="H2653" s="23"/>
      <c r="I2653" s="23"/>
      <c r="J2653" s="23"/>
      <c r="K2653" s="23"/>
      <c r="L2653" s="23"/>
      <c r="M2653" s="23"/>
      <c r="N2653" s="23"/>
      <c r="O2653" s="23"/>
      <c r="P2653" s="23"/>
      <c r="Q2653" s="23"/>
      <c r="R2653" s="23"/>
      <c r="S2653" s="23"/>
      <c r="T2653" s="23"/>
      <c r="U2653" s="23"/>
    </row>
    <row r="2654">
      <c r="A2654" s="20"/>
      <c r="B2654" s="20"/>
      <c r="C2654" s="30"/>
      <c r="D2654" s="30"/>
      <c r="E2654" s="30"/>
      <c r="F2654" s="22"/>
      <c r="G2654" s="23"/>
      <c r="H2654" s="23"/>
      <c r="I2654" s="23"/>
      <c r="J2654" s="23"/>
      <c r="K2654" s="23"/>
      <c r="L2654" s="23"/>
      <c r="M2654" s="23"/>
      <c r="N2654" s="23"/>
      <c r="O2654" s="23"/>
      <c r="P2654" s="23"/>
      <c r="Q2654" s="23"/>
      <c r="R2654" s="23"/>
      <c r="S2654" s="23"/>
      <c r="T2654" s="23"/>
      <c r="U2654" s="23"/>
    </row>
    <row r="2655">
      <c r="A2655" s="20"/>
      <c r="B2655" s="20"/>
      <c r="C2655" s="30"/>
      <c r="D2655" s="30"/>
      <c r="E2655" s="30"/>
      <c r="F2655" s="22"/>
      <c r="G2655" s="23"/>
      <c r="H2655" s="23"/>
      <c r="I2655" s="23"/>
      <c r="J2655" s="23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</row>
    <row r="2656">
      <c r="A2656" s="20"/>
      <c r="B2656" s="20"/>
      <c r="C2656" s="30"/>
      <c r="D2656" s="30"/>
      <c r="E2656" s="30"/>
      <c r="F2656" s="22"/>
      <c r="G2656" s="23"/>
      <c r="H2656" s="23"/>
      <c r="I2656" s="23"/>
      <c r="J2656" s="23"/>
      <c r="K2656" s="23"/>
      <c r="L2656" s="23"/>
      <c r="M2656" s="23"/>
      <c r="N2656" s="23"/>
      <c r="O2656" s="23"/>
      <c r="P2656" s="23"/>
      <c r="Q2656" s="23"/>
      <c r="R2656" s="23"/>
      <c r="S2656" s="23"/>
      <c r="T2656" s="23"/>
      <c r="U2656" s="23"/>
    </row>
    <row r="2657">
      <c r="A2657" s="20"/>
      <c r="B2657" s="20"/>
      <c r="C2657" s="30"/>
      <c r="D2657" s="30"/>
      <c r="E2657" s="30"/>
      <c r="F2657" s="22"/>
      <c r="G2657" s="23"/>
      <c r="H2657" s="23"/>
      <c r="I2657" s="23"/>
      <c r="J2657" s="23"/>
      <c r="K2657" s="23"/>
      <c r="L2657" s="23"/>
      <c r="M2657" s="23"/>
      <c r="N2657" s="23"/>
      <c r="O2657" s="23"/>
      <c r="P2657" s="23"/>
      <c r="Q2657" s="23"/>
      <c r="R2657" s="23"/>
      <c r="S2657" s="23"/>
      <c r="T2657" s="23"/>
      <c r="U2657" s="23"/>
    </row>
    <row r="2658">
      <c r="A2658" s="20"/>
      <c r="B2658" s="20"/>
      <c r="C2658" s="30"/>
      <c r="D2658" s="30"/>
      <c r="E2658" s="30"/>
      <c r="F2658" s="22"/>
      <c r="G2658" s="23"/>
      <c r="H2658" s="23"/>
      <c r="I2658" s="23"/>
      <c r="J2658" s="23"/>
      <c r="K2658" s="23"/>
      <c r="L2658" s="23"/>
      <c r="M2658" s="23"/>
      <c r="N2658" s="23"/>
      <c r="O2658" s="23"/>
      <c r="P2658" s="23"/>
      <c r="Q2658" s="23"/>
      <c r="R2658" s="23"/>
      <c r="S2658" s="23"/>
      <c r="T2658" s="23"/>
      <c r="U2658" s="23"/>
    </row>
    <row r="2659">
      <c r="A2659" s="20"/>
      <c r="B2659" s="20"/>
      <c r="C2659" s="30"/>
      <c r="D2659" s="30"/>
      <c r="E2659" s="30"/>
      <c r="F2659" s="22"/>
      <c r="G2659" s="23"/>
      <c r="H2659" s="23"/>
      <c r="I2659" s="23"/>
      <c r="J2659" s="23"/>
      <c r="K2659" s="23"/>
      <c r="L2659" s="23"/>
      <c r="M2659" s="23"/>
      <c r="N2659" s="23"/>
      <c r="O2659" s="23"/>
      <c r="P2659" s="23"/>
      <c r="Q2659" s="23"/>
      <c r="R2659" s="23"/>
      <c r="S2659" s="23"/>
      <c r="T2659" s="23"/>
      <c r="U2659" s="23"/>
    </row>
    <row r="2660">
      <c r="A2660" s="20"/>
      <c r="B2660" s="20"/>
      <c r="C2660" s="30"/>
      <c r="D2660" s="30"/>
      <c r="E2660" s="30"/>
      <c r="F2660" s="22"/>
      <c r="G2660" s="23"/>
      <c r="H2660" s="23"/>
      <c r="I2660" s="23"/>
      <c r="J2660" s="23"/>
      <c r="K2660" s="23"/>
      <c r="L2660" s="23"/>
      <c r="M2660" s="23"/>
      <c r="N2660" s="23"/>
      <c r="O2660" s="23"/>
      <c r="P2660" s="23"/>
      <c r="Q2660" s="23"/>
      <c r="R2660" s="23"/>
      <c r="S2660" s="23"/>
      <c r="T2660" s="23"/>
      <c r="U2660" s="23"/>
    </row>
    <row r="2661">
      <c r="A2661" s="20"/>
      <c r="B2661" s="20"/>
      <c r="C2661" s="30"/>
      <c r="D2661" s="30"/>
      <c r="E2661" s="30"/>
      <c r="F2661" s="22"/>
      <c r="G2661" s="23"/>
      <c r="H2661" s="23"/>
      <c r="I2661" s="23"/>
      <c r="J2661" s="23"/>
      <c r="K2661" s="23"/>
      <c r="L2661" s="23"/>
      <c r="M2661" s="23"/>
      <c r="N2661" s="23"/>
      <c r="O2661" s="23"/>
      <c r="P2661" s="23"/>
      <c r="Q2661" s="23"/>
      <c r="R2661" s="23"/>
      <c r="S2661" s="23"/>
      <c r="T2661" s="23"/>
      <c r="U2661" s="23"/>
    </row>
    <row r="2662">
      <c r="A2662" s="20"/>
      <c r="B2662" s="20"/>
      <c r="C2662" s="30"/>
      <c r="D2662" s="30"/>
      <c r="E2662" s="30"/>
      <c r="F2662" s="22"/>
      <c r="G2662" s="23"/>
      <c r="H2662" s="23"/>
      <c r="I2662" s="23"/>
      <c r="J2662" s="23"/>
      <c r="K2662" s="23"/>
      <c r="L2662" s="23"/>
      <c r="M2662" s="23"/>
      <c r="N2662" s="23"/>
      <c r="O2662" s="23"/>
      <c r="P2662" s="23"/>
      <c r="Q2662" s="23"/>
      <c r="R2662" s="23"/>
      <c r="S2662" s="23"/>
      <c r="T2662" s="23"/>
      <c r="U2662" s="23"/>
    </row>
    <row r="2663">
      <c r="A2663" s="20"/>
      <c r="B2663" s="20"/>
      <c r="C2663" s="30"/>
      <c r="D2663" s="30"/>
      <c r="E2663" s="30"/>
      <c r="F2663" s="22"/>
      <c r="G2663" s="23"/>
      <c r="H2663" s="23"/>
      <c r="I2663" s="23"/>
      <c r="J2663" s="23"/>
      <c r="K2663" s="23"/>
      <c r="L2663" s="23"/>
      <c r="M2663" s="23"/>
      <c r="N2663" s="23"/>
      <c r="O2663" s="23"/>
      <c r="P2663" s="23"/>
      <c r="Q2663" s="23"/>
      <c r="R2663" s="23"/>
      <c r="S2663" s="23"/>
      <c r="T2663" s="23"/>
      <c r="U2663" s="23"/>
    </row>
    <row r="2664">
      <c r="A2664" s="20"/>
      <c r="B2664" s="20"/>
      <c r="C2664" s="30"/>
      <c r="D2664" s="30"/>
      <c r="E2664" s="30"/>
      <c r="F2664" s="22"/>
      <c r="G2664" s="23"/>
      <c r="H2664" s="23"/>
      <c r="I2664" s="23"/>
      <c r="J2664" s="23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</row>
    <row r="2665">
      <c r="A2665" s="20"/>
      <c r="B2665" s="20"/>
      <c r="C2665" s="30"/>
      <c r="D2665" s="30"/>
      <c r="E2665" s="30"/>
      <c r="F2665" s="22"/>
      <c r="G2665" s="23"/>
      <c r="H2665" s="23"/>
      <c r="I2665" s="23"/>
      <c r="J2665" s="23"/>
      <c r="K2665" s="23"/>
      <c r="L2665" s="23"/>
      <c r="M2665" s="23"/>
      <c r="N2665" s="23"/>
      <c r="O2665" s="23"/>
      <c r="P2665" s="23"/>
      <c r="Q2665" s="23"/>
      <c r="R2665" s="23"/>
      <c r="S2665" s="23"/>
      <c r="T2665" s="23"/>
      <c r="U2665" s="23"/>
    </row>
    <row r="2666">
      <c r="A2666" s="20"/>
      <c r="B2666" s="20"/>
      <c r="C2666" s="30"/>
      <c r="D2666" s="30"/>
      <c r="E2666" s="30"/>
      <c r="F2666" s="22"/>
      <c r="G2666" s="23"/>
      <c r="H2666" s="23"/>
      <c r="I2666" s="23"/>
      <c r="J2666" s="23"/>
      <c r="K2666" s="23"/>
      <c r="L2666" s="23"/>
      <c r="M2666" s="23"/>
      <c r="N2666" s="23"/>
      <c r="O2666" s="23"/>
      <c r="P2666" s="23"/>
      <c r="Q2666" s="23"/>
      <c r="R2666" s="23"/>
      <c r="S2666" s="23"/>
      <c r="T2666" s="23"/>
      <c r="U2666" s="23"/>
    </row>
    <row r="2667">
      <c r="A2667" s="20"/>
      <c r="B2667" s="20"/>
      <c r="C2667" s="30"/>
      <c r="D2667" s="30"/>
      <c r="E2667" s="30"/>
      <c r="F2667" s="22"/>
      <c r="G2667" s="23"/>
      <c r="H2667" s="23"/>
      <c r="I2667" s="23"/>
      <c r="J2667" s="23"/>
      <c r="K2667" s="23"/>
      <c r="L2667" s="23"/>
      <c r="M2667" s="23"/>
      <c r="N2667" s="23"/>
      <c r="O2667" s="23"/>
      <c r="P2667" s="23"/>
      <c r="Q2667" s="23"/>
      <c r="R2667" s="23"/>
      <c r="S2667" s="23"/>
      <c r="T2667" s="23"/>
      <c r="U2667" s="23"/>
    </row>
    <row r="2668">
      <c r="A2668" s="20"/>
      <c r="B2668" s="20"/>
      <c r="C2668" s="30"/>
      <c r="D2668" s="30"/>
      <c r="E2668" s="30"/>
      <c r="F2668" s="22"/>
      <c r="G2668" s="23"/>
      <c r="H2668" s="23"/>
      <c r="I2668" s="23"/>
      <c r="J2668" s="23"/>
      <c r="K2668" s="23"/>
      <c r="L2668" s="23"/>
      <c r="M2668" s="23"/>
      <c r="N2668" s="23"/>
      <c r="O2668" s="23"/>
      <c r="P2668" s="23"/>
      <c r="Q2668" s="23"/>
      <c r="R2668" s="23"/>
      <c r="S2668" s="23"/>
      <c r="T2668" s="23"/>
      <c r="U2668" s="23"/>
    </row>
    <row r="2669">
      <c r="A2669" s="20"/>
      <c r="B2669" s="20"/>
      <c r="C2669" s="30"/>
      <c r="D2669" s="30"/>
      <c r="E2669" s="30"/>
      <c r="F2669" s="22"/>
      <c r="G2669" s="23"/>
      <c r="H2669" s="23"/>
      <c r="I2669" s="23"/>
      <c r="J2669" s="23"/>
      <c r="K2669" s="23"/>
      <c r="L2669" s="23"/>
      <c r="M2669" s="23"/>
      <c r="N2669" s="23"/>
      <c r="O2669" s="23"/>
      <c r="P2669" s="23"/>
      <c r="Q2669" s="23"/>
      <c r="R2669" s="23"/>
      <c r="S2669" s="23"/>
      <c r="T2669" s="23"/>
      <c r="U2669" s="23"/>
    </row>
    <row r="2670">
      <c r="A2670" s="20"/>
      <c r="B2670" s="20"/>
      <c r="C2670" s="30"/>
      <c r="D2670" s="30"/>
      <c r="E2670" s="30"/>
      <c r="F2670" s="22"/>
      <c r="G2670" s="23"/>
      <c r="H2670" s="23"/>
      <c r="I2670" s="23"/>
      <c r="J2670" s="23"/>
      <c r="K2670" s="23"/>
      <c r="L2670" s="23"/>
      <c r="M2670" s="23"/>
      <c r="N2670" s="23"/>
      <c r="O2670" s="23"/>
      <c r="P2670" s="23"/>
      <c r="Q2670" s="23"/>
      <c r="R2670" s="23"/>
      <c r="S2670" s="23"/>
      <c r="T2670" s="23"/>
      <c r="U2670" s="23"/>
    </row>
    <row r="2671">
      <c r="A2671" s="20"/>
      <c r="B2671" s="20"/>
      <c r="C2671" s="30"/>
      <c r="D2671" s="30"/>
      <c r="E2671" s="30"/>
      <c r="F2671" s="22"/>
      <c r="G2671" s="23"/>
      <c r="H2671" s="23"/>
      <c r="I2671" s="23"/>
      <c r="J2671" s="23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</row>
    <row r="2672">
      <c r="A2672" s="20"/>
      <c r="B2672" s="20"/>
      <c r="C2672" s="30"/>
      <c r="D2672" s="30"/>
      <c r="E2672" s="30"/>
      <c r="F2672" s="22"/>
      <c r="G2672" s="23"/>
      <c r="H2672" s="23"/>
      <c r="I2672" s="23"/>
      <c r="J2672" s="23"/>
      <c r="K2672" s="23"/>
      <c r="L2672" s="23"/>
      <c r="M2672" s="23"/>
      <c r="N2672" s="23"/>
      <c r="O2672" s="23"/>
      <c r="P2672" s="23"/>
      <c r="Q2672" s="23"/>
      <c r="R2672" s="23"/>
      <c r="S2672" s="23"/>
      <c r="T2672" s="23"/>
      <c r="U2672" s="23"/>
    </row>
    <row r="2673">
      <c r="A2673" s="20"/>
      <c r="B2673" s="20"/>
      <c r="C2673" s="30"/>
      <c r="D2673" s="30"/>
      <c r="E2673" s="30"/>
      <c r="F2673" s="22"/>
      <c r="G2673" s="23"/>
      <c r="H2673" s="23"/>
      <c r="I2673" s="23"/>
      <c r="J2673" s="23"/>
      <c r="K2673" s="23"/>
      <c r="L2673" s="23"/>
      <c r="M2673" s="23"/>
      <c r="N2673" s="23"/>
      <c r="O2673" s="23"/>
      <c r="P2673" s="23"/>
      <c r="Q2673" s="23"/>
      <c r="R2673" s="23"/>
      <c r="S2673" s="23"/>
      <c r="T2673" s="23"/>
      <c r="U2673" s="23"/>
    </row>
    <row r="2674">
      <c r="A2674" s="20"/>
      <c r="B2674" s="20"/>
      <c r="C2674" s="30"/>
      <c r="D2674" s="30"/>
      <c r="E2674" s="30"/>
      <c r="F2674" s="22"/>
      <c r="G2674" s="23"/>
      <c r="H2674" s="23"/>
      <c r="I2674" s="23"/>
      <c r="J2674" s="23"/>
      <c r="K2674" s="23"/>
      <c r="L2674" s="23"/>
      <c r="M2674" s="23"/>
      <c r="N2674" s="23"/>
      <c r="O2674" s="23"/>
      <c r="P2674" s="23"/>
      <c r="Q2674" s="23"/>
      <c r="R2674" s="23"/>
      <c r="S2674" s="23"/>
      <c r="T2674" s="23"/>
      <c r="U2674" s="23"/>
    </row>
    <row r="2675">
      <c r="A2675" s="20"/>
      <c r="B2675" s="20"/>
      <c r="C2675" s="30"/>
      <c r="D2675" s="30"/>
      <c r="E2675" s="30"/>
      <c r="F2675" s="22"/>
      <c r="G2675" s="23"/>
      <c r="H2675" s="23"/>
      <c r="I2675" s="23"/>
      <c r="J2675" s="23"/>
      <c r="K2675" s="23"/>
      <c r="L2675" s="23"/>
      <c r="M2675" s="23"/>
      <c r="N2675" s="23"/>
      <c r="O2675" s="23"/>
      <c r="P2675" s="23"/>
      <c r="Q2675" s="23"/>
      <c r="R2675" s="23"/>
      <c r="S2675" s="23"/>
      <c r="T2675" s="23"/>
      <c r="U2675" s="23"/>
    </row>
    <row r="2676">
      <c r="A2676" s="20"/>
      <c r="B2676" s="20"/>
      <c r="C2676" s="30"/>
      <c r="D2676" s="30"/>
      <c r="E2676" s="30"/>
      <c r="F2676" s="22"/>
      <c r="G2676" s="23"/>
      <c r="H2676" s="23"/>
      <c r="I2676" s="23"/>
      <c r="J2676" s="23"/>
      <c r="K2676" s="23"/>
      <c r="L2676" s="23"/>
      <c r="M2676" s="23"/>
      <c r="N2676" s="23"/>
      <c r="O2676" s="23"/>
      <c r="P2676" s="23"/>
      <c r="Q2676" s="23"/>
      <c r="R2676" s="23"/>
      <c r="S2676" s="23"/>
      <c r="T2676" s="23"/>
      <c r="U2676" s="23"/>
    </row>
    <row r="2677">
      <c r="A2677" s="20"/>
      <c r="B2677" s="20"/>
      <c r="C2677" s="30"/>
      <c r="D2677" s="30"/>
      <c r="E2677" s="30"/>
      <c r="F2677" s="22"/>
      <c r="G2677" s="23"/>
      <c r="H2677" s="23"/>
      <c r="I2677" s="23"/>
      <c r="J2677" s="23"/>
      <c r="K2677" s="23"/>
      <c r="L2677" s="23"/>
      <c r="M2677" s="23"/>
      <c r="N2677" s="23"/>
      <c r="O2677" s="23"/>
      <c r="P2677" s="23"/>
      <c r="Q2677" s="23"/>
      <c r="R2677" s="23"/>
      <c r="S2677" s="23"/>
      <c r="T2677" s="23"/>
      <c r="U2677" s="23"/>
    </row>
    <row r="2678">
      <c r="A2678" s="20"/>
      <c r="B2678" s="20"/>
      <c r="C2678" s="30"/>
      <c r="D2678" s="30"/>
      <c r="E2678" s="30"/>
      <c r="F2678" s="22"/>
      <c r="G2678" s="23"/>
      <c r="H2678" s="23"/>
      <c r="I2678" s="23"/>
      <c r="J2678" s="23"/>
      <c r="K2678" s="23"/>
      <c r="L2678" s="23"/>
      <c r="M2678" s="23"/>
      <c r="N2678" s="23"/>
      <c r="O2678" s="23"/>
      <c r="P2678" s="23"/>
      <c r="Q2678" s="23"/>
      <c r="R2678" s="23"/>
      <c r="S2678" s="23"/>
      <c r="T2678" s="23"/>
      <c r="U2678" s="23"/>
    </row>
    <row r="2679">
      <c r="A2679" s="20"/>
      <c r="B2679" s="20"/>
      <c r="C2679" s="30"/>
      <c r="D2679" s="30"/>
      <c r="E2679" s="30"/>
      <c r="F2679" s="22"/>
      <c r="G2679" s="23"/>
      <c r="H2679" s="23"/>
      <c r="I2679" s="23"/>
      <c r="J2679" s="23"/>
      <c r="K2679" s="23"/>
      <c r="L2679" s="23"/>
      <c r="M2679" s="23"/>
      <c r="N2679" s="23"/>
      <c r="O2679" s="23"/>
      <c r="P2679" s="23"/>
      <c r="Q2679" s="23"/>
      <c r="R2679" s="23"/>
      <c r="S2679" s="23"/>
      <c r="T2679" s="23"/>
      <c r="U2679" s="23"/>
    </row>
    <row r="2680">
      <c r="A2680" s="20"/>
      <c r="B2680" s="20"/>
      <c r="C2680" s="30"/>
      <c r="D2680" s="30"/>
      <c r="E2680" s="30"/>
      <c r="F2680" s="22"/>
      <c r="G2680" s="23"/>
      <c r="H2680" s="23"/>
      <c r="I2680" s="23"/>
      <c r="J2680" s="23"/>
      <c r="K2680" s="23"/>
      <c r="L2680" s="23"/>
      <c r="M2680" s="23"/>
      <c r="N2680" s="23"/>
      <c r="O2680" s="23"/>
      <c r="P2680" s="23"/>
      <c r="Q2680" s="23"/>
      <c r="R2680" s="23"/>
      <c r="S2680" s="23"/>
      <c r="T2680" s="23"/>
      <c r="U2680" s="23"/>
    </row>
    <row r="2681">
      <c r="A2681" s="20"/>
      <c r="B2681" s="20"/>
      <c r="C2681" s="30"/>
      <c r="D2681" s="30"/>
      <c r="E2681" s="30"/>
      <c r="F2681" s="22"/>
      <c r="G2681" s="23"/>
      <c r="H2681" s="23"/>
      <c r="I2681" s="23"/>
      <c r="J2681" s="23"/>
      <c r="K2681" s="23"/>
      <c r="L2681" s="23"/>
      <c r="M2681" s="23"/>
      <c r="N2681" s="23"/>
      <c r="O2681" s="23"/>
      <c r="P2681" s="23"/>
      <c r="Q2681" s="23"/>
      <c r="R2681" s="23"/>
      <c r="S2681" s="23"/>
      <c r="T2681" s="23"/>
      <c r="U2681" s="23"/>
    </row>
    <row r="2682">
      <c r="A2682" s="20"/>
      <c r="B2682" s="20"/>
      <c r="C2682" s="30"/>
      <c r="D2682" s="30"/>
      <c r="E2682" s="30"/>
      <c r="F2682" s="22"/>
      <c r="G2682" s="23"/>
      <c r="H2682" s="23"/>
      <c r="I2682" s="23"/>
      <c r="J2682" s="23"/>
      <c r="K2682" s="23"/>
      <c r="L2682" s="23"/>
      <c r="M2682" s="23"/>
      <c r="N2682" s="23"/>
      <c r="O2682" s="23"/>
      <c r="P2682" s="23"/>
      <c r="Q2682" s="23"/>
      <c r="R2682" s="23"/>
      <c r="S2682" s="23"/>
      <c r="T2682" s="23"/>
      <c r="U2682" s="23"/>
    </row>
    <row r="2683">
      <c r="A2683" s="20"/>
      <c r="B2683" s="20"/>
      <c r="C2683" s="30"/>
      <c r="D2683" s="30"/>
      <c r="E2683" s="30"/>
      <c r="F2683" s="22"/>
      <c r="G2683" s="23"/>
      <c r="H2683" s="23"/>
      <c r="I2683" s="23"/>
      <c r="J2683" s="23"/>
      <c r="K2683" s="23"/>
      <c r="L2683" s="23"/>
      <c r="M2683" s="23"/>
      <c r="N2683" s="23"/>
      <c r="O2683" s="23"/>
      <c r="P2683" s="23"/>
      <c r="Q2683" s="23"/>
      <c r="R2683" s="23"/>
      <c r="S2683" s="23"/>
      <c r="T2683" s="23"/>
      <c r="U2683" s="23"/>
    </row>
    <row r="2684">
      <c r="A2684" s="20"/>
      <c r="B2684" s="20"/>
      <c r="C2684" s="30"/>
      <c r="D2684" s="30"/>
      <c r="E2684" s="30"/>
      <c r="F2684" s="22"/>
      <c r="G2684" s="23"/>
      <c r="H2684" s="23"/>
      <c r="I2684" s="23"/>
      <c r="J2684" s="23"/>
      <c r="K2684" s="23"/>
      <c r="L2684" s="23"/>
      <c r="M2684" s="23"/>
      <c r="N2684" s="23"/>
      <c r="O2684" s="23"/>
      <c r="P2684" s="23"/>
      <c r="Q2684" s="23"/>
      <c r="R2684" s="23"/>
      <c r="S2684" s="23"/>
      <c r="T2684" s="23"/>
      <c r="U2684" s="23"/>
    </row>
    <row r="2685">
      <c r="A2685" s="20"/>
      <c r="B2685" s="20"/>
      <c r="C2685" s="30"/>
      <c r="D2685" s="30"/>
      <c r="E2685" s="30"/>
      <c r="F2685" s="22"/>
      <c r="G2685" s="23"/>
      <c r="H2685" s="23"/>
      <c r="I2685" s="23"/>
      <c r="J2685" s="23"/>
      <c r="K2685" s="23"/>
      <c r="L2685" s="23"/>
      <c r="M2685" s="23"/>
      <c r="N2685" s="23"/>
      <c r="O2685" s="23"/>
      <c r="P2685" s="23"/>
      <c r="Q2685" s="23"/>
      <c r="R2685" s="23"/>
      <c r="S2685" s="23"/>
      <c r="T2685" s="23"/>
      <c r="U2685" s="23"/>
    </row>
    <row r="2686">
      <c r="A2686" s="20"/>
      <c r="B2686" s="20"/>
      <c r="C2686" s="30"/>
      <c r="D2686" s="30"/>
      <c r="E2686" s="30"/>
      <c r="F2686" s="22"/>
      <c r="G2686" s="23"/>
      <c r="H2686" s="23"/>
      <c r="I2686" s="23"/>
      <c r="J2686" s="23"/>
      <c r="K2686" s="23"/>
      <c r="L2686" s="23"/>
      <c r="M2686" s="23"/>
      <c r="N2686" s="23"/>
      <c r="O2686" s="23"/>
      <c r="P2686" s="23"/>
      <c r="Q2686" s="23"/>
      <c r="R2686" s="23"/>
      <c r="S2686" s="23"/>
      <c r="T2686" s="23"/>
      <c r="U2686" s="23"/>
    </row>
    <row r="2687">
      <c r="A2687" s="20"/>
      <c r="B2687" s="20"/>
      <c r="C2687" s="30"/>
      <c r="D2687" s="30"/>
      <c r="E2687" s="30"/>
      <c r="F2687" s="22"/>
      <c r="G2687" s="23"/>
      <c r="H2687" s="23"/>
      <c r="I2687" s="23"/>
      <c r="J2687" s="23"/>
      <c r="K2687" s="23"/>
      <c r="L2687" s="23"/>
      <c r="M2687" s="23"/>
      <c r="N2687" s="23"/>
      <c r="O2687" s="23"/>
      <c r="P2687" s="23"/>
      <c r="Q2687" s="23"/>
      <c r="R2687" s="23"/>
      <c r="S2687" s="23"/>
      <c r="T2687" s="23"/>
      <c r="U2687" s="23"/>
    </row>
    <row r="2688">
      <c r="A2688" s="20"/>
      <c r="B2688" s="20"/>
      <c r="C2688" s="30"/>
      <c r="D2688" s="30"/>
      <c r="E2688" s="30"/>
      <c r="F2688" s="22"/>
      <c r="G2688" s="23"/>
      <c r="H2688" s="23"/>
      <c r="I2688" s="23"/>
      <c r="J2688" s="23"/>
      <c r="K2688" s="23"/>
      <c r="L2688" s="23"/>
      <c r="M2688" s="23"/>
      <c r="N2688" s="23"/>
      <c r="O2688" s="23"/>
      <c r="P2688" s="23"/>
      <c r="Q2688" s="23"/>
      <c r="R2688" s="23"/>
      <c r="S2688" s="23"/>
      <c r="T2688" s="23"/>
      <c r="U2688" s="23"/>
    </row>
    <row r="2689">
      <c r="A2689" s="20"/>
      <c r="B2689" s="20"/>
      <c r="C2689" s="30"/>
      <c r="D2689" s="30"/>
      <c r="E2689" s="30"/>
      <c r="F2689" s="22"/>
      <c r="G2689" s="23"/>
      <c r="H2689" s="23"/>
      <c r="I2689" s="23"/>
      <c r="J2689" s="23"/>
      <c r="K2689" s="23"/>
      <c r="L2689" s="23"/>
      <c r="M2689" s="23"/>
      <c r="N2689" s="23"/>
      <c r="O2689" s="23"/>
      <c r="P2689" s="23"/>
      <c r="Q2689" s="23"/>
      <c r="R2689" s="23"/>
      <c r="S2689" s="23"/>
      <c r="T2689" s="23"/>
      <c r="U2689" s="23"/>
    </row>
    <row r="2690">
      <c r="A2690" s="20"/>
      <c r="B2690" s="20"/>
      <c r="C2690" s="30"/>
      <c r="D2690" s="30"/>
      <c r="E2690" s="30"/>
      <c r="F2690" s="22"/>
      <c r="G2690" s="23"/>
      <c r="H2690" s="23"/>
      <c r="I2690" s="23"/>
      <c r="J2690" s="23"/>
      <c r="K2690" s="23"/>
      <c r="L2690" s="23"/>
      <c r="M2690" s="23"/>
      <c r="N2690" s="23"/>
      <c r="O2690" s="23"/>
      <c r="P2690" s="23"/>
      <c r="Q2690" s="23"/>
      <c r="R2690" s="23"/>
      <c r="S2690" s="23"/>
      <c r="T2690" s="23"/>
      <c r="U2690" s="23"/>
    </row>
    <row r="2691">
      <c r="A2691" s="20"/>
      <c r="B2691" s="20"/>
      <c r="C2691" s="30"/>
      <c r="D2691" s="30"/>
      <c r="E2691" s="30"/>
      <c r="F2691" s="22"/>
      <c r="G2691" s="23"/>
      <c r="H2691" s="23"/>
      <c r="I2691" s="23"/>
      <c r="J2691" s="23"/>
      <c r="K2691" s="23"/>
      <c r="L2691" s="23"/>
      <c r="M2691" s="23"/>
      <c r="N2691" s="23"/>
      <c r="O2691" s="23"/>
      <c r="P2691" s="23"/>
      <c r="Q2691" s="23"/>
      <c r="R2691" s="23"/>
      <c r="S2691" s="23"/>
      <c r="T2691" s="23"/>
      <c r="U2691" s="23"/>
    </row>
    <row r="2692">
      <c r="A2692" s="20"/>
      <c r="B2692" s="20"/>
      <c r="C2692" s="30"/>
      <c r="D2692" s="30"/>
      <c r="E2692" s="30"/>
      <c r="F2692" s="22"/>
      <c r="G2692" s="23"/>
      <c r="H2692" s="23"/>
      <c r="I2692" s="23"/>
      <c r="J2692" s="23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</row>
    <row r="2693">
      <c r="A2693" s="20"/>
      <c r="B2693" s="20"/>
      <c r="C2693" s="30"/>
      <c r="D2693" s="30"/>
      <c r="E2693" s="30"/>
      <c r="F2693" s="22"/>
      <c r="G2693" s="23"/>
      <c r="H2693" s="23"/>
      <c r="I2693" s="23"/>
      <c r="J2693" s="23"/>
      <c r="K2693" s="23"/>
      <c r="L2693" s="23"/>
      <c r="M2693" s="23"/>
      <c r="N2693" s="23"/>
      <c r="O2693" s="23"/>
      <c r="P2693" s="23"/>
      <c r="Q2693" s="23"/>
      <c r="R2693" s="23"/>
      <c r="S2693" s="23"/>
      <c r="T2693" s="23"/>
      <c r="U2693" s="23"/>
    </row>
    <row r="2694">
      <c r="A2694" s="20"/>
      <c r="B2694" s="20"/>
      <c r="C2694" s="30"/>
      <c r="D2694" s="30"/>
      <c r="E2694" s="30"/>
      <c r="F2694" s="22"/>
      <c r="G2694" s="23"/>
      <c r="H2694" s="23"/>
      <c r="I2694" s="23"/>
      <c r="J2694" s="23"/>
      <c r="K2694" s="23"/>
      <c r="L2694" s="23"/>
      <c r="M2694" s="23"/>
      <c r="N2694" s="23"/>
      <c r="O2694" s="23"/>
      <c r="P2694" s="23"/>
      <c r="Q2694" s="23"/>
      <c r="R2694" s="23"/>
      <c r="S2694" s="23"/>
      <c r="T2694" s="23"/>
      <c r="U2694" s="23"/>
    </row>
    <row r="2695">
      <c r="A2695" s="20"/>
      <c r="B2695" s="20"/>
      <c r="C2695" s="30"/>
      <c r="D2695" s="30"/>
      <c r="E2695" s="30"/>
      <c r="F2695" s="22"/>
      <c r="G2695" s="23"/>
      <c r="H2695" s="23"/>
      <c r="I2695" s="23"/>
      <c r="J2695" s="23"/>
      <c r="K2695" s="23"/>
      <c r="L2695" s="23"/>
      <c r="M2695" s="23"/>
      <c r="N2695" s="23"/>
      <c r="O2695" s="23"/>
      <c r="P2695" s="23"/>
      <c r="Q2695" s="23"/>
      <c r="R2695" s="23"/>
      <c r="S2695" s="23"/>
      <c r="T2695" s="23"/>
      <c r="U2695" s="23"/>
    </row>
    <row r="2696">
      <c r="A2696" s="20"/>
      <c r="B2696" s="20"/>
      <c r="C2696" s="30"/>
      <c r="D2696" s="30"/>
      <c r="E2696" s="30"/>
      <c r="F2696" s="22"/>
      <c r="G2696" s="23"/>
      <c r="H2696" s="23"/>
      <c r="I2696" s="23"/>
      <c r="J2696" s="23"/>
      <c r="K2696" s="23"/>
      <c r="L2696" s="23"/>
      <c r="M2696" s="23"/>
      <c r="N2696" s="23"/>
      <c r="O2696" s="23"/>
      <c r="P2696" s="23"/>
      <c r="Q2696" s="23"/>
      <c r="R2696" s="23"/>
      <c r="S2696" s="23"/>
      <c r="T2696" s="23"/>
      <c r="U2696" s="23"/>
    </row>
    <row r="2697">
      <c r="A2697" s="20"/>
      <c r="B2697" s="20"/>
      <c r="C2697" s="30"/>
      <c r="D2697" s="30"/>
      <c r="E2697" s="30"/>
      <c r="F2697" s="22"/>
      <c r="G2697" s="23"/>
      <c r="H2697" s="23"/>
      <c r="I2697" s="23"/>
      <c r="J2697" s="23"/>
      <c r="K2697" s="23"/>
      <c r="L2697" s="23"/>
      <c r="M2697" s="23"/>
      <c r="N2697" s="23"/>
      <c r="O2697" s="23"/>
      <c r="P2697" s="23"/>
      <c r="Q2697" s="23"/>
      <c r="R2697" s="23"/>
      <c r="S2697" s="23"/>
      <c r="T2697" s="23"/>
      <c r="U2697" s="23"/>
    </row>
    <row r="2698">
      <c r="A2698" s="20"/>
      <c r="B2698" s="20"/>
      <c r="C2698" s="30"/>
      <c r="D2698" s="30"/>
      <c r="E2698" s="30"/>
      <c r="F2698" s="22"/>
      <c r="G2698" s="23"/>
      <c r="H2698" s="23"/>
      <c r="I2698" s="23"/>
      <c r="J2698" s="23"/>
      <c r="K2698" s="23"/>
      <c r="L2698" s="23"/>
      <c r="M2698" s="23"/>
      <c r="N2698" s="23"/>
      <c r="O2698" s="23"/>
      <c r="P2698" s="23"/>
      <c r="Q2698" s="23"/>
      <c r="R2698" s="23"/>
      <c r="S2698" s="23"/>
      <c r="T2698" s="23"/>
      <c r="U2698" s="23"/>
    </row>
    <row r="2699">
      <c r="A2699" s="20"/>
      <c r="B2699" s="20"/>
      <c r="C2699" s="30"/>
      <c r="D2699" s="30"/>
      <c r="E2699" s="30"/>
      <c r="F2699" s="22"/>
      <c r="G2699" s="23"/>
      <c r="H2699" s="23"/>
      <c r="I2699" s="23"/>
      <c r="J2699" s="23"/>
      <c r="K2699" s="23"/>
      <c r="L2699" s="23"/>
      <c r="M2699" s="23"/>
      <c r="N2699" s="23"/>
      <c r="O2699" s="23"/>
      <c r="P2699" s="23"/>
      <c r="Q2699" s="23"/>
      <c r="R2699" s="23"/>
      <c r="S2699" s="23"/>
      <c r="T2699" s="23"/>
      <c r="U2699" s="23"/>
    </row>
    <row r="2700">
      <c r="A2700" s="20"/>
      <c r="B2700" s="20"/>
      <c r="C2700" s="30"/>
      <c r="D2700" s="30"/>
      <c r="E2700" s="30"/>
      <c r="F2700" s="22"/>
      <c r="G2700" s="23"/>
      <c r="H2700" s="23"/>
      <c r="I2700" s="23"/>
      <c r="J2700" s="23"/>
      <c r="K2700" s="23"/>
      <c r="L2700" s="23"/>
      <c r="M2700" s="23"/>
      <c r="N2700" s="23"/>
      <c r="O2700" s="23"/>
      <c r="P2700" s="23"/>
      <c r="Q2700" s="23"/>
      <c r="R2700" s="23"/>
      <c r="S2700" s="23"/>
      <c r="T2700" s="23"/>
      <c r="U2700" s="23"/>
    </row>
    <row r="2701">
      <c r="A2701" s="20"/>
      <c r="B2701" s="20"/>
      <c r="C2701" s="30"/>
      <c r="D2701" s="30"/>
      <c r="E2701" s="30"/>
      <c r="F2701" s="22"/>
      <c r="G2701" s="23"/>
      <c r="H2701" s="23"/>
      <c r="I2701" s="23"/>
      <c r="J2701" s="23"/>
      <c r="K2701" s="23"/>
      <c r="L2701" s="23"/>
      <c r="M2701" s="23"/>
      <c r="N2701" s="23"/>
      <c r="O2701" s="23"/>
      <c r="P2701" s="23"/>
      <c r="Q2701" s="23"/>
      <c r="R2701" s="23"/>
      <c r="S2701" s="23"/>
      <c r="T2701" s="23"/>
      <c r="U2701" s="23"/>
    </row>
    <row r="2702">
      <c r="A2702" s="20"/>
      <c r="B2702" s="20"/>
      <c r="C2702" s="30"/>
      <c r="D2702" s="30"/>
      <c r="E2702" s="30"/>
      <c r="F2702" s="22"/>
      <c r="G2702" s="23"/>
      <c r="H2702" s="23"/>
      <c r="I2702" s="23"/>
      <c r="J2702" s="23"/>
      <c r="K2702" s="23"/>
      <c r="L2702" s="23"/>
      <c r="M2702" s="23"/>
      <c r="N2702" s="23"/>
      <c r="O2702" s="23"/>
      <c r="P2702" s="23"/>
      <c r="Q2702" s="23"/>
      <c r="R2702" s="23"/>
      <c r="S2702" s="23"/>
      <c r="T2702" s="23"/>
      <c r="U2702" s="23"/>
    </row>
    <row r="2703">
      <c r="A2703" s="20"/>
      <c r="B2703" s="20"/>
      <c r="C2703" s="30"/>
      <c r="D2703" s="30"/>
      <c r="E2703" s="30"/>
      <c r="F2703" s="22"/>
      <c r="G2703" s="23"/>
      <c r="H2703" s="23"/>
      <c r="I2703" s="23"/>
      <c r="J2703" s="23"/>
      <c r="K2703" s="23"/>
      <c r="L2703" s="23"/>
      <c r="M2703" s="23"/>
      <c r="N2703" s="23"/>
      <c r="O2703" s="23"/>
      <c r="P2703" s="23"/>
      <c r="Q2703" s="23"/>
      <c r="R2703" s="23"/>
      <c r="S2703" s="23"/>
      <c r="T2703" s="23"/>
      <c r="U2703" s="23"/>
    </row>
    <row r="2704">
      <c r="A2704" s="20"/>
      <c r="B2704" s="20"/>
      <c r="C2704" s="30"/>
      <c r="D2704" s="30"/>
      <c r="E2704" s="30"/>
      <c r="F2704" s="22"/>
      <c r="G2704" s="23"/>
      <c r="H2704" s="23"/>
      <c r="I2704" s="23"/>
      <c r="J2704" s="23"/>
      <c r="K2704" s="23"/>
      <c r="L2704" s="23"/>
      <c r="M2704" s="23"/>
      <c r="N2704" s="23"/>
      <c r="O2704" s="23"/>
      <c r="P2704" s="23"/>
      <c r="Q2704" s="23"/>
      <c r="R2704" s="23"/>
      <c r="S2704" s="23"/>
      <c r="T2704" s="23"/>
      <c r="U2704" s="23"/>
    </row>
    <row r="2705">
      <c r="A2705" s="20"/>
      <c r="B2705" s="20"/>
      <c r="C2705" s="30"/>
      <c r="D2705" s="30"/>
      <c r="E2705" s="30"/>
      <c r="F2705" s="22"/>
      <c r="G2705" s="23"/>
      <c r="H2705" s="23"/>
      <c r="I2705" s="23"/>
      <c r="J2705" s="23"/>
      <c r="K2705" s="23"/>
      <c r="L2705" s="23"/>
      <c r="M2705" s="23"/>
      <c r="N2705" s="23"/>
      <c r="O2705" s="23"/>
      <c r="P2705" s="23"/>
      <c r="Q2705" s="23"/>
      <c r="R2705" s="23"/>
      <c r="S2705" s="23"/>
      <c r="T2705" s="23"/>
      <c r="U2705" s="23"/>
    </row>
    <row r="2706">
      <c r="A2706" s="20"/>
      <c r="B2706" s="20"/>
      <c r="C2706" s="30"/>
      <c r="D2706" s="30"/>
      <c r="E2706" s="30"/>
      <c r="F2706" s="22"/>
      <c r="G2706" s="23"/>
      <c r="H2706" s="23"/>
      <c r="I2706" s="23"/>
      <c r="J2706" s="23"/>
      <c r="K2706" s="23"/>
      <c r="L2706" s="23"/>
      <c r="M2706" s="23"/>
      <c r="N2706" s="23"/>
      <c r="O2706" s="23"/>
      <c r="P2706" s="23"/>
      <c r="Q2706" s="23"/>
      <c r="R2706" s="23"/>
      <c r="S2706" s="23"/>
      <c r="T2706" s="23"/>
      <c r="U2706" s="23"/>
    </row>
    <row r="2707">
      <c r="A2707" s="20"/>
      <c r="B2707" s="20"/>
      <c r="C2707" s="30"/>
      <c r="D2707" s="30"/>
      <c r="E2707" s="30"/>
      <c r="F2707" s="22"/>
      <c r="G2707" s="23"/>
      <c r="H2707" s="23"/>
      <c r="I2707" s="23"/>
      <c r="J2707" s="23"/>
      <c r="K2707" s="23"/>
      <c r="L2707" s="23"/>
      <c r="M2707" s="23"/>
      <c r="N2707" s="23"/>
      <c r="O2707" s="23"/>
      <c r="P2707" s="23"/>
      <c r="Q2707" s="23"/>
      <c r="R2707" s="23"/>
      <c r="S2707" s="23"/>
      <c r="T2707" s="23"/>
      <c r="U2707" s="23"/>
    </row>
    <row r="2708">
      <c r="A2708" s="20"/>
      <c r="B2708" s="20"/>
      <c r="C2708" s="30"/>
      <c r="D2708" s="30"/>
      <c r="E2708" s="30"/>
      <c r="F2708" s="22"/>
      <c r="G2708" s="23"/>
      <c r="H2708" s="23"/>
      <c r="I2708" s="23"/>
      <c r="J2708" s="23"/>
      <c r="K2708" s="23"/>
      <c r="L2708" s="23"/>
      <c r="M2708" s="23"/>
      <c r="N2708" s="23"/>
      <c r="O2708" s="23"/>
      <c r="P2708" s="23"/>
      <c r="Q2708" s="23"/>
      <c r="R2708" s="23"/>
      <c r="S2708" s="23"/>
      <c r="T2708" s="23"/>
      <c r="U2708" s="23"/>
    </row>
    <row r="2709">
      <c r="A2709" s="20"/>
      <c r="B2709" s="20"/>
      <c r="C2709" s="30"/>
      <c r="D2709" s="30"/>
      <c r="E2709" s="30"/>
      <c r="F2709" s="22"/>
      <c r="G2709" s="23"/>
      <c r="H2709" s="23"/>
      <c r="I2709" s="23"/>
      <c r="J2709" s="23"/>
      <c r="K2709" s="23"/>
      <c r="L2709" s="23"/>
      <c r="M2709" s="23"/>
      <c r="N2709" s="23"/>
      <c r="O2709" s="23"/>
      <c r="P2709" s="23"/>
      <c r="Q2709" s="23"/>
      <c r="R2709" s="23"/>
      <c r="S2709" s="23"/>
      <c r="T2709" s="23"/>
      <c r="U2709" s="23"/>
    </row>
    <row r="2710">
      <c r="A2710" s="20"/>
      <c r="B2710" s="20"/>
      <c r="C2710" s="30"/>
      <c r="D2710" s="30"/>
      <c r="E2710" s="30"/>
      <c r="F2710" s="22"/>
      <c r="G2710" s="23"/>
      <c r="H2710" s="23"/>
      <c r="I2710" s="23"/>
      <c r="J2710" s="23"/>
      <c r="K2710" s="23"/>
      <c r="L2710" s="23"/>
      <c r="M2710" s="23"/>
      <c r="N2710" s="23"/>
      <c r="O2710" s="23"/>
      <c r="P2710" s="23"/>
      <c r="Q2710" s="23"/>
      <c r="R2710" s="23"/>
      <c r="S2710" s="23"/>
      <c r="T2710" s="23"/>
      <c r="U2710" s="23"/>
    </row>
    <row r="2711">
      <c r="A2711" s="20"/>
      <c r="B2711" s="20"/>
      <c r="C2711" s="30"/>
      <c r="D2711" s="30"/>
      <c r="E2711" s="30"/>
      <c r="F2711" s="22"/>
      <c r="G2711" s="23"/>
      <c r="H2711" s="23"/>
      <c r="I2711" s="23"/>
      <c r="J2711" s="23"/>
      <c r="K2711" s="23"/>
      <c r="L2711" s="23"/>
      <c r="M2711" s="23"/>
      <c r="N2711" s="23"/>
      <c r="O2711" s="23"/>
      <c r="P2711" s="23"/>
      <c r="Q2711" s="23"/>
      <c r="R2711" s="23"/>
      <c r="S2711" s="23"/>
      <c r="T2711" s="23"/>
      <c r="U2711" s="23"/>
    </row>
    <row r="2712">
      <c r="A2712" s="20"/>
      <c r="B2712" s="20"/>
      <c r="C2712" s="30"/>
      <c r="D2712" s="30"/>
      <c r="E2712" s="30"/>
      <c r="F2712" s="22"/>
      <c r="G2712" s="23"/>
      <c r="H2712" s="23"/>
      <c r="I2712" s="23"/>
      <c r="J2712" s="23"/>
      <c r="K2712" s="23"/>
      <c r="L2712" s="23"/>
      <c r="M2712" s="23"/>
      <c r="N2712" s="23"/>
      <c r="O2712" s="23"/>
      <c r="P2712" s="23"/>
      <c r="Q2712" s="23"/>
      <c r="R2712" s="23"/>
      <c r="S2712" s="23"/>
      <c r="T2712" s="23"/>
      <c r="U2712" s="23"/>
    </row>
    <row r="2713">
      <c r="A2713" s="20"/>
      <c r="B2713" s="20"/>
      <c r="C2713" s="30"/>
      <c r="D2713" s="30"/>
      <c r="E2713" s="30"/>
      <c r="F2713" s="22"/>
      <c r="G2713" s="23"/>
      <c r="H2713" s="23"/>
      <c r="I2713" s="23"/>
      <c r="J2713" s="23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</row>
    <row r="2714">
      <c r="A2714" s="20"/>
      <c r="B2714" s="20"/>
      <c r="C2714" s="30"/>
      <c r="D2714" s="30"/>
      <c r="E2714" s="30"/>
      <c r="F2714" s="22"/>
      <c r="G2714" s="23"/>
      <c r="H2714" s="23"/>
      <c r="I2714" s="23"/>
      <c r="J2714" s="23"/>
      <c r="K2714" s="23"/>
      <c r="L2714" s="23"/>
      <c r="M2714" s="23"/>
      <c r="N2714" s="23"/>
      <c r="O2714" s="23"/>
      <c r="P2714" s="23"/>
      <c r="Q2714" s="23"/>
      <c r="R2714" s="23"/>
      <c r="S2714" s="23"/>
      <c r="T2714" s="23"/>
      <c r="U2714" s="23"/>
    </row>
    <row r="2715">
      <c r="A2715" s="20"/>
      <c r="B2715" s="20"/>
      <c r="C2715" s="30"/>
      <c r="D2715" s="30"/>
      <c r="E2715" s="30"/>
      <c r="F2715" s="22"/>
      <c r="G2715" s="23"/>
      <c r="H2715" s="23"/>
      <c r="I2715" s="23"/>
      <c r="J2715" s="23"/>
      <c r="K2715" s="23"/>
      <c r="L2715" s="23"/>
      <c r="M2715" s="23"/>
      <c r="N2715" s="23"/>
      <c r="O2715" s="23"/>
      <c r="P2715" s="23"/>
      <c r="Q2715" s="23"/>
      <c r="R2715" s="23"/>
      <c r="S2715" s="23"/>
      <c r="T2715" s="23"/>
      <c r="U2715" s="23"/>
    </row>
    <row r="2716">
      <c r="A2716" s="20"/>
      <c r="B2716" s="20"/>
      <c r="C2716" s="30"/>
      <c r="D2716" s="30"/>
      <c r="E2716" s="30"/>
      <c r="F2716" s="22"/>
      <c r="G2716" s="23"/>
      <c r="H2716" s="23"/>
      <c r="I2716" s="23"/>
      <c r="J2716" s="23"/>
      <c r="K2716" s="23"/>
      <c r="L2716" s="23"/>
      <c r="M2716" s="23"/>
      <c r="N2716" s="23"/>
      <c r="O2716" s="23"/>
      <c r="P2716" s="23"/>
      <c r="Q2716" s="23"/>
      <c r="R2716" s="23"/>
      <c r="S2716" s="23"/>
      <c r="T2716" s="23"/>
      <c r="U2716" s="23"/>
    </row>
    <row r="2717">
      <c r="A2717" s="20"/>
      <c r="B2717" s="20"/>
      <c r="C2717" s="30"/>
      <c r="D2717" s="30"/>
      <c r="E2717" s="30"/>
      <c r="F2717" s="22"/>
      <c r="G2717" s="23"/>
      <c r="H2717" s="23"/>
      <c r="I2717" s="23"/>
      <c r="J2717" s="23"/>
      <c r="K2717" s="23"/>
      <c r="L2717" s="23"/>
      <c r="M2717" s="23"/>
      <c r="N2717" s="23"/>
      <c r="O2717" s="23"/>
      <c r="P2717" s="23"/>
      <c r="Q2717" s="23"/>
      <c r="R2717" s="23"/>
      <c r="S2717" s="23"/>
      <c r="T2717" s="23"/>
      <c r="U2717" s="23"/>
    </row>
    <row r="2718">
      <c r="A2718" s="20"/>
      <c r="B2718" s="20"/>
      <c r="C2718" s="30"/>
      <c r="D2718" s="30"/>
      <c r="E2718" s="30"/>
      <c r="F2718" s="22"/>
      <c r="G2718" s="23"/>
      <c r="H2718" s="23"/>
      <c r="I2718" s="23"/>
      <c r="J2718" s="23"/>
      <c r="K2718" s="23"/>
      <c r="L2718" s="23"/>
      <c r="M2718" s="23"/>
      <c r="N2718" s="23"/>
      <c r="O2718" s="23"/>
      <c r="P2718" s="23"/>
      <c r="Q2718" s="23"/>
      <c r="R2718" s="23"/>
      <c r="S2718" s="23"/>
      <c r="T2718" s="23"/>
      <c r="U2718" s="23"/>
    </row>
    <row r="2719">
      <c r="A2719" s="20"/>
      <c r="B2719" s="20"/>
      <c r="C2719" s="30"/>
      <c r="D2719" s="30"/>
      <c r="E2719" s="30"/>
      <c r="F2719" s="22"/>
      <c r="G2719" s="23"/>
      <c r="H2719" s="23"/>
      <c r="I2719" s="23"/>
      <c r="J2719" s="23"/>
      <c r="K2719" s="23"/>
      <c r="L2719" s="23"/>
      <c r="M2719" s="23"/>
      <c r="N2719" s="23"/>
      <c r="O2719" s="23"/>
      <c r="P2719" s="23"/>
      <c r="Q2719" s="23"/>
      <c r="R2719" s="23"/>
      <c r="S2719" s="23"/>
      <c r="T2719" s="23"/>
      <c r="U2719" s="23"/>
    </row>
    <row r="2720">
      <c r="A2720" s="20"/>
      <c r="B2720" s="20"/>
      <c r="C2720" s="30"/>
      <c r="D2720" s="30"/>
      <c r="E2720" s="30"/>
      <c r="F2720" s="22"/>
      <c r="G2720" s="23"/>
      <c r="H2720" s="23"/>
      <c r="I2720" s="23"/>
      <c r="J2720" s="23"/>
      <c r="K2720" s="23"/>
      <c r="L2720" s="23"/>
      <c r="M2720" s="23"/>
      <c r="N2720" s="23"/>
      <c r="O2720" s="23"/>
      <c r="P2720" s="23"/>
      <c r="Q2720" s="23"/>
      <c r="R2720" s="23"/>
      <c r="S2720" s="23"/>
      <c r="T2720" s="23"/>
      <c r="U2720" s="23"/>
    </row>
    <row r="2721">
      <c r="A2721" s="20"/>
      <c r="B2721" s="20"/>
      <c r="C2721" s="30"/>
      <c r="D2721" s="30"/>
      <c r="E2721" s="30"/>
      <c r="F2721" s="22"/>
      <c r="G2721" s="23"/>
      <c r="H2721" s="23"/>
      <c r="I2721" s="23"/>
      <c r="J2721" s="23"/>
      <c r="K2721" s="23"/>
      <c r="L2721" s="23"/>
      <c r="M2721" s="23"/>
      <c r="N2721" s="23"/>
      <c r="O2721" s="23"/>
      <c r="P2721" s="23"/>
      <c r="Q2721" s="23"/>
      <c r="R2721" s="23"/>
      <c r="S2721" s="23"/>
      <c r="T2721" s="23"/>
      <c r="U2721" s="23"/>
    </row>
    <row r="2722">
      <c r="A2722" s="20"/>
      <c r="B2722" s="20"/>
      <c r="C2722" s="30"/>
      <c r="D2722" s="30"/>
      <c r="E2722" s="30"/>
      <c r="F2722" s="22"/>
      <c r="G2722" s="23"/>
      <c r="H2722" s="23"/>
      <c r="I2722" s="23"/>
      <c r="J2722" s="23"/>
      <c r="K2722" s="23"/>
      <c r="L2722" s="23"/>
      <c r="M2722" s="23"/>
      <c r="N2722" s="23"/>
      <c r="O2722" s="23"/>
      <c r="P2722" s="23"/>
      <c r="Q2722" s="23"/>
      <c r="R2722" s="23"/>
      <c r="S2722" s="23"/>
      <c r="T2722" s="23"/>
      <c r="U2722" s="23"/>
    </row>
    <row r="2723">
      <c r="A2723" s="20"/>
      <c r="B2723" s="20"/>
      <c r="C2723" s="30"/>
      <c r="D2723" s="30"/>
      <c r="E2723" s="30"/>
      <c r="F2723" s="22"/>
      <c r="G2723" s="23"/>
      <c r="H2723" s="23"/>
      <c r="I2723" s="23"/>
      <c r="J2723" s="23"/>
      <c r="K2723" s="23"/>
      <c r="L2723" s="23"/>
      <c r="M2723" s="23"/>
      <c r="N2723" s="23"/>
      <c r="O2723" s="23"/>
      <c r="P2723" s="23"/>
      <c r="Q2723" s="23"/>
      <c r="R2723" s="23"/>
      <c r="S2723" s="23"/>
      <c r="T2723" s="23"/>
      <c r="U2723" s="23"/>
    </row>
    <row r="2724">
      <c r="A2724" s="20"/>
      <c r="B2724" s="20"/>
      <c r="C2724" s="30"/>
      <c r="D2724" s="30"/>
      <c r="E2724" s="30"/>
      <c r="F2724" s="22"/>
      <c r="G2724" s="23"/>
      <c r="H2724" s="23"/>
      <c r="I2724" s="23"/>
      <c r="J2724" s="23"/>
      <c r="K2724" s="23"/>
      <c r="L2724" s="23"/>
      <c r="M2724" s="23"/>
      <c r="N2724" s="23"/>
      <c r="O2724" s="23"/>
      <c r="P2724" s="23"/>
      <c r="Q2724" s="23"/>
      <c r="R2724" s="23"/>
      <c r="S2724" s="23"/>
      <c r="T2724" s="23"/>
      <c r="U2724" s="23"/>
    </row>
    <row r="2725">
      <c r="A2725" s="20"/>
      <c r="B2725" s="20"/>
      <c r="C2725" s="30"/>
      <c r="D2725" s="30"/>
      <c r="E2725" s="30"/>
      <c r="F2725" s="22"/>
      <c r="G2725" s="23"/>
      <c r="H2725" s="23"/>
      <c r="I2725" s="23"/>
      <c r="J2725" s="23"/>
      <c r="K2725" s="23"/>
      <c r="L2725" s="23"/>
      <c r="M2725" s="23"/>
      <c r="N2725" s="23"/>
      <c r="O2725" s="23"/>
      <c r="P2725" s="23"/>
      <c r="Q2725" s="23"/>
      <c r="R2725" s="23"/>
      <c r="S2725" s="23"/>
      <c r="T2725" s="23"/>
      <c r="U2725" s="23"/>
    </row>
    <row r="2726">
      <c r="A2726" s="20"/>
      <c r="B2726" s="20"/>
      <c r="C2726" s="30"/>
      <c r="D2726" s="30"/>
      <c r="E2726" s="30"/>
      <c r="F2726" s="22"/>
      <c r="G2726" s="23"/>
      <c r="H2726" s="23"/>
      <c r="I2726" s="23"/>
      <c r="J2726" s="23"/>
      <c r="K2726" s="23"/>
      <c r="L2726" s="23"/>
      <c r="M2726" s="23"/>
      <c r="N2726" s="23"/>
      <c r="O2726" s="23"/>
      <c r="P2726" s="23"/>
      <c r="Q2726" s="23"/>
      <c r="R2726" s="23"/>
      <c r="S2726" s="23"/>
      <c r="T2726" s="23"/>
      <c r="U2726" s="23"/>
    </row>
    <row r="2727">
      <c r="A2727" s="20"/>
      <c r="B2727" s="20"/>
      <c r="C2727" s="30"/>
      <c r="D2727" s="30"/>
      <c r="E2727" s="30"/>
      <c r="F2727" s="22"/>
      <c r="G2727" s="23"/>
      <c r="H2727" s="23"/>
      <c r="I2727" s="23"/>
      <c r="J2727" s="23"/>
      <c r="K2727" s="23"/>
      <c r="L2727" s="23"/>
      <c r="M2727" s="23"/>
      <c r="N2727" s="23"/>
      <c r="O2727" s="23"/>
      <c r="P2727" s="23"/>
      <c r="Q2727" s="23"/>
      <c r="R2727" s="23"/>
      <c r="S2727" s="23"/>
      <c r="T2727" s="23"/>
      <c r="U2727" s="23"/>
    </row>
    <row r="2728">
      <c r="A2728" s="20"/>
      <c r="B2728" s="20"/>
      <c r="C2728" s="30"/>
      <c r="D2728" s="30"/>
      <c r="E2728" s="30"/>
      <c r="F2728" s="22"/>
      <c r="G2728" s="23"/>
      <c r="H2728" s="23"/>
      <c r="I2728" s="23"/>
      <c r="J2728" s="23"/>
      <c r="K2728" s="23"/>
      <c r="L2728" s="23"/>
      <c r="M2728" s="23"/>
      <c r="N2728" s="23"/>
      <c r="O2728" s="23"/>
      <c r="P2728" s="23"/>
      <c r="Q2728" s="23"/>
      <c r="R2728" s="23"/>
      <c r="S2728" s="23"/>
      <c r="T2728" s="23"/>
      <c r="U2728" s="23"/>
    </row>
    <row r="2729">
      <c r="A2729" s="20"/>
      <c r="B2729" s="20"/>
      <c r="C2729" s="30"/>
      <c r="D2729" s="30"/>
      <c r="E2729" s="30"/>
      <c r="F2729" s="22"/>
      <c r="G2729" s="23"/>
      <c r="H2729" s="23"/>
      <c r="I2729" s="23"/>
      <c r="J2729" s="23"/>
      <c r="K2729" s="23"/>
      <c r="L2729" s="23"/>
      <c r="M2729" s="23"/>
      <c r="N2729" s="23"/>
      <c r="O2729" s="23"/>
      <c r="P2729" s="23"/>
      <c r="Q2729" s="23"/>
      <c r="R2729" s="23"/>
      <c r="S2729" s="23"/>
      <c r="T2729" s="23"/>
      <c r="U2729" s="23"/>
    </row>
    <row r="2730">
      <c r="A2730" s="20"/>
      <c r="B2730" s="20"/>
      <c r="C2730" s="30"/>
      <c r="D2730" s="30"/>
      <c r="E2730" s="30"/>
      <c r="F2730" s="22"/>
      <c r="G2730" s="23"/>
      <c r="H2730" s="23"/>
      <c r="I2730" s="23"/>
      <c r="J2730" s="23"/>
      <c r="K2730" s="23"/>
      <c r="L2730" s="23"/>
      <c r="M2730" s="23"/>
      <c r="N2730" s="23"/>
      <c r="O2730" s="23"/>
      <c r="P2730" s="23"/>
      <c r="Q2730" s="23"/>
      <c r="R2730" s="23"/>
      <c r="S2730" s="23"/>
      <c r="T2730" s="23"/>
      <c r="U2730" s="23"/>
    </row>
    <row r="2731">
      <c r="A2731" s="20"/>
      <c r="B2731" s="20"/>
      <c r="C2731" s="30"/>
      <c r="D2731" s="30"/>
      <c r="E2731" s="30"/>
      <c r="F2731" s="22"/>
      <c r="G2731" s="23"/>
      <c r="H2731" s="23"/>
      <c r="I2731" s="23"/>
      <c r="J2731" s="23"/>
      <c r="K2731" s="23"/>
      <c r="L2731" s="23"/>
      <c r="M2731" s="23"/>
      <c r="N2731" s="23"/>
      <c r="O2731" s="23"/>
      <c r="P2731" s="23"/>
      <c r="Q2731" s="23"/>
      <c r="R2731" s="23"/>
      <c r="S2731" s="23"/>
      <c r="T2731" s="23"/>
      <c r="U2731" s="23"/>
    </row>
    <row r="2732">
      <c r="A2732" s="20"/>
      <c r="B2732" s="20"/>
      <c r="C2732" s="30"/>
      <c r="D2732" s="30"/>
      <c r="E2732" s="30"/>
      <c r="F2732" s="22"/>
      <c r="G2732" s="23"/>
      <c r="H2732" s="23"/>
      <c r="I2732" s="23"/>
      <c r="J2732" s="23"/>
      <c r="K2732" s="23"/>
      <c r="L2732" s="23"/>
      <c r="M2732" s="23"/>
      <c r="N2732" s="23"/>
      <c r="O2732" s="23"/>
      <c r="P2732" s="23"/>
      <c r="Q2732" s="23"/>
      <c r="R2732" s="23"/>
      <c r="S2732" s="23"/>
      <c r="T2732" s="23"/>
      <c r="U2732" s="23"/>
    </row>
    <row r="2733">
      <c r="A2733" s="20"/>
      <c r="B2733" s="20"/>
      <c r="C2733" s="30"/>
      <c r="D2733" s="30"/>
      <c r="E2733" s="30"/>
      <c r="F2733" s="22"/>
      <c r="G2733" s="23"/>
      <c r="H2733" s="23"/>
      <c r="I2733" s="23"/>
      <c r="J2733" s="23"/>
      <c r="K2733" s="23"/>
      <c r="L2733" s="23"/>
      <c r="M2733" s="23"/>
      <c r="N2733" s="23"/>
      <c r="O2733" s="23"/>
      <c r="P2733" s="23"/>
      <c r="Q2733" s="23"/>
      <c r="R2733" s="23"/>
      <c r="S2733" s="23"/>
      <c r="T2733" s="23"/>
      <c r="U2733" s="23"/>
    </row>
    <row r="2734">
      <c r="A2734" s="20"/>
      <c r="B2734" s="20"/>
      <c r="C2734" s="30"/>
      <c r="D2734" s="30"/>
      <c r="E2734" s="30"/>
      <c r="F2734" s="22"/>
      <c r="G2734" s="23"/>
      <c r="H2734" s="23"/>
      <c r="I2734" s="23"/>
      <c r="J2734" s="23"/>
      <c r="K2734" s="23"/>
      <c r="L2734" s="23"/>
      <c r="M2734" s="23"/>
      <c r="N2734" s="23"/>
      <c r="O2734" s="23"/>
      <c r="P2734" s="23"/>
      <c r="Q2734" s="23"/>
      <c r="R2734" s="23"/>
      <c r="S2734" s="23"/>
      <c r="T2734" s="23"/>
      <c r="U2734" s="23"/>
    </row>
    <row r="2735">
      <c r="A2735" s="20"/>
      <c r="B2735" s="20"/>
      <c r="C2735" s="30"/>
      <c r="D2735" s="30"/>
      <c r="E2735" s="30"/>
      <c r="F2735" s="22"/>
      <c r="G2735" s="23"/>
      <c r="H2735" s="23"/>
      <c r="I2735" s="23"/>
      <c r="J2735" s="23"/>
      <c r="K2735" s="23"/>
      <c r="L2735" s="23"/>
      <c r="M2735" s="23"/>
      <c r="N2735" s="23"/>
      <c r="O2735" s="23"/>
      <c r="P2735" s="23"/>
      <c r="Q2735" s="23"/>
      <c r="R2735" s="23"/>
      <c r="S2735" s="23"/>
      <c r="T2735" s="23"/>
      <c r="U2735" s="23"/>
    </row>
    <row r="2736">
      <c r="A2736" s="20"/>
      <c r="B2736" s="20"/>
      <c r="C2736" s="30"/>
      <c r="D2736" s="30"/>
      <c r="E2736" s="30"/>
      <c r="F2736" s="22"/>
      <c r="G2736" s="23"/>
      <c r="H2736" s="23"/>
      <c r="I2736" s="23"/>
      <c r="J2736" s="23"/>
      <c r="K2736" s="23"/>
      <c r="L2736" s="23"/>
      <c r="M2736" s="23"/>
      <c r="N2736" s="23"/>
      <c r="O2736" s="23"/>
      <c r="P2736" s="23"/>
      <c r="Q2736" s="23"/>
      <c r="R2736" s="23"/>
      <c r="S2736" s="23"/>
      <c r="T2736" s="23"/>
      <c r="U2736" s="23"/>
    </row>
    <row r="2737">
      <c r="A2737" s="20"/>
      <c r="B2737" s="20"/>
      <c r="C2737" s="30"/>
      <c r="D2737" s="30"/>
      <c r="E2737" s="30"/>
      <c r="F2737" s="22"/>
      <c r="G2737" s="23"/>
      <c r="H2737" s="23"/>
      <c r="I2737" s="23"/>
      <c r="J2737" s="23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</row>
    <row r="2738">
      <c r="A2738" s="20"/>
      <c r="B2738" s="20"/>
      <c r="C2738" s="30"/>
      <c r="D2738" s="30"/>
      <c r="E2738" s="30"/>
      <c r="F2738" s="22"/>
      <c r="G2738" s="23"/>
      <c r="H2738" s="23"/>
      <c r="I2738" s="23"/>
      <c r="J2738" s="23"/>
      <c r="K2738" s="23"/>
      <c r="L2738" s="23"/>
      <c r="M2738" s="23"/>
      <c r="N2738" s="23"/>
      <c r="O2738" s="23"/>
      <c r="P2738" s="23"/>
      <c r="Q2738" s="23"/>
      <c r="R2738" s="23"/>
      <c r="S2738" s="23"/>
      <c r="T2738" s="23"/>
      <c r="U2738" s="23"/>
    </row>
    <row r="2739">
      <c r="A2739" s="20"/>
      <c r="B2739" s="20"/>
      <c r="C2739" s="30"/>
      <c r="D2739" s="30"/>
      <c r="E2739" s="30"/>
      <c r="F2739" s="22"/>
      <c r="G2739" s="23"/>
      <c r="H2739" s="23"/>
      <c r="I2739" s="23"/>
      <c r="J2739" s="23"/>
      <c r="K2739" s="23"/>
      <c r="L2739" s="23"/>
      <c r="M2739" s="23"/>
      <c r="N2739" s="23"/>
      <c r="O2739" s="23"/>
      <c r="P2739" s="23"/>
      <c r="Q2739" s="23"/>
      <c r="R2739" s="23"/>
      <c r="S2739" s="23"/>
      <c r="T2739" s="23"/>
      <c r="U2739" s="23"/>
    </row>
    <row r="2740">
      <c r="A2740" s="20"/>
      <c r="B2740" s="20"/>
      <c r="C2740" s="30"/>
      <c r="D2740" s="30"/>
      <c r="E2740" s="30"/>
      <c r="F2740" s="22"/>
      <c r="G2740" s="23"/>
      <c r="H2740" s="23"/>
      <c r="I2740" s="23"/>
      <c r="J2740" s="23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</row>
    <row r="2741">
      <c r="A2741" s="20"/>
      <c r="B2741" s="20"/>
      <c r="C2741" s="30"/>
      <c r="D2741" s="30"/>
      <c r="E2741" s="30"/>
      <c r="F2741" s="22"/>
      <c r="G2741" s="23"/>
      <c r="H2741" s="23"/>
      <c r="I2741" s="23"/>
      <c r="J2741" s="23"/>
      <c r="K2741" s="23"/>
      <c r="L2741" s="23"/>
      <c r="M2741" s="23"/>
      <c r="N2741" s="23"/>
      <c r="O2741" s="23"/>
      <c r="P2741" s="23"/>
      <c r="Q2741" s="23"/>
      <c r="R2741" s="23"/>
      <c r="S2741" s="23"/>
      <c r="T2741" s="23"/>
      <c r="U2741" s="23"/>
    </row>
    <row r="2742">
      <c r="A2742" s="20"/>
      <c r="B2742" s="20"/>
      <c r="C2742" s="30"/>
      <c r="D2742" s="30"/>
      <c r="E2742" s="30"/>
      <c r="F2742" s="22"/>
      <c r="G2742" s="23"/>
      <c r="H2742" s="23"/>
      <c r="I2742" s="23"/>
      <c r="J2742" s="23"/>
      <c r="K2742" s="23"/>
      <c r="L2742" s="23"/>
      <c r="M2742" s="23"/>
      <c r="N2742" s="23"/>
      <c r="O2742" s="23"/>
      <c r="P2742" s="23"/>
      <c r="Q2742" s="23"/>
      <c r="R2742" s="23"/>
      <c r="S2742" s="23"/>
      <c r="T2742" s="23"/>
      <c r="U2742" s="23"/>
    </row>
    <row r="2743">
      <c r="A2743" s="20"/>
      <c r="B2743" s="20"/>
      <c r="C2743" s="30"/>
      <c r="D2743" s="30"/>
      <c r="E2743" s="30"/>
      <c r="F2743" s="22"/>
      <c r="G2743" s="23"/>
      <c r="H2743" s="23"/>
      <c r="I2743" s="23"/>
      <c r="J2743" s="23"/>
      <c r="K2743" s="23"/>
      <c r="L2743" s="23"/>
      <c r="M2743" s="23"/>
      <c r="N2743" s="23"/>
      <c r="O2743" s="23"/>
      <c r="P2743" s="23"/>
      <c r="Q2743" s="23"/>
      <c r="R2743" s="23"/>
      <c r="S2743" s="23"/>
      <c r="T2743" s="23"/>
      <c r="U2743" s="23"/>
    </row>
    <row r="2744">
      <c r="A2744" s="20"/>
      <c r="B2744" s="20"/>
      <c r="C2744" s="30"/>
      <c r="D2744" s="30"/>
      <c r="E2744" s="30"/>
      <c r="F2744" s="22"/>
      <c r="G2744" s="23"/>
      <c r="H2744" s="23"/>
      <c r="I2744" s="23"/>
      <c r="J2744" s="23"/>
      <c r="K2744" s="23"/>
      <c r="L2744" s="23"/>
      <c r="M2744" s="23"/>
      <c r="N2744" s="23"/>
      <c r="O2744" s="23"/>
      <c r="P2744" s="23"/>
      <c r="Q2744" s="23"/>
      <c r="R2744" s="23"/>
      <c r="S2744" s="23"/>
      <c r="T2744" s="23"/>
      <c r="U2744" s="23"/>
    </row>
    <row r="2745">
      <c r="A2745" s="20"/>
      <c r="B2745" s="20"/>
      <c r="C2745" s="30"/>
      <c r="D2745" s="30"/>
      <c r="E2745" s="30"/>
      <c r="F2745" s="22"/>
      <c r="G2745" s="23"/>
      <c r="H2745" s="23"/>
      <c r="I2745" s="23"/>
      <c r="J2745" s="23"/>
      <c r="K2745" s="23"/>
      <c r="L2745" s="23"/>
      <c r="M2745" s="23"/>
      <c r="N2745" s="23"/>
      <c r="O2745" s="23"/>
      <c r="P2745" s="23"/>
      <c r="Q2745" s="23"/>
      <c r="R2745" s="23"/>
      <c r="S2745" s="23"/>
      <c r="T2745" s="23"/>
      <c r="U2745" s="23"/>
    </row>
    <row r="2746">
      <c r="A2746" s="20"/>
      <c r="B2746" s="20"/>
      <c r="C2746" s="30"/>
      <c r="D2746" s="30"/>
      <c r="E2746" s="30"/>
      <c r="F2746" s="22"/>
      <c r="G2746" s="23"/>
      <c r="H2746" s="23"/>
      <c r="I2746" s="23"/>
      <c r="J2746" s="23"/>
      <c r="K2746" s="23"/>
      <c r="L2746" s="23"/>
      <c r="M2746" s="23"/>
      <c r="N2746" s="23"/>
      <c r="O2746" s="23"/>
      <c r="P2746" s="23"/>
      <c r="Q2746" s="23"/>
      <c r="R2746" s="23"/>
      <c r="S2746" s="23"/>
      <c r="T2746" s="23"/>
      <c r="U2746" s="23"/>
    </row>
    <row r="2747">
      <c r="A2747" s="20"/>
      <c r="B2747" s="20"/>
      <c r="C2747" s="30"/>
      <c r="D2747" s="30"/>
      <c r="E2747" s="30"/>
      <c r="F2747" s="22"/>
      <c r="G2747" s="23"/>
      <c r="H2747" s="23"/>
      <c r="I2747" s="23"/>
      <c r="J2747" s="23"/>
      <c r="K2747" s="23"/>
      <c r="L2747" s="23"/>
      <c r="M2747" s="23"/>
      <c r="N2747" s="23"/>
      <c r="O2747" s="23"/>
      <c r="P2747" s="23"/>
      <c r="Q2747" s="23"/>
      <c r="R2747" s="23"/>
      <c r="S2747" s="23"/>
      <c r="T2747" s="23"/>
      <c r="U2747" s="23"/>
    </row>
    <row r="2748">
      <c r="A2748" s="20"/>
      <c r="B2748" s="20"/>
      <c r="C2748" s="30"/>
      <c r="D2748" s="30"/>
      <c r="E2748" s="30"/>
      <c r="F2748" s="22"/>
      <c r="G2748" s="23"/>
      <c r="H2748" s="23"/>
      <c r="I2748" s="23"/>
      <c r="J2748" s="23"/>
      <c r="K2748" s="23"/>
      <c r="L2748" s="23"/>
      <c r="M2748" s="23"/>
      <c r="N2748" s="23"/>
      <c r="O2748" s="23"/>
      <c r="P2748" s="23"/>
      <c r="Q2748" s="23"/>
      <c r="R2748" s="23"/>
      <c r="S2748" s="23"/>
      <c r="T2748" s="23"/>
      <c r="U2748" s="23"/>
    </row>
    <row r="2749">
      <c r="A2749" s="20"/>
      <c r="B2749" s="20"/>
      <c r="C2749" s="30"/>
      <c r="D2749" s="30"/>
      <c r="E2749" s="30"/>
      <c r="F2749" s="22"/>
      <c r="G2749" s="23"/>
      <c r="H2749" s="23"/>
      <c r="I2749" s="23"/>
      <c r="J2749" s="23"/>
      <c r="K2749" s="23"/>
      <c r="L2749" s="23"/>
      <c r="M2749" s="23"/>
      <c r="N2749" s="23"/>
      <c r="O2749" s="23"/>
      <c r="P2749" s="23"/>
      <c r="Q2749" s="23"/>
      <c r="R2749" s="23"/>
      <c r="S2749" s="23"/>
      <c r="T2749" s="23"/>
      <c r="U2749" s="23"/>
    </row>
    <row r="2750">
      <c r="A2750" s="20"/>
      <c r="B2750" s="20"/>
      <c r="C2750" s="30"/>
      <c r="D2750" s="30"/>
      <c r="E2750" s="30"/>
      <c r="F2750" s="22"/>
      <c r="G2750" s="23"/>
      <c r="H2750" s="23"/>
      <c r="I2750" s="23"/>
      <c r="J2750" s="23"/>
      <c r="K2750" s="23"/>
      <c r="L2750" s="23"/>
      <c r="M2750" s="23"/>
      <c r="N2750" s="23"/>
      <c r="O2750" s="23"/>
      <c r="P2750" s="23"/>
      <c r="Q2750" s="23"/>
      <c r="R2750" s="23"/>
      <c r="S2750" s="23"/>
      <c r="T2750" s="23"/>
      <c r="U2750" s="23"/>
    </row>
    <row r="2751">
      <c r="A2751" s="20"/>
      <c r="B2751" s="20"/>
      <c r="C2751" s="30"/>
      <c r="D2751" s="30"/>
      <c r="E2751" s="30"/>
      <c r="F2751" s="22"/>
      <c r="G2751" s="23"/>
      <c r="H2751" s="23"/>
      <c r="I2751" s="23"/>
      <c r="J2751" s="23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</row>
    <row r="2752">
      <c r="A2752" s="20"/>
      <c r="B2752" s="20"/>
      <c r="C2752" s="30"/>
      <c r="D2752" s="30"/>
      <c r="E2752" s="30"/>
      <c r="F2752" s="22"/>
      <c r="G2752" s="23"/>
      <c r="H2752" s="23"/>
      <c r="I2752" s="23"/>
      <c r="J2752" s="23"/>
      <c r="K2752" s="23"/>
      <c r="L2752" s="23"/>
      <c r="M2752" s="23"/>
      <c r="N2752" s="23"/>
      <c r="O2752" s="23"/>
      <c r="P2752" s="23"/>
      <c r="Q2752" s="23"/>
      <c r="R2752" s="23"/>
      <c r="S2752" s="23"/>
      <c r="T2752" s="23"/>
      <c r="U2752" s="23"/>
    </row>
    <row r="2753">
      <c r="A2753" s="20"/>
      <c r="B2753" s="20"/>
      <c r="C2753" s="30"/>
      <c r="D2753" s="30"/>
      <c r="E2753" s="30"/>
      <c r="F2753" s="22"/>
      <c r="G2753" s="23"/>
      <c r="H2753" s="23"/>
      <c r="I2753" s="23"/>
      <c r="J2753" s="23"/>
      <c r="K2753" s="23"/>
      <c r="L2753" s="23"/>
      <c r="M2753" s="23"/>
      <c r="N2753" s="23"/>
      <c r="O2753" s="23"/>
      <c r="P2753" s="23"/>
      <c r="Q2753" s="23"/>
      <c r="R2753" s="23"/>
      <c r="S2753" s="23"/>
      <c r="T2753" s="23"/>
      <c r="U2753" s="23"/>
    </row>
    <row r="2754">
      <c r="A2754" s="20"/>
      <c r="B2754" s="20"/>
      <c r="C2754" s="30"/>
      <c r="D2754" s="30"/>
      <c r="E2754" s="30"/>
      <c r="F2754" s="22"/>
      <c r="G2754" s="23"/>
      <c r="H2754" s="23"/>
      <c r="I2754" s="23"/>
      <c r="J2754" s="23"/>
      <c r="K2754" s="23"/>
      <c r="L2754" s="23"/>
      <c r="M2754" s="23"/>
      <c r="N2754" s="23"/>
      <c r="O2754" s="23"/>
      <c r="P2754" s="23"/>
      <c r="Q2754" s="23"/>
      <c r="R2754" s="23"/>
      <c r="S2754" s="23"/>
      <c r="T2754" s="23"/>
      <c r="U2754" s="23"/>
    </row>
    <row r="2755">
      <c r="A2755" s="20"/>
      <c r="B2755" s="20"/>
      <c r="C2755" s="30"/>
      <c r="D2755" s="30"/>
      <c r="E2755" s="30"/>
      <c r="F2755" s="22"/>
      <c r="G2755" s="23"/>
      <c r="H2755" s="23"/>
      <c r="I2755" s="23"/>
      <c r="J2755" s="23"/>
      <c r="K2755" s="23"/>
      <c r="L2755" s="23"/>
      <c r="M2755" s="23"/>
      <c r="N2755" s="23"/>
      <c r="O2755" s="23"/>
      <c r="P2755" s="23"/>
      <c r="Q2755" s="23"/>
      <c r="R2755" s="23"/>
      <c r="S2755" s="23"/>
      <c r="T2755" s="23"/>
      <c r="U2755" s="23"/>
    </row>
    <row r="2756">
      <c r="A2756" s="20"/>
      <c r="B2756" s="20"/>
      <c r="C2756" s="30"/>
      <c r="D2756" s="30"/>
      <c r="E2756" s="30"/>
      <c r="F2756" s="22"/>
      <c r="G2756" s="23"/>
      <c r="H2756" s="23"/>
      <c r="I2756" s="23"/>
      <c r="J2756" s="23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</row>
    <row r="2757">
      <c r="A2757" s="20"/>
      <c r="B2757" s="20"/>
      <c r="C2757" s="30"/>
      <c r="D2757" s="30"/>
      <c r="E2757" s="30"/>
      <c r="F2757" s="22"/>
      <c r="G2757" s="23"/>
      <c r="H2757" s="23"/>
      <c r="I2757" s="23"/>
      <c r="J2757" s="23"/>
      <c r="K2757" s="23"/>
      <c r="L2757" s="23"/>
      <c r="M2757" s="23"/>
      <c r="N2757" s="23"/>
      <c r="O2757" s="23"/>
      <c r="P2757" s="23"/>
      <c r="Q2757" s="23"/>
      <c r="R2757" s="23"/>
      <c r="S2757" s="23"/>
      <c r="T2757" s="23"/>
      <c r="U2757" s="23"/>
    </row>
    <row r="2758">
      <c r="A2758" s="20"/>
      <c r="B2758" s="20"/>
      <c r="C2758" s="30"/>
      <c r="D2758" s="30"/>
      <c r="E2758" s="30"/>
      <c r="F2758" s="22"/>
      <c r="G2758" s="23"/>
      <c r="H2758" s="23"/>
      <c r="I2758" s="23"/>
      <c r="J2758" s="23"/>
      <c r="K2758" s="23"/>
      <c r="L2758" s="23"/>
      <c r="M2758" s="23"/>
      <c r="N2758" s="23"/>
      <c r="O2758" s="23"/>
      <c r="P2758" s="23"/>
      <c r="Q2758" s="23"/>
      <c r="R2758" s="23"/>
      <c r="S2758" s="23"/>
      <c r="T2758" s="23"/>
      <c r="U2758" s="23"/>
    </row>
    <row r="2759">
      <c r="A2759" s="20"/>
      <c r="B2759" s="20"/>
      <c r="C2759" s="30"/>
      <c r="D2759" s="30"/>
      <c r="E2759" s="30"/>
      <c r="F2759" s="22"/>
      <c r="G2759" s="23"/>
      <c r="H2759" s="23"/>
      <c r="I2759" s="23"/>
      <c r="J2759" s="23"/>
      <c r="K2759" s="23"/>
      <c r="L2759" s="23"/>
      <c r="M2759" s="23"/>
      <c r="N2759" s="23"/>
      <c r="O2759" s="23"/>
      <c r="P2759" s="23"/>
      <c r="Q2759" s="23"/>
      <c r="R2759" s="23"/>
      <c r="S2759" s="23"/>
      <c r="T2759" s="23"/>
      <c r="U2759" s="23"/>
    </row>
    <row r="2760">
      <c r="A2760" s="20"/>
      <c r="B2760" s="20"/>
      <c r="C2760" s="30"/>
      <c r="D2760" s="30"/>
      <c r="E2760" s="30"/>
      <c r="F2760" s="22"/>
      <c r="G2760" s="23"/>
      <c r="H2760" s="23"/>
      <c r="I2760" s="23"/>
      <c r="J2760" s="23"/>
      <c r="K2760" s="23"/>
      <c r="L2760" s="23"/>
      <c r="M2760" s="23"/>
      <c r="N2760" s="23"/>
      <c r="O2760" s="23"/>
      <c r="P2760" s="23"/>
      <c r="Q2760" s="23"/>
      <c r="R2760" s="23"/>
      <c r="S2760" s="23"/>
      <c r="T2760" s="23"/>
      <c r="U2760" s="23"/>
    </row>
    <row r="2761">
      <c r="A2761" s="20"/>
      <c r="B2761" s="20"/>
      <c r="C2761" s="30"/>
      <c r="D2761" s="30"/>
      <c r="E2761" s="30"/>
      <c r="F2761" s="22"/>
      <c r="G2761" s="23"/>
      <c r="H2761" s="23"/>
      <c r="I2761" s="23"/>
      <c r="J2761" s="23"/>
      <c r="K2761" s="23"/>
      <c r="L2761" s="23"/>
      <c r="M2761" s="23"/>
      <c r="N2761" s="23"/>
      <c r="O2761" s="23"/>
      <c r="P2761" s="23"/>
      <c r="Q2761" s="23"/>
      <c r="R2761" s="23"/>
      <c r="S2761" s="23"/>
      <c r="T2761" s="23"/>
      <c r="U2761" s="23"/>
    </row>
    <row r="2762">
      <c r="A2762" s="20"/>
      <c r="B2762" s="20"/>
      <c r="C2762" s="30"/>
      <c r="D2762" s="30"/>
      <c r="E2762" s="30"/>
      <c r="F2762" s="22"/>
      <c r="G2762" s="23"/>
      <c r="H2762" s="23"/>
      <c r="I2762" s="23"/>
      <c r="J2762" s="23"/>
      <c r="K2762" s="23"/>
      <c r="L2762" s="23"/>
      <c r="M2762" s="23"/>
      <c r="N2762" s="23"/>
      <c r="O2762" s="23"/>
      <c r="P2762" s="23"/>
      <c r="Q2762" s="23"/>
      <c r="R2762" s="23"/>
      <c r="S2762" s="23"/>
      <c r="T2762" s="23"/>
      <c r="U2762" s="23"/>
    </row>
    <row r="2763">
      <c r="A2763" s="20"/>
      <c r="B2763" s="20"/>
      <c r="C2763" s="30"/>
      <c r="D2763" s="30"/>
      <c r="E2763" s="30"/>
      <c r="F2763" s="22"/>
      <c r="G2763" s="23"/>
      <c r="H2763" s="23"/>
      <c r="I2763" s="23"/>
      <c r="J2763" s="23"/>
      <c r="K2763" s="23"/>
      <c r="L2763" s="23"/>
      <c r="M2763" s="23"/>
      <c r="N2763" s="23"/>
      <c r="O2763" s="23"/>
      <c r="P2763" s="23"/>
      <c r="Q2763" s="23"/>
      <c r="R2763" s="23"/>
      <c r="S2763" s="23"/>
      <c r="T2763" s="23"/>
      <c r="U2763" s="23"/>
    </row>
    <row r="2764">
      <c r="A2764" s="20"/>
      <c r="B2764" s="20"/>
      <c r="C2764" s="30"/>
      <c r="D2764" s="30"/>
      <c r="E2764" s="30"/>
      <c r="F2764" s="22"/>
      <c r="G2764" s="23"/>
      <c r="H2764" s="23"/>
      <c r="I2764" s="23"/>
      <c r="J2764" s="23"/>
      <c r="K2764" s="23"/>
      <c r="L2764" s="23"/>
      <c r="M2764" s="23"/>
      <c r="N2764" s="23"/>
      <c r="O2764" s="23"/>
      <c r="P2764" s="23"/>
      <c r="Q2764" s="23"/>
      <c r="R2764" s="23"/>
      <c r="S2764" s="23"/>
      <c r="T2764" s="23"/>
      <c r="U2764" s="23"/>
    </row>
    <row r="2765">
      <c r="A2765" s="20"/>
      <c r="B2765" s="20"/>
      <c r="C2765" s="30"/>
      <c r="D2765" s="30"/>
      <c r="E2765" s="30"/>
      <c r="F2765" s="22"/>
      <c r="G2765" s="23"/>
      <c r="H2765" s="23"/>
      <c r="I2765" s="23"/>
      <c r="J2765" s="23"/>
      <c r="K2765" s="23"/>
      <c r="L2765" s="23"/>
      <c r="M2765" s="23"/>
      <c r="N2765" s="23"/>
      <c r="O2765" s="23"/>
      <c r="P2765" s="23"/>
      <c r="Q2765" s="23"/>
      <c r="R2765" s="23"/>
      <c r="S2765" s="23"/>
      <c r="T2765" s="23"/>
      <c r="U2765" s="23"/>
    </row>
    <row r="2766">
      <c r="A2766" s="20"/>
      <c r="B2766" s="20"/>
      <c r="C2766" s="30"/>
      <c r="D2766" s="30"/>
      <c r="E2766" s="30"/>
      <c r="F2766" s="22"/>
      <c r="G2766" s="23"/>
      <c r="H2766" s="23"/>
      <c r="I2766" s="23"/>
      <c r="J2766" s="23"/>
      <c r="K2766" s="23"/>
      <c r="L2766" s="23"/>
      <c r="M2766" s="23"/>
      <c r="N2766" s="23"/>
      <c r="O2766" s="23"/>
      <c r="P2766" s="23"/>
      <c r="Q2766" s="23"/>
      <c r="R2766" s="23"/>
      <c r="S2766" s="23"/>
      <c r="T2766" s="23"/>
      <c r="U2766" s="23"/>
    </row>
    <row r="2767">
      <c r="A2767" s="20"/>
      <c r="B2767" s="20"/>
      <c r="C2767" s="30"/>
      <c r="D2767" s="30"/>
      <c r="E2767" s="30"/>
      <c r="F2767" s="22"/>
      <c r="G2767" s="23"/>
      <c r="H2767" s="23"/>
      <c r="I2767" s="23"/>
      <c r="J2767" s="23"/>
      <c r="K2767" s="23"/>
      <c r="L2767" s="23"/>
      <c r="M2767" s="23"/>
      <c r="N2767" s="23"/>
      <c r="O2767" s="23"/>
      <c r="P2767" s="23"/>
      <c r="Q2767" s="23"/>
      <c r="R2767" s="23"/>
      <c r="S2767" s="23"/>
      <c r="T2767" s="23"/>
      <c r="U2767" s="23"/>
    </row>
    <row r="2768">
      <c r="A2768" s="20"/>
      <c r="B2768" s="20"/>
      <c r="C2768" s="30"/>
      <c r="D2768" s="30"/>
      <c r="E2768" s="30"/>
      <c r="F2768" s="22"/>
      <c r="G2768" s="23"/>
      <c r="H2768" s="23"/>
      <c r="I2768" s="23"/>
      <c r="J2768" s="23"/>
      <c r="K2768" s="23"/>
      <c r="L2768" s="23"/>
      <c r="M2768" s="23"/>
      <c r="N2768" s="23"/>
      <c r="O2768" s="23"/>
      <c r="P2768" s="23"/>
      <c r="Q2768" s="23"/>
      <c r="R2768" s="23"/>
      <c r="S2768" s="23"/>
      <c r="T2768" s="23"/>
      <c r="U2768" s="23"/>
    </row>
    <row r="2769">
      <c r="A2769" s="20"/>
      <c r="B2769" s="20"/>
      <c r="C2769" s="30"/>
      <c r="D2769" s="30"/>
      <c r="E2769" s="30"/>
      <c r="F2769" s="22"/>
      <c r="G2769" s="23"/>
      <c r="H2769" s="23"/>
      <c r="I2769" s="23"/>
      <c r="J2769" s="23"/>
      <c r="K2769" s="23"/>
      <c r="L2769" s="23"/>
      <c r="M2769" s="23"/>
      <c r="N2769" s="23"/>
      <c r="O2769" s="23"/>
      <c r="P2769" s="23"/>
      <c r="Q2769" s="23"/>
      <c r="R2769" s="23"/>
      <c r="S2769" s="23"/>
      <c r="T2769" s="23"/>
      <c r="U2769" s="23"/>
    </row>
    <row r="2770">
      <c r="A2770" s="20"/>
      <c r="B2770" s="20"/>
      <c r="C2770" s="30"/>
      <c r="D2770" s="30"/>
      <c r="E2770" s="30"/>
      <c r="F2770" s="22"/>
      <c r="G2770" s="23"/>
      <c r="H2770" s="23"/>
      <c r="I2770" s="23"/>
      <c r="J2770" s="23"/>
      <c r="K2770" s="23"/>
      <c r="L2770" s="23"/>
      <c r="M2770" s="23"/>
      <c r="N2770" s="23"/>
      <c r="O2770" s="23"/>
      <c r="P2770" s="23"/>
      <c r="Q2770" s="23"/>
      <c r="R2770" s="23"/>
      <c r="S2770" s="23"/>
      <c r="T2770" s="23"/>
      <c r="U2770" s="23"/>
    </row>
    <row r="2771">
      <c r="A2771" s="20"/>
      <c r="B2771" s="20"/>
      <c r="C2771" s="30"/>
      <c r="D2771" s="30"/>
      <c r="E2771" s="30"/>
      <c r="F2771" s="22"/>
      <c r="G2771" s="23"/>
      <c r="H2771" s="23"/>
      <c r="I2771" s="23"/>
      <c r="J2771" s="23"/>
      <c r="K2771" s="23"/>
      <c r="L2771" s="23"/>
      <c r="M2771" s="23"/>
      <c r="N2771" s="23"/>
      <c r="O2771" s="23"/>
      <c r="P2771" s="23"/>
      <c r="Q2771" s="23"/>
      <c r="R2771" s="23"/>
      <c r="S2771" s="23"/>
      <c r="T2771" s="23"/>
      <c r="U2771" s="23"/>
    </row>
    <row r="2772">
      <c r="A2772" s="20"/>
      <c r="B2772" s="20"/>
      <c r="C2772" s="30"/>
      <c r="D2772" s="30"/>
      <c r="E2772" s="30"/>
      <c r="F2772" s="22"/>
      <c r="G2772" s="23"/>
      <c r="H2772" s="23"/>
      <c r="I2772" s="23"/>
      <c r="J2772" s="23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</row>
    <row r="2773">
      <c r="A2773" s="20"/>
      <c r="B2773" s="20"/>
      <c r="C2773" s="30"/>
      <c r="D2773" s="30"/>
      <c r="E2773" s="30"/>
      <c r="F2773" s="22"/>
      <c r="G2773" s="23"/>
      <c r="H2773" s="23"/>
      <c r="I2773" s="23"/>
      <c r="J2773" s="23"/>
      <c r="K2773" s="23"/>
      <c r="L2773" s="23"/>
      <c r="M2773" s="23"/>
      <c r="N2773" s="23"/>
      <c r="O2773" s="23"/>
      <c r="P2773" s="23"/>
      <c r="Q2773" s="23"/>
      <c r="R2773" s="23"/>
      <c r="S2773" s="23"/>
      <c r="T2773" s="23"/>
      <c r="U2773" s="23"/>
    </row>
    <row r="2774">
      <c r="A2774" s="20"/>
      <c r="B2774" s="20"/>
      <c r="C2774" s="30"/>
      <c r="D2774" s="30"/>
      <c r="E2774" s="30"/>
      <c r="F2774" s="22"/>
      <c r="G2774" s="23"/>
      <c r="H2774" s="23"/>
      <c r="I2774" s="23"/>
      <c r="J2774" s="23"/>
      <c r="K2774" s="23"/>
      <c r="L2774" s="23"/>
      <c r="M2774" s="23"/>
      <c r="N2774" s="23"/>
      <c r="O2774" s="23"/>
      <c r="P2774" s="23"/>
      <c r="Q2774" s="23"/>
      <c r="R2774" s="23"/>
      <c r="S2774" s="23"/>
      <c r="T2774" s="23"/>
      <c r="U2774" s="23"/>
    </row>
    <row r="2775">
      <c r="A2775" s="20"/>
      <c r="B2775" s="20"/>
      <c r="C2775" s="30"/>
      <c r="D2775" s="30"/>
      <c r="E2775" s="30"/>
      <c r="F2775" s="22"/>
      <c r="G2775" s="23"/>
      <c r="H2775" s="23"/>
      <c r="I2775" s="23"/>
      <c r="J2775" s="23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</row>
    <row r="2776">
      <c r="A2776" s="20"/>
      <c r="B2776" s="20"/>
      <c r="C2776" s="30"/>
      <c r="D2776" s="30"/>
      <c r="E2776" s="30"/>
      <c r="F2776" s="22"/>
      <c r="G2776" s="23"/>
      <c r="H2776" s="23"/>
      <c r="I2776" s="23"/>
      <c r="J2776" s="23"/>
      <c r="K2776" s="23"/>
      <c r="L2776" s="23"/>
      <c r="M2776" s="23"/>
      <c r="N2776" s="23"/>
      <c r="O2776" s="23"/>
      <c r="P2776" s="23"/>
      <c r="Q2776" s="23"/>
      <c r="R2776" s="23"/>
      <c r="S2776" s="23"/>
      <c r="T2776" s="23"/>
      <c r="U2776" s="23"/>
    </row>
    <row r="2777">
      <c r="A2777" s="20"/>
      <c r="B2777" s="20"/>
      <c r="C2777" s="30"/>
      <c r="D2777" s="30"/>
      <c r="E2777" s="30"/>
      <c r="F2777" s="22"/>
      <c r="G2777" s="23"/>
      <c r="H2777" s="23"/>
      <c r="I2777" s="23"/>
      <c r="J2777" s="23"/>
      <c r="K2777" s="23"/>
      <c r="L2777" s="23"/>
      <c r="M2777" s="23"/>
      <c r="N2777" s="23"/>
      <c r="O2777" s="23"/>
      <c r="P2777" s="23"/>
      <c r="Q2777" s="23"/>
      <c r="R2777" s="23"/>
      <c r="S2777" s="23"/>
      <c r="T2777" s="23"/>
      <c r="U2777" s="23"/>
    </row>
    <row r="2778">
      <c r="A2778" s="20"/>
      <c r="B2778" s="20"/>
      <c r="C2778" s="30"/>
      <c r="D2778" s="30"/>
      <c r="E2778" s="30"/>
      <c r="F2778" s="22"/>
      <c r="G2778" s="23"/>
      <c r="H2778" s="23"/>
      <c r="I2778" s="23"/>
      <c r="J2778" s="23"/>
      <c r="K2778" s="23"/>
      <c r="L2778" s="23"/>
      <c r="M2778" s="23"/>
      <c r="N2778" s="23"/>
      <c r="O2778" s="23"/>
      <c r="P2778" s="23"/>
      <c r="Q2778" s="23"/>
      <c r="R2778" s="23"/>
      <c r="S2778" s="23"/>
      <c r="T2778" s="23"/>
      <c r="U2778" s="23"/>
    </row>
    <row r="2779">
      <c r="A2779" s="20"/>
      <c r="B2779" s="20"/>
      <c r="C2779" s="30"/>
      <c r="D2779" s="30"/>
      <c r="E2779" s="30"/>
      <c r="F2779" s="22"/>
      <c r="G2779" s="23"/>
      <c r="H2779" s="23"/>
      <c r="I2779" s="23"/>
      <c r="J2779" s="23"/>
      <c r="K2779" s="23"/>
      <c r="L2779" s="23"/>
      <c r="M2779" s="23"/>
      <c r="N2779" s="23"/>
      <c r="O2779" s="23"/>
      <c r="P2779" s="23"/>
      <c r="Q2779" s="23"/>
      <c r="R2779" s="23"/>
      <c r="S2779" s="23"/>
      <c r="T2779" s="23"/>
      <c r="U2779" s="23"/>
    </row>
    <row r="2780">
      <c r="A2780" s="20"/>
      <c r="B2780" s="20"/>
      <c r="C2780" s="30"/>
      <c r="D2780" s="30"/>
      <c r="E2780" s="30"/>
      <c r="F2780" s="22"/>
      <c r="G2780" s="23"/>
      <c r="H2780" s="23"/>
      <c r="I2780" s="23"/>
      <c r="J2780" s="23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</row>
    <row r="2781">
      <c r="A2781" s="20"/>
      <c r="B2781" s="20"/>
      <c r="C2781" s="30"/>
      <c r="D2781" s="30"/>
      <c r="E2781" s="30"/>
      <c r="F2781" s="22"/>
      <c r="G2781" s="23"/>
      <c r="H2781" s="23"/>
      <c r="I2781" s="23"/>
      <c r="J2781" s="23"/>
      <c r="K2781" s="23"/>
      <c r="L2781" s="23"/>
      <c r="M2781" s="23"/>
      <c r="N2781" s="23"/>
      <c r="O2781" s="23"/>
      <c r="P2781" s="23"/>
      <c r="Q2781" s="23"/>
      <c r="R2781" s="23"/>
      <c r="S2781" s="23"/>
      <c r="T2781" s="23"/>
      <c r="U2781" s="23"/>
    </row>
    <row r="2782">
      <c r="A2782" s="20"/>
      <c r="B2782" s="20"/>
      <c r="C2782" s="30"/>
      <c r="D2782" s="30"/>
      <c r="E2782" s="30"/>
      <c r="F2782" s="22"/>
      <c r="G2782" s="23"/>
      <c r="H2782" s="23"/>
      <c r="I2782" s="23"/>
      <c r="J2782" s="23"/>
      <c r="K2782" s="23"/>
      <c r="L2782" s="23"/>
      <c r="M2782" s="23"/>
      <c r="N2782" s="23"/>
      <c r="O2782" s="23"/>
      <c r="P2782" s="23"/>
      <c r="Q2782" s="23"/>
      <c r="R2782" s="23"/>
      <c r="S2782" s="23"/>
      <c r="T2782" s="23"/>
      <c r="U2782" s="23"/>
    </row>
    <row r="2783">
      <c r="A2783" s="20"/>
      <c r="B2783" s="20"/>
      <c r="C2783" s="30"/>
      <c r="D2783" s="30"/>
      <c r="E2783" s="30"/>
      <c r="F2783" s="22"/>
      <c r="G2783" s="23"/>
      <c r="H2783" s="23"/>
      <c r="I2783" s="23"/>
      <c r="J2783" s="23"/>
      <c r="K2783" s="23"/>
      <c r="L2783" s="23"/>
      <c r="M2783" s="23"/>
      <c r="N2783" s="23"/>
      <c r="O2783" s="23"/>
      <c r="P2783" s="23"/>
      <c r="Q2783" s="23"/>
      <c r="R2783" s="23"/>
      <c r="S2783" s="23"/>
      <c r="T2783" s="23"/>
      <c r="U2783" s="23"/>
    </row>
    <row r="2784">
      <c r="A2784" s="20"/>
      <c r="B2784" s="20"/>
      <c r="C2784" s="30"/>
      <c r="D2784" s="30"/>
      <c r="E2784" s="30"/>
      <c r="F2784" s="22"/>
      <c r="G2784" s="23"/>
      <c r="H2784" s="23"/>
      <c r="I2784" s="23"/>
      <c r="J2784" s="23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</row>
    <row r="2785">
      <c r="A2785" s="20"/>
      <c r="B2785" s="20"/>
      <c r="C2785" s="30"/>
      <c r="D2785" s="30"/>
      <c r="E2785" s="30"/>
      <c r="F2785" s="22"/>
      <c r="G2785" s="23"/>
      <c r="H2785" s="23"/>
      <c r="I2785" s="23"/>
      <c r="J2785" s="23"/>
      <c r="K2785" s="23"/>
      <c r="L2785" s="23"/>
      <c r="M2785" s="23"/>
      <c r="N2785" s="23"/>
      <c r="O2785" s="23"/>
      <c r="P2785" s="23"/>
      <c r="Q2785" s="23"/>
      <c r="R2785" s="23"/>
      <c r="S2785" s="23"/>
      <c r="T2785" s="23"/>
      <c r="U2785" s="23"/>
    </row>
    <row r="2786">
      <c r="A2786" s="20"/>
      <c r="B2786" s="20"/>
      <c r="C2786" s="30"/>
      <c r="D2786" s="30"/>
      <c r="E2786" s="30"/>
      <c r="F2786" s="22"/>
      <c r="G2786" s="23"/>
      <c r="H2786" s="23"/>
      <c r="I2786" s="23"/>
      <c r="J2786" s="23"/>
      <c r="K2786" s="23"/>
      <c r="L2786" s="23"/>
      <c r="M2786" s="23"/>
      <c r="N2786" s="23"/>
      <c r="O2786" s="23"/>
      <c r="P2786" s="23"/>
      <c r="Q2786" s="23"/>
      <c r="R2786" s="23"/>
      <c r="S2786" s="23"/>
      <c r="T2786" s="23"/>
      <c r="U2786" s="23"/>
    </row>
    <row r="2787">
      <c r="A2787" s="20"/>
      <c r="B2787" s="20"/>
      <c r="C2787" s="30"/>
      <c r="D2787" s="30"/>
      <c r="E2787" s="30"/>
      <c r="F2787" s="22"/>
      <c r="G2787" s="23"/>
      <c r="H2787" s="23"/>
      <c r="I2787" s="23"/>
      <c r="J2787" s="23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</row>
    <row r="2788">
      <c r="A2788" s="20"/>
      <c r="B2788" s="20"/>
      <c r="C2788" s="30"/>
      <c r="D2788" s="30"/>
      <c r="E2788" s="30"/>
      <c r="F2788" s="22"/>
      <c r="G2788" s="23"/>
      <c r="H2788" s="23"/>
      <c r="I2788" s="23"/>
      <c r="J2788" s="23"/>
      <c r="K2788" s="23"/>
      <c r="L2788" s="23"/>
      <c r="M2788" s="23"/>
      <c r="N2788" s="23"/>
      <c r="O2788" s="23"/>
      <c r="P2788" s="23"/>
      <c r="Q2788" s="23"/>
      <c r="R2788" s="23"/>
      <c r="S2788" s="23"/>
      <c r="T2788" s="23"/>
      <c r="U2788" s="23"/>
    </row>
    <row r="2789">
      <c r="A2789" s="20"/>
      <c r="B2789" s="20"/>
      <c r="C2789" s="30"/>
      <c r="D2789" s="30"/>
      <c r="E2789" s="30"/>
      <c r="F2789" s="22"/>
      <c r="G2789" s="23"/>
      <c r="H2789" s="23"/>
      <c r="I2789" s="23"/>
      <c r="J2789" s="23"/>
      <c r="K2789" s="23"/>
      <c r="L2789" s="23"/>
      <c r="M2789" s="23"/>
      <c r="N2789" s="23"/>
      <c r="O2789" s="23"/>
      <c r="P2789" s="23"/>
      <c r="Q2789" s="23"/>
      <c r="R2789" s="23"/>
      <c r="S2789" s="23"/>
      <c r="T2789" s="23"/>
      <c r="U2789" s="23"/>
    </row>
    <row r="2790">
      <c r="A2790" s="20"/>
      <c r="B2790" s="20"/>
      <c r="C2790" s="30"/>
      <c r="D2790" s="30"/>
      <c r="E2790" s="30"/>
      <c r="F2790" s="22"/>
      <c r="G2790" s="23"/>
      <c r="H2790" s="23"/>
      <c r="I2790" s="23"/>
      <c r="J2790" s="23"/>
      <c r="K2790" s="23"/>
      <c r="L2790" s="23"/>
      <c r="M2790" s="23"/>
      <c r="N2790" s="23"/>
      <c r="O2790" s="23"/>
      <c r="P2790" s="23"/>
      <c r="Q2790" s="23"/>
      <c r="R2790" s="23"/>
      <c r="S2790" s="23"/>
      <c r="T2790" s="23"/>
      <c r="U2790" s="23"/>
    </row>
    <row r="2791">
      <c r="A2791" s="20"/>
      <c r="B2791" s="20"/>
      <c r="C2791" s="30"/>
      <c r="D2791" s="30"/>
      <c r="E2791" s="30"/>
      <c r="F2791" s="22"/>
      <c r="G2791" s="23"/>
      <c r="H2791" s="23"/>
      <c r="I2791" s="23"/>
      <c r="J2791" s="23"/>
      <c r="K2791" s="23"/>
      <c r="L2791" s="23"/>
      <c r="M2791" s="23"/>
      <c r="N2791" s="23"/>
      <c r="O2791" s="23"/>
      <c r="P2791" s="23"/>
      <c r="Q2791" s="23"/>
      <c r="R2791" s="23"/>
      <c r="S2791" s="23"/>
      <c r="T2791" s="23"/>
      <c r="U2791" s="23"/>
    </row>
    <row r="2792">
      <c r="A2792" s="20"/>
      <c r="B2792" s="20"/>
      <c r="C2792" s="30"/>
      <c r="D2792" s="30"/>
      <c r="E2792" s="30"/>
      <c r="F2792" s="22"/>
      <c r="G2792" s="23"/>
      <c r="H2792" s="23"/>
      <c r="I2792" s="23"/>
      <c r="J2792" s="23"/>
      <c r="K2792" s="23"/>
      <c r="L2792" s="23"/>
      <c r="M2792" s="23"/>
      <c r="N2792" s="23"/>
      <c r="O2792" s="23"/>
      <c r="P2792" s="23"/>
      <c r="Q2792" s="23"/>
      <c r="R2792" s="23"/>
      <c r="S2792" s="23"/>
      <c r="T2792" s="23"/>
      <c r="U2792" s="23"/>
    </row>
    <row r="2793">
      <c r="A2793" s="20"/>
      <c r="B2793" s="20"/>
      <c r="C2793" s="30"/>
      <c r="D2793" s="30"/>
      <c r="E2793" s="30"/>
      <c r="F2793" s="22"/>
      <c r="G2793" s="23"/>
      <c r="H2793" s="23"/>
      <c r="I2793" s="23"/>
      <c r="J2793" s="23"/>
      <c r="K2793" s="23"/>
      <c r="L2793" s="23"/>
      <c r="M2793" s="23"/>
      <c r="N2793" s="23"/>
      <c r="O2793" s="23"/>
      <c r="P2793" s="23"/>
      <c r="Q2793" s="23"/>
      <c r="R2793" s="23"/>
      <c r="S2793" s="23"/>
      <c r="T2793" s="23"/>
      <c r="U2793" s="23"/>
    </row>
    <row r="2794">
      <c r="A2794" s="20"/>
      <c r="B2794" s="20"/>
      <c r="C2794" s="30"/>
      <c r="D2794" s="30"/>
      <c r="E2794" s="30"/>
      <c r="F2794" s="22"/>
      <c r="G2794" s="23"/>
      <c r="H2794" s="23"/>
      <c r="I2794" s="23"/>
      <c r="J2794" s="23"/>
      <c r="K2794" s="23"/>
      <c r="L2794" s="23"/>
      <c r="M2794" s="23"/>
      <c r="N2794" s="23"/>
      <c r="O2794" s="23"/>
      <c r="P2794" s="23"/>
      <c r="Q2794" s="23"/>
      <c r="R2794" s="23"/>
      <c r="S2794" s="23"/>
      <c r="T2794" s="23"/>
      <c r="U2794" s="23"/>
    </row>
    <row r="2795">
      <c r="A2795" s="20"/>
      <c r="B2795" s="20"/>
      <c r="C2795" s="30"/>
      <c r="D2795" s="30"/>
      <c r="E2795" s="30"/>
      <c r="F2795" s="22"/>
      <c r="G2795" s="23"/>
      <c r="H2795" s="23"/>
      <c r="I2795" s="23"/>
      <c r="J2795" s="23"/>
      <c r="K2795" s="23"/>
      <c r="L2795" s="23"/>
      <c r="M2795" s="23"/>
      <c r="N2795" s="23"/>
      <c r="O2795" s="23"/>
      <c r="P2795" s="23"/>
      <c r="Q2795" s="23"/>
      <c r="R2795" s="23"/>
      <c r="S2795" s="23"/>
      <c r="T2795" s="23"/>
      <c r="U2795" s="23"/>
    </row>
    <row r="2796">
      <c r="A2796" s="20"/>
      <c r="B2796" s="20"/>
      <c r="C2796" s="30"/>
      <c r="D2796" s="30"/>
      <c r="E2796" s="30"/>
      <c r="F2796" s="22"/>
      <c r="G2796" s="23"/>
      <c r="H2796" s="23"/>
      <c r="I2796" s="23"/>
      <c r="J2796" s="23"/>
      <c r="K2796" s="23"/>
      <c r="L2796" s="23"/>
      <c r="M2796" s="23"/>
      <c r="N2796" s="23"/>
      <c r="O2796" s="23"/>
      <c r="P2796" s="23"/>
      <c r="Q2796" s="23"/>
      <c r="R2796" s="23"/>
      <c r="S2796" s="23"/>
      <c r="T2796" s="23"/>
      <c r="U2796" s="23"/>
    </row>
    <row r="2797">
      <c r="A2797" s="20"/>
      <c r="B2797" s="20"/>
      <c r="C2797" s="30"/>
      <c r="D2797" s="30"/>
      <c r="E2797" s="30"/>
      <c r="F2797" s="22"/>
      <c r="G2797" s="23"/>
      <c r="H2797" s="23"/>
      <c r="I2797" s="23"/>
      <c r="J2797" s="23"/>
      <c r="K2797" s="23"/>
      <c r="L2797" s="23"/>
      <c r="M2797" s="23"/>
      <c r="N2797" s="23"/>
      <c r="O2797" s="23"/>
      <c r="P2797" s="23"/>
      <c r="Q2797" s="23"/>
      <c r="R2797" s="23"/>
      <c r="S2797" s="23"/>
      <c r="T2797" s="23"/>
      <c r="U2797" s="23"/>
    </row>
    <row r="2798">
      <c r="A2798" s="20"/>
      <c r="B2798" s="20"/>
      <c r="C2798" s="30"/>
      <c r="D2798" s="30"/>
      <c r="E2798" s="30"/>
      <c r="F2798" s="22"/>
      <c r="G2798" s="23"/>
      <c r="H2798" s="23"/>
      <c r="I2798" s="23"/>
      <c r="J2798" s="23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</row>
    <row r="2799">
      <c r="A2799" s="20"/>
      <c r="B2799" s="20"/>
      <c r="C2799" s="30"/>
      <c r="D2799" s="30"/>
      <c r="E2799" s="30"/>
      <c r="F2799" s="22"/>
      <c r="G2799" s="23"/>
      <c r="H2799" s="23"/>
      <c r="I2799" s="23"/>
      <c r="J2799" s="23"/>
      <c r="K2799" s="23"/>
      <c r="L2799" s="23"/>
      <c r="M2799" s="23"/>
      <c r="N2799" s="23"/>
      <c r="O2799" s="23"/>
      <c r="P2799" s="23"/>
      <c r="Q2799" s="23"/>
      <c r="R2799" s="23"/>
      <c r="S2799" s="23"/>
      <c r="T2799" s="23"/>
      <c r="U2799" s="23"/>
    </row>
    <row r="2800">
      <c r="A2800" s="20"/>
      <c r="B2800" s="20"/>
      <c r="C2800" s="30"/>
      <c r="D2800" s="30"/>
      <c r="E2800" s="30"/>
      <c r="F2800" s="22"/>
      <c r="G2800" s="23"/>
      <c r="H2800" s="23"/>
      <c r="I2800" s="23"/>
      <c r="J2800" s="23"/>
      <c r="K2800" s="23"/>
      <c r="L2800" s="23"/>
      <c r="M2800" s="23"/>
      <c r="N2800" s="23"/>
      <c r="O2800" s="23"/>
      <c r="P2800" s="23"/>
      <c r="Q2800" s="23"/>
      <c r="R2800" s="23"/>
      <c r="S2800" s="23"/>
      <c r="T2800" s="23"/>
      <c r="U2800" s="23"/>
    </row>
    <row r="2801">
      <c r="A2801" s="20"/>
      <c r="B2801" s="20"/>
      <c r="C2801" s="30"/>
      <c r="D2801" s="30"/>
      <c r="E2801" s="30"/>
      <c r="F2801" s="22"/>
      <c r="G2801" s="23"/>
      <c r="H2801" s="23"/>
      <c r="I2801" s="23"/>
      <c r="J2801" s="23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</row>
    <row r="2802">
      <c r="A2802" s="20"/>
      <c r="B2802" s="20"/>
      <c r="C2802" s="30"/>
      <c r="D2802" s="30"/>
      <c r="E2802" s="30"/>
      <c r="F2802" s="22"/>
      <c r="G2802" s="23"/>
      <c r="H2802" s="23"/>
      <c r="I2802" s="23"/>
      <c r="J2802" s="23"/>
      <c r="K2802" s="23"/>
      <c r="L2802" s="23"/>
      <c r="M2802" s="23"/>
      <c r="N2802" s="23"/>
      <c r="O2802" s="23"/>
      <c r="P2802" s="23"/>
      <c r="Q2802" s="23"/>
      <c r="R2802" s="23"/>
      <c r="S2802" s="23"/>
      <c r="T2802" s="23"/>
      <c r="U2802" s="23"/>
    </row>
    <row r="2803">
      <c r="A2803" s="20"/>
      <c r="B2803" s="20"/>
      <c r="C2803" s="30"/>
      <c r="D2803" s="30"/>
      <c r="E2803" s="30"/>
      <c r="F2803" s="22"/>
      <c r="G2803" s="23"/>
      <c r="H2803" s="23"/>
      <c r="I2803" s="23"/>
      <c r="J2803" s="23"/>
      <c r="K2803" s="23"/>
      <c r="L2803" s="23"/>
      <c r="M2803" s="23"/>
      <c r="N2803" s="23"/>
      <c r="O2803" s="23"/>
      <c r="P2803" s="23"/>
      <c r="Q2803" s="23"/>
      <c r="R2803" s="23"/>
      <c r="S2803" s="23"/>
      <c r="T2803" s="23"/>
      <c r="U2803" s="23"/>
    </row>
    <row r="2804">
      <c r="A2804" s="20"/>
      <c r="B2804" s="20"/>
      <c r="C2804" s="30"/>
      <c r="D2804" s="30"/>
      <c r="E2804" s="30"/>
      <c r="F2804" s="22"/>
      <c r="G2804" s="23"/>
      <c r="H2804" s="23"/>
      <c r="I2804" s="23"/>
      <c r="J2804" s="23"/>
      <c r="K2804" s="23"/>
      <c r="L2804" s="23"/>
      <c r="M2804" s="23"/>
      <c r="N2804" s="23"/>
      <c r="O2804" s="23"/>
      <c r="P2804" s="23"/>
      <c r="Q2804" s="23"/>
      <c r="R2804" s="23"/>
      <c r="S2804" s="23"/>
      <c r="T2804" s="23"/>
      <c r="U2804" s="23"/>
    </row>
    <row r="2805">
      <c r="A2805" s="20"/>
      <c r="B2805" s="20"/>
      <c r="C2805" s="30"/>
      <c r="D2805" s="30"/>
      <c r="E2805" s="30"/>
      <c r="F2805" s="22"/>
      <c r="G2805" s="23"/>
      <c r="H2805" s="23"/>
      <c r="I2805" s="23"/>
      <c r="J2805" s="23"/>
      <c r="K2805" s="23"/>
      <c r="L2805" s="23"/>
      <c r="M2805" s="23"/>
      <c r="N2805" s="23"/>
      <c r="O2805" s="23"/>
      <c r="P2805" s="23"/>
      <c r="Q2805" s="23"/>
      <c r="R2805" s="23"/>
      <c r="S2805" s="23"/>
      <c r="T2805" s="23"/>
      <c r="U2805" s="23"/>
    </row>
    <row r="2806">
      <c r="A2806" s="20"/>
      <c r="B2806" s="20"/>
      <c r="C2806" s="30"/>
      <c r="D2806" s="30"/>
      <c r="E2806" s="30"/>
      <c r="F2806" s="22"/>
      <c r="G2806" s="23"/>
      <c r="H2806" s="23"/>
      <c r="I2806" s="23"/>
      <c r="J2806" s="23"/>
      <c r="K2806" s="23"/>
      <c r="L2806" s="23"/>
      <c r="M2806" s="23"/>
      <c r="N2806" s="23"/>
      <c r="O2806" s="23"/>
      <c r="P2806" s="23"/>
      <c r="Q2806" s="23"/>
      <c r="R2806" s="23"/>
      <c r="S2806" s="23"/>
      <c r="T2806" s="23"/>
      <c r="U2806" s="23"/>
    </row>
    <row r="2807">
      <c r="A2807" s="20"/>
      <c r="B2807" s="20"/>
      <c r="C2807" s="30"/>
      <c r="D2807" s="30"/>
      <c r="E2807" s="30"/>
      <c r="F2807" s="22"/>
      <c r="G2807" s="23"/>
      <c r="H2807" s="23"/>
      <c r="I2807" s="23"/>
      <c r="J2807" s="23"/>
      <c r="K2807" s="23"/>
      <c r="L2807" s="23"/>
      <c r="M2807" s="23"/>
      <c r="N2807" s="23"/>
      <c r="O2807" s="23"/>
      <c r="P2807" s="23"/>
      <c r="Q2807" s="23"/>
      <c r="R2807" s="23"/>
      <c r="S2807" s="23"/>
      <c r="T2807" s="23"/>
      <c r="U2807" s="23"/>
    </row>
    <row r="2808">
      <c r="A2808" s="20"/>
      <c r="B2808" s="20"/>
      <c r="C2808" s="30"/>
      <c r="D2808" s="30"/>
      <c r="E2808" s="30"/>
      <c r="F2808" s="22"/>
      <c r="G2808" s="23"/>
      <c r="H2808" s="23"/>
      <c r="I2808" s="23"/>
      <c r="J2808" s="23"/>
      <c r="K2808" s="23"/>
      <c r="L2808" s="23"/>
      <c r="M2808" s="23"/>
      <c r="N2808" s="23"/>
      <c r="O2808" s="23"/>
      <c r="P2808" s="23"/>
      <c r="Q2808" s="23"/>
      <c r="R2808" s="23"/>
      <c r="S2808" s="23"/>
      <c r="T2808" s="23"/>
      <c r="U2808" s="23"/>
    </row>
    <row r="2809">
      <c r="A2809" s="20"/>
      <c r="B2809" s="20"/>
      <c r="C2809" s="30"/>
      <c r="D2809" s="30"/>
      <c r="E2809" s="30"/>
      <c r="F2809" s="22"/>
      <c r="G2809" s="23"/>
      <c r="H2809" s="23"/>
      <c r="I2809" s="23"/>
      <c r="J2809" s="23"/>
      <c r="K2809" s="23"/>
      <c r="L2809" s="23"/>
      <c r="M2809" s="23"/>
      <c r="N2809" s="23"/>
      <c r="O2809" s="23"/>
      <c r="P2809" s="23"/>
      <c r="Q2809" s="23"/>
      <c r="R2809" s="23"/>
      <c r="S2809" s="23"/>
      <c r="T2809" s="23"/>
      <c r="U2809" s="23"/>
    </row>
    <row r="2810">
      <c r="A2810" s="20"/>
      <c r="B2810" s="20"/>
      <c r="C2810" s="30"/>
      <c r="D2810" s="30"/>
      <c r="E2810" s="30"/>
      <c r="F2810" s="22"/>
      <c r="G2810" s="23"/>
      <c r="H2810" s="23"/>
      <c r="I2810" s="23"/>
      <c r="J2810" s="23"/>
      <c r="K2810" s="23"/>
      <c r="L2810" s="23"/>
      <c r="M2810" s="23"/>
      <c r="N2810" s="23"/>
      <c r="O2810" s="23"/>
      <c r="P2810" s="23"/>
      <c r="Q2810" s="23"/>
      <c r="R2810" s="23"/>
      <c r="S2810" s="23"/>
      <c r="T2810" s="23"/>
      <c r="U2810" s="23"/>
    </row>
    <row r="2811">
      <c r="A2811" s="20"/>
      <c r="B2811" s="20"/>
      <c r="C2811" s="30"/>
      <c r="D2811" s="30"/>
      <c r="E2811" s="30"/>
      <c r="F2811" s="22"/>
      <c r="G2811" s="23"/>
      <c r="H2811" s="23"/>
      <c r="I2811" s="23"/>
      <c r="J2811" s="23"/>
      <c r="K2811" s="23"/>
      <c r="L2811" s="23"/>
      <c r="M2811" s="23"/>
      <c r="N2811" s="23"/>
      <c r="O2811" s="23"/>
      <c r="P2811" s="23"/>
      <c r="Q2811" s="23"/>
      <c r="R2811" s="23"/>
      <c r="S2811" s="23"/>
      <c r="T2811" s="23"/>
      <c r="U2811" s="23"/>
    </row>
    <row r="2812">
      <c r="A2812" s="20"/>
      <c r="B2812" s="20"/>
      <c r="C2812" s="30"/>
      <c r="D2812" s="30"/>
      <c r="E2812" s="30"/>
      <c r="F2812" s="22"/>
      <c r="G2812" s="23"/>
      <c r="H2812" s="23"/>
      <c r="I2812" s="23"/>
      <c r="J2812" s="23"/>
      <c r="K2812" s="23"/>
      <c r="L2812" s="23"/>
      <c r="M2812" s="23"/>
      <c r="N2812" s="23"/>
      <c r="O2812" s="23"/>
      <c r="P2812" s="23"/>
      <c r="Q2812" s="23"/>
      <c r="R2812" s="23"/>
      <c r="S2812" s="23"/>
      <c r="T2812" s="23"/>
      <c r="U2812" s="23"/>
    </row>
    <row r="2813">
      <c r="A2813" s="20"/>
      <c r="B2813" s="20"/>
      <c r="C2813" s="30"/>
      <c r="D2813" s="30"/>
      <c r="E2813" s="30"/>
      <c r="F2813" s="22"/>
      <c r="G2813" s="23"/>
      <c r="H2813" s="23"/>
      <c r="I2813" s="23"/>
      <c r="J2813" s="23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</row>
    <row r="2814">
      <c r="A2814" s="20"/>
      <c r="B2814" s="20"/>
      <c r="C2814" s="30"/>
      <c r="D2814" s="30"/>
      <c r="E2814" s="30"/>
      <c r="F2814" s="22"/>
      <c r="G2814" s="23"/>
      <c r="H2814" s="23"/>
      <c r="I2814" s="23"/>
      <c r="J2814" s="23"/>
      <c r="K2814" s="23"/>
      <c r="L2814" s="23"/>
      <c r="M2814" s="23"/>
      <c r="N2814" s="23"/>
      <c r="O2814" s="23"/>
      <c r="P2814" s="23"/>
      <c r="Q2814" s="23"/>
      <c r="R2814" s="23"/>
      <c r="S2814" s="23"/>
      <c r="T2814" s="23"/>
      <c r="U2814" s="23"/>
    </row>
    <row r="2815">
      <c r="A2815" s="20"/>
      <c r="B2815" s="20"/>
      <c r="C2815" s="30"/>
      <c r="D2815" s="30"/>
      <c r="E2815" s="30"/>
      <c r="F2815" s="22"/>
      <c r="G2815" s="23"/>
      <c r="H2815" s="23"/>
      <c r="I2815" s="23"/>
      <c r="J2815" s="23"/>
      <c r="K2815" s="23"/>
      <c r="L2815" s="23"/>
      <c r="M2815" s="23"/>
      <c r="N2815" s="23"/>
      <c r="O2815" s="23"/>
      <c r="P2815" s="23"/>
      <c r="Q2815" s="23"/>
      <c r="R2815" s="23"/>
      <c r="S2815" s="23"/>
      <c r="T2815" s="23"/>
      <c r="U2815" s="23"/>
    </row>
    <row r="2816">
      <c r="A2816" s="20"/>
      <c r="B2816" s="20"/>
      <c r="C2816" s="30"/>
      <c r="D2816" s="30"/>
      <c r="E2816" s="30"/>
      <c r="F2816" s="22"/>
      <c r="G2816" s="23"/>
      <c r="H2816" s="23"/>
      <c r="I2816" s="23"/>
      <c r="J2816" s="23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</row>
    <row r="2817">
      <c r="A2817" s="20"/>
      <c r="B2817" s="20"/>
      <c r="C2817" s="30"/>
      <c r="D2817" s="30"/>
      <c r="E2817" s="30"/>
      <c r="F2817" s="22"/>
      <c r="G2817" s="23"/>
      <c r="H2817" s="23"/>
      <c r="I2817" s="23"/>
      <c r="J2817" s="23"/>
      <c r="K2817" s="23"/>
      <c r="L2817" s="23"/>
      <c r="M2817" s="23"/>
      <c r="N2817" s="23"/>
      <c r="O2817" s="23"/>
      <c r="P2817" s="23"/>
      <c r="Q2817" s="23"/>
      <c r="R2817" s="23"/>
      <c r="S2817" s="23"/>
      <c r="T2817" s="23"/>
      <c r="U2817" s="23"/>
    </row>
    <row r="2818">
      <c r="A2818" s="20"/>
      <c r="B2818" s="20"/>
      <c r="C2818" s="30"/>
      <c r="D2818" s="30"/>
      <c r="E2818" s="30"/>
      <c r="F2818" s="22"/>
      <c r="G2818" s="23"/>
      <c r="H2818" s="23"/>
      <c r="I2818" s="23"/>
      <c r="J2818" s="23"/>
      <c r="K2818" s="23"/>
      <c r="L2818" s="23"/>
      <c r="M2818" s="23"/>
      <c r="N2818" s="23"/>
      <c r="O2818" s="23"/>
      <c r="P2818" s="23"/>
      <c r="Q2818" s="23"/>
      <c r="R2818" s="23"/>
      <c r="S2818" s="23"/>
      <c r="T2818" s="23"/>
      <c r="U2818" s="23"/>
    </row>
    <row r="2819">
      <c r="A2819" s="20"/>
      <c r="B2819" s="20"/>
      <c r="C2819" s="30"/>
      <c r="D2819" s="30"/>
      <c r="E2819" s="30"/>
      <c r="F2819" s="22"/>
      <c r="G2819" s="23"/>
      <c r="H2819" s="23"/>
      <c r="I2819" s="23"/>
      <c r="J2819" s="23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</row>
    <row r="2820">
      <c r="A2820" s="20"/>
      <c r="B2820" s="20"/>
      <c r="C2820" s="30"/>
      <c r="D2820" s="30"/>
      <c r="E2820" s="30"/>
      <c r="F2820" s="22"/>
      <c r="G2820" s="23"/>
      <c r="H2820" s="23"/>
      <c r="I2820" s="23"/>
      <c r="J2820" s="23"/>
      <c r="K2820" s="23"/>
      <c r="L2820" s="23"/>
      <c r="M2820" s="23"/>
      <c r="N2820" s="23"/>
      <c r="O2820" s="23"/>
      <c r="P2820" s="23"/>
      <c r="Q2820" s="23"/>
      <c r="R2820" s="23"/>
      <c r="S2820" s="23"/>
      <c r="T2820" s="23"/>
      <c r="U2820" s="23"/>
    </row>
    <row r="2821">
      <c r="A2821" s="20"/>
      <c r="B2821" s="20"/>
      <c r="C2821" s="30"/>
      <c r="D2821" s="30"/>
      <c r="E2821" s="30"/>
      <c r="F2821" s="22"/>
      <c r="G2821" s="23"/>
      <c r="H2821" s="23"/>
      <c r="I2821" s="23"/>
      <c r="J2821" s="23"/>
      <c r="K2821" s="23"/>
      <c r="L2821" s="23"/>
      <c r="M2821" s="23"/>
      <c r="N2821" s="23"/>
      <c r="O2821" s="23"/>
      <c r="P2821" s="23"/>
      <c r="Q2821" s="23"/>
      <c r="R2821" s="23"/>
      <c r="S2821" s="23"/>
      <c r="T2821" s="23"/>
      <c r="U2821" s="23"/>
    </row>
    <row r="2822">
      <c r="A2822" s="20"/>
      <c r="B2822" s="20"/>
      <c r="C2822" s="30"/>
      <c r="D2822" s="30"/>
      <c r="E2822" s="30"/>
      <c r="F2822" s="22"/>
      <c r="G2822" s="23"/>
      <c r="H2822" s="23"/>
      <c r="I2822" s="23"/>
      <c r="J2822" s="23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</row>
    <row r="2823">
      <c r="A2823" s="20"/>
      <c r="B2823" s="20"/>
      <c r="C2823" s="30"/>
      <c r="D2823" s="30"/>
      <c r="E2823" s="30"/>
      <c r="F2823" s="22"/>
      <c r="G2823" s="23"/>
      <c r="H2823" s="23"/>
      <c r="I2823" s="23"/>
      <c r="J2823" s="23"/>
      <c r="K2823" s="23"/>
      <c r="L2823" s="23"/>
      <c r="M2823" s="23"/>
      <c r="N2823" s="23"/>
      <c r="O2823" s="23"/>
      <c r="P2823" s="23"/>
      <c r="Q2823" s="23"/>
      <c r="R2823" s="23"/>
      <c r="S2823" s="23"/>
      <c r="T2823" s="23"/>
      <c r="U2823" s="23"/>
    </row>
    <row r="2824">
      <c r="A2824" s="20"/>
      <c r="B2824" s="20"/>
      <c r="C2824" s="30"/>
      <c r="D2824" s="30"/>
      <c r="E2824" s="30"/>
      <c r="F2824" s="22"/>
      <c r="G2824" s="23"/>
      <c r="H2824" s="23"/>
      <c r="I2824" s="23"/>
      <c r="J2824" s="23"/>
      <c r="K2824" s="23"/>
      <c r="L2824" s="23"/>
      <c r="M2824" s="23"/>
      <c r="N2824" s="23"/>
      <c r="O2824" s="23"/>
      <c r="P2824" s="23"/>
      <c r="Q2824" s="23"/>
      <c r="R2824" s="23"/>
      <c r="S2824" s="23"/>
      <c r="T2824" s="23"/>
      <c r="U2824" s="23"/>
    </row>
    <row r="2825">
      <c r="A2825" s="20"/>
      <c r="B2825" s="20"/>
      <c r="C2825" s="30"/>
      <c r="D2825" s="30"/>
      <c r="E2825" s="30"/>
      <c r="F2825" s="22"/>
      <c r="G2825" s="23"/>
      <c r="H2825" s="23"/>
      <c r="I2825" s="23"/>
      <c r="J2825" s="23"/>
      <c r="K2825" s="23"/>
      <c r="L2825" s="23"/>
      <c r="M2825" s="23"/>
      <c r="N2825" s="23"/>
      <c r="O2825" s="23"/>
      <c r="P2825" s="23"/>
      <c r="Q2825" s="23"/>
      <c r="R2825" s="23"/>
      <c r="S2825" s="23"/>
      <c r="T2825" s="23"/>
      <c r="U2825" s="23"/>
    </row>
    <row r="2826">
      <c r="A2826" s="20"/>
      <c r="B2826" s="20"/>
      <c r="C2826" s="30"/>
      <c r="D2826" s="30"/>
      <c r="E2826" s="30"/>
      <c r="F2826" s="22"/>
      <c r="G2826" s="23"/>
      <c r="H2826" s="23"/>
      <c r="I2826" s="23"/>
      <c r="J2826" s="23"/>
      <c r="K2826" s="23"/>
      <c r="L2826" s="23"/>
      <c r="M2826" s="23"/>
      <c r="N2826" s="23"/>
      <c r="O2826" s="23"/>
      <c r="P2826" s="23"/>
      <c r="Q2826" s="23"/>
      <c r="R2826" s="23"/>
      <c r="S2826" s="23"/>
      <c r="T2826" s="23"/>
      <c r="U2826" s="23"/>
    </row>
    <row r="2827">
      <c r="A2827" s="20"/>
      <c r="B2827" s="20"/>
      <c r="C2827" s="30"/>
      <c r="D2827" s="30"/>
      <c r="E2827" s="30"/>
      <c r="F2827" s="22"/>
      <c r="G2827" s="23"/>
      <c r="H2827" s="23"/>
      <c r="I2827" s="23"/>
      <c r="J2827" s="23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</row>
    <row r="2828">
      <c r="A2828" s="20"/>
      <c r="B2828" s="20"/>
      <c r="C2828" s="30"/>
      <c r="D2828" s="30"/>
      <c r="E2828" s="30"/>
      <c r="F2828" s="22"/>
      <c r="G2828" s="23"/>
      <c r="H2828" s="23"/>
      <c r="I2828" s="23"/>
      <c r="J2828" s="23"/>
      <c r="K2828" s="23"/>
      <c r="L2828" s="23"/>
      <c r="M2828" s="23"/>
      <c r="N2828" s="23"/>
      <c r="O2828" s="23"/>
      <c r="P2828" s="23"/>
      <c r="Q2828" s="23"/>
      <c r="R2828" s="23"/>
      <c r="S2828" s="23"/>
      <c r="T2828" s="23"/>
      <c r="U2828" s="23"/>
    </row>
    <row r="2829">
      <c r="A2829" s="20"/>
      <c r="B2829" s="20"/>
      <c r="C2829" s="30"/>
      <c r="D2829" s="30"/>
      <c r="E2829" s="30"/>
      <c r="F2829" s="22"/>
      <c r="G2829" s="23"/>
      <c r="H2829" s="23"/>
      <c r="I2829" s="23"/>
      <c r="J2829" s="23"/>
      <c r="K2829" s="23"/>
      <c r="L2829" s="23"/>
      <c r="M2829" s="23"/>
      <c r="N2829" s="23"/>
      <c r="O2829" s="23"/>
      <c r="P2829" s="23"/>
      <c r="Q2829" s="23"/>
      <c r="R2829" s="23"/>
      <c r="S2829" s="23"/>
      <c r="T2829" s="23"/>
      <c r="U2829" s="23"/>
    </row>
    <row r="2830">
      <c r="A2830" s="20"/>
      <c r="B2830" s="20"/>
      <c r="C2830" s="30"/>
      <c r="D2830" s="30"/>
      <c r="E2830" s="30"/>
      <c r="F2830" s="22"/>
      <c r="G2830" s="23"/>
      <c r="H2830" s="23"/>
      <c r="I2830" s="23"/>
      <c r="J2830" s="23"/>
      <c r="K2830" s="23"/>
      <c r="L2830" s="23"/>
      <c r="M2830" s="23"/>
      <c r="N2830" s="23"/>
      <c r="O2830" s="23"/>
      <c r="P2830" s="23"/>
      <c r="Q2830" s="23"/>
      <c r="R2830" s="23"/>
      <c r="S2830" s="23"/>
      <c r="T2830" s="23"/>
      <c r="U2830" s="23"/>
    </row>
    <row r="2831">
      <c r="A2831" s="20"/>
      <c r="B2831" s="20"/>
      <c r="C2831" s="30"/>
      <c r="D2831" s="30"/>
      <c r="E2831" s="30"/>
      <c r="F2831" s="22"/>
      <c r="G2831" s="23"/>
      <c r="H2831" s="23"/>
      <c r="I2831" s="23"/>
      <c r="J2831" s="23"/>
      <c r="K2831" s="23"/>
      <c r="L2831" s="23"/>
      <c r="M2831" s="23"/>
      <c r="N2831" s="23"/>
      <c r="O2831" s="23"/>
      <c r="P2831" s="23"/>
      <c r="Q2831" s="23"/>
      <c r="R2831" s="23"/>
      <c r="S2831" s="23"/>
      <c r="T2831" s="23"/>
      <c r="U2831" s="23"/>
    </row>
    <row r="2832">
      <c r="A2832" s="20"/>
      <c r="B2832" s="20"/>
      <c r="C2832" s="30"/>
      <c r="D2832" s="30"/>
      <c r="E2832" s="30"/>
      <c r="F2832" s="22"/>
      <c r="G2832" s="23"/>
      <c r="H2832" s="23"/>
      <c r="I2832" s="23"/>
      <c r="J2832" s="23"/>
      <c r="K2832" s="23"/>
      <c r="L2832" s="23"/>
      <c r="M2832" s="23"/>
      <c r="N2832" s="23"/>
      <c r="O2832" s="23"/>
      <c r="P2832" s="23"/>
      <c r="Q2832" s="23"/>
      <c r="R2832" s="23"/>
      <c r="S2832" s="23"/>
      <c r="T2832" s="23"/>
      <c r="U2832" s="23"/>
    </row>
    <row r="2833">
      <c r="A2833" s="20"/>
      <c r="B2833" s="20"/>
      <c r="C2833" s="30"/>
      <c r="D2833" s="30"/>
      <c r="E2833" s="30"/>
      <c r="F2833" s="22"/>
      <c r="G2833" s="23"/>
      <c r="H2833" s="23"/>
      <c r="I2833" s="23"/>
      <c r="J2833" s="23"/>
      <c r="K2833" s="23"/>
      <c r="L2833" s="23"/>
      <c r="M2833" s="23"/>
      <c r="N2833" s="23"/>
      <c r="O2833" s="23"/>
      <c r="P2833" s="23"/>
      <c r="Q2833" s="23"/>
      <c r="R2833" s="23"/>
      <c r="S2833" s="23"/>
      <c r="T2833" s="23"/>
      <c r="U2833" s="23"/>
    </row>
    <row r="2834">
      <c r="A2834" s="20"/>
      <c r="B2834" s="20"/>
      <c r="C2834" s="30"/>
      <c r="D2834" s="30"/>
      <c r="E2834" s="30"/>
      <c r="F2834" s="22"/>
      <c r="G2834" s="23"/>
      <c r="H2834" s="23"/>
      <c r="I2834" s="23"/>
      <c r="J2834" s="23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</row>
    <row r="2835">
      <c r="A2835" s="20"/>
      <c r="B2835" s="20"/>
      <c r="C2835" s="30"/>
      <c r="D2835" s="30"/>
      <c r="E2835" s="30"/>
      <c r="F2835" s="22"/>
      <c r="G2835" s="23"/>
      <c r="H2835" s="23"/>
      <c r="I2835" s="23"/>
      <c r="J2835" s="23"/>
      <c r="K2835" s="23"/>
      <c r="L2835" s="23"/>
      <c r="M2835" s="23"/>
      <c r="N2835" s="23"/>
      <c r="O2835" s="23"/>
      <c r="P2835" s="23"/>
      <c r="Q2835" s="23"/>
      <c r="R2835" s="23"/>
      <c r="S2835" s="23"/>
      <c r="T2835" s="23"/>
      <c r="U2835" s="23"/>
    </row>
    <row r="2836">
      <c r="A2836" s="20"/>
      <c r="B2836" s="20"/>
      <c r="C2836" s="30"/>
      <c r="D2836" s="30"/>
      <c r="E2836" s="30"/>
      <c r="F2836" s="22"/>
      <c r="G2836" s="23"/>
      <c r="H2836" s="23"/>
      <c r="I2836" s="23"/>
      <c r="J2836" s="23"/>
      <c r="K2836" s="23"/>
      <c r="L2836" s="23"/>
      <c r="M2836" s="23"/>
      <c r="N2836" s="23"/>
      <c r="O2836" s="23"/>
      <c r="P2836" s="23"/>
      <c r="Q2836" s="23"/>
      <c r="R2836" s="23"/>
      <c r="S2836" s="23"/>
      <c r="T2836" s="23"/>
      <c r="U2836" s="23"/>
    </row>
    <row r="2837">
      <c r="A2837" s="20"/>
      <c r="B2837" s="20"/>
      <c r="C2837" s="30"/>
      <c r="D2837" s="30"/>
      <c r="E2837" s="30"/>
      <c r="F2837" s="22"/>
      <c r="G2837" s="23"/>
      <c r="H2837" s="23"/>
      <c r="I2837" s="23"/>
      <c r="J2837" s="23"/>
      <c r="K2837" s="23"/>
      <c r="L2837" s="23"/>
      <c r="M2837" s="23"/>
      <c r="N2837" s="23"/>
      <c r="O2837" s="23"/>
      <c r="P2837" s="23"/>
      <c r="Q2837" s="23"/>
      <c r="R2837" s="23"/>
      <c r="S2837" s="23"/>
      <c r="T2837" s="23"/>
      <c r="U2837" s="23"/>
    </row>
    <row r="2838">
      <c r="A2838" s="20"/>
      <c r="B2838" s="20"/>
      <c r="C2838" s="30"/>
      <c r="D2838" s="30"/>
      <c r="E2838" s="30"/>
      <c r="F2838" s="22"/>
      <c r="G2838" s="23"/>
      <c r="H2838" s="23"/>
      <c r="I2838" s="23"/>
      <c r="J2838" s="23"/>
      <c r="K2838" s="23"/>
      <c r="L2838" s="23"/>
      <c r="M2838" s="23"/>
      <c r="N2838" s="23"/>
      <c r="O2838" s="23"/>
      <c r="P2838" s="23"/>
      <c r="Q2838" s="23"/>
      <c r="R2838" s="23"/>
      <c r="S2838" s="23"/>
      <c r="T2838" s="23"/>
      <c r="U2838" s="23"/>
    </row>
    <row r="2839">
      <c r="A2839" s="20"/>
      <c r="B2839" s="20"/>
      <c r="C2839" s="30"/>
      <c r="D2839" s="30"/>
      <c r="E2839" s="30"/>
      <c r="F2839" s="22"/>
      <c r="G2839" s="23"/>
      <c r="H2839" s="23"/>
      <c r="I2839" s="23"/>
      <c r="J2839" s="23"/>
      <c r="K2839" s="23"/>
      <c r="L2839" s="23"/>
      <c r="M2839" s="23"/>
      <c r="N2839" s="23"/>
      <c r="O2839" s="23"/>
      <c r="P2839" s="23"/>
      <c r="Q2839" s="23"/>
      <c r="R2839" s="23"/>
      <c r="S2839" s="23"/>
      <c r="T2839" s="23"/>
      <c r="U2839" s="23"/>
    </row>
    <row r="2840">
      <c r="A2840" s="20"/>
      <c r="B2840" s="20"/>
      <c r="C2840" s="30"/>
      <c r="D2840" s="30"/>
      <c r="E2840" s="30"/>
      <c r="F2840" s="22"/>
      <c r="G2840" s="23"/>
      <c r="H2840" s="23"/>
      <c r="I2840" s="23"/>
      <c r="J2840" s="23"/>
      <c r="K2840" s="23"/>
      <c r="L2840" s="23"/>
      <c r="M2840" s="23"/>
      <c r="N2840" s="23"/>
      <c r="O2840" s="23"/>
      <c r="P2840" s="23"/>
      <c r="Q2840" s="23"/>
      <c r="R2840" s="23"/>
      <c r="S2840" s="23"/>
      <c r="T2840" s="23"/>
      <c r="U2840" s="23"/>
    </row>
    <row r="2841">
      <c r="A2841" s="20"/>
      <c r="B2841" s="20"/>
      <c r="C2841" s="30"/>
      <c r="D2841" s="30"/>
      <c r="E2841" s="30"/>
      <c r="F2841" s="22"/>
      <c r="G2841" s="23"/>
      <c r="H2841" s="23"/>
      <c r="I2841" s="23"/>
      <c r="J2841" s="23"/>
      <c r="K2841" s="23"/>
      <c r="L2841" s="23"/>
      <c r="M2841" s="23"/>
      <c r="N2841" s="23"/>
      <c r="O2841" s="23"/>
      <c r="P2841" s="23"/>
      <c r="Q2841" s="23"/>
      <c r="R2841" s="23"/>
      <c r="S2841" s="23"/>
      <c r="T2841" s="23"/>
      <c r="U2841" s="23"/>
    </row>
    <row r="2842">
      <c r="A2842" s="20"/>
      <c r="B2842" s="20"/>
      <c r="C2842" s="30"/>
      <c r="D2842" s="30"/>
      <c r="E2842" s="30"/>
      <c r="F2842" s="22"/>
      <c r="G2842" s="23"/>
      <c r="H2842" s="23"/>
      <c r="I2842" s="23"/>
      <c r="J2842" s="23"/>
      <c r="K2842" s="23"/>
      <c r="L2842" s="23"/>
      <c r="M2842" s="23"/>
      <c r="N2842" s="23"/>
      <c r="O2842" s="23"/>
      <c r="P2842" s="23"/>
      <c r="Q2842" s="23"/>
      <c r="R2842" s="23"/>
      <c r="S2842" s="23"/>
      <c r="T2842" s="23"/>
      <c r="U2842" s="23"/>
    </row>
    <row r="2843">
      <c r="A2843" s="20"/>
      <c r="B2843" s="20"/>
      <c r="C2843" s="30"/>
      <c r="D2843" s="30"/>
      <c r="E2843" s="30"/>
      <c r="F2843" s="22"/>
      <c r="G2843" s="23"/>
      <c r="H2843" s="23"/>
      <c r="I2843" s="23"/>
      <c r="J2843" s="23"/>
      <c r="K2843" s="23"/>
      <c r="L2843" s="23"/>
      <c r="M2843" s="23"/>
      <c r="N2843" s="23"/>
      <c r="O2843" s="23"/>
      <c r="P2843" s="23"/>
      <c r="Q2843" s="23"/>
      <c r="R2843" s="23"/>
      <c r="S2843" s="23"/>
      <c r="T2843" s="23"/>
      <c r="U2843" s="23"/>
    </row>
    <row r="2844">
      <c r="A2844" s="20"/>
      <c r="B2844" s="20"/>
      <c r="C2844" s="30"/>
      <c r="D2844" s="30"/>
      <c r="E2844" s="30"/>
      <c r="F2844" s="22"/>
      <c r="G2844" s="23"/>
      <c r="H2844" s="23"/>
      <c r="I2844" s="23"/>
      <c r="J2844" s="23"/>
      <c r="K2844" s="23"/>
      <c r="L2844" s="23"/>
      <c r="M2844" s="23"/>
      <c r="N2844" s="23"/>
      <c r="O2844" s="23"/>
      <c r="P2844" s="23"/>
      <c r="Q2844" s="23"/>
      <c r="R2844" s="23"/>
      <c r="S2844" s="23"/>
      <c r="T2844" s="23"/>
      <c r="U2844" s="23"/>
    </row>
    <row r="2845">
      <c r="A2845" s="20"/>
      <c r="B2845" s="20"/>
      <c r="C2845" s="30"/>
      <c r="D2845" s="30"/>
      <c r="E2845" s="30"/>
      <c r="F2845" s="22"/>
      <c r="G2845" s="23"/>
      <c r="H2845" s="23"/>
      <c r="I2845" s="23"/>
      <c r="J2845" s="23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</row>
    <row r="2846">
      <c r="A2846" s="20"/>
      <c r="B2846" s="20"/>
      <c r="C2846" s="30"/>
      <c r="D2846" s="30"/>
      <c r="E2846" s="30"/>
      <c r="F2846" s="22"/>
      <c r="G2846" s="23"/>
      <c r="H2846" s="23"/>
      <c r="I2846" s="23"/>
      <c r="J2846" s="23"/>
      <c r="K2846" s="23"/>
      <c r="L2846" s="23"/>
      <c r="M2846" s="23"/>
      <c r="N2846" s="23"/>
      <c r="O2846" s="23"/>
      <c r="P2846" s="23"/>
      <c r="Q2846" s="23"/>
      <c r="R2846" s="23"/>
      <c r="S2846" s="23"/>
      <c r="T2846" s="23"/>
      <c r="U2846" s="23"/>
    </row>
    <row r="2847">
      <c r="A2847" s="20"/>
      <c r="B2847" s="20"/>
      <c r="C2847" s="30"/>
      <c r="D2847" s="30"/>
      <c r="E2847" s="30"/>
      <c r="F2847" s="22"/>
      <c r="G2847" s="23"/>
      <c r="H2847" s="23"/>
      <c r="I2847" s="23"/>
      <c r="J2847" s="23"/>
      <c r="K2847" s="23"/>
      <c r="L2847" s="23"/>
      <c r="M2847" s="23"/>
      <c r="N2847" s="23"/>
      <c r="O2847" s="23"/>
      <c r="P2847" s="23"/>
      <c r="Q2847" s="23"/>
      <c r="R2847" s="23"/>
      <c r="S2847" s="23"/>
      <c r="T2847" s="23"/>
      <c r="U2847" s="23"/>
    </row>
    <row r="2848">
      <c r="A2848" s="20"/>
      <c r="B2848" s="20"/>
      <c r="C2848" s="30"/>
      <c r="D2848" s="30"/>
      <c r="E2848" s="30"/>
      <c r="F2848" s="22"/>
      <c r="G2848" s="23"/>
      <c r="H2848" s="23"/>
      <c r="I2848" s="23"/>
      <c r="J2848" s="23"/>
      <c r="K2848" s="23"/>
      <c r="L2848" s="23"/>
      <c r="M2848" s="23"/>
      <c r="N2848" s="23"/>
      <c r="O2848" s="23"/>
      <c r="P2848" s="23"/>
      <c r="Q2848" s="23"/>
      <c r="R2848" s="23"/>
      <c r="S2848" s="23"/>
      <c r="T2848" s="23"/>
      <c r="U2848" s="23"/>
    </row>
    <row r="2849">
      <c r="A2849" s="20"/>
      <c r="B2849" s="20"/>
      <c r="C2849" s="30"/>
      <c r="D2849" s="30"/>
      <c r="E2849" s="30"/>
      <c r="F2849" s="22"/>
      <c r="G2849" s="23"/>
      <c r="H2849" s="23"/>
      <c r="I2849" s="23"/>
      <c r="J2849" s="23"/>
      <c r="K2849" s="23"/>
      <c r="L2849" s="23"/>
      <c r="M2849" s="23"/>
      <c r="N2849" s="23"/>
      <c r="O2849" s="23"/>
      <c r="P2849" s="23"/>
      <c r="Q2849" s="23"/>
      <c r="R2849" s="23"/>
      <c r="S2849" s="23"/>
      <c r="T2849" s="23"/>
      <c r="U2849" s="23"/>
    </row>
    <row r="2850">
      <c r="A2850" s="20"/>
      <c r="B2850" s="20"/>
      <c r="C2850" s="30"/>
      <c r="D2850" s="30"/>
      <c r="E2850" s="30"/>
      <c r="F2850" s="22"/>
      <c r="G2850" s="23"/>
      <c r="H2850" s="23"/>
      <c r="I2850" s="23"/>
      <c r="J2850" s="23"/>
      <c r="K2850" s="23"/>
      <c r="L2850" s="23"/>
      <c r="M2850" s="23"/>
      <c r="N2850" s="23"/>
      <c r="O2850" s="23"/>
      <c r="P2850" s="23"/>
      <c r="Q2850" s="23"/>
      <c r="R2850" s="23"/>
      <c r="S2850" s="23"/>
      <c r="T2850" s="23"/>
      <c r="U2850" s="23"/>
    </row>
    <row r="2851">
      <c r="A2851" s="20"/>
      <c r="B2851" s="20"/>
      <c r="C2851" s="30"/>
      <c r="D2851" s="30"/>
      <c r="E2851" s="30"/>
      <c r="F2851" s="22"/>
      <c r="G2851" s="23"/>
      <c r="H2851" s="23"/>
      <c r="I2851" s="23"/>
      <c r="J2851" s="23"/>
      <c r="K2851" s="23"/>
      <c r="L2851" s="23"/>
      <c r="M2851" s="23"/>
      <c r="N2851" s="23"/>
      <c r="O2851" s="23"/>
      <c r="P2851" s="23"/>
      <c r="Q2851" s="23"/>
      <c r="R2851" s="23"/>
      <c r="S2851" s="23"/>
      <c r="T2851" s="23"/>
      <c r="U2851" s="23"/>
    </row>
    <row r="2852">
      <c r="A2852" s="20"/>
      <c r="B2852" s="20"/>
      <c r="C2852" s="30"/>
      <c r="D2852" s="30"/>
      <c r="E2852" s="30"/>
      <c r="F2852" s="22"/>
      <c r="G2852" s="23"/>
      <c r="H2852" s="23"/>
      <c r="I2852" s="23"/>
      <c r="J2852" s="23"/>
      <c r="K2852" s="23"/>
      <c r="L2852" s="23"/>
      <c r="M2852" s="23"/>
      <c r="N2852" s="23"/>
      <c r="O2852" s="23"/>
      <c r="P2852" s="23"/>
      <c r="Q2852" s="23"/>
      <c r="R2852" s="23"/>
      <c r="S2852" s="23"/>
      <c r="T2852" s="23"/>
      <c r="U2852" s="23"/>
    </row>
    <row r="2853">
      <c r="A2853" s="20"/>
      <c r="B2853" s="20"/>
      <c r="C2853" s="30"/>
      <c r="D2853" s="30"/>
      <c r="E2853" s="30"/>
      <c r="F2853" s="22"/>
      <c r="G2853" s="23"/>
      <c r="H2853" s="23"/>
      <c r="I2853" s="23"/>
      <c r="J2853" s="23"/>
      <c r="K2853" s="23"/>
      <c r="L2853" s="23"/>
      <c r="M2853" s="23"/>
      <c r="N2853" s="23"/>
      <c r="O2853" s="23"/>
      <c r="P2853" s="23"/>
      <c r="Q2853" s="23"/>
      <c r="R2853" s="23"/>
      <c r="S2853" s="23"/>
      <c r="T2853" s="23"/>
      <c r="U2853" s="23"/>
    </row>
    <row r="2854">
      <c r="A2854" s="20"/>
      <c r="B2854" s="20"/>
      <c r="C2854" s="30"/>
      <c r="D2854" s="30"/>
      <c r="E2854" s="30"/>
      <c r="F2854" s="22"/>
      <c r="G2854" s="23"/>
      <c r="H2854" s="23"/>
      <c r="I2854" s="23"/>
      <c r="J2854" s="23"/>
      <c r="K2854" s="23"/>
      <c r="L2854" s="23"/>
      <c r="M2854" s="23"/>
      <c r="N2854" s="23"/>
      <c r="O2854" s="23"/>
      <c r="P2854" s="23"/>
      <c r="Q2854" s="23"/>
      <c r="R2854" s="23"/>
      <c r="S2854" s="23"/>
      <c r="T2854" s="23"/>
      <c r="U2854" s="23"/>
    </row>
    <row r="2855">
      <c r="A2855" s="20"/>
      <c r="B2855" s="20"/>
      <c r="C2855" s="30"/>
      <c r="D2855" s="30"/>
      <c r="E2855" s="30"/>
      <c r="F2855" s="22"/>
      <c r="G2855" s="23"/>
      <c r="H2855" s="23"/>
      <c r="I2855" s="23"/>
      <c r="J2855" s="23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</row>
    <row r="2856">
      <c r="A2856" s="20"/>
      <c r="B2856" s="20"/>
      <c r="C2856" s="30"/>
      <c r="D2856" s="30"/>
      <c r="E2856" s="30"/>
      <c r="F2856" s="22"/>
      <c r="G2856" s="23"/>
      <c r="H2856" s="23"/>
      <c r="I2856" s="23"/>
      <c r="J2856" s="23"/>
      <c r="K2856" s="23"/>
      <c r="L2856" s="23"/>
      <c r="M2856" s="23"/>
      <c r="N2856" s="23"/>
      <c r="O2856" s="23"/>
      <c r="P2856" s="23"/>
      <c r="Q2856" s="23"/>
      <c r="R2856" s="23"/>
      <c r="S2856" s="23"/>
      <c r="T2856" s="23"/>
      <c r="U2856" s="23"/>
    </row>
    <row r="2857">
      <c r="A2857" s="20"/>
      <c r="B2857" s="20"/>
      <c r="C2857" s="30"/>
      <c r="D2857" s="30"/>
      <c r="E2857" s="30"/>
      <c r="F2857" s="22"/>
      <c r="G2857" s="23"/>
      <c r="H2857" s="23"/>
      <c r="I2857" s="23"/>
      <c r="J2857" s="23"/>
      <c r="K2857" s="23"/>
      <c r="L2857" s="23"/>
      <c r="M2857" s="23"/>
      <c r="N2857" s="23"/>
      <c r="O2857" s="23"/>
      <c r="P2857" s="23"/>
      <c r="Q2857" s="23"/>
      <c r="R2857" s="23"/>
      <c r="S2857" s="23"/>
      <c r="T2857" s="23"/>
      <c r="U2857" s="23"/>
    </row>
    <row r="2858">
      <c r="A2858" s="20"/>
      <c r="B2858" s="20"/>
      <c r="C2858" s="30"/>
      <c r="D2858" s="30"/>
      <c r="E2858" s="30"/>
      <c r="F2858" s="22"/>
      <c r="G2858" s="23"/>
      <c r="H2858" s="23"/>
      <c r="I2858" s="23"/>
      <c r="J2858" s="23"/>
      <c r="K2858" s="23"/>
      <c r="L2858" s="23"/>
      <c r="M2858" s="23"/>
      <c r="N2858" s="23"/>
      <c r="O2858" s="23"/>
      <c r="P2858" s="23"/>
      <c r="Q2858" s="23"/>
      <c r="R2858" s="23"/>
      <c r="S2858" s="23"/>
      <c r="T2858" s="23"/>
      <c r="U2858" s="23"/>
    </row>
    <row r="2859">
      <c r="A2859" s="20"/>
      <c r="B2859" s="20"/>
      <c r="C2859" s="30"/>
      <c r="D2859" s="30"/>
      <c r="E2859" s="30"/>
      <c r="F2859" s="22"/>
      <c r="G2859" s="23"/>
      <c r="H2859" s="23"/>
      <c r="I2859" s="23"/>
      <c r="J2859" s="23"/>
      <c r="K2859" s="23"/>
      <c r="L2859" s="23"/>
      <c r="M2859" s="23"/>
      <c r="N2859" s="23"/>
      <c r="O2859" s="23"/>
      <c r="P2859" s="23"/>
      <c r="Q2859" s="23"/>
      <c r="R2859" s="23"/>
      <c r="S2859" s="23"/>
      <c r="T2859" s="23"/>
      <c r="U2859" s="23"/>
    </row>
    <row r="2860">
      <c r="A2860" s="20"/>
      <c r="B2860" s="20"/>
      <c r="C2860" s="30"/>
      <c r="D2860" s="30"/>
      <c r="E2860" s="30"/>
      <c r="F2860" s="22"/>
      <c r="G2860" s="23"/>
      <c r="H2860" s="23"/>
      <c r="I2860" s="23"/>
      <c r="J2860" s="23"/>
      <c r="K2860" s="23"/>
      <c r="L2860" s="23"/>
      <c r="M2860" s="23"/>
      <c r="N2860" s="23"/>
      <c r="O2860" s="23"/>
      <c r="P2860" s="23"/>
      <c r="Q2860" s="23"/>
      <c r="R2860" s="23"/>
      <c r="S2860" s="23"/>
      <c r="T2860" s="23"/>
      <c r="U2860" s="23"/>
    </row>
    <row r="2861">
      <c r="A2861" s="20"/>
      <c r="B2861" s="20"/>
      <c r="C2861" s="30"/>
      <c r="D2861" s="30"/>
      <c r="E2861" s="30"/>
      <c r="F2861" s="22"/>
      <c r="G2861" s="23"/>
      <c r="H2861" s="23"/>
      <c r="I2861" s="23"/>
      <c r="J2861" s="23"/>
      <c r="K2861" s="23"/>
      <c r="L2861" s="23"/>
      <c r="M2861" s="23"/>
      <c r="N2861" s="23"/>
      <c r="O2861" s="23"/>
      <c r="P2861" s="23"/>
      <c r="Q2861" s="23"/>
      <c r="R2861" s="23"/>
      <c r="S2861" s="23"/>
      <c r="T2861" s="23"/>
      <c r="U2861" s="23"/>
    </row>
    <row r="2862">
      <c r="A2862" s="20"/>
      <c r="B2862" s="20"/>
      <c r="C2862" s="30"/>
      <c r="D2862" s="30"/>
      <c r="E2862" s="30"/>
      <c r="F2862" s="22"/>
      <c r="G2862" s="23"/>
      <c r="H2862" s="23"/>
      <c r="I2862" s="23"/>
      <c r="J2862" s="23"/>
      <c r="K2862" s="23"/>
      <c r="L2862" s="23"/>
      <c r="M2862" s="23"/>
      <c r="N2862" s="23"/>
      <c r="O2862" s="23"/>
      <c r="P2862" s="23"/>
      <c r="Q2862" s="23"/>
      <c r="R2862" s="23"/>
      <c r="S2862" s="23"/>
      <c r="T2862" s="23"/>
      <c r="U2862" s="23"/>
    </row>
    <row r="2863">
      <c r="A2863" s="20"/>
      <c r="B2863" s="20"/>
      <c r="C2863" s="30"/>
      <c r="D2863" s="30"/>
      <c r="E2863" s="30"/>
      <c r="F2863" s="22"/>
      <c r="G2863" s="23"/>
      <c r="H2863" s="23"/>
      <c r="I2863" s="23"/>
      <c r="J2863" s="23"/>
      <c r="K2863" s="23"/>
      <c r="L2863" s="23"/>
      <c r="M2863" s="23"/>
      <c r="N2863" s="23"/>
      <c r="O2863" s="23"/>
      <c r="P2863" s="23"/>
      <c r="Q2863" s="23"/>
      <c r="R2863" s="23"/>
      <c r="S2863" s="23"/>
      <c r="T2863" s="23"/>
      <c r="U2863" s="23"/>
    </row>
    <row r="2864">
      <c r="A2864" s="20"/>
      <c r="B2864" s="20"/>
      <c r="C2864" s="30"/>
      <c r="D2864" s="30"/>
      <c r="E2864" s="30"/>
      <c r="F2864" s="22"/>
      <c r="G2864" s="23"/>
      <c r="H2864" s="23"/>
      <c r="I2864" s="23"/>
      <c r="J2864" s="23"/>
      <c r="K2864" s="23"/>
      <c r="L2864" s="23"/>
      <c r="M2864" s="23"/>
      <c r="N2864" s="23"/>
      <c r="O2864" s="23"/>
      <c r="P2864" s="23"/>
      <c r="Q2864" s="23"/>
      <c r="R2864" s="23"/>
      <c r="S2864" s="23"/>
      <c r="T2864" s="23"/>
      <c r="U2864" s="23"/>
    </row>
    <row r="2865">
      <c r="A2865" s="20"/>
      <c r="B2865" s="20"/>
      <c r="C2865" s="30"/>
      <c r="D2865" s="30"/>
      <c r="E2865" s="30"/>
      <c r="F2865" s="22"/>
      <c r="G2865" s="23"/>
      <c r="H2865" s="23"/>
      <c r="I2865" s="23"/>
      <c r="J2865" s="23"/>
      <c r="K2865" s="23"/>
      <c r="L2865" s="23"/>
      <c r="M2865" s="23"/>
      <c r="N2865" s="23"/>
      <c r="O2865" s="23"/>
      <c r="P2865" s="23"/>
      <c r="Q2865" s="23"/>
      <c r="R2865" s="23"/>
      <c r="S2865" s="23"/>
      <c r="T2865" s="23"/>
      <c r="U2865" s="23"/>
    </row>
    <row r="2866">
      <c r="A2866" s="20"/>
      <c r="B2866" s="20"/>
      <c r="C2866" s="30"/>
      <c r="D2866" s="30"/>
      <c r="E2866" s="30"/>
      <c r="F2866" s="22"/>
      <c r="G2866" s="23"/>
      <c r="H2866" s="23"/>
      <c r="I2866" s="23"/>
      <c r="J2866" s="23"/>
      <c r="K2866" s="23"/>
      <c r="L2866" s="23"/>
      <c r="M2866" s="23"/>
      <c r="N2866" s="23"/>
      <c r="O2866" s="23"/>
      <c r="P2866" s="23"/>
      <c r="Q2866" s="23"/>
      <c r="R2866" s="23"/>
      <c r="S2866" s="23"/>
      <c r="T2866" s="23"/>
      <c r="U2866" s="23"/>
    </row>
    <row r="2867">
      <c r="A2867" s="20"/>
      <c r="B2867" s="20"/>
      <c r="C2867" s="30"/>
      <c r="D2867" s="30"/>
      <c r="E2867" s="30"/>
      <c r="F2867" s="22"/>
      <c r="G2867" s="23"/>
      <c r="H2867" s="23"/>
      <c r="I2867" s="23"/>
      <c r="J2867" s="23"/>
      <c r="K2867" s="23"/>
      <c r="L2867" s="23"/>
      <c r="M2867" s="23"/>
      <c r="N2867" s="23"/>
      <c r="O2867" s="23"/>
      <c r="P2867" s="23"/>
      <c r="Q2867" s="23"/>
      <c r="R2867" s="23"/>
      <c r="S2867" s="23"/>
      <c r="T2867" s="23"/>
      <c r="U2867" s="23"/>
    </row>
    <row r="2868">
      <c r="A2868" s="20"/>
      <c r="B2868" s="20"/>
      <c r="C2868" s="30"/>
      <c r="D2868" s="30"/>
      <c r="E2868" s="30"/>
      <c r="F2868" s="22"/>
      <c r="G2868" s="23"/>
      <c r="H2868" s="23"/>
      <c r="I2868" s="23"/>
      <c r="J2868" s="23"/>
      <c r="K2868" s="23"/>
      <c r="L2868" s="23"/>
      <c r="M2868" s="23"/>
      <c r="N2868" s="23"/>
      <c r="O2868" s="23"/>
      <c r="P2868" s="23"/>
      <c r="Q2868" s="23"/>
      <c r="R2868" s="23"/>
      <c r="S2868" s="23"/>
      <c r="T2868" s="23"/>
      <c r="U2868" s="23"/>
    </row>
    <row r="2869">
      <c r="A2869" s="20"/>
      <c r="B2869" s="20"/>
      <c r="C2869" s="30"/>
      <c r="D2869" s="30"/>
      <c r="E2869" s="30"/>
      <c r="F2869" s="22"/>
      <c r="G2869" s="23"/>
      <c r="H2869" s="23"/>
      <c r="I2869" s="23"/>
      <c r="J2869" s="23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</row>
    <row r="2870">
      <c r="A2870" s="20"/>
      <c r="B2870" s="20"/>
      <c r="C2870" s="30"/>
      <c r="D2870" s="30"/>
      <c r="E2870" s="30"/>
      <c r="F2870" s="22"/>
      <c r="G2870" s="23"/>
      <c r="H2870" s="23"/>
      <c r="I2870" s="23"/>
      <c r="J2870" s="23"/>
      <c r="K2870" s="23"/>
      <c r="L2870" s="23"/>
      <c r="M2870" s="23"/>
      <c r="N2870" s="23"/>
      <c r="O2870" s="23"/>
      <c r="P2870" s="23"/>
      <c r="Q2870" s="23"/>
      <c r="R2870" s="23"/>
      <c r="S2870" s="23"/>
      <c r="T2870" s="23"/>
      <c r="U2870" s="23"/>
    </row>
    <row r="2871">
      <c r="A2871" s="20"/>
      <c r="B2871" s="20"/>
      <c r="C2871" s="30"/>
      <c r="D2871" s="30"/>
      <c r="E2871" s="30"/>
      <c r="F2871" s="22"/>
      <c r="G2871" s="23"/>
      <c r="H2871" s="23"/>
      <c r="I2871" s="23"/>
      <c r="J2871" s="23"/>
      <c r="K2871" s="23"/>
      <c r="L2871" s="23"/>
      <c r="M2871" s="23"/>
      <c r="N2871" s="23"/>
      <c r="O2871" s="23"/>
      <c r="P2871" s="23"/>
      <c r="Q2871" s="23"/>
      <c r="R2871" s="23"/>
      <c r="S2871" s="23"/>
      <c r="T2871" s="23"/>
      <c r="U2871" s="23"/>
    </row>
    <row r="2872">
      <c r="A2872" s="20"/>
      <c r="B2872" s="20"/>
      <c r="C2872" s="30"/>
      <c r="D2872" s="30"/>
      <c r="E2872" s="30"/>
      <c r="F2872" s="22"/>
      <c r="G2872" s="23"/>
      <c r="H2872" s="23"/>
      <c r="I2872" s="23"/>
      <c r="J2872" s="23"/>
      <c r="K2872" s="23"/>
      <c r="L2872" s="23"/>
      <c r="M2872" s="23"/>
      <c r="N2872" s="23"/>
      <c r="O2872" s="23"/>
      <c r="P2872" s="23"/>
      <c r="Q2872" s="23"/>
      <c r="R2872" s="23"/>
      <c r="S2872" s="23"/>
      <c r="T2872" s="23"/>
      <c r="U2872" s="23"/>
    </row>
    <row r="2873">
      <c r="A2873" s="20"/>
      <c r="B2873" s="20"/>
      <c r="C2873" s="30"/>
      <c r="D2873" s="30"/>
      <c r="E2873" s="30"/>
      <c r="F2873" s="22"/>
      <c r="G2873" s="23"/>
      <c r="H2873" s="23"/>
      <c r="I2873" s="23"/>
      <c r="J2873" s="23"/>
      <c r="K2873" s="23"/>
      <c r="L2873" s="23"/>
      <c r="M2873" s="23"/>
      <c r="N2873" s="23"/>
      <c r="O2873" s="23"/>
      <c r="P2873" s="23"/>
      <c r="Q2873" s="23"/>
      <c r="R2873" s="23"/>
      <c r="S2873" s="23"/>
      <c r="T2873" s="23"/>
      <c r="U2873" s="23"/>
    </row>
    <row r="2874">
      <c r="A2874" s="20"/>
      <c r="B2874" s="20"/>
      <c r="C2874" s="30"/>
      <c r="D2874" s="30"/>
      <c r="E2874" s="30"/>
      <c r="F2874" s="22"/>
      <c r="G2874" s="23"/>
      <c r="H2874" s="23"/>
      <c r="I2874" s="23"/>
      <c r="J2874" s="23"/>
      <c r="K2874" s="23"/>
      <c r="L2874" s="23"/>
      <c r="M2874" s="23"/>
      <c r="N2874" s="23"/>
      <c r="O2874" s="23"/>
      <c r="P2874" s="23"/>
      <c r="Q2874" s="23"/>
      <c r="R2874" s="23"/>
      <c r="S2874" s="23"/>
      <c r="T2874" s="23"/>
      <c r="U2874" s="23"/>
    </row>
    <row r="2875">
      <c r="A2875" s="20"/>
      <c r="B2875" s="20"/>
      <c r="C2875" s="30"/>
      <c r="D2875" s="30"/>
      <c r="E2875" s="30"/>
      <c r="F2875" s="22"/>
      <c r="G2875" s="23"/>
      <c r="H2875" s="23"/>
      <c r="I2875" s="23"/>
      <c r="J2875" s="23"/>
      <c r="K2875" s="23"/>
      <c r="L2875" s="23"/>
      <c r="M2875" s="23"/>
      <c r="N2875" s="23"/>
      <c r="O2875" s="23"/>
      <c r="P2875" s="23"/>
      <c r="Q2875" s="23"/>
      <c r="R2875" s="23"/>
      <c r="S2875" s="23"/>
      <c r="T2875" s="23"/>
      <c r="U2875" s="23"/>
    </row>
    <row r="2876">
      <c r="A2876" s="20"/>
      <c r="B2876" s="20"/>
      <c r="C2876" s="30"/>
      <c r="D2876" s="30"/>
      <c r="E2876" s="30"/>
      <c r="F2876" s="22"/>
      <c r="G2876" s="23"/>
      <c r="H2876" s="23"/>
      <c r="I2876" s="23"/>
      <c r="J2876" s="23"/>
      <c r="K2876" s="23"/>
      <c r="L2876" s="23"/>
      <c r="M2876" s="23"/>
      <c r="N2876" s="23"/>
      <c r="O2876" s="23"/>
      <c r="P2876" s="23"/>
      <c r="Q2876" s="23"/>
      <c r="R2876" s="23"/>
      <c r="S2876" s="23"/>
      <c r="T2876" s="23"/>
      <c r="U2876" s="23"/>
    </row>
    <row r="2877">
      <c r="A2877" s="20"/>
      <c r="B2877" s="20"/>
      <c r="C2877" s="30"/>
      <c r="D2877" s="30"/>
      <c r="E2877" s="30"/>
      <c r="F2877" s="22"/>
      <c r="G2877" s="23"/>
      <c r="H2877" s="23"/>
      <c r="I2877" s="23"/>
      <c r="J2877" s="23"/>
      <c r="K2877" s="23"/>
      <c r="L2877" s="23"/>
      <c r="M2877" s="23"/>
      <c r="N2877" s="23"/>
      <c r="O2877" s="23"/>
      <c r="P2877" s="23"/>
      <c r="Q2877" s="23"/>
      <c r="R2877" s="23"/>
      <c r="S2877" s="23"/>
      <c r="T2877" s="23"/>
      <c r="U2877" s="23"/>
    </row>
    <row r="2878">
      <c r="A2878" s="20"/>
      <c r="B2878" s="20"/>
      <c r="C2878" s="30"/>
      <c r="D2878" s="30"/>
      <c r="E2878" s="30"/>
      <c r="F2878" s="22"/>
      <c r="G2878" s="23"/>
      <c r="H2878" s="23"/>
      <c r="I2878" s="23"/>
      <c r="J2878" s="23"/>
      <c r="K2878" s="23"/>
      <c r="L2878" s="23"/>
      <c r="M2878" s="23"/>
      <c r="N2878" s="23"/>
      <c r="O2878" s="23"/>
      <c r="P2878" s="23"/>
      <c r="Q2878" s="23"/>
      <c r="R2878" s="23"/>
      <c r="S2878" s="23"/>
      <c r="T2878" s="23"/>
      <c r="U2878" s="23"/>
    </row>
    <row r="2879">
      <c r="A2879" s="20"/>
      <c r="B2879" s="20"/>
      <c r="C2879" s="30"/>
      <c r="D2879" s="30"/>
      <c r="E2879" s="30"/>
      <c r="F2879" s="22"/>
      <c r="G2879" s="23"/>
      <c r="H2879" s="23"/>
      <c r="I2879" s="23"/>
      <c r="J2879" s="23"/>
      <c r="K2879" s="23"/>
      <c r="L2879" s="23"/>
      <c r="M2879" s="23"/>
      <c r="N2879" s="23"/>
      <c r="O2879" s="23"/>
      <c r="P2879" s="23"/>
      <c r="Q2879" s="23"/>
      <c r="R2879" s="23"/>
      <c r="S2879" s="23"/>
      <c r="T2879" s="23"/>
      <c r="U2879" s="23"/>
    </row>
    <row r="2880">
      <c r="A2880" s="20"/>
      <c r="B2880" s="20"/>
      <c r="C2880" s="30"/>
      <c r="D2880" s="30"/>
      <c r="E2880" s="30"/>
      <c r="F2880" s="22"/>
      <c r="G2880" s="23"/>
      <c r="H2880" s="23"/>
      <c r="I2880" s="23"/>
      <c r="J2880" s="23"/>
      <c r="K2880" s="23"/>
      <c r="L2880" s="23"/>
      <c r="M2880" s="23"/>
      <c r="N2880" s="23"/>
      <c r="O2880" s="23"/>
      <c r="P2880" s="23"/>
      <c r="Q2880" s="23"/>
      <c r="R2880" s="23"/>
      <c r="S2880" s="23"/>
      <c r="T2880" s="23"/>
      <c r="U2880" s="23"/>
    </row>
    <row r="2881">
      <c r="A2881" s="20"/>
      <c r="B2881" s="20"/>
      <c r="C2881" s="30"/>
      <c r="D2881" s="30"/>
      <c r="E2881" s="30"/>
      <c r="F2881" s="22"/>
      <c r="G2881" s="23"/>
      <c r="H2881" s="23"/>
      <c r="I2881" s="23"/>
      <c r="J2881" s="23"/>
      <c r="K2881" s="23"/>
      <c r="L2881" s="23"/>
      <c r="M2881" s="23"/>
      <c r="N2881" s="23"/>
      <c r="O2881" s="23"/>
      <c r="P2881" s="23"/>
      <c r="Q2881" s="23"/>
      <c r="R2881" s="23"/>
      <c r="S2881" s="23"/>
      <c r="T2881" s="23"/>
      <c r="U2881" s="23"/>
    </row>
    <row r="2882">
      <c r="A2882" s="20"/>
      <c r="B2882" s="20"/>
      <c r="C2882" s="30"/>
      <c r="D2882" s="30"/>
      <c r="E2882" s="30"/>
      <c r="F2882" s="22"/>
      <c r="G2882" s="23"/>
      <c r="H2882" s="23"/>
      <c r="I2882" s="23"/>
      <c r="J2882" s="23"/>
      <c r="K2882" s="23"/>
      <c r="L2882" s="23"/>
      <c r="M2882" s="23"/>
      <c r="N2882" s="23"/>
      <c r="O2882" s="23"/>
      <c r="P2882" s="23"/>
      <c r="Q2882" s="23"/>
      <c r="R2882" s="23"/>
      <c r="S2882" s="23"/>
      <c r="T2882" s="23"/>
      <c r="U2882" s="23"/>
    </row>
    <row r="2883">
      <c r="A2883" s="20"/>
      <c r="B2883" s="20"/>
      <c r="C2883" s="30"/>
      <c r="D2883" s="30"/>
      <c r="E2883" s="30"/>
      <c r="F2883" s="22"/>
      <c r="G2883" s="23"/>
      <c r="H2883" s="23"/>
      <c r="I2883" s="23"/>
      <c r="J2883" s="23"/>
      <c r="K2883" s="23"/>
      <c r="L2883" s="23"/>
      <c r="M2883" s="23"/>
      <c r="N2883" s="23"/>
      <c r="O2883" s="23"/>
      <c r="P2883" s="23"/>
      <c r="Q2883" s="23"/>
      <c r="R2883" s="23"/>
      <c r="S2883" s="23"/>
      <c r="T2883" s="23"/>
      <c r="U2883" s="23"/>
    </row>
    <row r="2884">
      <c r="A2884" s="20"/>
      <c r="B2884" s="20"/>
      <c r="C2884" s="30"/>
      <c r="D2884" s="30"/>
      <c r="E2884" s="30"/>
      <c r="F2884" s="22"/>
      <c r="G2884" s="23"/>
      <c r="H2884" s="23"/>
      <c r="I2884" s="23"/>
      <c r="J2884" s="23"/>
      <c r="K2884" s="23"/>
      <c r="L2884" s="23"/>
      <c r="M2884" s="23"/>
      <c r="N2884" s="23"/>
      <c r="O2884" s="23"/>
      <c r="P2884" s="23"/>
      <c r="Q2884" s="23"/>
      <c r="R2884" s="23"/>
      <c r="S2884" s="23"/>
      <c r="T2884" s="23"/>
      <c r="U2884" s="23"/>
    </row>
    <row r="2885">
      <c r="A2885" s="20"/>
      <c r="B2885" s="20"/>
      <c r="C2885" s="30"/>
      <c r="D2885" s="30"/>
      <c r="E2885" s="30"/>
      <c r="F2885" s="22"/>
      <c r="G2885" s="23"/>
      <c r="H2885" s="23"/>
      <c r="I2885" s="23"/>
      <c r="J2885" s="23"/>
      <c r="K2885" s="23"/>
      <c r="L2885" s="23"/>
      <c r="M2885" s="23"/>
      <c r="N2885" s="23"/>
      <c r="O2885" s="23"/>
      <c r="P2885" s="23"/>
      <c r="Q2885" s="23"/>
      <c r="R2885" s="23"/>
      <c r="S2885" s="23"/>
      <c r="T2885" s="23"/>
      <c r="U2885" s="23"/>
    </row>
    <row r="2886">
      <c r="A2886" s="20"/>
      <c r="B2886" s="20"/>
      <c r="C2886" s="30"/>
      <c r="D2886" s="30"/>
      <c r="E2886" s="30"/>
      <c r="F2886" s="22"/>
      <c r="G2886" s="23"/>
      <c r="H2886" s="23"/>
      <c r="I2886" s="23"/>
      <c r="J2886" s="23"/>
      <c r="K2886" s="23"/>
      <c r="L2886" s="23"/>
      <c r="M2886" s="23"/>
      <c r="N2886" s="23"/>
      <c r="O2886" s="23"/>
      <c r="P2886" s="23"/>
      <c r="Q2886" s="23"/>
      <c r="R2886" s="23"/>
      <c r="S2886" s="23"/>
      <c r="T2886" s="23"/>
      <c r="U2886" s="23"/>
    </row>
    <row r="2887">
      <c r="A2887" s="20"/>
      <c r="B2887" s="20"/>
      <c r="C2887" s="30"/>
      <c r="D2887" s="30"/>
      <c r="E2887" s="30"/>
      <c r="F2887" s="22"/>
      <c r="G2887" s="23"/>
      <c r="H2887" s="23"/>
      <c r="I2887" s="23"/>
      <c r="J2887" s="23"/>
      <c r="K2887" s="23"/>
      <c r="L2887" s="23"/>
      <c r="M2887" s="23"/>
      <c r="N2887" s="23"/>
      <c r="O2887" s="23"/>
      <c r="P2887" s="23"/>
      <c r="Q2887" s="23"/>
      <c r="R2887" s="23"/>
      <c r="S2887" s="23"/>
      <c r="T2887" s="23"/>
      <c r="U2887" s="23"/>
    </row>
    <row r="2888">
      <c r="A2888" s="20"/>
      <c r="B2888" s="20"/>
      <c r="C2888" s="30"/>
      <c r="D2888" s="30"/>
      <c r="E2888" s="30"/>
      <c r="F2888" s="22"/>
      <c r="G2888" s="23"/>
      <c r="H2888" s="23"/>
      <c r="I2888" s="23"/>
      <c r="J2888" s="23"/>
      <c r="K2888" s="23"/>
      <c r="L2888" s="23"/>
      <c r="M2888" s="23"/>
      <c r="N2888" s="23"/>
      <c r="O2888" s="23"/>
      <c r="P2888" s="23"/>
      <c r="Q2888" s="23"/>
      <c r="R2888" s="23"/>
      <c r="S2888" s="23"/>
      <c r="T2888" s="23"/>
      <c r="U2888" s="23"/>
    </row>
    <row r="2889">
      <c r="A2889" s="20"/>
      <c r="B2889" s="20"/>
      <c r="C2889" s="30"/>
      <c r="D2889" s="30"/>
      <c r="E2889" s="30"/>
      <c r="F2889" s="22"/>
      <c r="G2889" s="23"/>
      <c r="H2889" s="23"/>
      <c r="I2889" s="23"/>
      <c r="J2889" s="23"/>
      <c r="K2889" s="23"/>
      <c r="L2889" s="23"/>
      <c r="M2889" s="23"/>
      <c r="N2889" s="23"/>
      <c r="O2889" s="23"/>
      <c r="P2889" s="23"/>
      <c r="Q2889" s="23"/>
      <c r="R2889" s="23"/>
      <c r="S2889" s="23"/>
      <c r="T2889" s="23"/>
      <c r="U2889" s="23"/>
    </row>
    <row r="2890">
      <c r="A2890" s="20"/>
      <c r="B2890" s="20"/>
      <c r="C2890" s="30"/>
      <c r="D2890" s="30"/>
      <c r="E2890" s="30"/>
      <c r="F2890" s="22"/>
      <c r="G2890" s="23"/>
      <c r="H2890" s="23"/>
      <c r="I2890" s="23"/>
      <c r="J2890" s="23"/>
      <c r="K2890" s="23"/>
      <c r="L2890" s="23"/>
      <c r="M2890" s="23"/>
      <c r="N2890" s="23"/>
      <c r="O2890" s="23"/>
      <c r="P2890" s="23"/>
      <c r="Q2890" s="23"/>
      <c r="R2890" s="23"/>
      <c r="S2890" s="23"/>
      <c r="T2890" s="23"/>
      <c r="U2890" s="23"/>
    </row>
    <row r="2891">
      <c r="A2891" s="20"/>
      <c r="B2891" s="20"/>
      <c r="C2891" s="30"/>
      <c r="D2891" s="30"/>
      <c r="E2891" s="30"/>
      <c r="F2891" s="22"/>
      <c r="G2891" s="23"/>
      <c r="H2891" s="23"/>
      <c r="I2891" s="23"/>
      <c r="J2891" s="23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</row>
    <row r="2892">
      <c r="A2892" s="20"/>
      <c r="B2892" s="20"/>
      <c r="C2892" s="30"/>
      <c r="D2892" s="30"/>
      <c r="E2892" s="30"/>
      <c r="F2892" s="22"/>
      <c r="G2892" s="23"/>
      <c r="H2892" s="23"/>
      <c r="I2892" s="23"/>
      <c r="J2892" s="23"/>
      <c r="K2892" s="23"/>
      <c r="L2892" s="23"/>
      <c r="M2892" s="23"/>
      <c r="N2892" s="23"/>
      <c r="O2892" s="23"/>
      <c r="P2892" s="23"/>
      <c r="Q2892" s="23"/>
      <c r="R2892" s="23"/>
      <c r="S2892" s="23"/>
      <c r="T2892" s="23"/>
      <c r="U2892" s="23"/>
    </row>
    <row r="2893">
      <c r="A2893" s="20"/>
      <c r="B2893" s="20"/>
      <c r="C2893" s="30"/>
      <c r="D2893" s="30"/>
      <c r="E2893" s="30"/>
      <c r="F2893" s="22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</row>
    <row r="2894">
      <c r="A2894" s="20"/>
      <c r="B2894" s="20"/>
      <c r="C2894" s="30"/>
      <c r="D2894" s="30"/>
      <c r="E2894" s="30"/>
      <c r="F2894" s="22"/>
      <c r="G2894" s="23"/>
      <c r="H2894" s="23"/>
      <c r="I2894" s="23"/>
      <c r="J2894" s="23"/>
      <c r="K2894" s="23"/>
      <c r="L2894" s="23"/>
      <c r="M2894" s="23"/>
      <c r="N2894" s="23"/>
      <c r="O2894" s="23"/>
      <c r="P2894" s="23"/>
      <c r="Q2894" s="23"/>
      <c r="R2894" s="23"/>
      <c r="S2894" s="23"/>
      <c r="T2894" s="23"/>
      <c r="U2894" s="23"/>
    </row>
    <row r="2895">
      <c r="A2895" s="20"/>
      <c r="B2895" s="20"/>
      <c r="C2895" s="30"/>
      <c r="D2895" s="30"/>
      <c r="E2895" s="30"/>
      <c r="F2895" s="22"/>
      <c r="G2895" s="23"/>
      <c r="H2895" s="23"/>
      <c r="I2895" s="23"/>
      <c r="J2895" s="23"/>
      <c r="K2895" s="23"/>
      <c r="L2895" s="23"/>
      <c r="M2895" s="23"/>
      <c r="N2895" s="23"/>
      <c r="O2895" s="23"/>
      <c r="P2895" s="23"/>
      <c r="Q2895" s="23"/>
      <c r="R2895" s="23"/>
      <c r="S2895" s="23"/>
      <c r="T2895" s="23"/>
      <c r="U2895" s="23"/>
    </row>
    <row r="2896">
      <c r="A2896" s="20"/>
      <c r="B2896" s="20"/>
      <c r="C2896" s="30"/>
      <c r="D2896" s="30"/>
      <c r="E2896" s="30"/>
      <c r="F2896" s="22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</row>
    <row r="2897">
      <c r="A2897" s="20"/>
      <c r="B2897" s="20"/>
      <c r="C2897" s="30"/>
      <c r="D2897" s="30"/>
      <c r="E2897" s="30"/>
      <c r="F2897" s="22"/>
      <c r="G2897" s="23"/>
      <c r="H2897" s="23"/>
      <c r="I2897" s="23"/>
      <c r="J2897" s="23"/>
      <c r="K2897" s="23"/>
      <c r="L2897" s="23"/>
      <c r="M2897" s="23"/>
      <c r="N2897" s="23"/>
      <c r="O2897" s="23"/>
      <c r="P2897" s="23"/>
      <c r="Q2897" s="23"/>
      <c r="R2897" s="23"/>
      <c r="S2897" s="23"/>
      <c r="T2897" s="23"/>
      <c r="U2897" s="23"/>
    </row>
    <row r="2898">
      <c r="A2898" s="20"/>
      <c r="B2898" s="20"/>
      <c r="C2898" s="30"/>
      <c r="D2898" s="30"/>
      <c r="E2898" s="30"/>
      <c r="F2898" s="22"/>
      <c r="G2898" s="23"/>
      <c r="H2898" s="23"/>
      <c r="I2898" s="23"/>
      <c r="J2898" s="23"/>
      <c r="K2898" s="23"/>
      <c r="L2898" s="23"/>
      <c r="M2898" s="23"/>
      <c r="N2898" s="23"/>
      <c r="O2898" s="23"/>
      <c r="P2898" s="23"/>
      <c r="Q2898" s="23"/>
      <c r="R2898" s="23"/>
      <c r="S2898" s="23"/>
      <c r="T2898" s="23"/>
      <c r="U2898" s="23"/>
    </row>
    <row r="2899">
      <c r="A2899" s="20"/>
      <c r="B2899" s="20"/>
      <c r="C2899" s="30"/>
      <c r="D2899" s="30"/>
      <c r="E2899" s="30"/>
      <c r="F2899" s="22"/>
      <c r="G2899" s="23"/>
      <c r="H2899" s="23"/>
      <c r="I2899" s="23"/>
      <c r="J2899" s="23"/>
      <c r="K2899" s="23"/>
      <c r="L2899" s="23"/>
      <c r="M2899" s="23"/>
      <c r="N2899" s="23"/>
      <c r="O2899" s="23"/>
      <c r="P2899" s="23"/>
      <c r="Q2899" s="23"/>
      <c r="R2899" s="23"/>
      <c r="S2899" s="23"/>
      <c r="T2899" s="23"/>
      <c r="U2899" s="23"/>
    </row>
    <row r="2900">
      <c r="A2900" s="20"/>
      <c r="B2900" s="20"/>
      <c r="C2900" s="30"/>
      <c r="D2900" s="30"/>
      <c r="E2900" s="30"/>
      <c r="F2900" s="22"/>
      <c r="G2900" s="23"/>
      <c r="H2900" s="23"/>
      <c r="I2900" s="23"/>
      <c r="J2900" s="23"/>
      <c r="K2900" s="23"/>
      <c r="L2900" s="23"/>
      <c r="M2900" s="23"/>
      <c r="N2900" s="23"/>
      <c r="O2900" s="23"/>
      <c r="P2900" s="23"/>
      <c r="Q2900" s="23"/>
      <c r="R2900" s="23"/>
      <c r="S2900" s="23"/>
      <c r="T2900" s="23"/>
      <c r="U2900" s="23"/>
    </row>
    <row r="2901">
      <c r="A2901" s="20"/>
      <c r="B2901" s="20"/>
      <c r="C2901" s="30"/>
      <c r="D2901" s="30"/>
      <c r="E2901" s="30"/>
      <c r="F2901" s="22"/>
      <c r="G2901" s="23"/>
      <c r="H2901" s="23"/>
      <c r="I2901" s="23"/>
      <c r="J2901" s="23"/>
      <c r="K2901" s="23"/>
      <c r="L2901" s="23"/>
      <c r="M2901" s="23"/>
      <c r="N2901" s="23"/>
      <c r="O2901" s="23"/>
      <c r="P2901" s="23"/>
      <c r="Q2901" s="23"/>
      <c r="R2901" s="23"/>
      <c r="S2901" s="23"/>
      <c r="T2901" s="23"/>
      <c r="U2901" s="23"/>
    </row>
    <row r="2902">
      <c r="A2902" s="20"/>
      <c r="B2902" s="20"/>
      <c r="C2902" s="30"/>
      <c r="D2902" s="30"/>
      <c r="E2902" s="30"/>
      <c r="F2902" s="22"/>
      <c r="G2902" s="23"/>
      <c r="H2902" s="23"/>
      <c r="I2902" s="23"/>
      <c r="J2902" s="23"/>
      <c r="K2902" s="23"/>
      <c r="L2902" s="23"/>
      <c r="M2902" s="23"/>
      <c r="N2902" s="23"/>
      <c r="O2902" s="23"/>
      <c r="P2902" s="23"/>
      <c r="Q2902" s="23"/>
      <c r="R2902" s="23"/>
      <c r="S2902" s="23"/>
      <c r="T2902" s="23"/>
      <c r="U2902" s="23"/>
    </row>
    <row r="2903">
      <c r="A2903" s="20"/>
      <c r="B2903" s="20"/>
      <c r="C2903" s="30"/>
      <c r="D2903" s="30"/>
      <c r="E2903" s="30"/>
      <c r="F2903" s="22"/>
      <c r="G2903" s="23"/>
      <c r="H2903" s="23"/>
      <c r="I2903" s="23"/>
      <c r="J2903" s="23"/>
      <c r="K2903" s="23"/>
      <c r="L2903" s="23"/>
      <c r="M2903" s="23"/>
      <c r="N2903" s="23"/>
      <c r="O2903" s="23"/>
      <c r="P2903" s="23"/>
      <c r="Q2903" s="23"/>
      <c r="R2903" s="23"/>
      <c r="S2903" s="23"/>
      <c r="T2903" s="23"/>
      <c r="U2903" s="23"/>
    </row>
    <row r="2904">
      <c r="A2904" s="20"/>
      <c r="B2904" s="20"/>
      <c r="C2904" s="30"/>
      <c r="D2904" s="30"/>
      <c r="E2904" s="30"/>
      <c r="F2904" s="22"/>
      <c r="G2904" s="23"/>
      <c r="H2904" s="23"/>
      <c r="I2904" s="23"/>
      <c r="J2904" s="23"/>
      <c r="K2904" s="23"/>
      <c r="L2904" s="23"/>
      <c r="M2904" s="23"/>
      <c r="N2904" s="23"/>
      <c r="O2904" s="23"/>
      <c r="P2904" s="23"/>
      <c r="Q2904" s="23"/>
      <c r="R2904" s="23"/>
      <c r="S2904" s="23"/>
      <c r="T2904" s="23"/>
      <c r="U2904" s="23"/>
    </row>
    <row r="2905">
      <c r="A2905" s="20"/>
      <c r="B2905" s="20"/>
      <c r="C2905" s="30"/>
      <c r="D2905" s="30"/>
      <c r="E2905" s="30"/>
      <c r="F2905" s="22"/>
      <c r="G2905" s="23"/>
      <c r="H2905" s="23"/>
      <c r="I2905" s="23"/>
      <c r="J2905" s="23"/>
      <c r="K2905" s="23"/>
      <c r="L2905" s="23"/>
      <c r="M2905" s="23"/>
      <c r="N2905" s="23"/>
      <c r="O2905" s="23"/>
      <c r="P2905" s="23"/>
      <c r="Q2905" s="23"/>
      <c r="R2905" s="23"/>
      <c r="S2905" s="23"/>
      <c r="T2905" s="23"/>
      <c r="U2905" s="23"/>
    </row>
    <row r="2906">
      <c r="A2906" s="20"/>
      <c r="B2906" s="20"/>
      <c r="C2906" s="30"/>
      <c r="D2906" s="30"/>
      <c r="E2906" s="30"/>
      <c r="F2906" s="22"/>
      <c r="G2906" s="23"/>
      <c r="H2906" s="23"/>
      <c r="I2906" s="23"/>
      <c r="J2906" s="23"/>
      <c r="K2906" s="23"/>
      <c r="L2906" s="23"/>
      <c r="M2906" s="23"/>
      <c r="N2906" s="23"/>
      <c r="O2906" s="23"/>
      <c r="P2906" s="23"/>
      <c r="Q2906" s="23"/>
      <c r="R2906" s="23"/>
      <c r="S2906" s="23"/>
      <c r="T2906" s="23"/>
      <c r="U2906" s="23"/>
    </row>
    <row r="2907">
      <c r="A2907" s="20"/>
      <c r="B2907" s="20"/>
      <c r="C2907" s="30"/>
      <c r="D2907" s="30"/>
      <c r="E2907" s="30"/>
      <c r="F2907" s="22"/>
      <c r="G2907" s="23"/>
      <c r="H2907" s="23"/>
      <c r="I2907" s="23"/>
      <c r="J2907" s="23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</row>
    <row r="2908">
      <c r="A2908" s="20"/>
      <c r="B2908" s="20"/>
      <c r="C2908" s="30"/>
      <c r="D2908" s="30"/>
      <c r="E2908" s="30"/>
      <c r="F2908" s="22"/>
      <c r="G2908" s="23"/>
      <c r="H2908" s="23"/>
      <c r="I2908" s="23"/>
      <c r="J2908" s="23"/>
      <c r="K2908" s="23"/>
      <c r="L2908" s="23"/>
      <c r="M2908" s="23"/>
      <c r="N2908" s="23"/>
      <c r="O2908" s="23"/>
      <c r="P2908" s="23"/>
      <c r="Q2908" s="23"/>
      <c r="R2908" s="23"/>
      <c r="S2908" s="23"/>
      <c r="T2908" s="23"/>
      <c r="U2908" s="23"/>
    </row>
    <row r="2909">
      <c r="A2909" s="20"/>
      <c r="B2909" s="20"/>
      <c r="C2909" s="30"/>
      <c r="D2909" s="30"/>
      <c r="E2909" s="30"/>
      <c r="F2909" s="22"/>
      <c r="G2909" s="23"/>
      <c r="H2909" s="23"/>
      <c r="I2909" s="23"/>
      <c r="J2909" s="23"/>
      <c r="K2909" s="23"/>
      <c r="L2909" s="23"/>
      <c r="M2909" s="23"/>
      <c r="N2909" s="23"/>
      <c r="O2909" s="23"/>
      <c r="P2909" s="23"/>
      <c r="Q2909" s="23"/>
      <c r="R2909" s="23"/>
      <c r="S2909" s="23"/>
      <c r="T2909" s="23"/>
      <c r="U2909" s="23"/>
    </row>
    <row r="2910">
      <c r="A2910" s="20"/>
      <c r="B2910" s="20"/>
      <c r="C2910" s="30"/>
      <c r="D2910" s="30"/>
      <c r="E2910" s="30"/>
      <c r="F2910" s="22"/>
      <c r="G2910" s="23"/>
      <c r="H2910" s="23"/>
      <c r="I2910" s="23"/>
      <c r="J2910" s="23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</row>
    <row r="2911">
      <c r="A2911" s="20"/>
      <c r="B2911" s="20"/>
      <c r="C2911" s="30"/>
      <c r="D2911" s="30"/>
      <c r="E2911" s="30"/>
      <c r="F2911" s="22"/>
      <c r="G2911" s="23"/>
      <c r="H2911" s="23"/>
      <c r="I2911" s="23"/>
      <c r="J2911" s="23"/>
      <c r="K2911" s="23"/>
      <c r="L2911" s="23"/>
      <c r="M2911" s="23"/>
      <c r="N2911" s="23"/>
      <c r="O2911" s="23"/>
      <c r="P2911" s="23"/>
      <c r="Q2911" s="23"/>
      <c r="R2911" s="23"/>
      <c r="S2911" s="23"/>
      <c r="T2911" s="23"/>
      <c r="U2911" s="23"/>
    </row>
    <row r="2912">
      <c r="A2912" s="20"/>
      <c r="B2912" s="20"/>
      <c r="C2912" s="30"/>
      <c r="D2912" s="30"/>
      <c r="E2912" s="30"/>
      <c r="F2912" s="22"/>
      <c r="G2912" s="23"/>
      <c r="H2912" s="23"/>
      <c r="I2912" s="23"/>
      <c r="J2912" s="23"/>
      <c r="K2912" s="23"/>
      <c r="L2912" s="23"/>
      <c r="M2912" s="23"/>
      <c r="N2912" s="23"/>
      <c r="O2912" s="23"/>
      <c r="P2912" s="23"/>
      <c r="Q2912" s="23"/>
      <c r="R2912" s="23"/>
      <c r="S2912" s="23"/>
      <c r="T2912" s="23"/>
      <c r="U2912" s="23"/>
    </row>
    <row r="2913">
      <c r="A2913" s="20"/>
      <c r="B2913" s="20"/>
      <c r="C2913" s="30"/>
      <c r="D2913" s="30"/>
      <c r="E2913" s="30"/>
      <c r="F2913" s="22"/>
      <c r="G2913" s="23"/>
      <c r="H2913" s="23"/>
      <c r="I2913" s="23"/>
      <c r="J2913" s="23"/>
      <c r="K2913" s="23"/>
      <c r="L2913" s="23"/>
      <c r="M2913" s="23"/>
      <c r="N2913" s="23"/>
      <c r="O2913" s="23"/>
      <c r="P2913" s="23"/>
      <c r="Q2913" s="23"/>
      <c r="R2913" s="23"/>
      <c r="S2913" s="23"/>
      <c r="T2913" s="23"/>
      <c r="U2913" s="23"/>
    </row>
    <row r="2914">
      <c r="A2914" s="20"/>
      <c r="B2914" s="20"/>
      <c r="C2914" s="30"/>
      <c r="D2914" s="30"/>
      <c r="E2914" s="30"/>
      <c r="F2914" s="22"/>
      <c r="G2914" s="23"/>
      <c r="H2914" s="23"/>
      <c r="I2914" s="23"/>
      <c r="J2914" s="23"/>
      <c r="K2914" s="23"/>
      <c r="L2914" s="23"/>
      <c r="M2914" s="23"/>
      <c r="N2914" s="23"/>
      <c r="O2914" s="23"/>
      <c r="P2914" s="23"/>
      <c r="Q2914" s="23"/>
      <c r="R2914" s="23"/>
      <c r="S2914" s="23"/>
      <c r="T2914" s="23"/>
      <c r="U2914" s="23"/>
    </row>
    <row r="2915">
      <c r="A2915" s="20"/>
      <c r="B2915" s="20"/>
      <c r="C2915" s="30"/>
      <c r="D2915" s="30"/>
      <c r="E2915" s="30"/>
      <c r="F2915" s="22"/>
      <c r="G2915" s="23"/>
      <c r="H2915" s="23"/>
      <c r="I2915" s="23"/>
      <c r="J2915" s="23"/>
      <c r="K2915" s="23"/>
      <c r="L2915" s="23"/>
      <c r="M2915" s="23"/>
      <c r="N2915" s="23"/>
      <c r="O2915" s="23"/>
      <c r="P2915" s="23"/>
      <c r="Q2915" s="23"/>
      <c r="R2915" s="23"/>
      <c r="S2915" s="23"/>
      <c r="T2915" s="23"/>
      <c r="U2915" s="23"/>
    </row>
    <row r="2916">
      <c r="A2916" s="20"/>
      <c r="B2916" s="20"/>
      <c r="C2916" s="30"/>
      <c r="D2916" s="30"/>
      <c r="E2916" s="30"/>
      <c r="F2916" s="22"/>
      <c r="G2916" s="23"/>
      <c r="H2916" s="23"/>
      <c r="I2916" s="23"/>
      <c r="J2916" s="23"/>
      <c r="K2916" s="23"/>
      <c r="L2916" s="23"/>
      <c r="M2916" s="23"/>
      <c r="N2916" s="23"/>
      <c r="O2916" s="23"/>
      <c r="P2916" s="23"/>
      <c r="Q2916" s="23"/>
      <c r="R2916" s="23"/>
      <c r="S2916" s="23"/>
      <c r="T2916" s="23"/>
      <c r="U2916" s="23"/>
    </row>
    <row r="2917">
      <c r="A2917" s="20"/>
      <c r="B2917" s="20"/>
      <c r="C2917" s="30"/>
      <c r="D2917" s="30"/>
      <c r="E2917" s="30"/>
      <c r="F2917" s="22"/>
      <c r="G2917" s="23"/>
      <c r="H2917" s="23"/>
      <c r="I2917" s="23"/>
      <c r="J2917" s="23"/>
      <c r="K2917" s="23"/>
      <c r="L2917" s="23"/>
      <c r="M2917" s="23"/>
      <c r="N2917" s="23"/>
      <c r="O2917" s="23"/>
      <c r="P2917" s="23"/>
      <c r="Q2917" s="23"/>
      <c r="R2917" s="23"/>
      <c r="S2917" s="23"/>
      <c r="T2917" s="23"/>
      <c r="U2917" s="23"/>
    </row>
    <row r="2918">
      <c r="A2918" s="20"/>
      <c r="B2918" s="20"/>
      <c r="C2918" s="30"/>
      <c r="D2918" s="30"/>
      <c r="E2918" s="30"/>
      <c r="F2918" s="22"/>
      <c r="G2918" s="23"/>
      <c r="H2918" s="23"/>
      <c r="I2918" s="23"/>
      <c r="J2918" s="23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</row>
    <row r="2919">
      <c r="A2919" s="20"/>
      <c r="B2919" s="20"/>
      <c r="C2919" s="30"/>
      <c r="D2919" s="30"/>
      <c r="E2919" s="30"/>
      <c r="F2919" s="22"/>
      <c r="G2919" s="23"/>
      <c r="H2919" s="23"/>
      <c r="I2919" s="23"/>
      <c r="J2919" s="23"/>
      <c r="K2919" s="23"/>
      <c r="L2919" s="23"/>
      <c r="M2919" s="23"/>
      <c r="N2919" s="23"/>
      <c r="O2919" s="23"/>
      <c r="P2919" s="23"/>
      <c r="Q2919" s="23"/>
      <c r="R2919" s="23"/>
      <c r="S2919" s="23"/>
      <c r="T2919" s="23"/>
      <c r="U2919" s="23"/>
    </row>
    <row r="2920">
      <c r="A2920" s="20"/>
      <c r="B2920" s="20"/>
      <c r="C2920" s="30"/>
      <c r="D2920" s="30"/>
      <c r="E2920" s="30"/>
      <c r="F2920" s="22"/>
      <c r="G2920" s="23"/>
      <c r="H2920" s="23"/>
      <c r="I2920" s="23"/>
      <c r="J2920" s="23"/>
      <c r="K2920" s="23"/>
      <c r="L2920" s="23"/>
      <c r="M2920" s="23"/>
      <c r="N2920" s="23"/>
      <c r="O2920" s="23"/>
      <c r="P2920" s="23"/>
      <c r="Q2920" s="23"/>
      <c r="R2920" s="23"/>
      <c r="S2920" s="23"/>
      <c r="T2920" s="23"/>
      <c r="U2920" s="23"/>
    </row>
    <row r="2921">
      <c r="A2921" s="20"/>
      <c r="B2921" s="20"/>
      <c r="C2921" s="30"/>
      <c r="D2921" s="30"/>
      <c r="E2921" s="30"/>
      <c r="F2921" s="22"/>
      <c r="G2921" s="23"/>
      <c r="H2921" s="23"/>
      <c r="I2921" s="23"/>
      <c r="J2921" s="23"/>
      <c r="K2921" s="23"/>
      <c r="L2921" s="23"/>
      <c r="M2921" s="23"/>
      <c r="N2921" s="23"/>
      <c r="O2921" s="23"/>
      <c r="P2921" s="23"/>
      <c r="Q2921" s="23"/>
      <c r="R2921" s="23"/>
      <c r="S2921" s="23"/>
      <c r="T2921" s="23"/>
      <c r="U2921" s="23"/>
    </row>
    <row r="2922">
      <c r="A2922" s="20"/>
      <c r="B2922" s="20"/>
      <c r="C2922" s="30"/>
      <c r="D2922" s="30"/>
      <c r="E2922" s="30"/>
      <c r="F2922" s="22"/>
      <c r="G2922" s="23"/>
      <c r="H2922" s="23"/>
      <c r="I2922" s="23"/>
      <c r="J2922" s="23"/>
      <c r="K2922" s="23"/>
      <c r="L2922" s="23"/>
      <c r="M2922" s="23"/>
      <c r="N2922" s="23"/>
      <c r="O2922" s="23"/>
      <c r="P2922" s="23"/>
      <c r="Q2922" s="23"/>
      <c r="R2922" s="23"/>
      <c r="S2922" s="23"/>
      <c r="T2922" s="23"/>
      <c r="U2922" s="23"/>
    </row>
    <row r="2923">
      <c r="A2923" s="20"/>
      <c r="B2923" s="20"/>
      <c r="C2923" s="30"/>
      <c r="D2923" s="30"/>
      <c r="E2923" s="30"/>
      <c r="F2923" s="22"/>
      <c r="G2923" s="23"/>
      <c r="H2923" s="23"/>
      <c r="I2923" s="23"/>
      <c r="J2923" s="23"/>
      <c r="K2923" s="23"/>
      <c r="L2923" s="23"/>
      <c r="M2923" s="23"/>
      <c r="N2923" s="23"/>
      <c r="O2923" s="23"/>
      <c r="P2923" s="23"/>
      <c r="Q2923" s="23"/>
      <c r="R2923" s="23"/>
      <c r="S2923" s="23"/>
      <c r="T2923" s="23"/>
      <c r="U2923" s="23"/>
    </row>
    <row r="2924">
      <c r="A2924" s="20"/>
      <c r="B2924" s="20"/>
      <c r="C2924" s="30"/>
      <c r="D2924" s="30"/>
      <c r="E2924" s="30"/>
      <c r="F2924" s="22"/>
      <c r="G2924" s="23"/>
      <c r="H2924" s="23"/>
      <c r="I2924" s="23"/>
      <c r="J2924" s="23"/>
      <c r="K2924" s="23"/>
      <c r="L2924" s="23"/>
      <c r="M2924" s="23"/>
      <c r="N2924" s="23"/>
      <c r="O2924" s="23"/>
      <c r="P2924" s="23"/>
      <c r="Q2924" s="23"/>
      <c r="R2924" s="23"/>
      <c r="S2924" s="23"/>
      <c r="T2924" s="23"/>
      <c r="U2924" s="23"/>
    </row>
    <row r="2925">
      <c r="A2925" s="20"/>
      <c r="B2925" s="20"/>
      <c r="C2925" s="30"/>
      <c r="D2925" s="30"/>
      <c r="E2925" s="30"/>
      <c r="F2925" s="22"/>
      <c r="G2925" s="23"/>
      <c r="H2925" s="23"/>
      <c r="I2925" s="23"/>
      <c r="J2925" s="23"/>
      <c r="K2925" s="23"/>
      <c r="L2925" s="23"/>
      <c r="M2925" s="23"/>
      <c r="N2925" s="23"/>
      <c r="O2925" s="23"/>
      <c r="P2925" s="23"/>
      <c r="Q2925" s="23"/>
      <c r="R2925" s="23"/>
      <c r="S2925" s="23"/>
      <c r="T2925" s="23"/>
      <c r="U2925" s="23"/>
    </row>
    <row r="2926">
      <c r="A2926" s="20"/>
      <c r="B2926" s="20"/>
      <c r="C2926" s="30"/>
      <c r="D2926" s="30"/>
      <c r="E2926" s="30"/>
      <c r="F2926" s="22"/>
      <c r="G2926" s="23"/>
      <c r="H2926" s="23"/>
      <c r="I2926" s="23"/>
      <c r="J2926" s="23"/>
      <c r="K2926" s="23"/>
      <c r="L2926" s="23"/>
      <c r="M2926" s="23"/>
      <c r="N2926" s="23"/>
      <c r="O2926" s="23"/>
      <c r="P2926" s="23"/>
      <c r="Q2926" s="23"/>
      <c r="R2926" s="23"/>
      <c r="S2926" s="23"/>
      <c r="T2926" s="23"/>
      <c r="U2926" s="23"/>
    </row>
    <row r="2927">
      <c r="A2927" s="20"/>
      <c r="B2927" s="20"/>
      <c r="C2927" s="30"/>
      <c r="D2927" s="30"/>
      <c r="E2927" s="30"/>
      <c r="F2927" s="22"/>
      <c r="G2927" s="23"/>
      <c r="H2927" s="23"/>
      <c r="I2927" s="23"/>
      <c r="J2927" s="23"/>
      <c r="K2927" s="23"/>
      <c r="L2927" s="23"/>
      <c r="M2927" s="23"/>
      <c r="N2927" s="23"/>
      <c r="O2927" s="23"/>
      <c r="P2927" s="23"/>
      <c r="Q2927" s="23"/>
      <c r="R2927" s="23"/>
      <c r="S2927" s="23"/>
      <c r="T2927" s="23"/>
      <c r="U2927" s="23"/>
    </row>
    <row r="2928">
      <c r="A2928" s="20"/>
      <c r="B2928" s="20"/>
      <c r="C2928" s="30"/>
      <c r="D2928" s="30"/>
      <c r="E2928" s="30"/>
      <c r="F2928" s="22"/>
      <c r="G2928" s="23"/>
      <c r="H2928" s="23"/>
      <c r="I2928" s="23"/>
      <c r="J2928" s="23"/>
      <c r="K2928" s="23"/>
      <c r="L2928" s="23"/>
      <c r="M2928" s="23"/>
      <c r="N2928" s="23"/>
      <c r="O2928" s="23"/>
      <c r="P2928" s="23"/>
      <c r="Q2928" s="23"/>
      <c r="R2928" s="23"/>
      <c r="S2928" s="23"/>
      <c r="T2928" s="23"/>
      <c r="U2928" s="23"/>
    </row>
    <row r="2929">
      <c r="A2929" s="20"/>
      <c r="B2929" s="20"/>
      <c r="C2929" s="30"/>
      <c r="D2929" s="30"/>
      <c r="E2929" s="30"/>
      <c r="F2929" s="22"/>
      <c r="G2929" s="23"/>
      <c r="H2929" s="23"/>
      <c r="I2929" s="23"/>
      <c r="J2929" s="23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</row>
    <row r="2930">
      <c r="A2930" s="20"/>
      <c r="B2930" s="20"/>
      <c r="C2930" s="30"/>
      <c r="D2930" s="30"/>
      <c r="E2930" s="30"/>
      <c r="F2930" s="22"/>
      <c r="G2930" s="23"/>
      <c r="H2930" s="23"/>
      <c r="I2930" s="23"/>
      <c r="J2930" s="23"/>
      <c r="K2930" s="23"/>
      <c r="L2930" s="23"/>
      <c r="M2930" s="23"/>
      <c r="N2930" s="23"/>
      <c r="O2930" s="23"/>
      <c r="P2930" s="23"/>
      <c r="Q2930" s="23"/>
      <c r="R2930" s="23"/>
      <c r="S2930" s="23"/>
      <c r="T2930" s="23"/>
      <c r="U2930" s="23"/>
    </row>
    <row r="2931">
      <c r="A2931" s="20"/>
      <c r="B2931" s="20"/>
      <c r="C2931" s="30"/>
      <c r="D2931" s="30"/>
      <c r="E2931" s="30"/>
      <c r="F2931" s="22"/>
      <c r="G2931" s="23"/>
      <c r="H2931" s="23"/>
      <c r="I2931" s="23"/>
      <c r="J2931" s="23"/>
      <c r="K2931" s="23"/>
      <c r="L2931" s="23"/>
      <c r="M2931" s="23"/>
      <c r="N2931" s="23"/>
      <c r="O2931" s="23"/>
      <c r="P2931" s="23"/>
      <c r="Q2931" s="23"/>
      <c r="R2931" s="23"/>
      <c r="S2931" s="23"/>
      <c r="T2931" s="23"/>
      <c r="U2931" s="23"/>
    </row>
    <row r="2932">
      <c r="A2932" s="20"/>
      <c r="B2932" s="20"/>
      <c r="C2932" s="30"/>
      <c r="D2932" s="30"/>
      <c r="E2932" s="30"/>
      <c r="F2932" s="22"/>
      <c r="G2932" s="23"/>
      <c r="H2932" s="23"/>
      <c r="I2932" s="23"/>
      <c r="J2932" s="23"/>
      <c r="K2932" s="23"/>
      <c r="L2932" s="23"/>
      <c r="M2932" s="23"/>
      <c r="N2932" s="23"/>
      <c r="O2932" s="23"/>
      <c r="P2932" s="23"/>
      <c r="Q2932" s="23"/>
      <c r="R2932" s="23"/>
      <c r="S2932" s="23"/>
      <c r="T2932" s="23"/>
      <c r="U2932" s="23"/>
    </row>
    <row r="2933">
      <c r="A2933" s="20"/>
      <c r="B2933" s="20"/>
      <c r="C2933" s="30"/>
      <c r="D2933" s="30"/>
      <c r="E2933" s="30"/>
      <c r="F2933" s="22"/>
      <c r="G2933" s="23"/>
      <c r="H2933" s="23"/>
      <c r="I2933" s="23"/>
      <c r="J2933" s="23"/>
      <c r="K2933" s="23"/>
      <c r="L2933" s="23"/>
      <c r="M2933" s="23"/>
      <c r="N2933" s="23"/>
      <c r="O2933" s="23"/>
      <c r="P2933" s="23"/>
      <c r="Q2933" s="23"/>
      <c r="R2933" s="23"/>
      <c r="S2933" s="23"/>
      <c r="T2933" s="23"/>
      <c r="U2933" s="23"/>
    </row>
    <row r="2934">
      <c r="A2934" s="20"/>
      <c r="B2934" s="20"/>
      <c r="C2934" s="30"/>
      <c r="D2934" s="30"/>
      <c r="E2934" s="30"/>
      <c r="F2934" s="22"/>
      <c r="G2934" s="23"/>
      <c r="H2934" s="23"/>
      <c r="I2934" s="23"/>
      <c r="J2934" s="23"/>
      <c r="K2934" s="23"/>
      <c r="L2934" s="23"/>
      <c r="M2934" s="23"/>
      <c r="N2934" s="23"/>
      <c r="O2934" s="23"/>
      <c r="P2934" s="23"/>
      <c r="Q2934" s="23"/>
      <c r="R2934" s="23"/>
      <c r="S2934" s="23"/>
      <c r="T2934" s="23"/>
      <c r="U2934" s="23"/>
    </row>
    <row r="2935">
      <c r="A2935" s="20"/>
      <c r="B2935" s="20"/>
      <c r="C2935" s="30"/>
      <c r="D2935" s="30"/>
      <c r="E2935" s="30"/>
      <c r="F2935" s="22"/>
      <c r="G2935" s="23"/>
      <c r="H2935" s="23"/>
      <c r="I2935" s="23"/>
      <c r="J2935" s="23"/>
      <c r="K2935" s="23"/>
      <c r="L2935" s="23"/>
      <c r="M2935" s="23"/>
      <c r="N2935" s="23"/>
      <c r="O2935" s="23"/>
      <c r="P2935" s="23"/>
      <c r="Q2935" s="23"/>
      <c r="R2935" s="23"/>
      <c r="S2935" s="23"/>
      <c r="T2935" s="23"/>
      <c r="U2935" s="23"/>
    </row>
    <row r="2936">
      <c r="A2936" s="20"/>
      <c r="B2936" s="20"/>
      <c r="C2936" s="30"/>
      <c r="D2936" s="30"/>
      <c r="E2936" s="30"/>
      <c r="F2936" s="22"/>
      <c r="G2936" s="23"/>
      <c r="H2936" s="23"/>
      <c r="I2936" s="23"/>
      <c r="J2936" s="23"/>
      <c r="K2936" s="23"/>
      <c r="L2936" s="23"/>
      <c r="M2936" s="23"/>
      <c r="N2936" s="23"/>
      <c r="O2936" s="23"/>
      <c r="P2936" s="23"/>
      <c r="Q2936" s="23"/>
      <c r="R2936" s="23"/>
      <c r="S2936" s="23"/>
      <c r="T2936" s="23"/>
      <c r="U2936" s="23"/>
    </row>
    <row r="2937">
      <c r="A2937" s="20"/>
      <c r="B2937" s="20"/>
      <c r="C2937" s="30"/>
      <c r="D2937" s="30"/>
      <c r="E2937" s="30"/>
      <c r="F2937" s="22"/>
      <c r="G2937" s="23"/>
      <c r="H2937" s="23"/>
      <c r="I2937" s="23"/>
      <c r="J2937" s="23"/>
      <c r="K2937" s="23"/>
      <c r="L2937" s="23"/>
      <c r="M2937" s="23"/>
      <c r="N2937" s="23"/>
      <c r="O2937" s="23"/>
      <c r="P2937" s="23"/>
      <c r="Q2937" s="23"/>
      <c r="R2937" s="23"/>
      <c r="S2937" s="23"/>
      <c r="T2937" s="23"/>
      <c r="U2937" s="23"/>
    </row>
    <row r="2938">
      <c r="A2938" s="20"/>
      <c r="B2938" s="20"/>
      <c r="C2938" s="30"/>
      <c r="D2938" s="30"/>
      <c r="E2938" s="30"/>
      <c r="F2938" s="22"/>
      <c r="G2938" s="23"/>
      <c r="H2938" s="23"/>
      <c r="I2938" s="23"/>
      <c r="J2938" s="23"/>
      <c r="K2938" s="23"/>
      <c r="L2938" s="23"/>
      <c r="M2938" s="23"/>
      <c r="N2938" s="23"/>
      <c r="O2938" s="23"/>
      <c r="P2938" s="23"/>
      <c r="Q2938" s="23"/>
      <c r="R2938" s="23"/>
      <c r="S2938" s="23"/>
      <c r="T2938" s="23"/>
      <c r="U2938" s="23"/>
    </row>
    <row r="2939">
      <c r="A2939" s="20"/>
      <c r="B2939" s="20"/>
      <c r="C2939" s="30"/>
      <c r="D2939" s="30"/>
      <c r="E2939" s="30"/>
      <c r="F2939" s="22"/>
      <c r="G2939" s="23"/>
      <c r="H2939" s="23"/>
      <c r="I2939" s="23"/>
      <c r="J2939" s="23"/>
      <c r="K2939" s="23"/>
      <c r="L2939" s="23"/>
      <c r="M2939" s="23"/>
      <c r="N2939" s="23"/>
      <c r="O2939" s="23"/>
      <c r="P2939" s="23"/>
      <c r="Q2939" s="23"/>
      <c r="R2939" s="23"/>
      <c r="S2939" s="23"/>
      <c r="T2939" s="23"/>
      <c r="U2939" s="23"/>
    </row>
    <row r="2940">
      <c r="A2940" s="20"/>
      <c r="B2940" s="20"/>
      <c r="C2940" s="30"/>
      <c r="D2940" s="30"/>
      <c r="E2940" s="30"/>
      <c r="F2940" s="22"/>
      <c r="G2940" s="23"/>
      <c r="H2940" s="23"/>
      <c r="I2940" s="23"/>
      <c r="J2940" s="23"/>
      <c r="K2940" s="23"/>
      <c r="L2940" s="23"/>
      <c r="M2940" s="23"/>
      <c r="N2940" s="23"/>
      <c r="O2940" s="23"/>
      <c r="P2940" s="23"/>
      <c r="Q2940" s="23"/>
      <c r="R2940" s="23"/>
      <c r="S2940" s="23"/>
      <c r="T2940" s="23"/>
      <c r="U2940" s="23"/>
    </row>
    <row r="2941">
      <c r="A2941" s="20"/>
      <c r="B2941" s="20"/>
      <c r="C2941" s="30"/>
      <c r="D2941" s="30"/>
      <c r="E2941" s="30"/>
      <c r="F2941" s="22"/>
      <c r="G2941" s="23"/>
      <c r="H2941" s="23"/>
      <c r="I2941" s="23"/>
      <c r="J2941" s="23"/>
      <c r="K2941" s="23"/>
      <c r="L2941" s="23"/>
      <c r="M2941" s="23"/>
      <c r="N2941" s="23"/>
      <c r="O2941" s="23"/>
      <c r="P2941" s="23"/>
      <c r="Q2941" s="23"/>
      <c r="R2941" s="23"/>
      <c r="S2941" s="23"/>
      <c r="T2941" s="23"/>
      <c r="U2941" s="23"/>
    </row>
    <row r="2942">
      <c r="A2942" s="20"/>
      <c r="B2942" s="20"/>
      <c r="C2942" s="30"/>
      <c r="D2942" s="30"/>
      <c r="E2942" s="30"/>
      <c r="F2942" s="22"/>
      <c r="G2942" s="23"/>
      <c r="H2942" s="23"/>
      <c r="I2942" s="23"/>
      <c r="J2942" s="23"/>
      <c r="K2942" s="23"/>
      <c r="L2942" s="23"/>
      <c r="M2942" s="23"/>
      <c r="N2942" s="23"/>
      <c r="O2942" s="23"/>
      <c r="P2942" s="23"/>
      <c r="Q2942" s="23"/>
      <c r="R2942" s="23"/>
      <c r="S2942" s="23"/>
      <c r="T2942" s="23"/>
      <c r="U2942" s="23"/>
    </row>
    <row r="2943">
      <c r="A2943" s="20"/>
      <c r="B2943" s="20"/>
      <c r="C2943" s="30"/>
      <c r="D2943" s="30"/>
      <c r="E2943" s="30"/>
      <c r="F2943" s="22"/>
      <c r="G2943" s="23"/>
      <c r="H2943" s="23"/>
      <c r="I2943" s="23"/>
      <c r="J2943" s="23"/>
      <c r="K2943" s="23"/>
      <c r="L2943" s="23"/>
      <c r="M2943" s="23"/>
      <c r="N2943" s="23"/>
      <c r="O2943" s="23"/>
      <c r="P2943" s="23"/>
      <c r="Q2943" s="23"/>
      <c r="R2943" s="23"/>
      <c r="S2943" s="23"/>
      <c r="T2943" s="23"/>
      <c r="U2943" s="23"/>
    </row>
    <row r="2944">
      <c r="A2944" s="20"/>
      <c r="B2944" s="20"/>
      <c r="C2944" s="30"/>
      <c r="D2944" s="30"/>
      <c r="E2944" s="30"/>
      <c r="F2944" s="22"/>
      <c r="G2944" s="23"/>
      <c r="H2944" s="23"/>
      <c r="I2944" s="23"/>
      <c r="J2944" s="23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</row>
    <row r="2945">
      <c r="A2945" s="20"/>
      <c r="B2945" s="20"/>
      <c r="C2945" s="30"/>
      <c r="D2945" s="30"/>
      <c r="E2945" s="30"/>
      <c r="F2945" s="22"/>
      <c r="G2945" s="23"/>
      <c r="H2945" s="23"/>
      <c r="I2945" s="23"/>
      <c r="J2945" s="23"/>
      <c r="K2945" s="23"/>
      <c r="L2945" s="23"/>
      <c r="M2945" s="23"/>
      <c r="N2945" s="23"/>
      <c r="O2945" s="23"/>
      <c r="P2945" s="23"/>
      <c r="Q2945" s="23"/>
      <c r="R2945" s="23"/>
      <c r="S2945" s="23"/>
      <c r="T2945" s="23"/>
      <c r="U2945" s="23"/>
    </row>
    <row r="2946">
      <c r="A2946" s="20"/>
      <c r="B2946" s="20"/>
      <c r="C2946" s="30"/>
      <c r="D2946" s="30"/>
      <c r="E2946" s="30"/>
      <c r="F2946" s="22"/>
      <c r="G2946" s="23"/>
      <c r="H2946" s="23"/>
      <c r="I2946" s="23"/>
      <c r="J2946" s="23"/>
      <c r="K2946" s="23"/>
      <c r="L2946" s="23"/>
      <c r="M2946" s="23"/>
      <c r="N2946" s="23"/>
      <c r="O2946" s="23"/>
      <c r="P2946" s="23"/>
      <c r="Q2946" s="23"/>
      <c r="R2946" s="23"/>
      <c r="S2946" s="23"/>
      <c r="T2946" s="23"/>
      <c r="U2946" s="23"/>
    </row>
    <row r="2947">
      <c r="A2947" s="20"/>
      <c r="B2947" s="20"/>
      <c r="C2947" s="30"/>
      <c r="D2947" s="30"/>
      <c r="E2947" s="30"/>
      <c r="F2947" s="22"/>
      <c r="G2947" s="23"/>
      <c r="H2947" s="23"/>
      <c r="I2947" s="23"/>
      <c r="J2947" s="23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</row>
    <row r="2948">
      <c r="A2948" s="20"/>
      <c r="B2948" s="20"/>
      <c r="C2948" s="30"/>
      <c r="D2948" s="30"/>
      <c r="E2948" s="30"/>
      <c r="F2948" s="22"/>
      <c r="G2948" s="23"/>
      <c r="H2948" s="23"/>
      <c r="I2948" s="23"/>
      <c r="J2948" s="23"/>
      <c r="K2948" s="23"/>
      <c r="L2948" s="23"/>
      <c r="M2948" s="23"/>
      <c r="N2948" s="23"/>
      <c r="O2948" s="23"/>
      <c r="P2948" s="23"/>
      <c r="Q2948" s="23"/>
      <c r="R2948" s="23"/>
      <c r="S2948" s="23"/>
      <c r="T2948" s="23"/>
      <c r="U2948" s="23"/>
    </row>
    <row r="2949">
      <c r="A2949" s="20"/>
      <c r="B2949" s="20"/>
      <c r="C2949" s="30"/>
      <c r="D2949" s="30"/>
      <c r="E2949" s="30"/>
      <c r="F2949" s="22"/>
      <c r="G2949" s="23"/>
      <c r="H2949" s="23"/>
      <c r="I2949" s="23"/>
      <c r="J2949" s="23"/>
      <c r="K2949" s="23"/>
      <c r="L2949" s="23"/>
      <c r="M2949" s="23"/>
      <c r="N2949" s="23"/>
      <c r="O2949" s="23"/>
      <c r="P2949" s="23"/>
      <c r="Q2949" s="23"/>
      <c r="R2949" s="23"/>
      <c r="S2949" s="23"/>
      <c r="T2949" s="23"/>
      <c r="U2949" s="23"/>
    </row>
    <row r="2950">
      <c r="A2950" s="20"/>
      <c r="B2950" s="20"/>
      <c r="C2950" s="30"/>
      <c r="D2950" s="30"/>
      <c r="E2950" s="30"/>
      <c r="F2950" s="22"/>
      <c r="G2950" s="23"/>
      <c r="H2950" s="23"/>
      <c r="I2950" s="23"/>
      <c r="J2950" s="23"/>
      <c r="K2950" s="23"/>
      <c r="L2950" s="23"/>
      <c r="M2950" s="23"/>
      <c r="N2950" s="23"/>
      <c r="O2950" s="23"/>
      <c r="P2950" s="23"/>
      <c r="Q2950" s="23"/>
      <c r="R2950" s="23"/>
      <c r="S2950" s="23"/>
      <c r="T2950" s="23"/>
      <c r="U2950" s="23"/>
    </row>
    <row r="2951">
      <c r="A2951" s="20"/>
      <c r="B2951" s="20"/>
      <c r="C2951" s="30"/>
      <c r="D2951" s="30"/>
      <c r="E2951" s="30"/>
      <c r="F2951" s="22"/>
      <c r="G2951" s="23"/>
      <c r="H2951" s="23"/>
      <c r="I2951" s="23"/>
      <c r="J2951" s="23"/>
      <c r="K2951" s="23"/>
      <c r="L2951" s="23"/>
      <c r="M2951" s="23"/>
      <c r="N2951" s="23"/>
      <c r="O2951" s="23"/>
      <c r="P2951" s="23"/>
      <c r="Q2951" s="23"/>
      <c r="R2951" s="23"/>
      <c r="S2951" s="23"/>
      <c r="T2951" s="23"/>
      <c r="U2951" s="23"/>
    </row>
    <row r="2952">
      <c r="A2952" s="20"/>
      <c r="B2952" s="20"/>
      <c r="C2952" s="30"/>
      <c r="D2952" s="30"/>
      <c r="E2952" s="30"/>
      <c r="F2952" s="22"/>
      <c r="G2952" s="23"/>
      <c r="H2952" s="23"/>
      <c r="I2952" s="23"/>
      <c r="J2952" s="23"/>
      <c r="K2952" s="23"/>
      <c r="L2952" s="23"/>
      <c r="M2952" s="23"/>
      <c r="N2952" s="23"/>
      <c r="O2952" s="23"/>
      <c r="P2952" s="23"/>
      <c r="Q2952" s="23"/>
      <c r="R2952" s="23"/>
      <c r="S2952" s="23"/>
      <c r="T2952" s="23"/>
      <c r="U2952" s="23"/>
    </row>
    <row r="2953">
      <c r="A2953" s="20"/>
      <c r="B2953" s="20"/>
      <c r="C2953" s="30"/>
      <c r="D2953" s="30"/>
      <c r="E2953" s="30"/>
      <c r="F2953" s="22"/>
      <c r="G2953" s="23"/>
      <c r="H2953" s="23"/>
      <c r="I2953" s="23"/>
      <c r="J2953" s="23"/>
      <c r="K2953" s="23"/>
      <c r="L2953" s="23"/>
      <c r="M2953" s="23"/>
      <c r="N2953" s="23"/>
      <c r="O2953" s="23"/>
      <c r="P2953" s="23"/>
      <c r="Q2953" s="23"/>
      <c r="R2953" s="23"/>
      <c r="S2953" s="23"/>
      <c r="T2953" s="23"/>
      <c r="U2953" s="23"/>
    </row>
    <row r="2954">
      <c r="A2954" s="20"/>
      <c r="B2954" s="20"/>
      <c r="C2954" s="30"/>
      <c r="D2954" s="30"/>
      <c r="E2954" s="30"/>
      <c r="F2954" s="22"/>
      <c r="G2954" s="23"/>
      <c r="H2954" s="23"/>
      <c r="I2954" s="23"/>
      <c r="J2954" s="23"/>
      <c r="K2954" s="23"/>
      <c r="L2954" s="23"/>
      <c r="M2954" s="23"/>
      <c r="N2954" s="23"/>
      <c r="O2954" s="23"/>
      <c r="P2954" s="23"/>
      <c r="Q2954" s="23"/>
      <c r="R2954" s="23"/>
      <c r="S2954" s="23"/>
      <c r="T2954" s="23"/>
      <c r="U2954" s="23"/>
    </row>
    <row r="2955">
      <c r="A2955" s="20"/>
      <c r="B2955" s="20"/>
      <c r="C2955" s="30"/>
      <c r="D2955" s="30"/>
      <c r="E2955" s="30"/>
      <c r="F2955" s="22"/>
      <c r="G2955" s="23"/>
      <c r="H2955" s="23"/>
      <c r="I2955" s="23"/>
      <c r="J2955" s="23"/>
      <c r="K2955" s="23"/>
      <c r="L2955" s="23"/>
      <c r="M2955" s="23"/>
      <c r="N2955" s="23"/>
      <c r="O2955" s="23"/>
      <c r="P2955" s="23"/>
      <c r="Q2955" s="23"/>
      <c r="R2955" s="23"/>
      <c r="S2955" s="23"/>
      <c r="T2955" s="23"/>
      <c r="U2955" s="23"/>
    </row>
    <row r="2956">
      <c r="A2956" s="20"/>
      <c r="B2956" s="20"/>
      <c r="C2956" s="30"/>
      <c r="D2956" s="30"/>
      <c r="E2956" s="30"/>
      <c r="F2956" s="22"/>
      <c r="G2956" s="23"/>
      <c r="H2956" s="23"/>
      <c r="I2956" s="23"/>
      <c r="J2956" s="23"/>
      <c r="K2956" s="23"/>
      <c r="L2956" s="23"/>
      <c r="M2956" s="23"/>
      <c r="N2956" s="23"/>
      <c r="O2956" s="23"/>
      <c r="P2956" s="23"/>
      <c r="Q2956" s="23"/>
      <c r="R2956" s="23"/>
      <c r="S2956" s="23"/>
      <c r="T2956" s="23"/>
      <c r="U2956" s="23"/>
    </row>
    <row r="2957">
      <c r="A2957" s="20"/>
      <c r="B2957" s="20"/>
      <c r="C2957" s="30"/>
      <c r="D2957" s="30"/>
      <c r="E2957" s="30"/>
      <c r="F2957" s="22"/>
      <c r="G2957" s="23"/>
      <c r="H2957" s="23"/>
      <c r="I2957" s="23"/>
      <c r="J2957" s="23"/>
      <c r="K2957" s="23"/>
      <c r="L2957" s="23"/>
      <c r="M2957" s="23"/>
      <c r="N2957" s="23"/>
      <c r="O2957" s="23"/>
      <c r="P2957" s="23"/>
      <c r="Q2957" s="23"/>
      <c r="R2957" s="23"/>
      <c r="S2957" s="23"/>
      <c r="T2957" s="23"/>
      <c r="U2957" s="23"/>
    </row>
    <row r="2958">
      <c r="A2958" s="20"/>
      <c r="B2958" s="20"/>
      <c r="C2958" s="30"/>
      <c r="D2958" s="30"/>
      <c r="E2958" s="30"/>
      <c r="F2958" s="22"/>
      <c r="G2958" s="23"/>
      <c r="H2958" s="23"/>
      <c r="I2958" s="23"/>
      <c r="J2958" s="23"/>
      <c r="K2958" s="23"/>
      <c r="L2958" s="23"/>
      <c r="M2958" s="23"/>
      <c r="N2958" s="23"/>
      <c r="O2958" s="23"/>
      <c r="P2958" s="23"/>
      <c r="Q2958" s="23"/>
      <c r="R2958" s="23"/>
      <c r="S2958" s="23"/>
      <c r="T2958" s="23"/>
      <c r="U2958" s="23"/>
    </row>
    <row r="2959">
      <c r="A2959" s="20"/>
      <c r="B2959" s="20"/>
      <c r="C2959" s="30"/>
      <c r="D2959" s="30"/>
      <c r="E2959" s="30"/>
      <c r="F2959" s="22"/>
      <c r="G2959" s="23"/>
      <c r="H2959" s="23"/>
      <c r="I2959" s="23"/>
      <c r="J2959" s="23"/>
      <c r="K2959" s="23"/>
      <c r="L2959" s="23"/>
      <c r="M2959" s="23"/>
      <c r="N2959" s="23"/>
      <c r="O2959" s="23"/>
      <c r="P2959" s="23"/>
      <c r="Q2959" s="23"/>
      <c r="R2959" s="23"/>
      <c r="S2959" s="23"/>
      <c r="T2959" s="23"/>
      <c r="U2959" s="23"/>
    </row>
    <row r="2960">
      <c r="A2960" s="20"/>
      <c r="B2960" s="20"/>
      <c r="C2960" s="30"/>
      <c r="D2960" s="30"/>
      <c r="E2960" s="30"/>
      <c r="F2960" s="22"/>
      <c r="G2960" s="23"/>
      <c r="H2960" s="23"/>
      <c r="I2960" s="23"/>
      <c r="J2960" s="23"/>
      <c r="K2960" s="23"/>
      <c r="L2960" s="23"/>
      <c r="M2960" s="23"/>
      <c r="N2960" s="23"/>
      <c r="O2960" s="23"/>
      <c r="P2960" s="23"/>
      <c r="Q2960" s="23"/>
      <c r="R2960" s="23"/>
      <c r="S2960" s="23"/>
      <c r="T2960" s="23"/>
      <c r="U2960" s="23"/>
    </row>
    <row r="2961">
      <c r="A2961" s="20"/>
      <c r="B2961" s="20"/>
      <c r="C2961" s="30"/>
      <c r="D2961" s="30"/>
      <c r="E2961" s="30"/>
      <c r="F2961" s="22"/>
      <c r="G2961" s="23"/>
      <c r="H2961" s="23"/>
      <c r="I2961" s="23"/>
      <c r="J2961" s="23"/>
      <c r="K2961" s="23"/>
      <c r="L2961" s="23"/>
      <c r="M2961" s="23"/>
      <c r="N2961" s="23"/>
      <c r="O2961" s="23"/>
      <c r="P2961" s="23"/>
      <c r="Q2961" s="23"/>
      <c r="R2961" s="23"/>
      <c r="S2961" s="23"/>
      <c r="T2961" s="23"/>
      <c r="U2961" s="23"/>
    </row>
    <row r="2962">
      <c r="A2962" s="20"/>
      <c r="B2962" s="20"/>
      <c r="C2962" s="30"/>
      <c r="D2962" s="30"/>
      <c r="E2962" s="30"/>
      <c r="F2962" s="22"/>
      <c r="G2962" s="23"/>
      <c r="H2962" s="23"/>
      <c r="I2962" s="23"/>
      <c r="J2962" s="23"/>
      <c r="K2962" s="23"/>
      <c r="L2962" s="23"/>
      <c r="M2962" s="23"/>
      <c r="N2962" s="23"/>
      <c r="O2962" s="23"/>
      <c r="P2962" s="23"/>
      <c r="Q2962" s="23"/>
      <c r="R2962" s="23"/>
      <c r="S2962" s="23"/>
      <c r="T2962" s="23"/>
      <c r="U2962" s="23"/>
    </row>
    <row r="2963">
      <c r="A2963" s="20"/>
      <c r="B2963" s="20"/>
      <c r="C2963" s="30"/>
      <c r="D2963" s="30"/>
      <c r="E2963" s="30"/>
      <c r="F2963" s="22"/>
      <c r="G2963" s="23"/>
      <c r="H2963" s="23"/>
      <c r="I2963" s="23"/>
      <c r="J2963" s="23"/>
      <c r="K2963" s="23"/>
      <c r="L2963" s="23"/>
      <c r="M2963" s="23"/>
      <c r="N2963" s="23"/>
      <c r="O2963" s="23"/>
      <c r="P2963" s="23"/>
      <c r="Q2963" s="23"/>
      <c r="R2963" s="23"/>
      <c r="S2963" s="23"/>
      <c r="T2963" s="23"/>
      <c r="U2963" s="23"/>
    </row>
    <row r="2964">
      <c r="A2964" s="20"/>
      <c r="B2964" s="20"/>
      <c r="C2964" s="30"/>
      <c r="D2964" s="30"/>
      <c r="E2964" s="30"/>
      <c r="F2964" s="22"/>
      <c r="G2964" s="23"/>
      <c r="H2964" s="23"/>
      <c r="I2964" s="23"/>
      <c r="J2964" s="23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</row>
    <row r="2965">
      <c r="A2965" s="20"/>
      <c r="B2965" s="20"/>
      <c r="C2965" s="30"/>
      <c r="D2965" s="30"/>
      <c r="E2965" s="30"/>
      <c r="F2965" s="22"/>
      <c r="G2965" s="23"/>
      <c r="H2965" s="23"/>
      <c r="I2965" s="23"/>
      <c r="J2965" s="23"/>
      <c r="K2965" s="23"/>
      <c r="L2965" s="23"/>
      <c r="M2965" s="23"/>
      <c r="N2965" s="23"/>
      <c r="O2965" s="23"/>
      <c r="P2965" s="23"/>
      <c r="Q2965" s="23"/>
      <c r="R2965" s="23"/>
      <c r="S2965" s="23"/>
      <c r="T2965" s="23"/>
      <c r="U2965" s="23"/>
    </row>
    <row r="2966">
      <c r="A2966" s="20"/>
      <c r="B2966" s="20"/>
      <c r="C2966" s="30"/>
      <c r="D2966" s="30"/>
      <c r="E2966" s="30"/>
      <c r="F2966" s="22"/>
      <c r="G2966" s="23"/>
      <c r="H2966" s="23"/>
      <c r="I2966" s="23"/>
      <c r="J2966" s="23"/>
      <c r="K2966" s="23"/>
      <c r="L2966" s="23"/>
      <c r="M2966" s="23"/>
      <c r="N2966" s="23"/>
      <c r="O2966" s="23"/>
      <c r="P2966" s="23"/>
      <c r="Q2966" s="23"/>
      <c r="R2966" s="23"/>
      <c r="S2966" s="23"/>
      <c r="T2966" s="23"/>
      <c r="U2966" s="23"/>
    </row>
    <row r="2967">
      <c r="A2967" s="20"/>
      <c r="B2967" s="20"/>
      <c r="C2967" s="30"/>
      <c r="D2967" s="30"/>
      <c r="E2967" s="30"/>
      <c r="F2967" s="22"/>
      <c r="G2967" s="23"/>
      <c r="H2967" s="23"/>
      <c r="I2967" s="23"/>
      <c r="J2967" s="23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</row>
    <row r="2968">
      <c r="A2968" s="20"/>
      <c r="B2968" s="20"/>
      <c r="C2968" s="30"/>
      <c r="D2968" s="30"/>
      <c r="E2968" s="30"/>
      <c r="F2968" s="22"/>
      <c r="G2968" s="23"/>
      <c r="H2968" s="23"/>
      <c r="I2968" s="23"/>
      <c r="J2968" s="23"/>
      <c r="K2968" s="23"/>
      <c r="L2968" s="23"/>
      <c r="M2968" s="23"/>
      <c r="N2968" s="23"/>
      <c r="O2968" s="23"/>
      <c r="P2968" s="23"/>
      <c r="Q2968" s="23"/>
      <c r="R2968" s="23"/>
      <c r="S2968" s="23"/>
      <c r="T2968" s="23"/>
      <c r="U2968" s="23"/>
    </row>
    <row r="2969">
      <c r="A2969" s="20"/>
      <c r="B2969" s="20"/>
      <c r="C2969" s="30"/>
      <c r="D2969" s="30"/>
      <c r="E2969" s="30"/>
      <c r="F2969" s="22"/>
      <c r="G2969" s="23"/>
      <c r="H2969" s="23"/>
      <c r="I2969" s="23"/>
      <c r="J2969" s="23"/>
      <c r="K2969" s="23"/>
      <c r="L2969" s="23"/>
      <c r="M2969" s="23"/>
      <c r="N2969" s="23"/>
      <c r="O2969" s="23"/>
      <c r="P2969" s="23"/>
      <c r="Q2969" s="23"/>
      <c r="R2969" s="23"/>
      <c r="S2969" s="23"/>
      <c r="T2969" s="23"/>
      <c r="U2969" s="23"/>
    </row>
    <row r="2970">
      <c r="A2970" s="20"/>
      <c r="B2970" s="20"/>
      <c r="C2970" s="30"/>
      <c r="D2970" s="30"/>
      <c r="E2970" s="30"/>
      <c r="F2970" s="22"/>
      <c r="G2970" s="23"/>
      <c r="H2970" s="23"/>
      <c r="I2970" s="23"/>
      <c r="J2970" s="23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</row>
    <row r="2971">
      <c r="A2971" s="20"/>
      <c r="B2971" s="20"/>
      <c r="C2971" s="30"/>
      <c r="D2971" s="30"/>
      <c r="E2971" s="30"/>
      <c r="F2971" s="22"/>
      <c r="G2971" s="23"/>
      <c r="H2971" s="23"/>
      <c r="I2971" s="23"/>
      <c r="J2971" s="23"/>
      <c r="K2971" s="23"/>
      <c r="L2971" s="23"/>
      <c r="M2971" s="23"/>
      <c r="N2971" s="23"/>
      <c r="O2971" s="23"/>
      <c r="P2971" s="23"/>
      <c r="Q2971" s="23"/>
      <c r="R2971" s="23"/>
      <c r="S2971" s="23"/>
      <c r="T2971" s="23"/>
      <c r="U2971" s="23"/>
    </row>
    <row r="2972">
      <c r="A2972" s="20"/>
      <c r="B2972" s="20"/>
      <c r="C2972" s="30"/>
      <c r="D2972" s="30"/>
      <c r="E2972" s="30"/>
      <c r="F2972" s="22"/>
      <c r="G2972" s="23"/>
      <c r="H2972" s="23"/>
      <c r="I2972" s="23"/>
      <c r="J2972" s="23"/>
      <c r="K2972" s="23"/>
      <c r="L2972" s="23"/>
      <c r="M2972" s="23"/>
      <c r="N2972" s="23"/>
      <c r="O2972" s="23"/>
      <c r="P2972" s="23"/>
      <c r="Q2972" s="23"/>
      <c r="R2972" s="23"/>
      <c r="S2972" s="23"/>
      <c r="T2972" s="23"/>
      <c r="U2972" s="23"/>
    </row>
    <row r="2973">
      <c r="A2973" s="20"/>
      <c r="B2973" s="20"/>
      <c r="C2973" s="30"/>
      <c r="D2973" s="30"/>
      <c r="E2973" s="30"/>
      <c r="F2973" s="22"/>
      <c r="G2973" s="23"/>
      <c r="H2973" s="23"/>
      <c r="I2973" s="23"/>
      <c r="J2973" s="23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</row>
    <row r="2974">
      <c r="A2974" s="20"/>
      <c r="B2974" s="20"/>
      <c r="C2974" s="30"/>
      <c r="D2974" s="30"/>
      <c r="E2974" s="30"/>
      <c r="F2974" s="22"/>
      <c r="G2974" s="23"/>
      <c r="H2974" s="23"/>
      <c r="I2974" s="23"/>
      <c r="J2974" s="23"/>
      <c r="K2974" s="23"/>
      <c r="L2974" s="23"/>
      <c r="M2974" s="23"/>
      <c r="N2974" s="23"/>
      <c r="O2974" s="23"/>
      <c r="P2974" s="23"/>
      <c r="Q2974" s="23"/>
      <c r="R2974" s="23"/>
      <c r="S2974" s="23"/>
      <c r="T2974" s="23"/>
      <c r="U2974" s="23"/>
    </row>
    <row r="2975">
      <c r="A2975" s="20"/>
      <c r="B2975" s="20"/>
      <c r="C2975" s="30"/>
      <c r="D2975" s="30"/>
      <c r="E2975" s="30"/>
      <c r="F2975" s="22"/>
      <c r="G2975" s="23"/>
      <c r="H2975" s="23"/>
      <c r="I2975" s="23"/>
      <c r="J2975" s="23"/>
      <c r="K2975" s="23"/>
      <c r="L2975" s="23"/>
      <c r="M2975" s="23"/>
      <c r="N2975" s="23"/>
      <c r="O2975" s="23"/>
      <c r="P2975" s="23"/>
      <c r="Q2975" s="23"/>
      <c r="R2975" s="23"/>
      <c r="S2975" s="23"/>
      <c r="T2975" s="23"/>
      <c r="U2975" s="23"/>
    </row>
    <row r="2976">
      <c r="A2976" s="20"/>
      <c r="B2976" s="20"/>
      <c r="C2976" s="30"/>
      <c r="D2976" s="30"/>
      <c r="E2976" s="30"/>
      <c r="F2976" s="22"/>
      <c r="G2976" s="23"/>
      <c r="H2976" s="23"/>
      <c r="I2976" s="23"/>
      <c r="J2976" s="23"/>
      <c r="K2976" s="23"/>
      <c r="L2976" s="23"/>
      <c r="M2976" s="23"/>
      <c r="N2976" s="23"/>
      <c r="O2976" s="23"/>
      <c r="P2976" s="23"/>
      <c r="Q2976" s="23"/>
      <c r="R2976" s="23"/>
      <c r="S2976" s="23"/>
      <c r="T2976" s="23"/>
      <c r="U2976" s="23"/>
    </row>
    <row r="2977">
      <c r="A2977" s="20"/>
      <c r="B2977" s="20"/>
      <c r="C2977" s="30"/>
      <c r="D2977" s="30"/>
      <c r="E2977" s="30"/>
      <c r="F2977" s="22"/>
      <c r="G2977" s="23"/>
      <c r="H2977" s="23"/>
      <c r="I2977" s="23"/>
      <c r="J2977" s="23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</row>
    <row r="2978">
      <c r="A2978" s="20"/>
      <c r="B2978" s="20"/>
      <c r="C2978" s="30"/>
      <c r="D2978" s="30"/>
      <c r="E2978" s="30"/>
      <c r="F2978" s="22"/>
      <c r="G2978" s="23"/>
      <c r="H2978" s="23"/>
      <c r="I2978" s="23"/>
      <c r="J2978" s="23"/>
      <c r="K2978" s="23"/>
      <c r="L2978" s="23"/>
      <c r="M2978" s="23"/>
      <c r="N2978" s="23"/>
      <c r="O2978" s="23"/>
      <c r="P2978" s="23"/>
      <c r="Q2978" s="23"/>
      <c r="R2978" s="23"/>
      <c r="S2978" s="23"/>
      <c r="T2978" s="23"/>
      <c r="U2978" s="23"/>
    </row>
    <row r="2979">
      <c r="A2979" s="20"/>
      <c r="B2979" s="20"/>
      <c r="C2979" s="30"/>
      <c r="D2979" s="30"/>
      <c r="E2979" s="30"/>
      <c r="F2979" s="22"/>
      <c r="G2979" s="23"/>
      <c r="H2979" s="23"/>
      <c r="I2979" s="23"/>
      <c r="J2979" s="23"/>
      <c r="K2979" s="23"/>
      <c r="L2979" s="23"/>
      <c r="M2979" s="23"/>
      <c r="N2979" s="23"/>
      <c r="O2979" s="23"/>
      <c r="P2979" s="23"/>
      <c r="Q2979" s="23"/>
      <c r="R2979" s="23"/>
      <c r="S2979" s="23"/>
      <c r="T2979" s="23"/>
      <c r="U2979" s="23"/>
    </row>
    <row r="2980">
      <c r="A2980" s="20"/>
      <c r="B2980" s="20"/>
      <c r="C2980" s="30"/>
      <c r="D2980" s="30"/>
      <c r="E2980" s="30"/>
      <c r="F2980" s="22"/>
      <c r="G2980" s="23"/>
      <c r="H2980" s="23"/>
      <c r="I2980" s="23"/>
      <c r="J2980" s="23"/>
      <c r="K2980" s="23"/>
      <c r="L2980" s="23"/>
      <c r="M2980" s="23"/>
      <c r="N2980" s="23"/>
      <c r="O2980" s="23"/>
      <c r="P2980" s="23"/>
      <c r="Q2980" s="23"/>
      <c r="R2980" s="23"/>
      <c r="S2980" s="23"/>
      <c r="T2980" s="23"/>
      <c r="U2980" s="23"/>
    </row>
    <row r="2981">
      <c r="A2981" s="20"/>
      <c r="B2981" s="20"/>
      <c r="C2981" s="30"/>
      <c r="D2981" s="30"/>
      <c r="E2981" s="30"/>
      <c r="F2981" s="22"/>
      <c r="G2981" s="23"/>
      <c r="H2981" s="23"/>
      <c r="I2981" s="23"/>
      <c r="J2981" s="23"/>
      <c r="K2981" s="23"/>
      <c r="L2981" s="23"/>
      <c r="M2981" s="23"/>
      <c r="N2981" s="23"/>
      <c r="O2981" s="23"/>
      <c r="P2981" s="23"/>
      <c r="Q2981" s="23"/>
      <c r="R2981" s="23"/>
      <c r="S2981" s="23"/>
      <c r="T2981" s="23"/>
      <c r="U2981" s="23"/>
    </row>
    <row r="2982">
      <c r="A2982" s="20"/>
      <c r="B2982" s="20"/>
      <c r="C2982" s="30"/>
      <c r="D2982" s="30"/>
      <c r="E2982" s="30"/>
      <c r="F2982" s="22"/>
      <c r="G2982" s="23"/>
      <c r="H2982" s="23"/>
      <c r="I2982" s="23"/>
      <c r="J2982" s="23"/>
      <c r="K2982" s="23"/>
      <c r="L2982" s="23"/>
      <c r="M2982" s="23"/>
      <c r="N2982" s="23"/>
      <c r="O2982" s="23"/>
      <c r="P2982" s="23"/>
      <c r="Q2982" s="23"/>
      <c r="R2982" s="23"/>
      <c r="S2982" s="23"/>
      <c r="T2982" s="23"/>
      <c r="U2982" s="23"/>
    </row>
    <row r="2983">
      <c r="A2983" s="20"/>
      <c r="B2983" s="20"/>
      <c r="C2983" s="30"/>
      <c r="D2983" s="30"/>
      <c r="E2983" s="30"/>
      <c r="F2983" s="22"/>
      <c r="G2983" s="23"/>
      <c r="H2983" s="23"/>
      <c r="I2983" s="23"/>
      <c r="J2983" s="23"/>
      <c r="K2983" s="23"/>
      <c r="L2983" s="23"/>
      <c r="M2983" s="23"/>
      <c r="N2983" s="23"/>
      <c r="O2983" s="23"/>
      <c r="P2983" s="23"/>
      <c r="Q2983" s="23"/>
      <c r="R2983" s="23"/>
      <c r="S2983" s="23"/>
      <c r="T2983" s="23"/>
      <c r="U2983" s="23"/>
    </row>
    <row r="2984">
      <c r="A2984" s="20"/>
      <c r="B2984" s="20"/>
      <c r="C2984" s="30"/>
      <c r="D2984" s="30"/>
      <c r="E2984" s="30"/>
      <c r="F2984" s="22"/>
      <c r="G2984" s="23"/>
      <c r="H2984" s="23"/>
      <c r="I2984" s="23"/>
      <c r="J2984" s="23"/>
      <c r="K2984" s="23"/>
      <c r="L2984" s="23"/>
      <c r="M2984" s="23"/>
      <c r="N2984" s="23"/>
      <c r="O2984" s="23"/>
      <c r="P2984" s="23"/>
      <c r="Q2984" s="23"/>
      <c r="R2984" s="23"/>
      <c r="S2984" s="23"/>
      <c r="T2984" s="23"/>
      <c r="U2984" s="23"/>
    </row>
    <row r="2985">
      <c r="A2985" s="20"/>
      <c r="B2985" s="20"/>
      <c r="C2985" s="30"/>
      <c r="D2985" s="30"/>
      <c r="E2985" s="30"/>
      <c r="F2985" s="22"/>
      <c r="G2985" s="23"/>
      <c r="H2985" s="23"/>
      <c r="I2985" s="23"/>
      <c r="J2985" s="23"/>
      <c r="K2985" s="23"/>
      <c r="L2985" s="23"/>
      <c r="M2985" s="23"/>
      <c r="N2985" s="23"/>
      <c r="O2985" s="23"/>
      <c r="P2985" s="23"/>
      <c r="Q2985" s="23"/>
      <c r="R2985" s="23"/>
      <c r="S2985" s="23"/>
      <c r="T2985" s="23"/>
      <c r="U2985" s="23"/>
    </row>
    <row r="2986">
      <c r="A2986" s="20"/>
      <c r="B2986" s="20"/>
      <c r="C2986" s="30"/>
      <c r="D2986" s="30"/>
      <c r="E2986" s="30"/>
      <c r="F2986" s="22"/>
      <c r="G2986" s="23"/>
      <c r="H2986" s="23"/>
      <c r="I2986" s="23"/>
      <c r="J2986" s="23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</row>
    <row r="2987">
      <c r="A2987" s="20"/>
      <c r="B2987" s="20"/>
      <c r="C2987" s="30"/>
      <c r="D2987" s="30"/>
      <c r="E2987" s="30"/>
      <c r="F2987" s="22"/>
      <c r="G2987" s="23"/>
      <c r="H2987" s="23"/>
      <c r="I2987" s="23"/>
      <c r="J2987" s="23"/>
      <c r="K2987" s="23"/>
      <c r="L2987" s="23"/>
      <c r="M2987" s="23"/>
      <c r="N2987" s="23"/>
      <c r="O2987" s="23"/>
      <c r="P2987" s="23"/>
      <c r="Q2987" s="23"/>
      <c r="R2987" s="23"/>
      <c r="S2987" s="23"/>
      <c r="T2987" s="23"/>
      <c r="U2987" s="23"/>
    </row>
    <row r="2988">
      <c r="A2988" s="20"/>
      <c r="B2988" s="20"/>
      <c r="C2988" s="30"/>
      <c r="D2988" s="30"/>
      <c r="E2988" s="30"/>
      <c r="F2988" s="22"/>
      <c r="G2988" s="23"/>
      <c r="H2988" s="23"/>
      <c r="I2988" s="23"/>
      <c r="J2988" s="23"/>
      <c r="K2988" s="23"/>
      <c r="L2988" s="23"/>
      <c r="M2988" s="23"/>
      <c r="N2988" s="23"/>
      <c r="O2988" s="23"/>
      <c r="P2988" s="23"/>
      <c r="Q2988" s="23"/>
      <c r="R2988" s="23"/>
      <c r="S2988" s="23"/>
      <c r="T2988" s="23"/>
      <c r="U2988" s="23"/>
    </row>
    <row r="2989">
      <c r="A2989" s="20"/>
      <c r="B2989" s="20"/>
      <c r="C2989" s="30"/>
      <c r="D2989" s="30"/>
      <c r="E2989" s="30"/>
      <c r="F2989" s="22"/>
      <c r="G2989" s="23"/>
      <c r="H2989" s="23"/>
      <c r="I2989" s="23"/>
      <c r="J2989" s="23"/>
      <c r="K2989" s="23"/>
      <c r="L2989" s="23"/>
      <c r="M2989" s="23"/>
      <c r="N2989" s="23"/>
      <c r="O2989" s="23"/>
      <c r="P2989" s="23"/>
      <c r="Q2989" s="23"/>
      <c r="R2989" s="23"/>
      <c r="S2989" s="23"/>
      <c r="T2989" s="23"/>
      <c r="U2989" s="23"/>
    </row>
    <row r="2990">
      <c r="A2990" s="20"/>
      <c r="B2990" s="20"/>
      <c r="C2990" s="30"/>
      <c r="D2990" s="30"/>
      <c r="E2990" s="30"/>
      <c r="F2990" s="22"/>
      <c r="G2990" s="23"/>
      <c r="H2990" s="23"/>
      <c r="I2990" s="23"/>
      <c r="J2990" s="23"/>
      <c r="K2990" s="23"/>
      <c r="L2990" s="23"/>
      <c r="M2990" s="23"/>
      <c r="N2990" s="23"/>
      <c r="O2990" s="23"/>
      <c r="P2990" s="23"/>
      <c r="Q2990" s="23"/>
      <c r="R2990" s="23"/>
      <c r="S2990" s="23"/>
      <c r="T2990" s="23"/>
      <c r="U2990" s="23"/>
    </row>
    <row r="2991">
      <c r="A2991" s="20"/>
      <c r="B2991" s="20"/>
      <c r="C2991" s="30"/>
      <c r="D2991" s="30"/>
      <c r="E2991" s="30"/>
      <c r="F2991" s="22"/>
      <c r="G2991" s="23"/>
      <c r="H2991" s="23"/>
      <c r="I2991" s="23"/>
      <c r="J2991" s="23"/>
      <c r="K2991" s="23"/>
      <c r="L2991" s="23"/>
      <c r="M2991" s="23"/>
      <c r="N2991" s="23"/>
      <c r="O2991" s="23"/>
      <c r="P2991" s="23"/>
      <c r="Q2991" s="23"/>
      <c r="R2991" s="23"/>
      <c r="S2991" s="23"/>
      <c r="T2991" s="23"/>
      <c r="U2991" s="23"/>
    </row>
    <row r="2992">
      <c r="A2992" s="20"/>
      <c r="B2992" s="20"/>
      <c r="C2992" s="30"/>
      <c r="D2992" s="30"/>
      <c r="E2992" s="30"/>
      <c r="F2992" s="22"/>
      <c r="G2992" s="23"/>
      <c r="H2992" s="23"/>
      <c r="I2992" s="23"/>
      <c r="J2992" s="23"/>
      <c r="K2992" s="23"/>
      <c r="L2992" s="23"/>
      <c r="M2992" s="23"/>
      <c r="N2992" s="23"/>
      <c r="O2992" s="23"/>
      <c r="P2992" s="23"/>
      <c r="Q2992" s="23"/>
      <c r="R2992" s="23"/>
      <c r="S2992" s="23"/>
      <c r="T2992" s="23"/>
      <c r="U2992" s="23"/>
    </row>
    <row r="2993">
      <c r="A2993" s="20"/>
      <c r="B2993" s="20"/>
      <c r="C2993" s="30"/>
      <c r="D2993" s="30"/>
      <c r="E2993" s="30"/>
      <c r="F2993" s="22"/>
      <c r="G2993" s="23"/>
      <c r="H2993" s="23"/>
      <c r="I2993" s="23"/>
      <c r="J2993" s="23"/>
      <c r="K2993" s="23"/>
      <c r="L2993" s="23"/>
      <c r="M2993" s="23"/>
      <c r="N2993" s="23"/>
      <c r="O2993" s="23"/>
      <c r="P2993" s="23"/>
      <c r="Q2993" s="23"/>
      <c r="R2993" s="23"/>
      <c r="S2993" s="23"/>
      <c r="T2993" s="23"/>
      <c r="U2993" s="23"/>
    </row>
    <row r="2994">
      <c r="A2994" s="20"/>
      <c r="B2994" s="20"/>
      <c r="C2994" s="30"/>
      <c r="D2994" s="30"/>
      <c r="E2994" s="30"/>
      <c r="F2994" s="22"/>
      <c r="G2994" s="23"/>
      <c r="H2994" s="23"/>
      <c r="I2994" s="23"/>
      <c r="J2994" s="23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</row>
    <row r="2995">
      <c r="A2995" s="20"/>
      <c r="B2995" s="20"/>
      <c r="C2995" s="30"/>
      <c r="D2995" s="30"/>
      <c r="E2995" s="30"/>
      <c r="F2995" s="22"/>
      <c r="G2995" s="23"/>
      <c r="H2995" s="23"/>
      <c r="I2995" s="23"/>
      <c r="J2995" s="23"/>
      <c r="K2995" s="23"/>
      <c r="L2995" s="23"/>
      <c r="M2995" s="23"/>
      <c r="N2995" s="23"/>
      <c r="O2995" s="23"/>
      <c r="P2995" s="23"/>
      <c r="Q2995" s="23"/>
      <c r="R2995" s="23"/>
      <c r="S2995" s="23"/>
      <c r="T2995" s="23"/>
      <c r="U2995" s="23"/>
    </row>
    <row r="2996">
      <c r="A2996" s="20"/>
      <c r="B2996" s="20"/>
      <c r="C2996" s="30"/>
      <c r="D2996" s="30"/>
      <c r="E2996" s="30"/>
      <c r="F2996" s="22"/>
      <c r="G2996" s="23"/>
      <c r="H2996" s="23"/>
      <c r="I2996" s="23"/>
      <c r="J2996" s="23"/>
      <c r="K2996" s="23"/>
      <c r="L2996" s="23"/>
      <c r="M2996" s="23"/>
      <c r="N2996" s="23"/>
      <c r="O2996" s="23"/>
      <c r="P2996" s="23"/>
      <c r="Q2996" s="23"/>
      <c r="R2996" s="23"/>
      <c r="S2996" s="23"/>
      <c r="T2996" s="23"/>
      <c r="U2996" s="23"/>
    </row>
    <row r="2997">
      <c r="A2997" s="20"/>
      <c r="B2997" s="20"/>
      <c r="C2997" s="30"/>
      <c r="D2997" s="30"/>
      <c r="E2997" s="30"/>
      <c r="F2997" s="22"/>
      <c r="G2997" s="23"/>
      <c r="H2997" s="23"/>
      <c r="I2997" s="23"/>
      <c r="J2997" s="23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</row>
    <row r="2998">
      <c r="A2998" s="20"/>
      <c r="B2998" s="20"/>
      <c r="C2998" s="30"/>
      <c r="D2998" s="30"/>
      <c r="E2998" s="30"/>
      <c r="F2998" s="22"/>
      <c r="G2998" s="23"/>
      <c r="H2998" s="23"/>
      <c r="I2998" s="23"/>
      <c r="J2998" s="23"/>
      <c r="K2998" s="23"/>
      <c r="L2998" s="23"/>
      <c r="M2998" s="23"/>
      <c r="N2998" s="23"/>
      <c r="O2998" s="23"/>
      <c r="P2998" s="23"/>
      <c r="Q2998" s="23"/>
      <c r="R2998" s="23"/>
      <c r="S2998" s="23"/>
      <c r="T2998" s="23"/>
      <c r="U2998" s="23"/>
    </row>
    <row r="2999">
      <c r="A2999" s="20"/>
      <c r="B2999" s="20"/>
      <c r="C2999" s="30"/>
      <c r="D2999" s="30"/>
      <c r="E2999" s="30"/>
      <c r="F2999" s="22"/>
      <c r="G2999" s="23"/>
      <c r="H2999" s="23"/>
      <c r="I2999" s="23"/>
      <c r="J2999" s="23"/>
      <c r="K2999" s="23"/>
      <c r="L2999" s="23"/>
      <c r="M2999" s="23"/>
      <c r="N2999" s="23"/>
      <c r="O2999" s="23"/>
      <c r="P2999" s="23"/>
      <c r="Q2999" s="23"/>
      <c r="R2999" s="23"/>
      <c r="S2999" s="23"/>
      <c r="T2999" s="23"/>
      <c r="U2999" s="23"/>
    </row>
    <row r="3000">
      <c r="A3000" s="20"/>
      <c r="B3000" s="20"/>
      <c r="C3000" s="30"/>
      <c r="D3000" s="30"/>
      <c r="E3000" s="30"/>
      <c r="F3000" s="22"/>
      <c r="G3000" s="23"/>
      <c r="H3000" s="23"/>
      <c r="I3000" s="23"/>
      <c r="J3000" s="23"/>
      <c r="K3000" s="23"/>
      <c r="L3000" s="23"/>
      <c r="M3000" s="23"/>
      <c r="N3000" s="23"/>
      <c r="O3000" s="23"/>
      <c r="P3000" s="23"/>
      <c r="Q3000" s="23"/>
      <c r="R3000" s="23"/>
      <c r="S3000" s="23"/>
      <c r="T3000" s="23"/>
      <c r="U3000" s="23"/>
    </row>
    <row r="3001">
      <c r="A3001" s="20"/>
      <c r="B3001" s="20"/>
      <c r="C3001" s="30"/>
      <c r="D3001" s="30"/>
      <c r="E3001" s="30"/>
      <c r="F3001" s="22"/>
      <c r="G3001" s="23"/>
      <c r="H3001" s="23"/>
      <c r="I3001" s="23"/>
      <c r="J3001" s="23"/>
      <c r="K3001" s="23"/>
      <c r="L3001" s="23"/>
      <c r="M3001" s="23"/>
      <c r="N3001" s="23"/>
      <c r="O3001" s="23"/>
      <c r="P3001" s="23"/>
      <c r="Q3001" s="23"/>
      <c r="R3001" s="23"/>
      <c r="S3001" s="23"/>
      <c r="T3001" s="23"/>
      <c r="U3001" s="23"/>
    </row>
    <row r="3002">
      <c r="A3002" s="20"/>
      <c r="B3002" s="20"/>
      <c r="C3002" s="30"/>
      <c r="D3002" s="30"/>
      <c r="E3002" s="30"/>
      <c r="F3002" s="22"/>
      <c r="G3002" s="23"/>
      <c r="H3002" s="23"/>
      <c r="I3002" s="23"/>
      <c r="J3002" s="23"/>
      <c r="K3002" s="23"/>
      <c r="L3002" s="23"/>
      <c r="M3002" s="23"/>
      <c r="N3002" s="23"/>
      <c r="O3002" s="23"/>
      <c r="P3002" s="23"/>
      <c r="Q3002" s="23"/>
      <c r="R3002" s="23"/>
      <c r="S3002" s="23"/>
      <c r="T3002" s="23"/>
      <c r="U3002" s="23"/>
    </row>
    <row r="3003">
      <c r="A3003" s="20"/>
      <c r="B3003" s="20"/>
      <c r="C3003" s="30"/>
      <c r="D3003" s="30"/>
      <c r="E3003" s="30"/>
      <c r="F3003" s="22"/>
      <c r="G3003" s="23"/>
      <c r="H3003" s="23"/>
      <c r="I3003" s="23"/>
      <c r="J3003" s="23"/>
      <c r="K3003" s="23"/>
      <c r="L3003" s="23"/>
      <c r="M3003" s="23"/>
      <c r="N3003" s="23"/>
      <c r="O3003" s="23"/>
      <c r="P3003" s="23"/>
      <c r="Q3003" s="23"/>
      <c r="R3003" s="23"/>
      <c r="S3003" s="23"/>
      <c r="T3003" s="23"/>
      <c r="U3003" s="23"/>
    </row>
    <row r="3004">
      <c r="A3004" s="20"/>
      <c r="B3004" s="20"/>
      <c r="C3004" s="30"/>
      <c r="D3004" s="30"/>
      <c r="E3004" s="30"/>
      <c r="F3004" s="22"/>
      <c r="G3004" s="23"/>
      <c r="H3004" s="23"/>
      <c r="I3004" s="23"/>
      <c r="J3004" s="23"/>
      <c r="K3004" s="23"/>
      <c r="L3004" s="23"/>
      <c r="M3004" s="23"/>
      <c r="N3004" s="23"/>
      <c r="O3004" s="23"/>
      <c r="P3004" s="23"/>
      <c r="Q3004" s="23"/>
      <c r="R3004" s="23"/>
      <c r="S3004" s="23"/>
      <c r="T3004" s="23"/>
      <c r="U3004" s="23"/>
    </row>
    <row r="3005">
      <c r="A3005" s="20"/>
      <c r="B3005" s="20"/>
      <c r="C3005" s="30"/>
      <c r="D3005" s="30"/>
      <c r="E3005" s="30"/>
      <c r="F3005" s="22"/>
      <c r="G3005" s="23"/>
      <c r="H3005" s="23"/>
      <c r="I3005" s="23"/>
      <c r="J3005" s="23"/>
      <c r="K3005" s="23"/>
      <c r="L3005" s="23"/>
      <c r="M3005" s="23"/>
      <c r="N3005" s="23"/>
      <c r="O3005" s="23"/>
      <c r="P3005" s="23"/>
      <c r="Q3005" s="23"/>
      <c r="R3005" s="23"/>
      <c r="S3005" s="23"/>
      <c r="T3005" s="23"/>
      <c r="U3005" s="23"/>
    </row>
    <row r="3006">
      <c r="A3006" s="20"/>
      <c r="B3006" s="20"/>
      <c r="C3006" s="30"/>
      <c r="D3006" s="30"/>
      <c r="E3006" s="30"/>
      <c r="F3006" s="22"/>
      <c r="G3006" s="23"/>
      <c r="H3006" s="23"/>
      <c r="I3006" s="23"/>
      <c r="J3006" s="23"/>
      <c r="K3006" s="23"/>
      <c r="L3006" s="23"/>
      <c r="M3006" s="23"/>
      <c r="N3006" s="23"/>
      <c r="O3006" s="23"/>
      <c r="P3006" s="23"/>
      <c r="Q3006" s="23"/>
      <c r="R3006" s="23"/>
      <c r="S3006" s="23"/>
      <c r="T3006" s="23"/>
      <c r="U3006" s="23"/>
    </row>
    <row r="3007">
      <c r="A3007" s="20"/>
      <c r="B3007" s="20"/>
      <c r="C3007" s="30"/>
      <c r="D3007" s="30"/>
      <c r="E3007" s="30"/>
      <c r="F3007" s="22"/>
      <c r="G3007" s="23"/>
      <c r="H3007" s="23"/>
      <c r="I3007" s="23"/>
      <c r="J3007" s="23"/>
      <c r="K3007" s="23"/>
      <c r="L3007" s="23"/>
      <c r="M3007" s="23"/>
      <c r="N3007" s="23"/>
      <c r="O3007" s="23"/>
      <c r="P3007" s="23"/>
      <c r="Q3007" s="23"/>
      <c r="R3007" s="23"/>
      <c r="S3007" s="23"/>
      <c r="T3007" s="23"/>
      <c r="U3007" s="23"/>
    </row>
    <row r="3008">
      <c r="A3008" s="20"/>
      <c r="B3008" s="20"/>
      <c r="C3008" s="30"/>
      <c r="D3008" s="30"/>
      <c r="E3008" s="30"/>
      <c r="F3008" s="22"/>
      <c r="G3008" s="23"/>
      <c r="H3008" s="23"/>
      <c r="I3008" s="23"/>
      <c r="J3008" s="23"/>
      <c r="K3008" s="23"/>
      <c r="L3008" s="23"/>
      <c r="M3008" s="23"/>
      <c r="N3008" s="23"/>
      <c r="O3008" s="23"/>
      <c r="P3008" s="23"/>
      <c r="Q3008" s="23"/>
      <c r="R3008" s="23"/>
      <c r="S3008" s="23"/>
      <c r="T3008" s="23"/>
      <c r="U3008" s="23"/>
    </row>
    <row r="3009">
      <c r="A3009" s="20"/>
      <c r="B3009" s="20"/>
      <c r="C3009" s="30"/>
      <c r="D3009" s="30"/>
      <c r="E3009" s="30"/>
      <c r="F3009" s="22"/>
      <c r="G3009" s="23"/>
      <c r="H3009" s="23"/>
      <c r="I3009" s="23"/>
      <c r="J3009" s="23"/>
      <c r="K3009" s="23"/>
      <c r="L3009" s="23"/>
      <c r="M3009" s="23"/>
      <c r="N3009" s="23"/>
      <c r="O3009" s="23"/>
      <c r="P3009" s="23"/>
      <c r="Q3009" s="23"/>
      <c r="R3009" s="23"/>
      <c r="S3009" s="23"/>
      <c r="T3009" s="23"/>
      <c r="U3009" s="23"/>
    </row>
    <row r="3010">
      <c r="A3010" s="20"/>
      <c r="B3010" s="20"/>
      <c r="C3010" s="30"/>
      <c r="D3010" s="30"/>
      <c r="E3010" s="30"/>
      <c r="F3010" s="22"/>
      <c r="G3010" s="23"/>
      <c r="H3010" s="23"/>
      <c r="I3010" s="23"/>
      <c r="J3010" s="23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</row>
    <row r="3011">
      <c r="A3011" s="20"/>
      <c r="B3011" s="20"/>
      <c r="C3011" s="30"/>
      <c r="D3011" s="30"/>
      <c r="E3011" s="30"/>
      <c r="F3011" s="22"/>
      <c r="G3011" s="23"/>
      <c r="H3011" s="23"/>
      <c r="I3011" s="23"/>
      <c r="J3011" s="23"/>
      <c r="K3011" s="23"/>
      <c r="L3011" s="23"/>
      <c r="M3011" s="23"/>
      <c r="N3011" s="23"/>
      <c r="O3011" s="23"/>
      <c r="P3011" s="23"/>
      <c r="Q3011" s="23"/>
      <c r="R3011" s="23"/>
      <c r="S3011" s="23"/>
      <c r="T3011" s="23"/>
      <c r="U3011" s="23"/>
    </row>
    <row r="3012">
      <c r="A3012" s="20"/>
      <c r="B3012" s="20"/>
      <c r="C3012" s="30"/>
      <c r="D3012" s="30"/>
      <c r="E3012" s="30"/>
      <c r="F3012" s="22"/>
      <c r="G3012" s="23"/>
      <c r="H3012" s="23"/>
      <c r="I3012" s="23"/>
      <c r="J3012" s="23"/>
      <c r="K3012" s="23"/>
      <c r="L3012" s="23"/>
      <c r="M3012" s="23"/>
      <c r="N3012" s="23"/>
      <c r="O3012" s="23"/>
      <c r="P3012" s="23"/>
      <c r="Q3012" s="23"/>
      <c r="R3012" s="23"/>
      <c r="S3012" s="23"/>
      <c r="T3012" s="23"/>
      <c r="U3012" s="23"/>
    </row>
    <row r="3013">
      <c r="A3013" s="20"/>
      <c r="B3013" s="20"/>
      <c r="C3013" s="30"/>
      <c r="D3013" s="30"/>
      <c r="E3013" s="30"/>
      <c r="F3013" s="22"/>
      <c r="G3013" s="23"/>
      <c r="H3013" s="23"/>
      <c r="I3013" s="23"/>
      <c r="J3013" s="23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</row>
    <row r="3014">
      <c r="A3014" s="20"/>
      <c r="B3014" s="20"/>
      <c r="C3014" s="30"/>
      <c r="D3014" s="30"/>
      <c r="E3014" s="30"/>
      <c r="F3014" s="22"/>
      <c r="G3014" s="23"/>
      <c r="H3014" s="23"/>
      <c r="I3014" s="23"/>
      <c r="J3014" s="23"/>
      <c r="K3014" s="23"/>
      <c r="L3014" s="23"/>
      <c r="M3014" s="23"/>
      <c r="N3014" s="23"/>
      <c r="O3014" s="23"/>
      <c r="P3014" s="23"/>
      <c r="Q3014" s="23"/>
      <c r="R3014" s="23"/>
      <c r="S3014" s="23"/>
      <c r="T3014" s="23"/>
      <c r="U3014" s="23"/>
    </row>
    <row r="3015">
      <c r="A3015" s="20"/>
      <c r="B3015" s="20"/>
      <c r="C3015" s="30"/>
      <c r="D3015" s="30"/>
      <c r="E3015" s="30"/>
      <c r="F3015" s="22"/>
      <c r="G3015" s="23"/>
      <c r="H3015" s="23"/>
      <c r="I3015" s="23"/>
      <c r="J3015" s="23"/>
      <c r="K3015" s="23"/>
      <c r="L3015" s="23"/>
      <c r="M3015" s="23"/>
      <c r="N3015" s="23"/>
      <c r="O3015" s="23"/>
      <c r="P3015" s="23"/>
      <c r="Q3015" s="23"/>
      <c r="R3015" s="23"/>
      <c r="S3015" s="23"/>
      <c r="T3015" s="23"/>
      <c r="U3015" s="23"/>
    </row>
    <row r="3016">
      <c r="A3016" s="20"/>
      <c r="B3016" s="20"/>
      <c r="C3016" s="30"/>
      <c r="D3016" s="30"/>
      <c r="E3016" s="30"/>
      <c r="F3016" s="22"/>
      <c r="G3016" s="23"/>
      <c r="H3016" s="23"/>
      <c r="I3016" s="23"/>
      <c r="J3016" s="23"/>
      <c r="K3016" s="23"/>
      <c r="L3016" s="23"/>
      <c r="M3016" s="23"/>
      <c r="N3016" s="23"/>
      <c r="O3016" s="23"/>
      <c r="P3016" s="23"/>
      <c r="Q3016" s="23"/>
      <c r="R3016" s="23"/>
      <c r="S3016" s="23"/>
      <c r="T3016" s="23"/>
      <c r="U3016" s="23"/>
    </row>
    <row r="3017">
      <c r="A3017" s="20"/>
      <c r="B3017" s="20"/>
      <c r="C3017" s="30"/>
      <c r="D3017" s="30"/>
      <c r="E3017" s="30"/>
      <c r="F3017" s="22"/>
      <c r="G3017" s="23"/>
      <c r="H3017" s="23"/>
      <c r="I3017" s="23"/>
      <c r="J3017" s="23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</row>
    <row r="3018">
      <c r="A3018" s="20"/>
      <c r="B3018" s="20"/>
      <c r="C3018" s="30"/>
      <c r="D3018" s="30"/>
      <c r="E3018" s="30"/>
      <c r="F3018" s="22"/>
      <c r="G3018" s="23"/>
      <c r="H3018" s="23"/>
      <c r="I3018" s="23"/>
      <c r="J3018" s="23"/>
      <c r="K3018" s="23"/>
      <c r="L3018" s="23"/>
      <c r="M3018" s="23"/>
      <c r="N3018" s="23"/>
      <c r="O3018" s="23"/>
      <c r="P3018" s="23"/>
      <c r="Q3018" s="23"/>
      <c r="R3018" s="23"/>
      <c r="S3018" s="23"/>
      <c r="T3018" s="23"/>
      <c r="U3018" s="23"/>
    </row>
    <row r="3019">
      <c r="A3019" s="20"/>
      <c r="B3019" s="20"/>
      <c r="C3019" s="30"/>
      <c r="D3019" s="30"/>
      <c r="E3019" s="30"/>
      <c r="F3019" s="22"/>
      <c r="G3019" s="23"/>
      <c r="H3019" s="23"/>
      <c r="I3019" s="23"/>
      <c r="J3019" s="23"/>
      <c r="K3019" s="23"/>
      <c r="L3019" s="23"/>
      <c r="M3019" s="23"/>
      <c r="N3019" s="23"/>
      <c r="O3019" s="23"/>
      <c r="P3019" s="23"/>
      <c r="Q3019" s="23"/>
      <c r="R3019" s="23"/>
      <c r="S3019" s="23"/>
      <c r="T3019" s="23"/>
      <c r="U3019" s="23"/>
    </row>
    <row r="3020">
      <c r="A3020" s="20"/>
      <c r="B3020" s="20"/>
      <c r="C3020" s="30"/>
      <c r="D3020" s="30"/>
      <c r="E3020" s="30"/>
      <c r="F3020" s="22"/>
      <c r="G3020" s="23"/>
      <c r="H3020" s="23"/>
      <c r="I3020" s="23"/>
      <c r="J3020" s="23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</row>
    <row r="3021">
      <c r="A3021" s="20"/>
      <c r="B3021" s="20"/>
      <c r="C3021" s="30"/>
      <c r="D3021" s="30"/>
      <c r="E3021" s="30"/>
      <c r="F3021" s="22"/>
      <c r="G3021" s="23"/>
      <c r="H3021" s="23"/>
      <c r="I3021" s="23"/>
      <c r="J3021" s="23"/>
      <c r="K3021" s="23"/>
      <c r="L3021" s="23"/>
      <c r="M3021" s="23"/>
      <c r="N3021" s="23"/>
      <c r="O3021" s="23"/>
      <c r="P3021" s="23"/>
      <c r="Q3021" s="23"/>
      <c r="R3021" s="23"/>
      <c r="S3021" s="23"/>
      <c r="T3021" s="23"/>
      <c r="U3021" s="23"/>
    </row>
    <row r="3022">
      <c r="A3022" s="20"/>
      <c r="B3022" s="20"/>
      <c r="C3022" s="30"/>
      <c r="D3022" s="30"/>
      <c r="E3022" s="30"/>
      <c r="F3022" s="22"/>
      <c r="G3022" s="23"/>
      <c r="H3022" s="23"/>
      <c r="I3022" s="23"/>
      <c r="J3022" s="23"/>
      <c r="K3022" s="23"/>
      <c r="L3022" s="23"/>
      <c r="M3022" s="23"/>
      <c r="N3022" s="23"/>
      <c r="O3022" s="23"/>
      <c r="P3022" s="23"/>
      <c r="Q3022" s="23"/>
      <c r="R3022" s="23"/>
      <c r="S3022" s="23"/>
      <c r="T3022" s="23"/>
      <c r="U3022" s="23"/>
    </row>
    <row r="3023">
      <c r="A3023" s="20"/>
      <c r="B3023" s="20"/>
      <c r="C3023" s="30"/>
      <c r="D3023" s="30"/>
      <c r="E3023" s="30"/>
      <c r="F3023" s="22"/>
      <c r="G3023" s="23"/>
      <c r="H3023" s="23"/>
      <c r="I3023" s="23"/>
      <c r="J3023" s="23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</row>
    <row r="3024">
      <c r="A3024" s="20"/>
      <c r="B3024" s="20"/>
      <c r="C3024" s="30"/>
      <c r="D3024" s="30"/>
      <c r="E3024" s="30"/>
      <c r="F3024" s="22"/>
      <c r="G3024" s="23"/>
      <c r="H3024" s="23"/>
      <c r="I3024" s="23"/>
      <c r="J3024" s="23"/>
      <c r="K3024" s="23"/>
      <c r="L3024" s="23"/>
      <c r="M3024" s="23"/>
      <c r="N3024" s="23"/>
      <c r="O3024" s="23"/>
      <c r="P3024" s="23"/>
      <c r="Q3024" s="23"/>
      <c r="R3024" s="23"/>
      <c r="S3024" s="23"/>
      <c r="T3024" s="23"/>
      <c r="U3024" s="23"/>
    </row>
    <row r="3025">
      <c r="A3025" s="20"/>
      <c r="B3025" s="20"/>
      <c r="C3025" s="30"/>
      <c r="D3025" s="30"/>
      <c r="E3025" s="30"/>
      <c r="F3025" s="22"/>
      <c r="G3025" s="23"/>
      <c r="H3025" s="23"/>
      <c r="I3025" s="23"/>
      <c r="J3025" s="23"/>
      <c r="K3025" s="23"/>
      <c r="L3025" s="23"/>
      <c r="M3025" s="23"/>
      <c r="N3025" s="23"/>
      <c r="O3025" s="23"/>
      <c r="P3025" s="23"/>
      <c r="Q3025" s="23"/>
      <c r="R3025" s="23"/>
      <c r="S3025" s="23"/>
      <c r="T3025" s="23"/>
      <c r="U3025" s="23"/>
    </row>
    <row r="3026">
      <c r="A3026" s="20"/>
      <c r="B3026" s="20"/>
      <c r="C3026" s="30"/>
      <c r="D3026" s="30"/>
      <c r="E3026" s="30"/>
      <c r="F3026" s="22"/>
      <c r="G3026" s="23"/>
      <c r="H3026" s="23"/>
      <c r="I3026" s="23"/>
      <c r="J3026" s="23"/>
      <c r="K3026" s="23"/>
      <c r="L3026" s="23"/>
      <c r="M3026" s="23"/>
      <c r="N3026" s="23"/>
      <c r="O3026" s="23"/>
      <c r="P3026" s="23"/>
      <c r="Q3026" s="23"/>
      <c r="R3026" s="23"/>
      <c r="S3026" s="23"/>
      <c r="T3026" s="23"/>
      <c r="U3026" s="23"/>
    </row>
    <row r="3027">
      <c r="A3027" s="20"/>
      <c r="B3027" s="20"/>
      <c r="C3027" s="30"/>
      <c r="D3027" s="30"/>
      <c r="E3027" s="30"/>
      <c r="F3027" s="22"/>
      <c r="G3027" s="23"/>
      <c r="H3027" s="23"/>
      <c r="I3027" s="23"/>
      <c r="J3027" s="23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</row>
    <row r="3028">
      <c r="A3028" s="20"/>
      <c r="B3028" s="20"/>
      <c r="C3028" s="30"/>
      <c r="D3028" s="30"/>
      <c r="E3028" s="30"/>
      <c r="F3028" s="22"/>
      <c r="G3028" s="23"/>
      <c r="H3028" s="23"/>
      <c r="I3028" s="23"/>
      <c r="J3028" s="23"/>
      <c r="K3028" s="23"/>
      <c r="L3028" s="23"/>
      <c r="M3028" s="23"/>
      <c r="N3028" s="23"/>
      <c r="O3028" s="23"/>
      <c r="P3028" s="23"/>
      <c r="Q3028" s="23"/>
      <c r="R3028" s="23"/>
      <c r="S3028" s="23"/>
      <c r="T3028" s="23"/>
      <c r="U3028" s="23"/>
    </row>
    <row r="3029">
      <c r="A3029" s="20"/>
      <c r="B3029" s="20"/>
      <c r="C3029" s="30"/>
      <c r="D3029" s="30"/>
      <c r="E3029" s="30"/>
      <c r="F3029" s="22"/>
      <c r="G3029" s="23"/>
      <c r="H3029" s="23"/>
      <c r="I3029" s="23"/>
      <c r="J3029" s="23"/>
      <c r="K3029" s="23"/>
      <c r="L3029" s="23"/>
      <c r="M3029" s="23"/>
      <c r="N3029" s="23"/>
      <c r="O3029" s="23"/>
      <c r="P3029" s="23"/>
      <c r="Q3029" s="23"/>
      <c r="R3029" s="23"/>
      <c r="S3029" s="23"/>
      <c r="T3029" s="23"/>
      <c r="U3029" s="23"/>
    </row>
    <row r="3030">
      <c r="A3030" s="20"/>
      <c r="B3030" s="20"/>
      <c r="C3030" s="30"/>
      <c r="D3030" s="30"/>
      <c r="E3030" s="30"/>
      <c r="F3030" s="22"/>
      <c r="G3030" s="23"/>
      <c r="H3030" s="23"/>
      <c r="I3030" s="23"/>
      <c r="J3030" s="23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</row>
    <row r="3031">
      <c r="A3031" s="20"/>
      <c r="B3031" s="20"/>
      <c r="C3031" s="30"/>
      <c r="D3031" s="30"/>
      <c r="E3031" s="30"/>
      <c r="F3031" s="22"/>
      <c r="G3031" s="23"/>
      <c r="H3031" s="23"/>
      <c r="I3031" s="23"/>
      <c r="J3031" s="23"/>
      <c r="K3031" s="23"/>
      <c r="L3031" s="23"/>
      <c r="M3031" s="23"/>
      <c r="N3031" s="23"/>
      <c r="O3031" s="23"/>
      <c r="P3031" s="23"/>
      <c r="Q3031" s="23"/>
      <c r="R3031" s="23"/>
      <c r="S3031" s="23"/>
      <c r="T3031" s="23"/>
      <c r="U3031" s="23"/>
    </row>
    <row r="3032">
      <c r="A3032" s="20"/>
      <c r="B3032" s="20"/>
      <c r="C3032" s="30"/>
      <c r="D3032" s="30"/>
      <c r="E3032" s="30"/>
      <c r="F3032" s="22"/>
      <c r="G3032" s="23"/>
      <c r="H3032" s="23"/>
      <c r="I3032" s="23"/>
      <c r="J3032" s="23"/>
      <c r="K3032" s="23"/>
      <c r="L3032" s="23"/>
      <c r="M3032" s="23"/>
      <c r="N3032" s="23"/>
      <c r="O3032" s="23"/>
      <c r="P3032" s="23"/>
      <c r="Q3032" s="23"/>
      <c r="R3032" s="23"/>
      <c r="S3032" s="23"/>
      <c r="T3032" s="23"/>
      <c r="U3032" s="23"/>
    </row>
    <row r="3033">
      <c r="A3033" s="20"/>
      <c r="B3033" s="20"/>
      <c r="C3033" s="30"/>
      <c r="D3033" s="30"/>
      <c r="E3033" s="30"/>
      <c r="F3033" s="22"/>
      <c r="G3033" s="23"/>
      <c r="H3033" s="23"/>
      <c r="I3033" s="23"/>
      <c r="J3033" s="23"/>
      <c r="K3033" s="23"/>
      <c r="L3033" s="23"/>
      <c r="M3033" s="23"/>
      <c r="N3033" s="23"/>
      <c r="O3033" s="23"/>
      <c r="P3033" s="23"/>
      <c r="Q3033" s="23"/>
      <c r="R3033" s="23"/>
      <c r="S3033" s="23"/>
      <c r="T3033" s="23"/>
      <c r="U3033" s="23"/>
    </row>
    <row r="3034">
      <c r="A3034" s="20"/>
      <c r="B3034" s="20"/>
      <c r="C3034" s="30"/>
      <c r="D3034" s="30"/>
      <c r="E3034" s="30"/>
      <c r="F3034" s="22"/>
      <c r="G3034" s="23"/>
      <c r="H3034" s="23"/>
      <c r="I3034" s="23"/>
      <c r="J3034" s="23"/>
      <c r="K3034" s="23"/>
      <c r="L3034" s="23"/>
      <c r="M3034" s="23"/>
      <c r="N3034" s="23"/>
      <c r="O3034" s="23"/>
      <c r="P3034" s="23"/>
      <c r="Q3034" s="23"/>
      <c r="R3034" s="23"/>
      <c r="S3034" s="23"/>
      <c r="T3034" s="23"/>
      <c r="U3034" s="23"/>
    </row>
    <row r="3035">
      <c r="A3035" s="20"/>
      <c r="B3035" s="20"/>
      <c r="C3035" s="30"/>
      <c r="D3035" s="30"/>
      <c r="E3035" s="30"/>
      <c r="F3035" s="22"/>
      <c r="G3035" s="23"/>
      <c r="H3035" s="23"/>
      <c r="I3035" s="23"/>
      <c r="J3035" s="23"/>
      <c r="K3035" s="23"/>
      <c r="L3035" s="23"/>
      <c r="M3035" s="23"/>
      <c r="N3035" s="23"/>
      <c r="O3035" s="23"/>
      <c r="P3035" s="23"/>
      <c r="Q3035" s="23"/>
      <c r="R3035" s="23"/>
      <c r="S3035" s="23"/>
      <c r="T3035" s="23"/>
      <c r="U3035" s="23"/>
    </row>
    <row r="3036">
      <c r="A3036" s="20"/>
      <c r="B3036" s="20"/>
      <c r="C3036" s="30"/>
      <c r="D3036" s="30"/>
      <c r="E3036" s="30"/>
      <c r="F3036" s="22"/>
      <c r="G3036" s="23"/>
      <c r="H3036" s="23"/>
      <c r="I3036" s="23"/>
      <c r="J3036" s="23"/>
      <c r="K3036" s="23"/>
      <c r="L3036" s="23"/>
      <c r="M3036" s="23"/>
      <c r="N3036" s="23"/>
      <c r="O3036" s="23"/>
      <c r="P3036" s="23"/>
      <c r="Q3036" s="23"/>
      <c r="R3036" s="23"/>
      <c r="S3036" s="23"/>
      <c r="T3036" s="23"/>
      <c r="U3036" s="23"/>
    </row>
    <row r="3037">
      <c r="A3037" s="20"/>
      <c r="B3037" s="20"/>
      <c r="C3037" s="30"/>
      <c r="D3037" s="30"/>
      <c r="E3037" s="30"/>
      <c r="F3037" s="22"/>
      <c r="G3037" s="23"/>
      <c r="H3037" s="23"/>
      <c r="I3037" s="23"/>
      <c r="J3037" s="23"/>
      <c r="K3037" s="23"/>
      <c r="L3037" s="23"/>
      <c r="M3037" s="23"/>
      <c r="N3037" s="23"/>
      <c r="O3037" s="23"/>
      <c r="P3037" s="23"/>
      <c r="Q3037" s="23"/>
      <c r="R3037" s="23"/>
      <c r="S3037" s="23"/>
      <c r="T3037" s="23"/>
      <c r="U3037" s="23"/>
    </row>
    <row r="3038">
      <c r="A3038" s="20"/>
      <c r="B3038" s="20"/>
      <c r="C3038" s="30"/>
      <c r="D3038" s="30"/>
      <c r="E3038" s="30"/>
      <c r="F3038" s="22"/>
      <c r="G3038" s="23"/>
      <c r="H3038" s="23"/>
      <c r="I3038" s="23"/>
      <c r="J3038" s="23"/>
      <c r="K3038" s="23"/>
      <c r="L3038" s="23"/>
      <c r="M3038" s="23"/>
      <c r="N3038" s="23"/>
      <c r="O3038" s="23"/>
      <c r="P3038" s="23"/>
      <c r="Q3038" s="23"/>
      <c r="R3038" s="23"/>
      <c r="S3038" s="23"/>
      <c r="T3038" s="23"/>
      <c r="U3038" s="23"/>
    </row>
    <row r="3039">
      <c r="A3039" s="20"/>
      <c r="B3039" s="20"/>
      <c r="C3039" s="30"/>
      <c r="D3039" s="30"/>
      <c r="E3039" s="30"/>
      <c r="F3039" s="22"/>
      <c r="G3039" s="23"/>
      <c r="H3039" s="23"/>
      <c r="I3039" s="23"/>
      <c r="J3039" s="23"/>
      <c r="K3039" s="23"/>
      <c r="L3039" s="23"/>
      <c r="M3039" s="23"/>
      <c r="N3039" s="23"/>
      <c r="O3039" s="23"/>
      <c r="P3039" s="23"/>
      <c r="Q3039" s="23"/>
      <c r="R3039" s="23"/>
      <c r="S3039" s="23"/>
      <c r="T3039" s="23"/>
      <c r="U3039" s="23"/>
    </row>
    <row r="3040">
      <c r="A3040" s="20"/>
      <c r="B3040" s="20"/>
      <c r="C3040" s="30"/>
      <c r="D3040" s="30"/>
      <c r="E3040" s="30"/>
      <c r="F3040" s="22"/>
      <c r="G3040" s="23"/>
      <c r="H3040" s="23"/>
      <c r="I3040" s="23"/>
      <c r="J3040" s="23"/>
      <c r="K3040" s="23"/>
      <c r="L3040" s="23"/>
      <c r="M3040" s="23"/>
      <c r="N3040" s="23"/>
      <c r="O3040" s="23"/>
      <c r="P3040" s="23"/>
      <c r="Q3040" s="23"/>
      <c r="R3040" s="23"/>
      <c r="S3040" s="23"/>
      <c r="T3040" s="23"/>
      <c r="U3040" s="23"/>
    </row>
    <row r="3041">
      <c r="A3041" s="20"/>
      <c r="B3041" s="20"/>
      <c r="C3041" s="30"/>
      <c r="D3041" s="30"/>
      <c r="E3041" s="30"/>
      <c r="F3041" s="22"/>
      <c r="G3041" s="23"/>
      <c r="H3041" s="23"/>
      <c r="I3041" s="23"/>
      <c r="J3041" s="23"/>
      <c r="K3041" s="23"/>
      <c r="L3041" s="23"/>
      <c r="M3041" s="23"/>
      <c r="N3041" s="23"/>
      <c r="O3041" s="23"/>
      <c r="P3041" s="23"/>
      <c r="Q3041" s="23"/>
      <c r="R3041" s="23"/>
      <c r="S3041" s="23"/>
      <c r="T3041" s="23"/>
      <c r="U3041" s="23"/>
    </row>
    <row r="3042">
      <c r="A3042" s="20"/>
      <c r="B3042" s="20"/>
      <c r="C3042" s="30"/>
      <c r="D3042" s="30"/>
      <c r="E3042" s="30"/>
      <c r="F3042" s="22"/>
      <c r="G3042" s="23"/>
      <c r="H3042" s="23"/>
      <c r="I3042" s="23"/>
      <c r="J3042" s="23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</row>
    <row r="3043">
      <c r="A3043" s="20"/>
      <c r="B3043" s="20"/>
      <c r="C3043" s="30"/>
      <c r="D3043" s="30"/>
      <c r="E3043" s="30"/>
      <c r="F3043" s="22"/>
      <c r="G3043" s="23"/>
      <c r="H3043" s="23"/>
      <c r="I3043" s="23"/>
      <c r="J3043" s="23"/>
      <c r="K3043" s="23"/>
      <c r="L3043" s="23"/>
      <c r="M3043" s="23"/>
      <c r="N3043" s="23"/>
      <c r="O3043" s="23"/>
      <c r="P3043" s="23"/>
      <c r="Q3043" s="23"/>
      <c r="R3043" s="23"/>
      <c r="S3043" s="23"/>
      <c r="T3043" s="23"/>
      <c r="U3043" s="23"/>
    </row>
    <row r="3044">
      <c r="A3044" s="20"/>
      <c r="B3044" s="20"/>
      <c r="C3044" s="30"/>
      <c r="D3044" s="30"/>
      <c r="E3044" s="30"/>
      <c r="F3044" s="22"/>
      <c r="G3044" s="23"/>
      <c r="H3044" s="23"/>
      <c r="I3044" s="23"/>
      <c r="J3044" s="23"/>
      <c r="K3044" s="23"/>
      <c r="L3044" s="23"/>
      <c r="M3044" s="23"/>
      <c r="N3044" s="23"/>
      <c r="O3044" s="23"/>
      <c r="P3044" s="23"/>
      <c r="Q3044" s="23"/>
      <c r="R3044" s="23"/>
      <c r="S3044" s="23"/>
      <c r="T3044" s="23"/>
      <c r="U3044" s="23"/>
    </row>
    <row r="3045">
      <c r="A3045" s="20"/>
      <c r="B3045" s="20"/>
      <c r="C3045" s="30"/>
      <c r="D3045" s="30"/>
      <c r="E3045" s="30"/>
      <c r="F3045" s="22"/>
      <c r="G3045" s="23"/>
      <c r="H3045" s="23"/>
      <c r="I3045" s="23"/>
      <c r="J3045" s="23"/>
      <c r="K3045" s="23"/>
      <c r="L3045" s="23"/>
      <c r="M3045" s="23"/>
      <c r="N3045" s="23"/>
      <c r="O3045" s="23"/>
      <c r="P3045" s="23"/>
      <c r="Q3045" s="23"/>
      <c r="R3045" s="23"/>
      <c r="S3045" s="23"/>
      <c r="T3045" s="23"/>
      <c r="U3045" s="23"/>
    </row>
    <row r="3046">
      <c r="A3046" s="20"/>
      <c r="B3046" s="20"/>
      <c r="C3046" s="30"/>
      <c r="D3046" s="30"/>
      <c r="E3046" s="30"/>
      <c r="F3046" s="22"/>
      <c r="G3046" s="23"/>
      <c r="H3046" s="23"/>
      <c r="I3046" s="23"/>
      <c r="J3046" s="23"/>
      <c r="K3046" s="23"/>
      <c r="L3046" s="23"/>
      <c r="M3046" s="23"/>
      <c r="N3046" s="23"/>
      <c r="O3046" s="23"/>
      <c r="P3046" s="23"/>
      <c r="Q3046" s="23"/>
      <c r="R3046" s="23"/>
      <c r="S3046" s="23"/>
      <c r="T3046" s="23"/>
      <c r="U3046" s="23"/>
    </row>
    <row r="3047">
      <c r="A3047" s="20"/>
      <c r="B3047" s="20"/>
      <c r="C3047" s="30"/>
      <c r="D3047" s="30"/>
      <c r="E3047" s="30"/>
      <c r="F3047" s="22"/>
      <c r="G3047" s="23"/>
      <c r="H3047" s="23"/>
      <c r="I3047" s="23"/>
      <c r="J3047" s="23"/>
      <c r="K3047" s="23"/>
      <c r="L3047" s="23"/>
      <c r="M3047" s="23"/>
      <c r="N3047" s="23"/>
      <c r="O3047" s="23"/>
      <c r="P3047" s="23"/>
      <c r="Q3047" s="23"/>
      <c r="R3047" s="23"/>
      <c r="S3047" s="23"/>
      <c r="T3047" s="23"/>
      <c r="U3047" s="23"/>
    </row>
    <row r="3048">
      <c r="A3048" s="20"/>
      <c r="B3048" s="20"/>
      <c r="C3048" s="30"/>
      <c r="D3048" s="30"/>
      <c r="E3048" s="30"/>
      <c r="F3048" s="22"/>
      <c r="G3048" s="23"/>
      <c r="H3048" s="23"/>
      <c r="I3048" s="23"/>
      <c r="J3048" s="23"/>
      <c r="K3048" s="23"/>
      <c r="L3048" s="23"/>
      <c r="M3048" s="23"/>
      <c r="N3048" s="23"/>
      <c r="O3048" s="23"/>
      <c r="P3048" s="23"/>
      <c r="Q3048" s="23"/>
      <c r="R3048" s="23"/>
      <c r="S3048" s="23"/>
      <c r="T3048" s="23"/>
      <c r="U3048" s="23"/>
    </row>
    <row r="3049">
      <c r="A3049" s="20"/>
      <c r="B3049" s="20"/>
      <c r="C3049" s="30"/>
      <c r="D3049" s="30"/>
      <c r="E3049" s="30"/>
      <c r="F3049" s="22"/>
      <c r="G3049" s="23"/>
      <c r="H3049" s="23"/>
      <c r="I3049" s="23"/>
      <c r="J3049" s="23"/>
      <c r="K3049" s="23"/>
      <c r="L3049" s="23"/>
      <c r="M3049" s="23"/>
      <c r="N3049" s="23"/>
      <c r="O3049" s="23"/>
      <c r="P3049" s="23"/>
      <c r="Q3049" s="23"/>
      <c r="R3049" s="23"/>
      <c r="S3049" s="23"/>
      <c r="T3049" s="23"/>
      <c r="U3049" s="23"/>
    </row>
    <row r="3050">
      <c r="A3050" s="20"/>
      <c r="B3050" s="20"/>
      <c r="C3050" s="30"/>
      <c r="D3050" s="30"/>
      <c r="E3050" s="30"/>
      <c r="F3050" s="22"/>
      <c r="G3050" s="23"/>
      <c r="H3050" s="23"/>
      <c r="I3050" s="23"/>
      <c r="J3050" s="23"/>
      <c r="K3050" s="23"/>
      <c r="L3050" s="23"/>
      <c r="M3050" s="23"/>
      <c r="N3050" s="23"/>
      <c r="O3050" s="23"/>
      <c r="P3050" s="23"/>
      <c r="Q3050" s="23"/>
      <c r="R3050" s="23"/>
      <c r="S3050" s="23"/>
      <c r="T3050" s="23"/>
      <c r="U3050" s="23"/>
    </row>
    <row r="3051">
      <c r="A3051" s="20"/>
      <c r="B3051" s="20"/>
      <c r="C3051" s="30"/>
      <c r="D3051" s="30"/>
      <c r="E3051" s="30"/>
      <c r="F3051" s="22"/>
      <c r="G3051" s="23"/>
      <c r="H3051" s="23"/>
      <c r="I3051" s="23"/>
      <c r="J3051" s="23"/>
      <c r="K3051" s="23"/>
      <c r="L3051" s="23"/>
      <c r="M3051" s="23"/>
      <c r="N3051" s="23"/>
      <c r="O3051" s="23"/>
      <c r="P3051" s="23"/>
      <c r="Q3051" s="23"/>
      <c r="R3051" s="23"/>
      <c r="S3051" s="23"/>
      <c r="T3051" s="23"/>
      <c r="U3051" s="23"/>
    </row>
    <row r="3052">
      <c r="A3052" s="20"/>
      <c r="B3052" s="20"/>
      <c r="C3052" s="30"/>
      <c r="D3052" s="30"/>
      <c r="E3052" s="30"/>
      <c r="F3052" s="22"/>
      <c r="G3052" s="23"/>
      <c r="H3052" s="23"/>
      <c r="I3052" s="23"/>
      <c r="J3052" s="23"/>
      <c r="K3052" s="23"/>
      <c r="L3052" s="23"/>
      <c r="M3052" s="23"/>
      <c r="N3052" s="23"/>
      <c r="O3052" s="23"/>
      <c r="P3052" s="23"/>
      <c r="Q3052" s="23"/>
      <c r="R3052" s="23"/>
      <c r="S3052" s="23"/>
      <c r="T3052" s="23"/>
      <c r="U3052" s="23"/>
    </row>
    <row r="3053">
      <c r="A3053" s="20"/>
      <c r="B3053" s="20"/>
      <c r="C3053" s="30"/>
      <c r="D3053" s="30"/>
      <c r="E3053" s="30"/>
      <c r="F3053" s="22"/>
      <c r="G3053" s="23"/>
      <c r="H3053" s="23"/>
      <c r="I3053" s="23"/>
      <c r="J3053" s="23"/>
      <c r="K3053" s="23"/>
      <c r="L3053" s="23"/>
      <c r="M3053" s="23"/>
      <c r="N3053" s="23"/>
      <c r="O3053" s="23"/>
      <c r="P3053" s="23"/>
      <c r="Q3053" s="23"/>
      <c r="R3053" s="23"/>
      <c r="S3053" s="23"/>
      <c r="T3053" s="23"/>
      <c r="U3053" s="23"/>
    </row>
    <row r="3054">
      <c r="A3054" s="20"/>
      <c r="B3054" s="20"/>
      <c r="C3054" s="30"/>
      <c r="D3054" s="30"/>
      <c r="E3054" s="30"/>
      <c r="F3054" s="22"/>
      <c r="G3054" s="23"/>
      <c r="H3054" s="23"/>
      <c r="I3054" s="23"/>
      <c r="J3054" s="23"/>
      <c r="K3054" s="23"/>
      <c r="L3054" s="23"/>
      <c r="M3054" s="23"/>
      <c r="N3054" s="23"/>
      <c r="O3054" s="23"/>
      <c r="P3054" s="23"/>
      <c r="Q3054" s="23"/>
      <c r="R3054" s="23"/>
      <c r="S3054" s="23"/>
      <c r="T3054" s="23"/>
      <c r="U3054" s="23"/>
    </row>
    <row r="3055">
      <c r="A3055" s="20"/>
      <c r="B3055" s="20"/>
      <c r="C3055" s="30"/>
      <c r="D3055" s="30"/>
      <c r="E3055" s="30"/>
      <c r="F3055" s="22"/>
      <c r="G3055" s="23"/>
      <c r="H3055" s="23"/>
      <c r="I3055" s="23"/>
      <c r="J3055" s="23"/>
      <c r="K3055" s="23"/>
      <c r="L3055" s="23"/>
      <c r="M3055" s="23"/>
      <c r="N3055" s="23"/>
      <c r="O3055" s="23"/>
      <c r="P3055" s="23"/>
      <c r="Q3055" s="23"/>
      <c r="R3055" s="23"/>
      <c r="S3055" s="23"/>
      <c r="T3055" s="23"/>
      <c r="U3055" s="23"/>
    </row>
    <row r="3056">
      <c r="A3056" s="20"/>
      <c r="B3056" s="20"/>
      <c r="C3056" s="30"/>
      <c r="D3056" s="30"/>
      <c r="E3056" s="30"/>
      <c r="F3056" s="22"/>
      <c r="G3056" s="23"/>
      <c r="H3056" s="23"/>
      <c r="I3056" s="23"/>
      <c r="J3056" s="23"/>
      <c r="K3056" s="23"/>
      <c r="L3056" s="23"/>
      <c r="M3056" s="23"/>
      <c r="N3056" s="23"/>
      <c r="O3056" s="23"/>
      <c r="P3056" s="23"/>
      <c r="Q3056" s="23"/>
      <c r="R3056" s="23"/>
      <c r="S3056" s="23"/>
      <c r="T3056" s="23"/>
      <c r="U3056" s="23"/>
    </row>
    <row r="3057">
      <c r="A3057" s="20"/>
      <c r="B3057" s="20"/>
      <c r="C3057" s="30"/>
      <c r="D3057" s="30"/>
      <c r="E3057" s="30"/>
      <c r="F3057" s="22"/>
      <c r="G3057" s="23"/>
      <c r="H3057" s="23"/>
      <c r="I3057" s="23"/>
      <c r="J3057" s="23"/>
      <c r="K3057" s="23"/>
      <c r="L3057" s="23"/>
      <c r="M3057" s="23"/>
      <c r="N3057" s="23"/>
      <c r="O3057" s="23"/>
      <c r="P3057" s="23"/>
      <c r="Q3057" s="23"/>
      <c r="R3057" s="23"/>
      <c r="S3057" s="23"/>
      <c r="T3057" s="23"/>
      <c r="U3057" s="23"/>
    </row>
    <row r="3058">
      <c r="A3058" s="20"/>
      <c r="B3058" s="20"/>
      <c r="C3058" s="30"/>
      <c r="D3058" s="30"/>
      <c r="E3058" s="30"/>
      <c r="F3058" s="22"/>
      <c r="G3058" s="23"/>
      <c r="H3058" s="23"/>
      <c r="I3058" s="23"/>
      <c r="J3058" s="23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</row>
    <row r="3059">
      <c r="A3059" s="20"/>
      <c r="B3059" s="20"/>
      <c r="C3059" s="30"/>
      <c r="D3059" s="30"/>
      <c r="E3059" s="30"/>
      <c r="F3059" s="22"/>
      <c r="G3059" s="23"/>
      <c r="H3059" s="23"/>
      <c r="I3059" s="23"/>
      <c r="J3059" s="23"/>
      <c r="K3059" s="23"/>
      <c r="L3059" s="23"/>
      <c r="M3059" s="23"/>
      <c r="N3059" s="23"/>
      <c r="O3059" s="23"/>
      <c r="P3059" s="23"/>
      <c r="Q3059" s="23"/>
      <c r="R3059" s="23"/>
      <c r="S3059" s="23"/>
      <c r="T3059" s="23"/>
      <c r="U3059" s="23"/>
    </row>
    <row r="3060">
      <c r="A3060" s="20"/>
      <c r="B3060" s="20"/>
      <c r="C3060" s="30"/>
      <c r="D3060" s="30"/>
      <c r="E3060" s="30"/>
      <c r="F3060" s="22"/>
      <c r="G3060" s="23"/>
      <c r="H3060" s="23"/>
      <c r="I3060" s="23"/>
      <c r="J3060" s="23"/>
      <c r="K3060" s="23"/>
      <c r="L3060" s="23"/>
      <c r="M3060" s="23"/>
      <c r="N3060" s="23"/>
      <c r="O3060" s="23"/>
      <c r="P3060" s="23"/>
      <c r="Q3060" s="23"/>
      <c r="R3060" s="23"/>
      <c r="S3060" s="23"/>
      <c r="T3060" s="23"/>
      <c r="U3060" s="23"/>
    </row>
    <row r="3061">
      <c r="A3061" s="20"/>
      <c r="B3061" s="20"/>
      <c r="C3061" s="30"/>
      <c r="D3061" s="30"/>
      <c r="E3061" s="30"/>
      <c r="F3061" s="22"/>
      <c r="G3061" s="23"/>
      <c r="H3061" s="23"/>
      <c r="I3061" s="23"/>
      <c r="J3061" s="23"/>
      <c r="K3061" s="23"/>
      <c r="L3061" s="23"/>
      <c r="M3061" s="23"/>
      <c r="N3061" s="23"/>
      <c r="O3061" s="23"/>
      <c r="P3061" s="23"/>
      <c r="Q3061" s="23"/>
      <c r="R3061" s="23"/>
      <c r="S3061" s="23"/>
      <c r="T3061" s="23"/>
      <c r="U3061" s="23"/>
    </row>
    <row r="3062">
      <c r="A3062" s="20"/>
      <c r="B3062" s="20"/>
      <c r="C3062" s="30"/>
      <c r="D3062" s="30"/>
      <c r="E3062" s="30"/>
      <c r="F3062" s="22"/>
      <c r="G3062" s="23"/>
      <c r="H3062" s="23"/>
      <c r="I3062" s="23"/>
      <c r="J3062" s="23"/>
      <c r="K3062" s="23"/>
      <c r="L3062" s="23"/>
      <c r="M3062" s="23"/>
      <c r="N3062" s="23"/>
      <c r="O3062" s="23"/>
      <c r="P3062" s="23"/>
      <c r="Q3062" s="23"/>
      <c r="R3062" s="23"/>
      <c r="S3062" s="23"/>
      <c r="T3062" s="23"/>
      <c r="U3062" s="23"/>
    </row>
    <row r="3063">
      <c r="A3063" s="20"/>
      <c r="B3063" s="20"/>
      <c r="C3063" s="30"/>
      <c r="D3063" s="30"/>
      <c r="E3063" s="30"/>
      <c r="F3063" s="22"/>
      <c r="G3063" s="23"/>
      <c r="H3063" s="23"/>
      <c r="I3063" s="23"/>
      <c r="J3063" s="23"/>
      <c r="K3063" s="23"/>
      <c r="L3063" s="23"/>
      <c r="M3063" s="23"/>
      <c r="N3063" s="23"/>
      <c r="O3063" s="23"/>
      <c r="P3063" s="23"/>
      <c r="Q3063" s="23"/>
      <c r="R3063" s="23"/>
      <c r="S3063" s="23"/>
      <c r="T3063" s="23"/>
      <c r="U3063" s="23"/>
    </row>
    <row r="3064">
      <c r="A3064" s="20"/>
      <c r="B3064" s="20"/>
      <c r="C3064" s="30"/>
      <c r="D3064" s="30"/>
      <c r="E3064" s="30"/>
      <c r="F3064" s="22"/>
      <c r="G3064" s="23"/>
      <c r="H3064" s="23"/>
      <c r="I3064" s="23"/>
      <c r="J3064" s="23"/>
      <c r="K3064" s="23"/>
      <c r="L3064" s="23"/>
      <c r="M3064" s="23"/>
      <c r="N3064" s="23"/>
      <c r="O3064" s="23"/>
      <c r="P3064" s="23"/>
      <c r="Q3064" s="23"/>
      <c r="R3064" s="23"/>
      <c r="S3064" s="23"/>
      <c r="T3064" s="23"/>
      <c r="U3064" s="23"/>
    </row>
    <row r="3065">
      <c r="A3065" s="20"/>
      <c r="B3065" s="20"/>
      <c r="C3065" s="30"/>
      <c r="D3065" s="30"/>
      <c r="E3065" s="30"/>
      <c r="F3065" s="22"/>
      <c r="G3065" s="23"/>
      <c r="H3065" s="23"/>
      <c r="I3065" s="23"/>
      <c r="J3065" s="23"/>
      <c r="K3065" s="23"/>
      <c r="L3065" s="23"/>
      <c r="M3065" s="23"/>
      <c r="N3065" s="23"/>
      <c r="O3065" s="23"/>
      <c r="P3065" s="23"/>
      <c r="Q3065" s="23"/>
      <c r="R3065" s="23"/>
      <c r="S3065" s="23"/>
      <c r="T3065" s="23"/>
      <c r="U3065" s="23"/>
    </row>
    <row r="3066">
      <c r="A3066" s="20"/>
      <c r="B3066" s="20"/>
      <c r="C3066" s="30"/>
      <c r="D3066" s="30"/>
      <c r="E3066" s="30"/>
      <c r="F3066" s="22"/>
      <c r="G3066" s="23"/>
      <c r="H3066" s="23"/>
      <c r="I3066" s="23"/>
      <c r="J3066" s="23"/>
      <c r="K3066" s="23"/>
      <c r="L3066" s="23"/>
      <c r="M3066" s="23"/>
      <c r="N3066" s="23"/>
      <c r="O3066" s="23"/>
      <c r="P3066" s="23"/>
      <c r="Q3066" s="23"/>
      <c r="R3066" s="23"/>
      <c r="S3066" s="23"/>
      <c r="T3066" s="23"/>
      <c r="U3066" s="23"/>
    </row>
    <row r="3067">
      <c r="A3067" s="20"/>
      <c r="B3067" s="20"/>
      <c r="C3067" s="30"/>
      <c r="D3067" s="30"/>
      <c r="E3067" s="30"/>
      <c r="F3067" s="22"/>
      <c r="G3067" s="23"/>
      <c r="H3067" s="23"/>
      <c r="I3067" s="23"/>
      <c r="J3067" s="23"/>
      <c r="K3067" s="23"/>
      <c r="L3067" s="23"/>
      <c r="M3067" s="23"/>
      <c r="N3067" s="23"/>
      <c r="O3067" s="23"/>
      <c r="P3067" s="23"/>
      <c r="Q3067" s="23"/>
      <c r="R3067" s="23"/>
      <c r="S3067" s="23"/>
      <c r="T3067" s="23"/>
      <c r="U3067" s="23"/>
    </row>
    <row r="3068">
      <c r="A3068" s="20"/>
      <c r="B3068" s="20"/>
      <c r="C3068" s="30"/>
      <c r="D3068" s="30"/>
      <c r="E3068" s="30"/>
      <c r="F3068" s="22"/>
      <c r="G3068" s="23"/>
      <c r="H3068" s="23"/>
      <c r="I3068" s="23"/>
      <c r="J3068" s="23"/>
      <c r="K3068" s="23"/>
      <c r="L3068" s="23"/>
      <c r="M3068" s="23"/>
      <c r="N3068" s="23"/>
      <c r="O3068" s="23"/>
      <c r="P3068" s="23"/>
      <c r="Q3068" s="23"/>
      <c r="R3068" s="23"/>
      <c r="S3068" s="23"/>
      <c r="T3068" s="23"/>
      <c r="U3068" s="23"/>
    </row>
    <row r="3069">
      <c r="A3069" s="20"/>
      <c r="B3069" s="20"/>
      <c r="C3069" s="30"/>
      <c r="D3069" s="30"/>
      <c r="E3069" s="30"/>
      <c r="F3069" s="22"/>
      <c r="G3069" s="23"/>
      <c r="H3069" s="23"/>
      <c r="I3069" s="23"/>
      <c r="J3069" s="23"/>
      <c r="K3069" s="23"/>
      <c r="L3069" s="23"/>
      <c r="M3069" s="23"/>
      <c r="N3069" s="23"/>
      <c r="O3069" s="23"/>
      <c r="P3069" s="23"/>
      <c r="Q3069" s="23"/>
      <c r="R3069" s="23"/>
      <c r="S3069" s="23"/>
      <c r="T3069" s="23"/>
      <c r="U3069" s="23"/>
    </row>
    <row r="3070">
      <c r="A3070" s="20"/>
      <c r="B3070" s="20"/>
      <c r="C3070" s="30"/>
      <c r="D3070" s="30"/>
      <c r="E3070" s="30"/>
      <c r="F3070" s="22"/>
      <c r="G3070" s="23"/>
      <c r="H3070" s="23"/>
      <c r="I3070" s="23"/>
      <c r="J3070" s="23"/>
      <c r="K3070" s="23"/>
      <c r="L3070" s="23"/>
      <c r="M3070" s="23"/>
      <c r="N3070" s="23"/>
      <c r="O3070" s="23"/>
      <c r="P3070" s="23"/>
      <c r="Q3070" s="23"/>
      <c r="R3070" s="23"/>
      <c r="S3070" s="23"/>
      <c r="T3070" s="23"/>
      <c r="U3070" s="23"/>
    </row>
    <row r="3071">
      <c r="A3071" s="20"/>
      <c r="B3071" s="20"/>
      <c r="C3071" s="30"/>
      <c r="D3071" s="30"/>
      <c r="E3071" s="30"/>
      <c r="F3071" s="22"/>
      <c r="G3071" s="23"/>
      <c r="H3071" s="23"/>
      <c r="I3071" s="23"/>
      <c r="J3071" s="23"/>
      <c r="K3071" s="23"/>
      <c r="L3071" s="23"/>
      <c r="M3071" s="23"/>
      <c r="N3071" s="23"/>
      <c r="O3071" s="23"/>
      <c r="P3071" s="23"/>
      <c r="Q3071" s="23"/>
      <c r="R3071" s="23"/>
      <c r="S3071" s="23"/>
      <c r="T3071" s="23"/>
      <c r="U3071" s="23"/>
    </row>
    <row r="3072">
      <c r="A3072" s="20"/>
      <c r="B3072" s="20"/>
      <c r="C3072" s="30"/>
      <c r="D3072" s="30"/>
      <c r="E3072" s="30"/>
      <c r="F3072" s="22"/>
      <c r="G3072" s="23"/>
      <c r="H3072" s="23"/>
      <c r="I3072" s="23"/>
      <c r="J3072" s="23"/>
      <c r="K3072" s="23"/>
      <c r="L3072" s="23"/>
      <c r="M3072" s="23"/>
      <c r="N3072" s="23"/>
      <c r="O3072" s="23"/>
      <c r="P3072" s="23"/>
      <c r="Q3072" s="23"/>
      <c r="R3072" s="23"/>
      <c r="S3072" s="23"/>
      <c r="T3072" s="23"/>
      <c r="U3072" s="23"/>
    </row>
    <row r="3073">
      <c r="A3073" s="20"/>
      <c r="B3073" s="20"/>
      <c r="C3073" s="30"/>
      <c r="D3073" s="30"/>
      <c r="E3073" s="30"/>
      <c r="F3073" s="22"/>
      <c r="G3073" s="23"/>
      <c r="H3073" s="23"/>
      <c r="I3073" s="23"/>
      <c r="J3073" s="23"/>
      <c r="K3073" s="23"/>
      <c r="L3073" s="23"/>
      <c r="M3073" s="23"/>
      <c r="N3073" s="23"/>
      <c r="O3073" s="23"/>
      <c r="P3073" s="23"/>
      <c r="Q3073" s="23"/>
      <c r="R3073" s="23"/>
      <c r="S3073" s="23"/>
      <c r="T3073" s="23"/>
      <c r="U3073" s="23"/>
    </row>
    <row r="3074">
      <c r="A3074" s="20"/>
      <c r="B3074" s="20"/>
      <c r="C3074" s="30"/>
      <c r="D3074" s="30"/>
      <c r="E3074" s="30"/>
      <c r="F3074" s="22"/>
      <c r="G3074" s="23"/>
      <c r="H3074" s="23"/>
      <c r="I3074" s="23"/>
      <c r="J3074" s="23"/>
      <c r="K3074" s="23"/>
      <c r="L3074" s="23"/>
      <c r="M3074" s="23"/>
      <c r="N3074" s="23"/>
      <c r="O3074" s="23"/>
      <c r="P3074" s="23"/>
      <c r="Q3074" s="23"/>
      <c r="R3074" s="23"/>
      <c r="S3074" s="23"/>
      <c r="T3074" s="23"/>
      <c r="U3074" s="23"/>
    </row>
    <row r="3075">
      <c r="A3075" s="20"/>
      <c r="B3075" s="20"/>
      <c r="C3075" s="30"/>
      <c r="D3075" s="30"/>
      <c r="E3075" s="30"/>
      <c r="F3075" s="22"/>
      <c r="G3075" s="23"/>
      <c r="H3075" s="23"/>
      <c r="I3075" s="23"/>
      <c r="J3075" s="23"/>
      <c r="K3075" s="23"/>
      <c r="L3075" s="23"/>
      <c r="M3075" s="23"/>
      <c r="N3075" s="23"/>
      <c r="O3075" s="23"/>
      <c r="P3075" s="23"/>
      <c r="Q3075" s="23"/>
      <c r="R3075" s="23"/>
      <c r="S3075" s="23"/>
      <c r="T3075" s="23"/>
      <c r="U3075" s="23"/>
    </row>
    <row r="3076">
      <c r="A3076" s="20"/>
      <c r="B3076" s="20"/>
      <c r="C3076" s="30"/>
      <c r="D3076" s="30"/>
      <c r="E3076" s="30"/>
      <c r="F3076" s="22"/>
      <c r="G3076" s="23"/>
      <c r="H3076" s="23"/>
      <c r="I3076" s="23"/>
      <c r="J3076" s="23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</row>
    <row r="3077">
      <c r="A3077" s="20"/>
      <c r="B3077" s="20"/>
      <c r="C3077" s="30"/>
      <c r="D3077" s="30"/>
      <c r="E3077" s="30"/>
      <c r="F3077" s="22"/>
      <c r="G3077" s="23"/>
      <c r="H3077" s="23"/>
      <c r="I3077" s="23"/>
      <c r="J3077" s="23"/>
      <c r="K3077" s="23"/>
      <c r="L3077" s="23"/>
      <c r="M3077" s="23"/>
      <c r="N3077" s="23"/>
      <c r="O3077" s="23"/>
      <c r="P3077" s="23"/>
      <c r="Q3077" s="23"/>
      <c r="R3077" s="23"/>
      <c r="S3077" s="23"/>
      <c r="T3077" s="23"/>
      <c r="U3077" s="23"/>
    </row>
    <row r="3078">
      <c r="A3078" s="20"/>
      <c r="B3078" s="20"/>
      <c r="C3078" s="30"/>
      <c r="D3078" s="30"/>
      <c r="E3078" s="30"/>
      <c r="F3078" s="22"/>
      <c r="G3078" s="23"/>
      <c r="H3078" s="23"/>
      <c r="I3078" s="23"/>
      <c r="J3078" s="23"/>
      <c r="K3078" s="23"/>
      <c r="L3078" s="23"/>
      <c r="M3078" s="23"/>
      <c r="N3078" s="23"/>
      <c r="O3078" s="23"/>
      <c r="P3078" s="23"/>
      <c r="Q3078" s="23"/>
      <c r="R3078" s="23"/>
      <c r="S3078" s="23"/>
      <c r="T3078" s="23"/>
      <c r="U3078" s="23"/>
    </row>
    <row r="3079">
      <c r="A3079" s="20"/>
      <c r="B3079" s="20"/>
      <c r="C3079" s="30"/>
      <c r="D3079" s="30"/>
      <c r="E3079" s="30"/>
      <c r="F3079" s="22"/>
      <c r="G3079" s="23"/>
      <c r="H3079" s="23"/>
      <c r="I3079" s="23"/>
      <c r="J3079" s="23"/>
      <c r="K3079" s="23"/>
      <c r="L3079" s="23"/>
      <c r="M3079" s="23"/>
      <c r="N3079" s="23"/>
      <c r="O3079" s="23"/>
      <c r="P3079" s="23"/>
      <c r="Q3079" s="23"/>
      <c r="R3079" s="23"/>
      <c r="S3079" s="23"/>
      <c r="T3079" s="23"/>
      <c r="U3079" s="23"/>
    </row>
    <row r="3080">
      <c r="A3080" s="20"/>
      <c r="B3080" s="20"/>
      <c r="C3080" s="30"/>
      <c r="D3080" s="30"/>
      <c r="E3080" s="30"/>
      <c r="F3080" s="22"/>
      <c r="G3080" s="23"/>
      <c r="H3080" s="23"/>
      <c r="I3080" s="23"/>
      <c r="J3080" s="23"/>
      <c r="K3080" s="23"/>
      <c r="L3080" s="23"/>
      <c r="M3080" s="23"/>
      <c r="N3080" s="23"/>
      <c r="O3080" s="23"/>
      <c r="P3080" s="23"/>
      <c r="Q3080" s="23"/>
      <c r="R3080" s="23"/>
      <c r="S3080" s="23"/>
      <c r="T3080" s="23"/>
      <c r="U3080" s="23"/>
    </row>
    <row r="3081">
      <c r="A3081" s="20"/>
      <c r="B3081" s="20"/>
      <c r="C3081" s="30"/>
      <c r="D3081" s="30"/>
      <c r="E3081" s="30"/>
      <c r="F3081" s="22"/>
      <c r="G3081" s="23"/>
      <c r="H3081" s="23"/>
      <c r="I3081" s="23"/>
      <c r="J3081" s="23"/>
      <c r="K3081" s="23"/>
      <c r="L3081" s="23"/>
      <c r="M3081" s="23"/>
      <c r="N3081" s="23"/>
      <c r="O3081" s="23"/>
      <c r="P3081" s="23"/>
      <c r="Q3081" s="23"/>
      <c r="R3081" s="23"/>
      <c r="S3081" s="23"/>
      <c r="T3081" s="23"/>
      <c r="U3081" s="23"/>
    </row>
    <row r="3082">
      <c r="A3082" s="20"/>
      <c r="B3082" s="20"/>
      <c r="C3082" s="30"/>
      <c r="D3082" s="30"/>
      <c r="E3082" s="30"/>
      <c r="F3082" s="22"/>
      <c r="G3082" s="23"/>
      <c r="H3082" s="23"/>
      <c r="I3082" s="23"/>
      <c r="J3082" s="23"/>
      <c r="K3082" s="23"/>
      <c r="L3082" s="23"/>
      <c r="M3082" s="23"/>
      <c r="N3082" s="23"/>
      <c r="O3082" s="23"/>
      <c r="P3082" s="23"/>
      <c r="Q3082" s="23"/>
      <c r="R3082" s="23"/>
      <c r="S3082" s="23"/>
      <c r="T3082" s="23"/>
      <c r="U3082" s="23"/>
    </row>
    <row r="3083">
      <c r="A3083" s="20"/>
      <c r="B3083" s="20"/>
      <c r="C3083" s="30"/>
      <c r="D3083" s="30"/>
      <c r="E3083" s="30"/>
      <c r="F3083" s="22"/>
      <c r="G3083" s="23"/>
      <c r="H3083" s="23"/>
      <c r="I3083" s="23"/>
      <c r="J3083" s="23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</row>
    <row r="3084">
      <c r="A3084" s="20"/>
      <c r="B3084" s="20"/>
      <c r="C3084" s="30"/>
      <c r="D3084" s="30"/>
      <c r="E3084" s="30"/>
      <c r="F3084" s="22"/>
      <c r="G3084" s="23"/>
      <c r="H3084" s="23"/>
      <c r="I3084" s="23"/>
      <c r="J3084" s="23"/>
      <c r="K3084" s="23"/>
      <c r="L3084" s="23"/>
      <c r="M3084" s="23"/>
      <c r="N3084" s="23"/>
      <c r="O3084" s="23"/>
      <c r="P3084" s="23"/>
      <c r="Q3084" s="23"/>
      <c r="R3084" s="23"/>
      <c r="S3084" s="23"/>
      <c r="T3084" s="23"/>
      <c r="U3084" s="23"/>
    </row>
    <row r="3085">
      <c r="A3085" s="20"/>
      <c r="B3085" s="20"/>
      <c r="C3085" s="30"/>
      <c r="D3085" s="30"/>
      <c r="E3085" s="30"/>
      <c r="F3085" s="22"/>
      <c r="G3085" s="23"/>
      <c r="H3085" s="23"/>
      <c r="I3085" s="23"/>
      <c r="J3085" s="23"/>
      <c r="K3085" s="23"/>
      <c r="L3085" s="23"/>
      <c r="M3085" s="23"/>
      <c r="N3085" s="23"/>
      <c r="O3085" s="23"/>
      <c r="P3085" s="23"/>
      <c r="Q3085" s="23"/>
      <c r="R3085" s="23"/>
      <c r="S3085" s="23"/>
      <c r="T3085" s="23"/>
      <c r="U3085" s="23"/>
    </row>
    <row r="3086">
      <c r="A3086" s="20"/>
      <c r="B3086" s="20"/>
      <c r="C3086" s="30"/>
      <c r="D3086" s="30"/>
      <c r="E3086" s="30"/>
      <c r="F3086" s="22"/>
      <c r="G3086" s="23"/>
      <c r="H3086" s="23"/>
      <c r="I3086" s="23"/>
      <c r="J3086" s="23"/>
      <c r="K3086" s="23"/>
      <c r="L3086" s="23"/>
      <c r="M3086" s="23"/>
      <c r="N3086" s="23"/>
      <c r="O3086" s="23"/>
      <c r="P3086" s="23"/>
      <c r="Q3086" s="23"/>
      <c r="R3086" s="23"/>
      <c r="S3086" s="23"/>
      <c r="T3086" s="23"/>
      <c r="U3086" s="23"/>
    </row>
    <row r="3087">
      <c r="A3087" s="20"/>
      <c r="B3087" s="20"/>
      <c r="C3087" s="30"/>
      <c r="D3087" s="30"/>
      <c r="E3087" s="30"/>
      <c r="F3087" s="22"/>
      <c r="G3087" s="23"/>
      <c r="H3087" s="23"/>
      <c r="I3087" s="23"/>
      <c r="J3087" s="23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</row>
    <row r="3088">
      <c r="A3088" s="20"/>
      <c r="B3088" s="20"/>
      <c r="C3088" s="30"/>
      <c r="D3088" s="30"/>
      <c r="E3088" s="30"/>
      <c r="F3088" s="22"/>
      <c r="G3088" s="23"/>
      <c r="H3088" s="23"/>
      <c r="I3088" s="23"/>
      <c r="J3088" s="23"/>
      <c r="K3088" s="23"/>
      <c r="L3088" s="23"/>
      <c r="M3088" s="23"/>
      <c r="N3088" s="23"/>
      <c r="O3088" s="23"/>
      <c r="P3088" s="23"/>
      <c r="Q3088" s="23"/>
      <c r="R3088" s="23"/>
      <c r="S3088" s="23"/>
      <c r="T3088" s="23"/>
      <c r="U3088" s="23"/>
    </row>
    <row r="3089">
      <c r="A3089" s="20"/>
      <c r="B3089" s="20"/>
      <c r="C3089" s="30"/>
      <c r="D3089" s="30"/>
      <c r="E3089" s="30"/>
      <c r="F3089" s="22"/>
      <c r="G3089" s="23"/>
      <c r="H3089" s="23"/>
      <c r="I3089" s="23"/>
      <c r="J3089" s="23"/>
      <c r="K3089" s="23"/>
      <c r="L3089" s="23"/>
      <c r="M3089" s="23"/>
      <c r="N3089" s="23"/>
      <c r="O3089" s="23"/>
      <c r="P3089" s="23"/>
      <c r="Q3089" s="23"/>
      <c r="R3089" s="23"/>
      <c r="S3089" s="23"/>
      <c r="T3089" s="23"/>
      <c r="U3089" s="23"/>
    </row>
    <row r="3090">
      <c r="A3090" s="20"/>
      <c r="B3090" s="20"/>
      <c r="C3090" s="30"/>
      <c r="D3090" s="30"/>
      <c r="E3090" s="30"/>
      <c r="F3090" s="22"/>
      <c r="G3090" s="23"/>
      <c r="H3090" s="23"/>
      <c r="I3090" s="23"/>
      <c r="J3090" s="23"/>
      <c r="K3090" s="23"/>
      <c r="L3090" s="23"/>
      <c r="M3090" s="23"/>
      <c r="N3090" s="23"/>
      <c r="O3090" s="23"/>
      <c r="P3090" s="23"/>
      <c r="Q3090" s="23"/>
      <c r="R3090" s="23"/>
      <c r="S3090" s="23"/>
      <c r="T3090" s="23"/>
      <c r="U3090" s="23"/>
    </row>
    <row r="3091">
      <c r="A3091" s="20"/>
      <c r="B3091" s="20"/>
      <c r="C3091" s="30"/>
      <c r="D3091" s="30"/>
      <c r="E3091" s="30"/>
      <c r="F3091" s="22"/>
      <c r="G3091" s="23"/>
      <c r="H3091" s="23"/>
      <c r="I3091" s="23"/>
      <c r="J3091" s="23"/>
      <c r="K3091" s="23"/>
      <c r="L3091" s="23"/>
      <c r="M3091" s="23"/>
      <c r="N3091" s="23"/>
      <c r="O3091" s="23"/>
      <c r="P3091" s="23"/>
      <c r="Q3091" s="23"/>
      <c r="R3091" s="23"/>
      <c r="S3091" s="23"/>
      <c r="T3091" s="23"/>
      <c r="U3091" s="23"/>
    </row>
    <row r="3092">
      <c r="A3092" s="20"/>
      <c r="B3092" s="20"/>
      <c r="C3092" s="30"/>
      <c r="D3092" s="30"/>
      <c r="E3092" s="30"/>
      <c r="F3092" s="22"/>
      <c r="G3092" s="23"/>
      <c r="H3092" s="23"/>
      <c r="I3092" s="23"/>
      <c r="J3092" s="23"/>
      <c r="K3092" s="23"/>
      <c r="L3092" s="23"/>
      <c r="M3092" s="23"/>
      <c r="N3092" s="23"/>
      <c r="O3092" s="23"/>
      <c r="P3092" s="23"/>
      <c r="Q3092" s="23"/>
      <c r="R3092" s="23"/>
      <c r="S3092" s="23"/>
      <c r="T3092" s="23"/>
      <c r="U3092" s="23"/>
    </row>
    <row r="3093">
      <c r="A3093" s="20"/>
      <c r="B3093" s="20"/>
      <c r="C3093" s="30"/>
      <c r="D3093" s="30"/>
      <c r="E3093" s="30"/>
      <c r="F3093" s="22"/>
      <c r="G3093" s="23"/>
      <c r="H3093" s="23"/>
      <c r="I3093" s="23"/>
      <c r="J3093" s="23"/>
      <c r="K3093" s="23"/>
      <c r="L3093" s="23"/>
      <c r="M3093" s="23"/>
      <c r="N3093" s="23"/>
      <c r="O3093" s="23"/>
      <c r="P3093" s="23"/>
      <c r="Q3093" s="23"/>
      <c r="R3093" s="23"/>
      <c r="S3093" s="23"/>
      <c r="T3093" s="23"/>
      <c r="U3093" s="23"/>
    </row>
    <row r="3094">
      <c r="A3094" s="20"/>
      <c r="B3094" s="20"/>
      <c r="C3094" s="30"/>
      <c r="D3094" s="30"/>
      <c r="E3094" s="30"/>
      <c r="F3094" s="22"/>
      <c r="G3094" s="23"/>
      <c r="H3094" s="23"/>
      <c r="I3094" s="23"/>
      <c r="J3094" s="23"/>
      <c r="K3094" s="23"/>
      <c r="L3094" s="23"/>
      <c r="M3094" s="23"/>
      <c r="N3094" s="23"/>
      <c r="O3094" s="23"/>
      <c r="P3094" s="23"/>
      <c r="Q3094" s="23"/>
      <c r="R3094" s="23"/>
      <c r="S3094" s="23"/>
      <c r="T3094" s="23"/>
      <c r="U3094" s="23"/>
    </row>
    <row r="3095">
      <c r="A3095" s="20"/>
      <c r="B3095" s="20"/>
      <c r="C3095" s="30"/>
      <c r="D3095" s="30"/>
      <c r="E3095" s="30"/>
      <c r="F3095" s="22"/>
      <c r="G3095" s="23"/>
      <c r="H3095" s="23"/>
      <c r="I3095" s="23"/>
      <c r="J3095" s="23"/>
      <c r="K3095" s="23"/>
      <c r="L3095" s="23"/>
      <c r="M3095" s="23"/>
      <c r="N3095" s="23"/>
      <c r="O3095" s="23"/>
      <c r="P3095" s="23"/>
      <c r="Q3095" s="23"/>
      <c r="R3095" s="23"/>
      <c r="S3095" s="23"/>
      <c r="T3095" s="23"/>
      <c r="U3095" s="23"/>
    </row>
    <row r="3096">
      <c r="A3096" s="20"/>
      <c r="B3096" s="20"/>
      <c r="C3096" s="30"/>
      <c r="D3096" s="30"/>
      <c r="E3096" s="30"/>
      <c r="F3096" s="22"/>
      <c r="G3096" s="23"/>
      <c r="H3096" s="23"/>
      <c r="I3096" s="23"/>
      <c r="J3096" s="23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</row>
    <row r="3097">
      <c r="A3097" s="20"/>
      <c r="B3097" s="20"/>
      <c r="C3097" s="30"/>
      <c r="D3097" s="30"/>
      <c r="E3097" s="30"/>
      <c r="F3097" s="22"/>
      <c r="G3097" s="23"/>
      <c r="H3097" s="23"/>
      <c r="I3097" s="23"/>
      <c r="J3097" s="23"/>
      <c r="K3097" s="23"/>
      <c r="L3097" s="23"/>
      <c r="M3097" s="23"/>
      <c r="N3097" s="23"/>
      <c r="O3097" s="23"/>
      <c r="P3097" s="23"/>
      <c r="Q3097" s="23"/>
      <c r="R3097" s="23"/>
      <c r="S3097" s="23"/>
      <c r="T3097" s="23"/>
      <c r="U3097" s="23"/>
    </row>
    <row r="3098">
      <c r="A3098" s="20"/>
      <c r="B3098" s="20"/>
      <c r="C3098" s="30"/>
      <c r="D3098" s="30"/>
      <c r="E3098" s="30"/>
      <c r="F3098" s="22"/>
      <c r="G3098" s="23"/>
      <c r="H3098" s="23"/>
      <c r="I3098" s="23"/>
      <c r="J3098" s="23"/>
      <c r="K3098" s="23"/>
      <c r="L3098" s="23"/>
      <c r="M3098" s="23"/>
      <c r="N3098" s="23"/>
      <c r="O3098" s="23"/>
      <c r="P3098" s="23"/>
      <c r="Q3098" s="23"/>
      <c r="R3098" s="23"/>
      <c r="S3098" s="23"/>
      <c r="T3098" s="23"/>
      <c r="U3098" s="23"/>
    </row>
    <row r="3099">
      <c r="A3099" s="20"/>
      <c r="B3099" s="20"/>
      <c r="C3099" s="30"/>
      <c r="D3099" s="30"/>
      <c r="E3099" s="30"/>
      <c r="F3099" s="22"/>
      <c r="G3099" s="23"/>
      <c r="H3099" s="23"/>
      <c r="I3099" s="23"/>
      <c r="J3099" s="23"/>
      <c r="K3099" s="23"/>
      <c r="L3099" s="23"/>
      <c r="M3099" s="23"/>
      <c r="N3099" s="23"/>
      <c r="O3099" s="23"/>
      <c r="P3099" s="23"/>
      <c r="Q3099" s="23"/>
      <c r="R3099" s="23"/>
      <c r="S3099" s="23"/>
      <c r="T3099" s="23"/>
      <c r="U3099" s="23"/>
    </row>
    <row r="3100">
      <c r="A3100" s="20"/>
      <c r="B3100" s="20"/>
      <c r="C3100" s="30"/>
      <c r="D3100" s="30"/>
      <c r="E3100" s="30"/>
      <c r="F3100" s="22"/>
      <c r="G3100" s="23"/>
      <c r="H3100" s="23"/>
      <c r="I3100" s="23"/>
      <c r="J3100" s="23"/>
      <c r="K3100" s="23"/>
      <c r="L3100" s="23"/>
      <c r="M3100" s="23"/>
      <c r="N3100" s="23"/>
      <c r="O3100" s="23"/>
      <c r="P3100" s="23"/>
      <c r="Q3100" s="23"/>
      <c r="R3100" s="23"/>
      <c r="S3100" s="23"/>
      <c r="T3100" s="23"/>
      <c r="U3100" s="23"/>
    </row>
    <row r="3101">
      <c r="A3101" s="20"/>
      <c r="B3101" s="20"/>
      <c r="C3101" s="30"/>
      <c r="D3101" s="30"/>
      <c r="E3101" s="30"/>
      <c r="F3101" s="22"/>
      <c r="G3101" s="23"/>
      <c r="H3101" s="23"/>
      <c r="I3101" s="23"/>
      <c r="J3101" s="23"/>
      <c r="K3101" s="23"/>
      <c r="L3101" s="23"/>
      <c r="M3101" s="23"/>
      <c r="N3101" s="23"/>
      <c r="O3101" s="23"/>
      <c r="P3101" s="23"/>
      <c r="Q3101" s="23"/>
      <c r="R3101" s="23"/>
      <c r="S3101" s="23"/>
      <c r="T3101" s="23"/>
      <c r="U3101" s="23"/>
    </row>
    <row r="3102">
      <c r="A3102" s="20"/>
      <c r="B3102" s="20"/>
      <c r="C3102" s="30"/>
      <c r="D3102" s="30"/>
      <c r="E3102" s="30"/>
      <c r="F3102" s="22"/>
      <c r="G3102" s="23"/>
      <c r="H3102" s="23"/>
      <c r="I3102" s="23"/>
      <c r="J3102" s="23"/>
      <c r="K3102" s="23"/>
      <c r="L3102" s="23"/>
      <c r="M3102" s="23"/>
      <c r="N3102" s="23"/>
      <c r="O3102" s="23"/>
      <c r="P3102" s="23"/>
      <c r="Q3102" s="23"/>
      <c r="R3102" s="23"/>
      <c r="S3102" s="23"/>
      <c r="T3102" s="23"/>
      <c r="U3102" s="23"/>
    </row>
    <row r="3103">
      <c r="A3103" s="20"/>
      <c r="B3103" s="20"/>
      <c r="C3103" s="30"/>
      <c r="D3103" s="30"/>
      <c r="E3103" s="30"/>
      <c r="F3103" s="22"/>
      <c r="G3103" s="23"/>
      <c r="H3103" s="23"/>
      <c r="I3103" s="23"/>
      <c r="J3103" s="23"/>
      <c r="K3103" s="23"/>
      <c r="L3103" s="23"/>
      <c r="M3103" s="23"/>
      <c r="N3103" s="23"/>
      <c r="O3103" s="23"/>
      <c r="P3103" s="23"/>
      <c r="Q3103" s="23"/>
      <c r="R3103" s="23"/>
      <c r="S3103" s="23"/>
      <c r="T3103" s="23"/>
      <c r="U3103" s="23"/>
    </row>
    <row r="3104">
      <c r="A3104" s="20"/>
      <c r="B3104" s="20"/>
      <c r="C3104" s="30"/>
      <c r="D3104" s="30"/>
      <c r="E3104" s="30"/>
      <c r="F3104" s="22"/>
      <c r="G3104" s="23"/>
      <c r="H3104" s="23"/>
      <c r="I3104" s="23"/>
      <c r="J3104" s="23"/>
      <c r="K3104" s="23"/>
      <c r="L3104" s="23"/>
      <c r="M3104" s="23"/>
      <c r="N3104" s="23"/>
      <c r="O3104" s="23"/>
      <c r="P3104" s="23"/>
      <c r="Q3104" s="23"/>
      <c r="R3104" s="23"/>
      <c r="S3104" s="23"/>
      <c r="T3104" s="23"/>
      <c r="U3104" s="23"/>
    </row>
    <row r="3105">
      <c r="A3105" s="20"/>
      <c r="B3105" s="20"/>
      <c r="C3105" s="30"/>
      <c r="D3105" s="30"/>
      <c r="E3105" s="30"/>
      <c r="F3105" s="22"/>
      <c r="G3105" s="23"/>
      <c r="H3105" s="23"/>
      <c r="I3105" s="23"/>
      <c r="J3105" s="23"/>
      <c r="K3105" s="23"/>
      <c r="L3105" s="23"/>
      <c r="M3105" s="23"/>
      <c r="N3105" s="23"/>
      <c r="O3105" s="23"/>
      <c r="P3105" s="23"/>
      <c r="Q3105" s="23"/>
      <c r="R3105" s="23"/>
      <c r="S3105" s="23"/>
      <c r="T3105" s="23"/>
      <c r="U3105" s="23"/>
    </row>
    <row r="3106">
      <c r="A3106" s="20"/>
      <c r="B3106" s="20"/>
      <c r="C3106" s="30"/>
      <c r="D3106" s="30"/>
      <c r="E3106" s="30"/>
      <c r="F3106" s="22"/>
      <c r="G3106" s="23"/>
      <c r="H3106" s="23"/>
      <c r="I3106" s="23"/>
      <c r="J3106" s="23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</row>
    <row r="3107">
      <c r="A3107" s="20"/>
      <c r="B3107" s="20"/>
      <c r="C3107" s="30"/>
      <c r="D3107" s="30"/>
      <c r="E3107" s="30"/>
      <c r="F3107" s="22"/>
      <c r="G3107" s="23"/>
      <c r="H3107" s="23"/>
      <c r="I3107" s="23"/>
      <c r="J3107" s="23"/>
      <c r="K3107" s="23"/>
      <c r="L3107" s="23"/>
      <c r="M3107" s="23"/>
      <c r="N3107" s="23"/>
      <c r="O3107" s="23"/>
      <c r="P3107" s="23"/>
      <c r="Q3107" s="23"/>
      <c r="R3107" s="23"/>
      <c r="S3107" s="23"/>
      <c r="T3107" s="23"/>
      <c r="U3107" s="23"/>
    </row>
    <row r="3108">
      <c r="A3108" s="20"/>
      <c r="B3108" s="20"/>
      <c r="C3108" s="30"/>
      <c r="D3108" s="30"/>
      <c r="E3108" s="30"/>
      <c r="F3108" s="22"/>
      <c r="G3108" s="23"/>
      <c r="H3108" s="23"/>
      <c r="I3108" s="23"/>
      <c r="J3108" s="23"/>
      <c r="K3108" s="23"/>
      <c r="L3108" s="23"/>
      <c r="M3108" s="23"/>
      <c r="N3108" s="23"/>
      <c r="O3108" s="23"/>
      <c r="P3108" s="23"/>
      <c r="Q3108" s="23"/>
      <c r="R3108" s="23"/>
      <c r="S3108" s="23"/>
      <c r="T3108" s="23"/>
      <c r="U3108" s="23"/>
    </row>
    <row r="3109">
      <c r="A3109" s="20"/>
      <c r="B3109" s="20"/>
      <c r="C3109" s="30"/>
      <c r="D3109" s="30"/>
      <c r="E3109" s="30"/>
      <c r="F3109" s="22"/>
      <c r="G3109" s="23"/>
      <c r="H3109" s="23"/>
      <c r="I3109" s="23"/>
      <c r="J3109" s="23"/>
      <c r="K3109" s="23"/>
      <c r="L3109" s="23"/>
      <c r="M3109" s="23"/>
      <c r="N3109" s="23"/>
      <c r="O3109" s="23"/>
      <c r="P3109" s="23"/>
      <c r="Q3109" s="23"/>
      <c r="R3109" s="23"/>
      <c r="S3109" s="23"/>
      <c r="T3109" s="23"/>
      <c r="U3109" s="23"/>
    </row>
    <row r="3110">
      <c r="A3110" s="20"/>
      <c r="B3110" s="20"/>
      <c r="C3110" s="30"/>
      <c r="D3110" s="30"/>
      <c r="E3110" s="30"/>
      <c r="F3110" s="22"/>
      <c r="G3110" s="23"/>
      <c r="H3110" s="23"/>
      <c r="I3110" s="23"/>
      <c r="J3110" s="23"/>
      <c r="K3110" s="23"/>
      <c r="L3110" s="23"/>
      <c r="M3110" s="23"/>
      <c r="N3110" s="23"/>
      <c r="O3110" s="23"/>
      <c r="P3110" s="23"/>
      <c r="Q3110" s="23"/>
      <c r="R3110" s="23"/>
      <c r="S3110" s="23"/>
      <c r="T3110" s="23"/>
      <c r="U3110" s="23"/>
    </row>
    <row r="3111">
      <c r="A3111" s="20"/>
      <c r="B3111" s="20"/>
      <c r="C3111" s="30"/>
      <c r="D3111" s="30"/>
      <c r="E3111" s="30"/>
      <c r="F3111" s="22"/>
      <c r="G3111" s="23"/>
      <c r="H3111" s="23"/>
      <c r="I3111" s="23"/>
      <c r="J3111" s="23"/>
      <c r="K3111" s="23"/>
      <c r="L3111" s="23"/>
      <c r="M3111" s="23"/>
      <c r="N3111" s="23"/>
      <c r="O3111" s="23"/>
      <c r="P3111" s="23"/>
      <c r="Q3111" s="23"/>
      <c r="R3111" s="23"/>
      <c r="S3111" s="23"/>
      <c r="T3111" s="23"/>
      <c r="U3111" s="23"/>
    </row>
    <row r="3112">
      <c r="A3112" s="20"/>
      <c r="B3112" s="20"/>
      <c r="C3112" s="30"/>
      <c r="D3112" s="30"/>
      <c r="E3112" s="30"/>
      <c r="F3112" s="22"/>
      <c r="G3112" s="23"/>
      <c r="H3112" s="23"/>
      <c r="I3112" s="23"/>
      <c r="J3112" s="23"/>
      <c r="K3112" s="23"/>
      <c r="L3112" s="23"/>
      <c r="M3112" s="23"/>
      <c r="N3112" s="23"/>
      <c r="O3112" s="23"/>
      <c r="P3112" s="23"/>
      <c r="Q3112" s="23"/>
      <c r="R3112" s="23"/>
      <c r="S3112" s="23"/>
      <c r="T3112" s="23"/>
      <c r="U3112" s="23"/>
    </row>
    <row r="3113">
      <c r="A3113" s="20"/>
      <c r="B3113" s="20"/>
      <c r="C3113" s="30"/>
      <c r="D3113" s="30"/>
      <c r="E3113" s="30"/>
      <c r="F3113" s="22"/>
      <c r="G3113" s="23"/>
      <c r="H3113" s="23"/>
      <c r="I3113" s="23"/>
      <c r="J3113" s="23"/>
      <c r="K3113" s="23"/>
      <c r="L3113" s="23"/>
      <c r="M3113" s="23"/>
      <c r="N3113" s="23"/>
      <c r="O3113" s="23"/>
      <c r="P3113" s="23"/>
      <c r="Q3113" s="23"/>
      <c r="R3113" s="23"/>
      <c r="S3113" s="23"/>
      <c r="T3113" s="23"/>
      <c r="U3113" s="23"/>
    </row>
    <row r="3114">
      <c r="A3114" s="20"/>
      <c r="B3114" s="20"/>
      <c r="C3114" s="30"/>
      <c r="D3114" s="30"/>
      <c r="E3114" s="30"/>
      <c r="F3114" s="22"/>
      <c r="G3114" s="23"/>
      <c r="H3114" s="23"/>
      <c r="I3114" s="23"/>
      <c r="J3114" s="23"/>
      <c r="K3114" s="23"/>
      <c r="L3114" s="23"/>
      <c r="M3114" s="23"/>
      <c r="N3114" s="23"/>
      <c r="O3114" s="23"/>
      <c r="P3114" s="23"/>
      <c r="Q3114" s="23"/>
      <c r="R3114" s="23"/>
      <c r="S3114" s="23"/>
      <c r="T3114" s="23"/>
      <c r="U3114" s="23"/>
    </row>
    <row r="3115">
      <c r="A3115" s="20"/>
      <c r="B3115" s="20"/>
      <c r="C3115" s="30"/>
      <c r="D3115" s="30"/>
      <c r="E3115" s="30"/>
      <c r="F3115" s="22"/>
      <c r="G3115" s="23"/>
      <c r="H3115" s="23"/>
      <c r="I3115" s="23"/>
      <c r="J3115" s="23"/>
      <c r="K3115" s="23"/>
      <c r="L3115" s="23"/>
      <c r="M3115" s="23"/>
      <c r="N3115" s="23"/>
      <c r="O3115" s="23"/>
      <c r="P3115" s="23"/>
      <c r="Q3115" s="23"/>
      <c r="R3115" s="23"/>
      <c r="S3115" s="23"/>
      <c r="T3115" s="23"/>
      <c r="U3115" s="23"/>
    </row>
    <row r="3116">
      <c r="A3116" s="20"/>
      <c r="B3116" s="20"/>
      <c r="C3116" s="30"/>
      <c r="D3116" s="30"/>
      <c r="E3116" s="30"/>
      <c r="F3116" s="22"/>
      <c r="G3116" s="23"/>
      <c r="H3116" s="23"/>
      <c r="I3116" s="23"/>
      <c r="J3116" s="23"/>
      <c r="K3116" s="23"/>
      <c r="L3116" s="23"/>
      <c r="M3116" s="23"/>
      <c r="N3116" s="23"/>
      <c r="O3116" s="23"/>
      <c r="P3116" s="23"/>
      <c r="Q3116" s="23"/>
      <c r="R3116" s="23"/>
      <c r="S3116" s="23"/>
      <c r="T3116" s="23"/>
      <c r="U3116" s="23"/>
    </row>
    <row r="3117">
      <c r="A3117" s="20"/>
      <c r="B3117" s="20"/>
      <c r="C3117" s="30"/>
      <c r="D3117" s="30"/>
      <c r="E3117" s="30"/>
      <c r="F3117" s="22"/>
      <c r="G3117" s="23"/>
      <c r="H3117" s="23"/>
      <c r="I3117" s="23"/>
      <c r="J3117" s="23"/>
      <c r="K3117" s="23"/>
      <c r="L3117" s="23"/>
      <c r="M3117" s="23"/>
      <c r="N3117" s="23"/>
      <c r="O3117" s="23"/>
      <c r="P3117" s="23"/>
      <c r="Q3117" s="23"/>
      <c r="R3117" s="23"/>
      <c r="S3117" s="23"/>
      <c r="T3117" s="23"/>
      <c r="U3117" s="23"/>
    </row>
    <row r="3118">
      <c r="A3118" s="20"/>
      <c r="B3118" s="20"/>
      <c r="C3118" s="30"/>
      <c r="D3118" s="30"/>
      <c r="E3118" s="30"/>
      <c r="F3118" s="22"/>
      <c r="G3118" s="23"/>
      <c r="H3118" s="23"/>
      <c r="I3118" s="23"/>
      <c r="J3118" s="23"/>
      <c r="K3118" s="23"/>
      <c r="L3118" s="23"/>
      <c r="M3118" s="23"/>
      <c r="N3118" s="23"/>
      <c r="O3118" s="23"/>
      <c r="P3118" s="23"/>
      <c r="Q3118" s="23"/>
      <c r="R3118" s="23"/>
      <c r="S3118" s="23"/>
      <c r="T3118" s="23"/>
      <c r="U3118" s="23"/>
    </row>
    <row r="3119">
      <c r="A3119" s="20"/>
      <c r="B3119" s="20"/>
      <c r="C3119" s="30"/>
      <c r="D3119" s="30"/>
      <c r="E3119" s="30"/>
      <c r="F3119" s="22"/>
      <c r="G3119" s="23"/>
      <c r="H3119" s="23"/>
      <c r="I3119" s="23"/>
      <c r="J3119" s="23"/>
      <c r="K3119" s="23"/>
      <c r="L3119" s="23"/>
      <c r="M3119" s="23"/>
      <c r="N3119" s="23"/>
      <c r="O3119" s="23"/>
      <c r="P3119" s="23"/>
      <c r="Q3119" s="23"/>
      <c r="R3119" s="23"/>
      <c r="S3119" s="23"/>
      <c r="T3119" s="23"/>
      <c r="U3119" s="23"/>
    </row>
    <row r="3120">
      <c r="A3120" s="20"/>
      <c r="B3120" s="20"/>
      <c r="C3120" s="30"/>
      <c r="D3120" s="30"/>
      <c r="E3120" s="30"/>
      <c r="F3120" s="22"/>
      <c r="G3120" s="23"/>
      <c r="H3120" s="23"/>
      <c r="I3120" s="23"/>
      <c r="J3120" s="23"/>
      <c r="K3120" s="23"/>
      <c r="L3120" s="23"/>
      <c r="M3120" s="23"/>
      <c r="N3120" s="23"/>
      <c r="O3120" s="23"/>
      <c r="P3120" s="23"/>
      <c r="Q3120" s="23"/>
      <c r="R3120" s="23"/>
      <c r="S3120" s="23"/>
      <c r="T3120" s="23"/>
      <c r="U3120" s="23"/>
    </row>
    <row r="3121">
      <c r="A3121" s="20"/>
      <c r="B3121" s="20"/>
      <c r="C3121" s="30"/>
      <c r="D3121" s="30"/>
      <c r="E3121" s="30"/>
      <c r="F3121" s="22"/>
      <c r="G3121" s="23"/>
      <c r="H3121" s="23"/>
      <c r="I3121" s="23"/>
      <c r="J3121" s="23"/>
      <c r="K3121" s="23"/>
      <c r="L3121" s="23"/>
      <c r="M3121" s="23"/>
      <c r="N3121" s="23"/>
      <c r="O3121" s="23"/>
      <c r="P3121" s="23"/>
      <c r="Q3121" s="23"/>
      <c r="R3121" s="23"/>
      <c r="S3121" s="23"/>
      <c r="T3121" s="23"/>
      <c r="U3121" s="23"/>
    </row>
    <row r="3122">
      <c r="A3122" s="20"/>
      <c r="B3122" s="20"/>
      <c r="C3122" s="30"/>
      <c r="D3122" s="30"/>
      <c r="E3122" s="30"/>
      <c r="F3122" s="22"/>
      <c r="G3122" s="23"/>
      <c r="H3122" s="23"/>
      <c r="I3122" s="23"/>
      <c r="J3122" s="23"/>
      <c r="K3122" s="23"/>
      <c r="L3122" s="23"/>
      <c r="M3122" s="23"/>
      <c r="N3122" s="23"/>
      <c r="O3122" s="23"/>
      <c r="P3122" s="23"/>
      <c r="Q3122" s="23"/>
      <c r="R3122" s="23"/>
      <c r="S3122" s="23"/>
      <c r="T3122" s="23"/>
      <c r="U3122" s="23"/>
    </row>
    <row r="3123">
      <c r="A3123" s="20"/>
      <c r="B3123" s="20"/>
      <c r="C3123" s="30"/>
      <c r="D3123" s="30"/>
      <c r="E3123" s="30"/>
      <c r="F3123" s="22"/>
      <c r="G3123" s="23"/>
      <c r="H3123" s="23"/>
      <c r="I3123" s="23"/>
      <c r="J3123" s="23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</row>
    <row r="3124">
      <c r="A3124" s="20"/>
      <c r="B3124" s="20"/>
      <c r="C3124" s="30"/>
      <c r="D3124" s="30"/>
      <c r="E3124" s="30"/>
      <c r="F3124" s="22"/>
      <c r="G3124" s="23"/>
      <c r="H3124" s="23"/>
      <c r="I3124" s="23"/>
      <c r="J3124" s="23"/>
      <c r="K3124" s="23"/>
      <c r="L3124" s="23"/>
      <c r="M3124" s="23"/>
      <c r="N3124" s="23"/>
      <c r="O3124" s="23"/>
      <c r="P3124" s="23"/>
      <c r="Q3124" s="23"/>
      <c r="R3124" s="23"/>
      <c r="S3124" s="23"/>
      <c r="T3124" s="23"/>
      <c r="U3124" s="23"/>
    </row>
    <row r="3125">
      <c r="A3125" s="20"/>
      <c r="B3125" s="20"/>
      <c r="C3125" s="30"/>
      <c r="D3125" s="30"/>
      <c r="E3125" s="30"/>
      <c r="F3125" s="22"/>
      <c r="G3125" s="23"/>
      <c r="H3125" s="23"/>
      <c r="I3125" s="23"/>
      <c r="J3125" s="23"/>
      <c r="K3125" s="23"/>
      <c r="L3125" s="23"/>
      <c r="M3125" s="23"/>
      <c r="N3125" s="23"/>
      <c r="O3125" s="23"/>
      <c r="P3125" s="23"/>
      <c r="Q3125" s="23"/>
      <c r="R3125" s="23"/>
      <c r="S3125" s="23"/>
      <c r="T3125" s="23"/>
      <c r="U3125" s="23"/>
    </row>
    <row r="3126">
      <c r="A3126" s="20"/>
      <c r="B3126" s="20"/>
      <c r="C3126" s="30"/>
      <c r="D3126" s="30"/>
      <c r="E3126" s="30"/>
      <c r="F3126" s="22"/>
      <c r="G3126" s="23"/>
      <c r="H3126" s="23"/>
      <c r="I3126" s="23"/>
      <c r="J3126" s="23"/>
      <c r="K3126" s="23"/>
      <c r="L3126" s="23"/>
      <c r="M3126" s="23"/>
      <c r="N3126" s="23"/>
      <c r="O3126" s="23"/>
      <c r="P3126" s="23"/>
      <c r="Q3126" s="23"/>
      <c r="R3126" s="23"/>
      <c r="S3126" s="23"/>
      <c r="T3126" s="23"/>
      <c r="U3126" s="23"/>
    </row>
    <row r="3127">
      <c r="A3127" s="20"/>
      <c r="B3127" s="20"/>
      <c r="C3127" s="30"/>
      <c r="D3127" s="30"/>
      <c r="E3127" s="30"/>
      <c r="F3127" s="22"/>
      <c r="G3127" s="23"/>
      <c r="H3127" s="23"/>
      <c r="I3127" s="23"/>
      <c r="J3127" s="23"/>
      <c r="K3127" s="23"/>
      <c r="L3127" s="23"/>
      <c r="M3127" s="23"/>
      <c r="N3127" s="23"/>
      <c r="O3127" s="23"/>
      <c r="P3127" s="23"/>
      <c r="Q3127" s="23"/>
      <c r="R3127" s="23"/>
      <c r="S3127" s="23"/>
      <c r="T3127" s="23"/>
      <c r="U3127" s="23"/>
    </row>
    <row r="3128">
      <c r="A3128" s="20"/>
      <c r="B3128" s="20"/>
      <c r="C3128" s="30"/>
      <c r="D3128" s="30"/>
      <c r="E3128" s="30"/>
      <c r="F3128" s="22"/>
      <c r="G3128" s="23"/>
      <c r="H3128" s="23"/>
      <c r="I3128" s="23"/>
      <c r="J3128" s="23"/>
      <c r="K3128" s="23"/>
      <c r="L3128" s="23"/>
      <c r="M3128" s="23"/>
      <c r="N3128" s="23"/>
      <c r="O3128" s="23"/>
      <c r="P3128" s="23"/>
      <c r="Q3128" s="23"/>
      <c r="R3128" s="23"/>
      <c r="S3128" s="23"/>
      <c r="T3128" s="23"/>
      <c r="U3128" s="23"/>
    </row>
    <row r="3129">
      <c r="A3129" s="20"/>
      <c r="B3129" s="20"/>
      <c r="C3129" s="30"/>
      <c r="D3129" s="30"/>
      <c r="E3129" s="30"/>
      <c r="F3129" s="22"/>
      <c r="G3129" s="23"/>
      <c r="H3129" s="23"/>
      <c r="I3129" s="23"/>
      <c r="J3129" s="23"/>
      <c r="K3129" s="23"/>
      <c r="L3129" s="23"/>
      <c r="M3129" s="23"/>
      <c r="N3129" s="23"/>
      <c r="O3129" s="23"/>
      <c r="P3129" s="23"/>
      <c r="Q3129" s="23"/>
      <c r="R3129" s="23"/>
      <c r="S3129" s="23"/>
      <c r="T3129" s="23"/>
      <c r="U3129" s="23"/>
    </row>
    <row r="3130">
      <c r="A3130" s="20"/>
      <c r="B3130" s="20"/>
      <c r="C3130" s="30"/>
      <c r="D3130" s="30"/>
      <c r="E3130" s="30"/>
      <c r="F3130" s="22"/>
      <c r="G3130" s="23"/>
      <c r="H3130" s="23"/>
      <c r="I3130" s="23"/>
      <c r="J3130" s="23"/>
      <c r="K3130" s="23"/>
      <c r="L3130" s="23"/>
      <c r="M3130" s="23"/>
      <c r="N3130" s="23"/>
      <c r="O3130" s="23"/>
      <c r="P3130" s="23"/>
      <c r="Q3130" s="23"/>
      <c r="R3130" s="23"/>
      <c r="S3130" s="23"/>
      <c r="T3130" s="23"/>
      <c r="U3130" s="23"/>
    </row>
    <row r="3131">
      <c r="A3131" s="20"/>
      <c r="B3131" s="20"/>
      <c r="C3131" s="30"/>
      <c r="D3131" s="30"/>
      <c r="E3131" s="30"/>
      <c r="F3131" s="22"/>
      <c r="G3131" s="23"/>
      <c r="H3131" s="23"/>
      <c r="I3131" s="23"/>
      <c r="J3131" s="23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</row>
    <row r="3132">
      <c r="A3132" s="20"/>
      <c r="B3132" s="20"/>
      <c r="C3132" s="30"/>
      <c r="D3132" s="30"/>
      <c r="E3132" s="30"/>
      <c r="F3132" s="22"/>
      <c r="G3132" s="23"/>
      <c r="H3132" s="23"/>
      <c r="I3132" s="23"/>
      <c r="J3132" s="23"/>
      <c r="K3132" s="23"/>
      <c r="L3132" s="23"/>
      <c r="M3132" s="23"/>
      <c r="N3132" s="23"/>
      <c r="O3132" s="23"/>
      <c r="P3132" s="23"/>
      <c r="Q3132" s="23"/>
      <c r="R3132" s="23"/>
      <c r="S3132" s="23"/>
      <c r="T3132" s="23"/>
      <c r="U3132" s="23"/>
    </row>
    <row r="3133">
      <c r="A3133" s="20"/>
      <c r="B3133" s="20"/>
      <c r="C3133" s="30"/>
      <c r="D3133" s="30"/>
      <c r="E3133" s="30"/>
      <c r="F3133" s="22"/>
      <c r="G3133" s="23"/>
      <c r="H3133" s="23"/>
      <c r="I3133" s="23"/>
      <c r="J3133" s="23"/>
      <c r="K3133" s="23"/>
      <c r="L3133" s="23"/>
      <c r="M3133" s="23"/>
      <c r="N3133" s="23"/>
      <c r="O3133" s="23"/>
      <c r="P3133" s="23"/>
      <c r="Q3133" s="23"/>
      <c r="R3133" s="23"/>
      <c r="S3133" s="23"/>
      <c r="T3133" s="23"/>
      <c r="U3133" s="23"/>
    </row>
    <row r="3134">
      <c r="A3134" s="20"/>
      <c r="B3134" s="20"/>
      <c r="C3134" s="30"/>
      <c r="D3134" s="30"/>
      <c r="E3134" s="30"/>
      <c r="F3134" s="22"/>
      <c r="G3134" s="23"/>
      <c r="H3134" s="23"/>
      <c r="I3134" s="23"/>
      <c r="J3134" s="23"/>
      <c r="K3134" s="23"/>
      <c r="L3134" s="23"/>
      <c r="M3134" s="23"/>
      <c r="N3134" s="23"/>
      <c r="O3134" s="23"/>
      <c r="P3134" s="23"/>
      <c r="Q3134" s="23"/>
      <c r="R3134" s="23"/>
      <c r="S3134" s="23"/>
      <c r="T3134" s="23"/>
      <c r="U3134" s="23"/>
    </row>
    <row r="3135">
      <c r="A3135" s="20"/>
      <c r="B3135" s="20"/>
      <c r="C3135" s="30"/>
      <c r="D3135" s="30"/>
      <c r="E3135" s="30"/>
      <c r="F3135" s="22"/>
      <c r="G3135" s="23"/>
      <c r="H3135" s="23"/>
      <c r="I3135" s="23"/>
      <c r="J3135" s="23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</row>
    <row r="3136">
      <c r="A3136" s="20"/>
      <c r="B3136" s="20"/>
      <c r="C3136" s="30"/>
      <c r="D3136" s="30"/>
      <c r="E3136" s="30"/>
      <c r="F3136" s="22"/>
      <c r="G3136" s="23"/>
      <c r="H3136" s="23"/>
      <c r="I3136" s="23"/>
      <c r="J3136" s="23"/>
      <c r="K3136" s="23"/>
      <c r="L3136" s="23"/>
      <c r="M3136" s="23"/>
      <c r="N3136" s="23"/>
      <c r="O3136" s="23"/>
      <c r="P3136" s="23"/>
      <c r="Q3136" s="23"/>
      <c r="R3136" s="23"/>
      <c r="S3136" s="23"/>
      <c r="T3136" s="23"/>
      <c r="U3136" s="23"/>
    </row>
    <row r="3137">
      <c r="A3137" s="20"/>
      <c r="B3137" s="20"/>
      <c r="C3137" s="30"/>
      <c r="D3137" s="30"/>
      <c r="E3137" s="30"/>
      <c r="F3137" s="22"/>
      <c r="G3137" s="23"/>
      <c r="H3137" s="23"/>
      <c r="I3137" s="23"/>
      <c r="J3137" s="23"/>
      <c r="K3137" s="23"/>
      <c r="L3137" s="23"/>
      <c r="M3137" s="23"/>
      <c r="N3137" s="23"/>
      <c r="O3137" s="23"/>
      <c r="P3137" s="23"/>
      <c r="Q3137" s="23"/>
      <c r="R3137" s="23"/>
      <c r="S3137" s="23"/>
      <c r="T3137" s="23"/>
      <c r="U3137" s="23"/>
    </row>
    <row r="3138">
      <c r="A3138" s="20"/>
      <c r="B3138" s="20"/>
      <c r="C3138" s="30"/>
      <c r="D3138" s="30"/>
      <c r="E3138" s="30"/>
      <c r="F3138" s="22"/>
      <c r="G3138" s="23"/>
      <c r="H3138" s="23"/>
      <c r="I3138" s="23"/>
      <c r="J3138" s="23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</row>
    <row r="3139">
      <c r="A3139" s="20"/>
      <c r="B3139" s="20"/>
      <c r="C3139" s="30"/>
      <c r="D3139" s="30"/>
      <c r="E3139" s="30"/>
      <c r="F3139" s="22"/>
      <c r="G3139" s="23"/>
      <c r="H3139" s="23"/>
      <c r="I3139" s="23"/>
      <c r="J3139" s="23"/>
      <c r="K3139" s="23"/>
      <c r="L3139" s="23"/>
      <c r="M3139" s="23"/>
      <c r="N3139" s="23"/>
      <c r="O3139" s="23"/>
      <c r="P3139" s="23"/>
      <c r="Q3139" s="23"/>
      <c r="R3139" s="23"/>
      <c r="S3139" s="23"/>
      <c r="T3139" s="23"/>
      <c r="U3139" s="23"/>
    </row>
    <row r="3140">
      <c r="A3140" s="20"/>
      <c r="B3140" s="20"/>
      <c r="C3140" s="30"/>
      <c r="D3140" s="30"/>
      <c r="E3140" s="30"/>
      <c r="F3140" s="22"/>
      <c r="G3140" s="23"/>
      <c r="H3140" s="23"/>
      <c r="I3140" s="23"/>
      <c r="J3140" s="23"/>
      <c r="K3140" s="23"/>
      <c r="L3140" s="23"/>
      <c r="M3140" s="23"/>
      <c r="N3140" s="23"/>
      <c r="O3140" s="23"/>
      <c r="P3140" s="23"/>
      <c r="Q3140" s="23"/>
      <c r="R3140" s="23"/>
      <c r="S3140" s="23"/>
      <c r="T3140" s="23"/>
      <c r="U3140" s="23"/>
    </row>
    <row r="3141">
      <c r="A3141" s="20"/>
      <c r="B3141" s="20"/>
      <c r="C3141" s="30"/>
      <c r="D3141" s="30"/>
      <c r="E3141" s="30"/>
      <c r="F3141" s="22"/>
      <c r="G3141" s="23"/>
      <c r="H3141" s="23"/>
      <c r="I3141" s="23"/>
      <c r="J3141" s="23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</row>
    <row r="3142">
      <c r="A3142" s="20"/>
      <c r="B3142" s="20"/>
      <c r="C3142" s="30"/>
      <c r="D3142" s="30"/>
      <c r="E3142" s="30"/>
      <c r="F3142" s="22"/>
      <c r="G3142" s="23"/>
      <c r="H3142" s="23"/>
      <c r="I3142" s="23"/>
      <c r="J3142" s="23"/>
      <c r="K3142" s="23"/>
      <c r="L3142" s="23"/>
      <c r="M3142" s="23"/>
      <c r="N3142" s="23"/>
      <c r="O3142" s="23"/>
      <c r="P3142" s="23"/>
      <c r="Q3142" s="23"/>
      <c r="R3142" s="23"/>
      <c r="S3142" s="23"/>
      <c r="T3142" s="23"/>
      <c r="U3142" s="23"/>
    </row>
    <row r="3143">
      <c r="A3143" s="20"/>
      <c r="B3143" s="20"/>
      <c r="C3143" s="30"/>
      <c r="D3143" s="30"/>
      <c r="E3143" s="30"/>
      <c r="F3143" s="22"/>
      <c r="G3143" s="23"/>
      <c r="H3143" s="23"/>
      <c r="I3143" s="23"/>
      <c r="J3143" s="23"/>
      <c r="K3143" s="23"/>
      <c r="L3143" s="23"/>
      <c r="M3143" s="23"/>
      <c r="N3143" s="23"/>
      <c r="O3143" s="23"/>
      <c r="P3143" s="23"/>
      <c r="Q3143" s="23"/>
      <c r="R3143" s="23"/>
      <c r="S3143" s="23"/>
      <c r="T3143" s="23"/>
      <c r="U3143" s="23"/>
    </row>
    <row r="3144">
      <c r="A3144" s="20"/>
      <c r="B3144" s="20"/>
      <c r="C3144" s="30"/>
      <c r="D3144" s="30"/>
      <c r="E3144" s="30"/>
      <c r="F3144" s="22"/>
      <c r="G3144" s="23"/>
      <c r="H3144" s="23"/>
      <c r="I3144" s="23"/>
      <c r="J3144" s="23"/>
      <c r="K3144" s="23"/>
      <c r="L3144" s="23"/>
      <c r="M3144" s="23"/>
      <c r="N3144" s="23"/>
      <c r="O3144" s="23"/>
      <c r="P3144" s="23"/>
      <c r="Q3144" s="23"/>
      <c r="R3144" s="23"/>
      <c r="S3144" s="23"/>
      <c r="T3144" s="23"/>
      <c r="U3144" s="23"/>
    </row>
    <row r="3145">
      <c r="A3145" s="20"/>
      <c r="B3145" s="20"/>
      <c r="C3145" s="30"/>
      <c r="D3145" s="30"/>
      <c r="E3145" s="30"/>
      <c r="F3145" s="22"/>
      <c r="G3145" s="23"/>
      <c r="H3145" s="23"/>
      <c r="I3145" s="23"/>
      <c r="J3145" s="23"/>
      <c r="K3145" s="23"/>
      <c r="L3145" s="23"/>
      <c r="M3145" s="23"/>
      <c r="N3145" s="23"/>
      <c r="O3145" s="23"/>
      <c r="P3145" s="23"/>
      <c r="Q3145" s="23"/>
      <c r="R3145" s="23"/>
      <c r="S3145" s="23"/>
      <c r="T3145" s="23"/>
      <c r="U3145" s="23"/>
    </row>
    <row r="3146">
      <c r="A3146" s="20"/>
      <c r="B3146" s="20"/>
      <c r="C3146" s="30"/>
      <c r="D3146" s="30"/>
      <c r="E3146" s="30"/>
      <c r="F3146" s="22"/>
      <c r="G3146" s="23"/>
      <c r="H3146" s="23"/>
      <c r="I3146" s="23"/>
      <c r="J3146" s="23"/>
      <c r="K3146" s="23"/>
      <c r="L3146" s="23"/>
      <c r="M3146" s="23"/>
      <c r="N3146" s="23"/>
      <c r="O3146" s="23"/>
      <c r="P3146" s="23"/>
      <c r="Q3146" s="23"/>
      <c r="R3146" s="23"/>
      <c r="S3146" s="23"/>
      <c r="T3146" s="23"/>
      <c r="U3146" s="23"/>
    </row>
    <row r="3147">
      <c r="A3147" s="20"/>
      <c r="B3147" s="20"/>
      <c r="C3147" s="30"/>
      <c r="D3147" s="30"/>
      <c r="E3147" s="30"/>
      <c r="F3147" s="22"/>
      <c r="G3147" s="23"/>
      <c r="H3147" s="23"/>
      <c r="I3147" s="23"/>
      <c r="J3147" s="23"/>
      <c r="K3147" s="23"/>
      <c r="L3147" s="23"/>
      <c r="M3147" s="23"/>
      <c r="N3147" s="23"/>
      <c r="O3147" s="23"/>
      <c r="P3147" s="23"/>
      <c r="Q3147" s="23"/>
      <c r="R3147" s="23"/>
      <c r="S3147" s="23"/>
      <c r="T3147" s="23"/>
      <c r="U3147" s="23"/>
    </row>
    <row r="3148">
      <c r="A3148" s="20"/>
      <c r="B3148" s="20"/>
      <c r="C3148" s="30"/>
      <c r="D3148" s="30"/>
      <c r="E3148" s="30"/>
      <c r="F3148" s="22"/>
      <c r="G3148" s="23"/>
      <c r="H3148" s="23"/>
      <c r="I3148" s="23"/>
      <c r="J3148" s="23"/>
      <c r="K3148" s="23"/>
      <c r="L3148" s="23"/>
      <c r="M3148" s="23"/>
      <c r="N3148" s="23"/>
      <c r="O3148" s="23"/>
      <c r="P3148" s="23"/>
      <c r="Q3148" s="23"/>
      <c r="R3148" s="23"/>
      <c r="S3148" s="23"/>
      <c r="T3148" s="23"/>
      <c r="U3148" s="23"/>
    </row>
    <row r="3149">
      <c r="A3149" s="20"/>
      <c r="B3149" s="20"/>
      <c r="C3149" s="30"/>
      <c r="D3149" s="30"/>
      <c r="E3149" s="30"/>
      <c r="F3149" s="22"/>
      <c r="G3149" s="23"/>
      <c r="H3149" s="23"/>
      <c r="I3149" s="23"/>
      <c r="J3149" s="23"/>
      <c r="K3149" s="23"/>
      <c r="L3149" s="23"/>
      <c r="M3149" s="23"/>
      <c r="N3149" s="23"/>
      <c r="O3149" s="23"/>
      <c r="P3149" s="23"/>
      <c r="Q3149" s="23"/>
      <c r="R3149" s="23"/>
      <c r="S3149" s="23"/>
      <c r="T3149" s="23"/>
      <c r="U3149" s="23"/>
    </row>
    <row r="3150">
      <c r="A3150" s="20"/>
      <c r="B3150" s="20"/>
      <c r="C3150" s="30"/>
      <c r="D3150" s="30"/>
      <c r="E3150" s="30"/>
      <c r="F3150" s="22"/>
      <c r="G3150" s="23"/>
      <c r="H3150" s="23"/>
      <c r="I3150" s="23"/>
      <c r="J3150" s="23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</row>
    <row r="3151">
      <c r="A3151" s="20"/>
      <c r="B3151" s="20"/>
      <c r="C3151" s="30"/>
      <c r="D3151" s="30"/>
      <c r="E3151" s="30"/>
      <c r="F3151" s="22"/>
      <c r="G3151" s="23"/>
      <c r="H3151" s="23"/>
      <c r="I3151" s="23"/>
      <c r="J3151" s="23"/>
      <c r="K3151" s="23"/>
      <c r="L3151" s="23"/>
      <c r="M3151" s="23"/>
      <c r="N3151" s="23"/>
      <c r="O3151" s="23"/>
      <c r="P3151" s="23"/>
      <c r="Q3151" s="23"/>
      <c r="R3151" s="23"/>
      <c r="S3151" s="23"/>
      <c r="T3151" s="23"/>
      <c r="U3151" s="23"/>
    </row>
    <row r="3152">
      <c r="A3152" s="20"/>
      <c r="B3152" s="20"/>
      <c r="C3152" s="30"/>
      <c r="D3152" s="30"/>
      <c r="E3152" s="30"/>
      <c r="F3152" s="22"/>
      <c r="G3152" s="23"/>
      <c r="H3152" s="23"/>
      <c r="I3152" s="23"/>
      <c r="J3152" s="23"/>
      <c r="K3152" s="23"/>
      <c r="L3152" s="23"/>
      <c r="M3152" s="23"/>
      <c r="N3152" s="23"/>
      <c r="O3152" s="23"/>
      <c r="P3152" s="23"/>
      <c r="Q3152" s="23"/>
      <c r="R3152" s="23"/>
      <c r="S3152" s="23"/>
      <c r="T3152" s="23"/>
      <c r="U3152" s="23"/>
    </row>
    <row r="3153">
      <c r="A3153" s="20"/>
      <c r="B3153" s="20"/>
      <c r="C3153" s="30"/>
      <c r="D3153" s="30"/>
      <c r="E3153" s="30"/>
      <c r="F3153" s="22"/>
      <c r="G3153" s="23"/>
      <c r="H3153" s="23"/>
      <c r="I3153" s="23"/>
      <c r="J3153" s="23"/>
      <c r="K3153" s="23"/>
      <c r="L3153" s="23"/>
      <c r="M3153" s="23"/>
      <c r="N3153" s="23"/>
      <c r="O3153" s="23"/>
      <c r="P3153" s="23"/>
      <c r="Q3153" s="23"/>
      <c r="R3153" s="23"/>
      <c r="S3153" s="23"/>
      <c r="T3153" s="23"/>
      <c r="U3153" s="23"/>
    </row>
    <row r="3154">
      <c r="A3154" s="20"/>
      <c r="B3154" s="20"/>
      <c r="C3154" s="30"/>
      <c r="D3154" s="30"/>
      <c r="E3154" s="30"/>
      <c r="F3154" s="22"/>
      <c r="G3154" s="23"/>
      <c r="H3154" s="23"/>
      <c r="I3154" s="23"/>
      <c r="J3154" s="23"/>
      <c r="K3154" s="23"/>
      <c r="L3154" s="23"/>
      <c r="M3154" s="23"/>
      <c r="N3154" s="23"/>
      <c r="O3154" s="23"/>
      <c r="P3154" s="23"/>
      <c r="Q3154" s="23"/>
      <c r="R3154" s="23"/>
      <c r="S3154" s="23"/>
      <c r="T3154" s="23"/>
      <c r="U3154" s="23"/>
    </row>
    <row r="3155">
      <c r="A3155" s="20"/>
      <c r="B3155" s="20"/>
      <c r="C3155" s="30"/>
      <c r="D3155" s="30"/>
      <c r="E3155" s="30"/>
      <c r="F3155" s="22"/>
      <c r="G3155" s="23"/>
      <c r="H3155" s="23"/>
      <c r="I3155" s="23"/>
      <c r="J3155" s="23"/>
      <c r="K3155" s="23"/>
      <c r="L3155" s="23"/>
      <c r="M3155" s="23"/>
      <c r="N3155" s="23"/>
      <c r="O3155" s="23"/>
      <c r="P3155" s="23"/>
      <c r="Q3155" s="23"/>
      <c r="R3155" s="23"/>
      <c r="S3155" s="23"/>
      <c r="T3155" s="23"/>
      <c r="U3155" s="23"/>
    </row>
    <row r="3156">
      <c r="A3156" s="20"/>
      <c r="B3156" s="20"/>
      <c r="C3156" s="30"/>
      <c r="D3156" s="30"/>
      <c r="E3156" s="30"/>
      <c r="F3156" s="22"/>
      <c r="G3156" s="23"/>
      <c r="H3156" s="23"/>
      <c r="I3156" s="23"/>
      <c r="J3156" s="23"/>
      <c r="K3156" s="23"/>
      <c r="L3156" s="23"/>
      <c r="M3156" s="23"/>
      <c r="N3156" s="23"/>
      <c r="O3156" s="23"/>
      <c r="P3156" s="23"/>
      <c r="Q3156" s="23"/>
      <c r="R3156" s="23"/>
      <c r="S3156" s="23"/>
      <c r="T3156" s="23"/>
      <c r="U3156" s="23"/>
    </row>
    <row r="3157">
      <c r="A3157" s="20"/>
      <c r="B3157" s="20"/>
      <c r="C3157" s="30"/>
      <c r="D3157" s="30"/>
      <c r="E3157" s="30"/>
      <c r="F3157" s="22"/>
      <c r="G3157" s="23"/>
      <c r="H3157" s="23"/>
      <c r="I3157" s="23"/>
      <c r="J3157" s="23"/>
      <c r="K3157" s="23"/>
      <c r="L3157" s="23"/>
      <c r="M3157" s="23"/>
      <c r="N3157" s="23"/>
      <c r="O3157" s="23"/>
      <c r="P3157" s="23"/>
      <c r="Q3157" s="23"/>
      <c r="R3157" s="23"/>
      <c r="S3157" s="23"/>
      <c r="T3157" s="23"/>
      <c r="U3157" s="23"/>
    </row>
    <row r="3158">
      <c r="A3158" s="20"/>
      <c r="B3158" s="20"/>
      <c r="C3158" s="30"/>
      <c r="D3158" s="30"/>
      <c r="E3158" s="30"/>
      <c r="F3158" s="22"/>
      <c r="G3158" s="23"/>
      <c r="H3158" s="23"/>
      <c r="I3158" s="23"/>
      <c r="J3158" s="23"/>
      <c r="K3158" s="23"/>
      <c r="L3158" s="23"/>
      <c r="M3158" s="23"/>
      <c r="N3158" s="23"/>
      <c r="O3158" s="23"/>
      <c r="P3158" s="23"/>
      <c r="Q3158" s="23"/>
      <c r="R3158" s="23"/>
      <c r="S3158" s="23"/>
      <c r="T3158" s="23"/>
      <c r="U3158" s="23"/>
    </row>
    <row r="3159">
      <c r="A3159" s="20"/>
      <c r="B3159" s="20"/>
      <c r="C3159" s="30"/>
      <c r="D3159" s="30"/>
      <c r="E3159" s="30"/>
      <c r="F3159" s="22"/>
      <c r="G3159" s="23"/>
      <c r="H3159" s="23"/>
      <c r="I3159" s="23"/>
      <c r="J3159" s="23"/>
      <c r="K3159" s="23"/>
      <c r="L3159" s="23"/>
      <c r="M3159" s="23"/>
      <c r="N3159" s="23"/>
      <c r="O3159" s="23"/>
      <c r="P3159" s="23"/>
      <c r="Q3159" s="23"/>
      <c r="R3159" s="23"/>
      <c r="S3159" s="23"/>
      <c r="T3159" s="23"/>
      <c r="U3159" s="23"/>
    </row>
    <row r="3160">
      <c r="A3160" s="20"/>
      <c r="B3160" s="20"/>
      <c r="C3160" s="30"/>
      <c r="D3160" s="30"/>
      <c r="E3160" s="30"/>
      <c r="F3160" s="22"/>
      <c r="G3160" s="23"/>
      <c r="H3160" s="23"/>
      <c r="I3160" s="23"/>
      <c r="J3160" s="23"/>
      <c r="K3160" s="23"/>
      <c r="L3160" s="23"/>
      <c r="M3160" s="23"/>
      <c r="N3160" s="23"/>
      <c r="O3160" s="23"/>
      <c r="P3160" s="23"/>
      <c r="Q3160" s="23"/>
      <c r="R3160" s="23"/>
      <c r="S3160" s="23"/>
      <c r="T3160" s="23"/>
      <c r="U3160" s="23"/>
    </row>
    <row r="3161">
      <c r="A3161" s="20"/>
      <c r="B3161" s="20"/>
      <c r="C3161" s="30"/>
      <c r="D3161" s="30"/>
      <c r="E3161" s="30"/>
      <c r="F3161" s="22"/>
      <c r="G3161" s="23"/>
      <c r="H3161" s="23"/>
      <c r="I3161" s="23"/>
      <c r="J3161" s="23"/>
      <c r="K3161" s="23"/>
      <c r="L3161" s="23"/>
      <c r="M3161" s="23"/>
      <c r="N3161" s="23"/>
      <c r="O3161" s="23"/>
      <c r="P3161" s="23"/>
      <c r="Q3161" s="23"/>
      <c r="R3161" s="23"/>
      <c r="S3161" s="23"/>
      <c r="T3161" s="23"/>
      <c r="U3161" s="23"/>
    </row>
    <row r="3162">
      <c r="A3162" s="20"/>
      <c r="B3162" s="20"/>
      <c r="C3162" s="30"/>
      <c r="D3162" s="30"/>
      <c r="E3162" s="30"/>
      <c r="F3162" s="22"/>
      <c r="G3162" s="23"/>
      <c r="H3162" s="23"/>
      <c r="I3162" s="23"/>
      <c r="J3162" s="23"/>
      <c r="K3162" s="23"/>
      <c r="L3162" s="23"/>
      <c r="M3162" s="23"/>
      <c r="N3162" s="23"/>
      <c r="O3162" s="23"/>
      <c r="P3162" s="23"/>
      <c r="Q3162" s="23"/>
      <c r="R3162" s="23"/>
      <c r="S3162" s="23"/>
      <c r="T3162" s="23"/>
      <c r="U3162" s="23"/>
    </row>
    <row r="3163">
      <c r="A3163" s="20"/>
      <c r="B3163" s="20"/>
      <c r="C3163" s="30"/>
      <c r="D3163" s="30"/>
      <c r="E3163" s="30"/>
      <c r="F3163" s="22"/>
      <c r="G3163" s="23"/>
      <c r="H3163" s="23"/>
      <c r="I3163" s="23"/>
      <c r="J3163" s="23"/>
      <c r="K3163" s="23"/>
      <c r="L3163" s="23"/>
      <c r="M3163" s="23"/>
      <c r="N3163" s="23"/>
      <c r="O3163" s="23"/>
      <c r="P3163" s="23"/>
      <c r="Q3163" s="23"/>
      <c r="R3163" s="23"/>
      <c r="S3163" s="23"/>
      <c r="T3163" s="23"/>
      <c r="U3163" s="23"/>
    </row>
    <row r="3164">
      <c r="A3164" s="20"/>
      <c r="B3164" s="20"/>
      <c r="C3164" s="30"/>
      <c r="D3164" s="30"/>
      <c r="E3164" s="30"/>
      <c r="F3164" s="22"/>
      <c r="G3164" s="23"/>
      <c r="H3164" s="23"/>
      <c r="I3164" s="23"/>
      <c r="J3164" s="23"/>
      <c r="K3164" s="23"/>
      <c r="L3164" s="23"/>
      <c r="M3164" s="23"/>
      <c r="N3164" s="23"/>
      <c r="O3164" s="23"/>
      <c r="P3164" s="23"/>
      <c r="Q3164" s="23"/>
      <c r="R3164" s="23"/>
      <c r="S3164" s="23"/>
      <c r="T3164" s="23"/>
      <c r="U3164" s="23"/>
    </row>
    <row r="3165">
      <c r="A3165" s="20"/>
      <c r="B3165" s="20"/>
      <c r="C3165" s="30"/>
      <c r="D3165" s="30"/>
      <c r="E3165" s="30"/>
      <c r="F3165" s="22"/>
      <c r="G3165" s="23"/>
      <c r="H3165" s="23"/>
      <c r="I3165" s="23"/>
      <c r="J3165" s="23"/>
      <c r="K3165" s="23"/>
      <c r="L3165" s="23"/>
      <c r="M3165" s="23"/>
      <c r="N3165" s="23"/>
      <c r="O3165" s="23"/>
      <c r="P3165" s="23"/>
      <c r="Q3165" s="23"/>
      <c r="R3165" s="23"/>
      <c r="S3165" s="23"/>
      <c r="T3165" s="23"/>
      <c r="U3165" s="23"/>
    </row>
    <row r="3166">
      <c r="A3166" s="20"/>
      <c r="B3166" s="20"/>
      <c r="C3166" s="30"/>
      <c r="D3166" s="30"/>
      <c r="E3166" s="30"/>
      <c r="F3166" s="22"/>
      <c r="G3166" s="23"/>
      <c r="H3166" s="23"/>
      <c r="I3166" s="23"/>
      <c r="J3166" s="23"/>
      <c r="K3166" s="23"/>
      <c r="L3166" s="23"/>
      <c r="M3166" s="23"/>
      <c r="N3166" s="23"/>
      <c r="O3166" s="23"/>
      <c r="P3166" s="23"/>
      <c r="Q3166" s="23"/>
      <c r="R3166" s="23"/>
      <c r="S3166" s="23"/>
      <c r="T3166" s="23"/>
      <c r="U3166" s="23"/>
    </row>
    <row r="3167">
      <c r="A3167" s="20"/>
      <c r="B3167" s="20"/>
      <c r="C3167" s="30"/>
      <c r="D3167" s="30"/>
      <c r="E3167" s="30"/>
      <c r="F3167" s="22"/>
      <c r="G3167" s="23"/>
      <c r="H3167" s="23"/>
      <c r="I3167" s="23"/>
      <c r="J3167" s="23"/>
      <c r="K3167" s="23"/>
      <c r="L3167" s="23"/>
      <c r="M3167" s="23"/>
      <c r="N3167" s="23"/>
      <c r="O3167" s="23"/>
      <c r="P3167" s="23"/>
      <c r="Q3167" s="23"/>
      <c r="R3167" s="23"/>
      <c r="S3167" s="23"/>
      <c r="T3167" s="23"/>
      <c r="U3167" s="23"/>
    </row>
    <row r="3168">
      <c r="A3168" s="20"/>
      <c r="B3168" s="20"/>
      <c r="C3168" s="30"/>
      <c r="D3168" s="30"/>
      <c r="E3168" s="30"/>
      <c r="F3168" s="22"/>
      <c r="G3168" s="23"/>
      <c r="H3168" s="23"/>
      <c r="I3168" s="23"/>
      <c r="J3168" s="23"/>
      <c r="K3168" s="23"/>
      <c r="L3168" s="23"/>
      <c r="M3168" s="23"/>
      <c r="N3168" s="23"/>
      <c r="O3168" s="23"/>
      <c r="P3168" s="23"/>
      <c r="Q3168" s="23"/>
      <c r="R3168" s="23"/>
      <c r="S3168" s="23"/>
      <c r="T3168" s="23"/>
      <c r="U3168" s="23"/>
    </row>
    <row r="3169">
      <c r="A3169" s="20"/>
      <c r="B3169" s="20"/>
      <c r="C3169" s="30"/>
      <c r="D3169" s="30"/>
      <c r="E3169" s="30"/>
      <c r="F3169" s="22"/>
      <c r="G3169" s="23"/>
      <c r="H3169" s="23"/>
      <c r="I3169" s="23"/>
      <c r="J3169" s="23"/>
      <c r="K3169" s="23"/>
      <c r="L3169" s="23"/>
      <c r="M3169" s="23"/>
      <c r="N3169" s="23"/>
      <c r="O3169" s="23"/>
      <c r="P3169" s="23"/>
      <c r="Q3169" s="23"/>
      <c r="R3169" s="23"/>
      <c r="S3169" s="23"/>
      <c r="T3169" s="23"/>
      <c r="U3169" s="23"/>
    </row>
    <row r="3170">
      <c r="A3170" s="20"/>
      <c r="B3170" s="20"/>
      <c r="C3170" s="30"/>
      <c r="D3170" s="30"/>
      <c r="E3170" s="30"/>
      <c r="F3170" s="22"/>
      <c r="G3170" s="23"/>
      <c r="H3170" s="23"/>
      <c r="I3170" s="23"/>
      <c r="J3170" s="23"/>
      <c r="K3170" s="23"/>
      <c r="L3170" s="23"/>
      <c r="M3170" s="23"/>
      <c r="N3170" s="23"/>
      <c r="O3170" s="23"/>
      <c r="P3170" s="23"/>
      <c r="Q3170" s="23"/>
      <c r="R3170" s="23"/>
      <c r="S3170" s="23"/>
      <c r="T3170" s="23"/>
      <c r="U3170" s="23"/>
    </row>
    <row r="3171">
      <c r="A3171" s="20"/>
      <c r="B3171" s="20"/>
      <c r="C3171" s="30"/>
      <c r="D3171" s="30"/>
      <c r="E3171" s="30"/>
      <c r="F3171" s="22"/>
      <c r="G3171" s="23"/>
      <c r="H3171" s="23"/>
      <c r="I3171" s="23"/>
      <c r="J3171" s="23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</row>
    <row r="3172">
      <c r="A3172" s="20"/>
      <c r="B3172" s="20"/>
      <c r="C3172" s="30"/>
      <c r="D3172" s="30"/>
      <c r="E3172" s="30"/>
      <c r="F3172" s="22"/>
      <c r="G3172" s="23"/>
      <c r="H3172" s="23"/>
      <c r="I3172" s="23"/>
      <c r="J3172" s="23"/>
      <c r="K3172" s="23"/>
      <c r="L3172" s="23"/>
      <c r="M3172" s="23"/>
      <c r="N3172" s="23"/>
      <c r="O3172" s="23"/>
      <c r="P3172" s="23"/>
      <c r="Q3172" s="23"/>
      <c r="R3172" s="23"/>
      <c r="S3172" s="23"/>
      <c r="T3172" s="23"/>
      <c r="U3172" s="23"/>
    </row>
    <row r="3173">
      <c r="A3173" s="20"/>
      <c r="B3173" s="20"/>
      <c r="C3173" s="30"/>
      <c r="D3173" s="30"/>
      <c r="E3173" s="30"/>
      <c r="F3173" s="22"/>
      <c r="G3173" s="23"/>
      <c r="H3173" s="23"/>
      <c r="I3173" s="23"/>
      <c r="J3173" s="23"/>
      <c r="K3173" s="23"/>
      <c r="L3173" s="23"/>
      <c r="M3173" s="23"/>
      <c r="N3173" s="23"/>
      <c r="O3173" s="23"/>
      <c r="P3173" s="23"/>
      <c r="Q3173" s="23"/>
      <c r="R3173" s="23"/>
      <c r="S3173" s="23"/>
      <c r="T3173" s="23"/>
      <c r="U3173" s="23"/>
    </row>
    <row r="3174">
      <c r="A3174" s="20"/>
      <c r="B3174" s="20"/>
      <c r="C3174" s="30"/>
      <c r="D3174" s="30"/>
      <c r="E3174" s="30"/>
      <c r="F3174" s="22"/>
      <c r="G3174" s="23"/>
      <c r="H3174" s="23"/>
      <c r="I3174" s="23"/>
      <c r="J3174" s="23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</row>
    <row r="3175">
      <c r="A3175" s="20"/>
      <c r="B3175" s="20"/>
      <c r="C3175" s="30"/>
      <c r="D3175" s="30"/>
      <c r="E3175" s="30"/>
      <c r="F3175" s="22"/>
      <c r="G3175" s="23"/>
      <c r="H3175" s="23"/>
      <c r="I3175" s="23"/>
      <c r="J3175" s="23"/>
      <c r="K3175" s="23"/>
      <c r="L3175" s="23"/>
      <c r="M3175" s="23"/>
      <c r="N3175" s="23"/>
      <c r="O3175" s="23"/>
      <c r="P3175" s="23"/>
      <c r="Q3175" s="23"/>
      <c r="R3175" s="23"/>
      <c r="S3175" s="23"/>
      <c r="T3175" s="23"/>
      <c r="U3175" s="23"/>
    </row>
    <row r="3176">
      <c r="A3176" s="20"/>
      <c r="B3176" s="20"/>
      <c r="C3176" s="30"/>
      <c r="D3176" s="30"/>
      <c r="E3176" s="30"/>
      <c r="F3176" s="22"/>
      <c r="G3176" s="23"/>
      <c r="H3176" s="23"/>
      <c r="I3176" s="23"/>
      <c r="J3176" s="23"/>
      <c r="K3176" s="23"/>
      <c r="L3176" s="23"/>
      <c r="M3176" s="23"/>
      <c r="N3176" s="23"/>
      <c r="O3176" s="23"/>
      <c r="P3176" s="23"/>
      <c r="Q3176" s="23"/>
      <c r="R3176" s="23"/>
      <c r="S3176" s="23"/>
      <c r="T3176" s="23"/>
      <c r="U3176" s="23"/>
    </row>
    <row r="3177">
      <c r="A3177" s="20"/>
      <c r="B3177" s="20"/>
      <c r="C3177" s="30"/>
      <c r="D3177" s="30"/>
      <c r="E3177" s="30"/>
      <c r="F3177" s="22"/>
      <c r="G3177" s="23"/>
      <c r="H3177" s="23"/>
      <c r="I3177" s="23"/>
      <c r="J3177" s="23"/>
      <c r="K3177" s="23"/>
      <c r="L3177" s="23"/>
      <c r="M3177" s="23"/>
      <c r="N3177" s="23"/>
      <c r="O3177" s="23"/>
      <c r="P3177" s="23"/>
      <c r="Q3177" s="23"/>
      <c r="R3177" s="23"/>
      <c r="S3177" s="23"/>
      <c r="T3177" s="23"/>
      <c r="U3177" s="23"/>
    </row>
    <row r="3178">
      <c r="A3178" s="20"/>
      <c r="B3178" s="20"/>
      <c r="C3178" s="30"/>
      <c r="D3178" s="30"/>
      <c r="E3178" s="30"/>
      <c r="F3178" s="22"/>
      <c r="G3178" s="23"/>
      <c r="H3178" s="23"/>
      <c r="I3178" s="23"/>
      <c r="J3178" s="23"/>
      <c r="K3178" s="23"/>
      <c r="L3178" s="23"/>
      <c r="M3178" s="23"/>
      <c r="N3178" s="23"/>
      <c r="O3178" s="23"/>
      <c r="P3178" s="23"/>
      <c r="Q3178" s="23"/>
      <c r="R3178" s="23"/>
      <c r="S3178" s="23"/>
      <c r="T3178" s="23"/>
      <c r="U3178" s="23"/>
    </row>
    <row r="3179">
      <c r="A3179" s="20"/>
      <c r="B3179" s="20"/>
      <c r="C3179" s="30"/>
      <c r="D3179" s="30"/>
      <c r="E3179" s="30"/>
      <c r="F3179" s="22"/>
      <c r="G3179" s="23"/>
      <c r="H3179" s="23"/>
      <c r="I3179" s="23"/>
      <c r="J3179" s="23"/>
      <c r="K3179" s="23"/>
      <c r="L3179" s="23"/>
      <c r="M3179" s="23"/>
      <c r="N3179" s="23"/>
      <c r="O3179" s="23"/>
      <c r="P3179" s="23"/>
      <c r="Q3179" s="23"/>
      <c r="R3179" s="23"/>
      <c r="S3179" s="23"/>
      <c r="T3179" s="23"/>
      <c r="U3179" s="23"/>
    </row>
    <row r="3180">
      <c r="A3180" s="20"/>
      <c r="B3180" s="20"/>
      <c r="C3180" s="30"/>
      <c r="D3180" s="30"/>
      <c r="E3180" s="30"/>
      <c r="F3180" s="22"/>
      <c r="G3180" s="23"/>
      <c r="H3180" s="23"/>
      <c r="I3180" s="23"/>
      <c r="J3180" s="23"/>
      <c r="K3180" s="23"/>
      <c r="L3180" s="23"/>
      <c r="M3180" s="23"/>
      <c r="N3180" s="23"/>
      <c r="O3180" s="23"/>
      <c r="P3180" s="23"/>
      <c r="Q3180" s="23"/>
      <c r="R3180" s="23"/>
      <c r="S3180" s="23"/>
      <c r="T3180" s="23"/>
      <c r="U3180" s="23"/>
    </row>
    <row r="3181">
      <c r="A3181" s="20"/>
      <c r="B3181" s="20"/>
      <c r="C3181" s="30"/>
      <c r="D3181" s="30"/>
      <c r="E3181" s="30"/>
      <c r="F3181" s="22"/>
      <c r="G3181" s="23"/>
      <c r="H3181" s="23"/>
      <c r="I3181" s="23"/>
      <c r="J3181" s="23"/>
      <c r="K3181" s="23"/>
      <c r="L3181" s="23"/>
      <c r="M3181" s="23"/>
      <c r="N3181" s="23"/>
      <c r="O3181" s="23"/>
      <c r="P3181" s="23"/>
      <c r="Q3181" s="23"/>
      <c r="R3181" s="23"/>
      <c r="S3181" s="23"/>
      <c r="T3181" s="23"/>
      <c r="U3181" s="23"/>
    </row>
    <row r="3182">
      <c r="A3182" s="20"/>
      <c r="B3182" s="20"/>
      <c r="C3182" s="30"/>
      <c r="D3182" s="30"/>
      <c r="E3182" s="30"/>
      <c r="F3182" s="22"/>
      <c r="G3182" s="23"/>
      <c r="H3182" s="23"/>
      <c r="I3182" s="23"/>
      <c r="J3182" s="23"/>
      <c r="K3182" s="23"/>
      <c r="L3182" s="23"/>
      <c r="M3182" s="23"/>
      <c r="N3182" s="23"/>
      <c r="O3182" s="23"/>
      <c r="P3182" s="23"/>
      <c r="Q3182" s="23"/>
      <c r="R3182" s="23"/>
      <c r="S3182" s="23"/>
      <c r="T3182" s="23"/>
      <c r="U3182" s="23"/>
    </row>
    <row r="3183">
      <c r="A3183" s="20"/>
      <c r="B3183" s="20"/>
      <c r="C3183" s="30"/>
      <c r="D3183" s="30"/>
      <c r="E3183" s="30"/>
      <c r="F3183" s="22"/>
      <c r="G3183" s="23"/>
      <c r="H3183" s="23"/>
      <c r="I3183" s="23"/>
      <c r="J3183" s="23"/>
      <c r="K3183" s="23"/>
      <c r="L3183" s="23"/>
      <c r="M3183" s="23"/>
      <c r="N3183" s="23"/>
      <c r="O3183" s="23"/>
      <c r="P3183" s="23"/>
      <c r="Q3183" s="23"/>
      <c r="R3183" s="23"/>
      <c r="S3183" s="23"/>
      <c r="T3183" s="23"/>
      <c r="U3183" s="23"/>
    </row>
    <row r="3184">
      <c r="A3184" s="20"/>
      <c r="B3184" s="20"/>
      <c r="C3184" s="30"/>
      <c r="D3184" s="30"/>
      <c r="E3184" s="30"/>
      <c r="F3184" s="22"/>
      <c r="G3184" s="23"/>
      <c r="H3184" s="23"/>
      <c r="I3184" s="23"/>
      <c r="J3184" s="23"/>
      <c r="K3184" s="23"/>
      <c r="L3184" s="23"/>
      <c r="M3184" s="23"/>
      <c r="N3184" s="23"/>
      <c r="O3184" s="23"/>
      <c r="P3184" s="23"/>
      <c r="Q3184" s="23"/>
      <c r="R3184" s="23"/>
      <c r="S3184" s="23"/>
      <c r="T3184" s="23"/>
      <c r="U3184" s="23"/>
    </row>
    <row r="3185">
      <c r="A3185" s="20"/>
      <c r="B3185" s="20"/>
      <c r="C3185" s="30"/>
      <c r="D3185" s="30"/>
      <c r="E3185" s="30"/>
      <c r="F3185" s="22"/>
      <c r="G3185" s="23"/>
      <c r="H3185" s="23"/>
      <c r="I3185" s="23"/>
      <c r="J3185" s="23"/>
      <c r="K3185" s="23"/>
      <c r="L3185" s="23"/>
      <c r="M3185" s="23"/>
      <c r="N3185" s="23"/>
      <c r="O3185" s="23"/>
      <c r="P3185" s="23"/>
      <c r="Q3185" s="23"/>
      <c r="R3185" s="23"/>
      <c r="S3185" s="23"/>
      <c r="T3185" s="23"/>
      <c r="U3185" s="23"/>
    </row>
    <row r="3186">
      <c r="A3186" s="20"/>
      <c r="B3186" s="20"/>
      <c r="C3186" s="30"/>
      <c r="D3186" s="30"/>
      <c r="E3186" s="30"/>
      <c r="F3186" s="22"/>
      <c r="G3186" s="23"/>
      <c r="H3186" s="23"/>
      <c r="I3186" s="23"/>
      <c r="J3186" s="23"/>
      <c r="K3186" s="23"/>
      <c r="L3186" s="23"/>
      <c r="M3186" s="23"/>
      <c r="N3186" s="23"/>
      <c r="O3186" s="23"/>
      <c r="P3186" s="23"/>
      <c r="Q3186" s="23"/>
      <c r="R3186" s="23"/>
      <c r="S3186" s="23"/>
      <c r="T3186" s="23"/>
      <c r="U3186" s="23"/>
    </row>
    <row r="3187">
      <c r="A3187" s="20"/>
      <c r="B3187" s="20"/>
      <c r="C3187" s="30"/>
      <c r="D3187" s="30"/>
      <c r="E3187" s="30"/>
      <c r="F3187" s="22"/>
      <c r="G3187" s="23"/>
      <c r="H3187" s="23"/>
      <c r="I3187" s="23"/>
      <c r="J3187" s="23"/>
      <c r="K3187" s="23"/>
      <c r="L3187" s="23"/>
      <c r="M3187" s="23"/>
      <c r="N3187" s="23"/>
      <c r="O3187" s="23"/>
      <c r="P3187" s="23"/>
      <c r="Q3187" s="23"/>
      <c r="R3187" s="23"/>
      <c r="S3187" s="23"/>
      <c r="T3187" s="23"/>
      <c r="U3187" s="23"/>
    </row>
    <row r="3188">
      <c r="A3188" s="20"/>
      <c r="B3188" s="20"/>
      <c r="C3188" s="30"/>
      <c r="D3188" s="30"/>
      <c r="E3188" s="30"/>
      <c r="F3188" s="22"/>
      <c r="G3188" s="23"/>
      <c r="H3188" s="23"/>
      <c r="I3188" s="23"/>
      <c r="J3188" s="23"/>
      <c r="K3188" s="23"/>
      <c r="L3188" s="23"/>
      <c r="M3188" s="23"/>
      <c r="N3188" s="23"/>
      <c r="O3188" s="23"/>
      <c r="P3188" s="23"/>
      <c r="Q3188" s="23"/>
      <c r="R3188" s="23"/>
      <c r="S3188" s="23"/>
      <c r="T3188" s="23"/>
      <c r="U3188" s="23"/>
    </row>
    <row r="3189">
      <c r="A3189" s="20"/>
      <c r="B3189" s="20"/>
      <c r="C3189" s="30"/>
      <c r="D3189" s="30"/>
      <c r="E3189" s="30"/>
      <c r="F3189" s="22"/>
      <c r="G3189" s="23"/>
      <c r="H3189" s="23"/>
      <c r="I3189" s="23"/>
      <c r="J3189" s="23"/>
      <c r="K3189" s="23"/>
      <c r="L3189" s="23"/>
      <c r="M3189" s="23"/>
      <c r="N3189" s="23"/>
      <c r="O3189" s="23"/>
      <c r="P3189" s="23"/>
      <c r="Q3189" s="23"/>
      <c r="R3189" s="23"/>
      <c r="S3189" s="23"/>
      <c r="T3189" s="23"/>
      <c r="U3189" s="23"/>
    </row>
    <row r="3190">
      <c r="A3190" s="20"/>
      <c r="B3190" s="20"/>
      <c r="C3190" s="30"/>
      <c r="D3190" s="30"/>
      <c r="E3190" s="30"/>
      <c r="F3190" s="22"/>
      <c r="G3190" s="23"/>
      <c r="H3190" s="23"/>
      <c r="I3190" s="23"/>
      <c r="J3190" s="23"/>
      <c r="K3190" s="23"/>
      <c r="L3190" s="23"/>
      <c r="M3190" s="23"/>
      <c r="N3190" s="23"/>
      <c r="O3190" s="23"/>
      <c r="P3190" s="23"/>
      <c r="Q3190" s="23"/>
      <c r="R3190" s="23"/>
      <c r="S3190" s="23"/>
      <c r="T3190" s="23"/>
      <c r="U3190" s="23"/>
    </row>
    <row r="3191">
      <c r="A3191" s="20"/>
      <c r="B3191" s="20"/>
      <c r="C3191" s="30"/>
      <c r="D3191" s="30"/>
      <c r="E3191" s="30"/>
      <c r="F3191" s="22"/>
      <c r="G3191" s="23"/>
      <c r="H3191" s="23"/>
      <c r="I3191" s="23"/>
      <c r="J3191" s="23"/>
      <c r="K3191" s="23"/>
      <c r="L3191" s="23"/>
      <c r="M3191" s="23"/>
      <c r="N3191" s="23"/>
      <c r="O3191" s="23"/>
      <c r="P3191" s="23"/>
      <c r="Q3191" s="23"/>
      <c r="R3191" s="23"/>
      <c r="S3191" s="23"/>
      <c r="T3191" s="23"/>
      <c r="U3191" s="23"/>
    </row>
    <row r="3192">
      <c r="A3192" s="20"/>
      <c r="B3192" s="20"/>
      <c r="C3192" s="30"/>
      <c r="D3192" s="30"/>
      <c r="E3192" s="30"/>
      <c r="F3192" s="22"/>
      <c r="G3192" s="23"/>
      <c r="H3192" s="23"/>
      <c r="I3192" s="23"/>
      <c r="J3192" s="23"/>
      <c r="K3192" s="23"/>
      <c r="L3192" s="23"/>
      <c r="M3192" s="23"/>
      <c r="N3192" s="23"/>
      <c r="O3192" s="23"/>
      <c r="P3192" s="23"/>
      <c r="Q3192" s="23"/>
      <c r="R3192" s="23"/>
      <c r="S3192" s="23"/>
      <c r="T3192" s="23"/>
      <c r="U3192" s="23"/>
    </row>
    <row r="3193">
      <c r="A3193" s="20"/>
      <c r="B3193" s="20"/>
      <c r="C3193" s="30"/>
      <c r="D3193" s="30"/>
      <c r="E3193" s="30"/>
      <c r="F3193" s="22"/>
      <c r="G3193" s="23"/>
      <c r="H3193" s="23"/>
      <c r="I3193" s="23"/>
      <c r="J3193" s="23"/>
      <c r="K3193" s="23"/>
      <c r="L3193" s="23"/>
      <c r="M3193" s="23"/>
      <c r="N3193" s="23"/>
      <c r="O3193" s="23"/>
      <c r="P3193" s="23"/>
      <c r="Q3193" s="23"/>
      <c r="R3193" s="23"/>
      <c r="S3193" s="23"/>
      <c r="T3193" s="23"/>
      <c r="U3193" s="23"/>
    </row>
    <row r="3194">
      <c r="A3194" s="20"/>
      <c r="B3194" s="20"/>
      <c r="C3194" s="30"/>
      <c r="D3194" s="30"/>
      <c r="E3194" s="30"/>
      <c r="F3194" s="22"/>
      <c r="G3194" s="23"/>
      <c r="H3194" s="23"/>
      <c r="I3194" s="23"/>
      <c r="J3194" s="23"/>
      <c r="K3194" s="23"/>
      <c r="L3194" s="23"/>
      <c r="M3194" s="23"/>
      <c r="N3194" s="23"/>
      <c r="O3194" s="23"/>
      <c r="P3194" s="23"/>
      <c r="Q3194" s="23"/>
      <c r="R3194" s="23"/>
      <c r="S3194" s="23"/>
      <c r="T3194" s="23"/>
      <c r="U3194" s="23"/>
    </row>
    <row r="3195">
      <c r="A3195" s="20"/>
      <c r="B3195" s="20"/>
      <c r="C3195" s="30"/>
      <c r="D3195" s="30"/>
      <c r="E3195" s="30"/>
      <c r="F3195" s="22"/>
      <c r="G3195" s="23"/>
      <c r="H3195" s="23"/>
      <c r="I3195" s="23"/>
      <c r="J3195" s="23"/>
      <c r="K3195" s="23"/>
      <c r="L3195" s="23"/>
      <c r="M3195" s="23"/>
      <c r="N3195" s="23"/>
      <c r="O3195" s="23"/>
      <c r="P3195" s="23"/>
      <c r="Q3195" s="23"/>
      <c r="R3195" s="23"/>
      <c r="S3195" s="23"/>
      <c r="T3195" s="23"/>
      <c r="U3195" s="23"/>
    </row>
    <row r="3196">
      <c r="A3196" s="20"/>
      <c r="B3196" s="20"/>
      <c r="C3196" s="30"/>
      <c r="D3196" s="30"/>
      <c r="E3196" s="30"/>
      <c r="F3196" s="22"/>
      <c r="G3196" s="23"/>
      <c r="H3196" s="23"/>
      <c r="I3196" s="23"/>
      <c r="J3196" s="23"/>
      <c r="K3196" s="23"/>
      <c r="L3196" s="23"/>
      <c r="M3196" s="23"/>
      <c r="N3196" s="23"/>
      <c r="O3196" s="23"/>
      <c r="P3196" s="23"/>
      <c r="Q3196" s="23"/>
      <c r="R3196" s="23"/>
      <c r="S3196" s="23"/>
      <c r="T3196" s="23"/>
      <c r="U3196" s="23"/>
    </row>
    <row r="3197">
      <c r="A3197" s="20"/>
      <c r="B3197" s="20"/>
      <c r="C3197" s="30"/>
      <c r="D3197" s="30"/>
      <c r="E3197" s="30"/>
      <c r="F3197" s="22"/>
      <c r="G3197" s="23"/>
      <c r="H3197" s="23"/>
      <c r="I3197" s="23"/>
      <c r="J3197" s="23"/>
      <c r="K3197" s="23"/>
      <c r="L3197" s="23"/>
      <c r="M3197" s="23"/>
      <c r="N3197" s="23"/>
      <c r="O3197" s="23"/>
      <c r="P3197" s="23"/>
      <c r="Q3197" s="23"/>
      <c r="R3197" s="23"/>
      <c r="S3197" s="23"/>
      <c r="T3197" s="23"/>
      <c r="U3197" s="23"/>
    </row>
    <row r="3198">
      <c r="A3198" s="20"/>
      <c r="B3198" s="20"/>
      <c r="C3198" s="30"/>
      <c r="D3198" s="30"/>
      <c r="E3198" s="30"/>
      <c r="F3198" s="22"/>
      <c r="G3198" s="23"/>
      <c r="H3198" s="23"/>
      <c r="I3198" s="23"/>
      <c r="J3198" s="23"/>
      <c r="K3198" s="23"/>
      <c r="L3198" s="23"/>
      <c r="M3198" s="23"/>
      <c r="N3198" s="23"/>
      <c r="O3198" s="23"/>
      <c r="P3198" s="23"/>
      <c r="Q3198" s="23"/>
      <c r="R3198" s="23"/>
      <c r="S3198" s="23"/>
      <c r="T3198" s="23"/>
      <c r="U3198" s="23"/>
    </row>
    <row r="3199">
      <c r="A3199" s="20"/>
      <c r="B3199" s="20"/>
      <c r="C3199" s="30"/>
      <c r="D3199" s="30"/>
      <c r="E3199" s="30"/>
      <c r="F3199" s="22"/>
      <c r="G3199" s="23"/>
      <c r="H3199" s="23"/>
      <c r="I3199" s="23"/>
      <c r="J3199" s="23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</row>
    <row r="3200">
      <c r="A3200" s="20"/>
      <c r="B3200" s="20"/>
      <c r="C3200" s="30"/>
      <c r="D3200" s="30"/>
      <c r="E3200" s="30"/>
      <c r="F3200" s="22"/>
      <c r="G3200" s="23"/>
      <c r="H3200" s="23"/>
      <c r="I3200" s="23"/>
      <c r="J3200" s="23"/>
      <c r="K3200" s="23"/>
      <c r="L3200" s="23"/>
      <c r="M3200" s="23"/>
      <c r="N3200" s="23"/>
      <c r="O3200" s="23"/>
      <c r="P3200" s="23"/>
      <c r="Q3200" s="23"/>
      <c r="R3200" s="23"/>
      <c r="S3200" s="23"/>
      <c r="T3200" s="23"/>
      <c r="U3200" s="23"/>
    </row>
    <row r="3201">
      <c r="A3201" s="20"/>
      <c r="B3201" s="20"/>
      <c r="C3201" s="30"/>
      <c r="D3201" s="30"/>
      <c r="E3201" s="30"/>
      <c r="F3201" s="22"/>
      <c r="G3201" s="23"/>
      <c r="H3201" s="23"/>
      <c r="I3201" s="23"/>
      <c r="J3201" s="23"/>
      <c r="K3201" s="23"/>
      <c r="L3201" s="23"/>
      <c r="M3201" s="23"/>
      <c r="N3201" s="23"/>
      <c r="O3201" s="23"/>
      <c r="P3201" s="23"/>
      <c r="Q3201" s="23"/>
      <c r="R3201" s="23"/>
      <c r="S3201" s="23"/>
      <c r="T3201" s="23"/>
      <c r="U3201" s="23"/>
    </row>
    <row r="3202">
      <c r="A3202" s="20"/>
      <c r="B3202" s="20"/>
      <c r="C3202" s="30"/>
      <c r="D3202" s="30"/>
      <c r="E3202" s="30"/>
      <c r="F3202" s="22"/>
      <c r="G3202" s="23"/>
      <c r="H3202" s="23"/>
      <c r="I3202" s="23"/>
      <c r="J3202" s="23"/>
      <c r="K3202" s="23"/>
      <c r="L3202" s="23"/>
      <c r="M3202" s="23"/>
      <c r="N3202" s="23"/>
      <c r="O3202" s="23"/>
      <c r="P3202" s="23"/>
      <c r="Q3202" s="23"/>
      <c r="R3202" s="23"/>
      <c r="S3202" s="23"/>
      <c r="T3202" s="23"/>
      <c r="U3202" s="23"/>
    </row>
    <row r="3203">
      <c r="A3203" s="20"/>
      <c r="B3203" s="20"/>
      <c r="C3203" s="30"/>
      <c r="D3203" s="30"/>
      <c r="E3203" s="30"/>
      <c r="F3203" s="22"/>
      <c r="G3203" s="23"/>
      <c r="H3203" s="23"/>
      <c r="I3203" s="23"/>
      <c r="J3203" s="23"/>
      <c r="K3203" s="23"/>
      <c r="L3203" s="23"/>
      <c r="M3203" s="23"/>
      <c r="N3203" s="23"/>
      <c r="O3203" s="23"/>
      <c r="P3203" s="23"/>
      <c r="Q3203" s="23"/>
      <c r="R3203" s="23"/>
      <c r="S3203" s="23"/>
      <c r="T3203" s="23"/>
      <c r="U3203" s="23"/>
    </row>
    <row r="3204">
      <c r="A3204" s="20"/>
      <c r="B3204" s="20"/>
      <c r="C3204" s="30"/>
      <c r="D3204" s="30"/>
      <c r="E3204" s="30"/>
      <c r="F3204" s="22"/>
      <c r="G3204" s="23"/>
      <c r="H3204" s="23"/>
      <c r="I3204" s="23"/>
      <c r="J3204" s="23"/>
      <c r="K3204" s="23"/>
      <c r="L3204" s="23"/>
      <c r="M3204" s="23"/>
      <c r="N3204" s="23"/>
      <c r="O3204" s="23"/>
      <c r="P3204" s="23"/>
      <c r="Q3204" s="23"/>
      <c r="R3204" s="23"/>
      <c r="S3204" s="23"/>
      <c r="T3204" s="23"/>
      <c r="U3204" s="23"/>
    </row>
    <row r="3205">
      <c r="A3205" s="20"/>
      <c r="B3205" s="20"/>
      <c r="C3205" s="30"/>
      <c r="D3205" s="30"/>
      <c r="E3205" s="30"/>
      <c r="F3205" s="22"/>
      <c r="G3205" s="23"/>
      <c r="H3205" s="23"/>
      <c r="I3205" s="23"/>
      <c r="J3205" s="23"/>
      <c r="K3205" s="23"/>
      <c r="L3205" s="23"/>
      <c r="M3205" s="23"/>
      <c r="N3205" s="23"/>
      <c r="O3205" s="23"/>
      <c r="P3205" s="23"/>
      <c r="Q3205" s="23"/>
      <c r="R3205" s="23"/>
      <c r="S3205" s="23"/>
      <c r="T3205" s="23"/>
      <c r="U3205" s="23"/>
    </row>
    <row r="3206">
      <c r="A3206" s="20"/>
      <c r="B3206" s="20"/>
      <c r="C3206" s="30"/>
      <c r="D3206" s="30"/>
      <c r="E3206" s="30"/>
      <c r="F3206" s="22"/>
      <c r="G3206" s="23"/>
      <c r="H3206" s="23"/>
      <c r="I3206" s="23"/>
      <c r="J3206" s="23"/>
      <c r="K3206" s="23"/>
      <c r="L3206" s="23"/>
      <c r="M3206" s="23"/>
      <c r="N3206" s="23"/>
      <c r="O3206" s="23"/>
      <c r="P3206" s="23"/>
      <c r="Q3206" s="23"/>
      <c r="R3206" s="23"/>
      <c r="S3206" s="23"/>
      <c r="T3206" s="23"/>
      <c r="U3206" s="23"/>
    </row>
    <row r="3207">
      <c r="A3207" s="20"/>
      <c r="B3207" s="20"/>
      <c r="C3207" s="30"/>
      <c r="D3207" s="30"/>
      <c r="E3207" s="30"/>
      <c r="F3207" s="22"/>
      <c r="G3207" s="23"/>
      <c r="H3207" s="23"/>
      <c r="I3207" s="23"/>
      <c r="J3207" s="23"/>
      <c r="K3207" s="23"/>
      <c r="L3207" s="23"/>
      <c r="M3207" s="23"/>
      <c r="N3207" s="23"/>
      <c r="O3207" s="23"/>
      <c r="P3207" s="23"/>
      <c r="Q3207" s="23"/>
      <c r="R3207" s="23"/>
      <c r="S3207" s="23"/>
      <c r="T3207" s="23"/>
      <c r="U3207" s="23"/>
    </row>
    <row r="3208">
      <c r="A3208" s="20"/>
      <c r="B3208" s="20"/>
      <c r="C3208" s="30"/>
      <c r="D3208" s="30"/>
      <c r="E3208" s="30"/>
      <c r="F3208" s="22"/>
      <c r="G3208" s="23"/>
      <c r="H3208" s="23"/>
      <c r="I3208" s="23"/>
      <c r="J3208" s="23"/>
      <c r="K3208" s="23"/>
      <c r="L3208" s="23"/>
      <c r="M3208" s="23"/>
      <c r="N3208" s="23"/>
      <c r="O3208" s="23"/>
      <c r="P3208" s="23"/>
      <c r="Q3208" s="23"/>
      <c r="R3208" s="23"/>
      <c r="S3208" s="23"/>
      <c r="T3208" s="23"/>
      <c r="U3208" s="23"/>
    </row>
    <row r="3209">
      <c r="A3209" s="20"/>
      <c r="B3209" s="20"/>
      <c r="C3209" s="30"/>
      <c r="D3209" s="30"/>
      <c r="E3209" s="30"/>
      <c r="F3209" s="22"/>
      <c r="G3209" s="23"/>
      <c r="H3209" s="23"/>
      <c r="I3209" s="23"/>
      <c r="J3209" s="23"/>
      <c r="K3209" s="23"/>
      <c r="L3209" s="23"/>
      <c r="M3209" s="23"/>
      <c r="N3209" s="23"/>
      <c r="O3209" s="23"/>
      <c r="P3209" s="23"/>
      <c r="Q3209" s="23"/>
      <c r="R3209" s="23"/>
      <c r="S3209" s="23"/>
      <c r="T3209" s="23"/>
      <c r="U3209" s="23"/>
    </row>
    <row r="3210">
      <c r="A3210" s="20"/>
      <c r="B3210" s="20"/>
      <c r="C3210" s="30"/>
      <c r="D3210" s="30"/>
      <c r="E3210" s="30"/>
      <c r="F3210" s="22"/>
      <c r="G3210" s="23"/>
      <c r="H3210" s="23"/>
      <c r="I3210" s="23"/>
      <c r="J3210" s="23"/>
      <c r="K3210" s="23"/>
      <c r="L3210" s="23"/>
      <c r="M3210" s="23"/>
      <c r="N3210" s="23"/>
      <c r="O3210" s="23"/>
      <c r="P3210" s="23"/>
      <c r="Q3210" s="23"/>
      <c r="R3210" s="23"/>
      <c r="S3210" s="23"/>
      <c r="T3210" s="23"/>
      <c r="U3210" s="23"/>
    </row>
    <row r="3211">
      <c r="A3211" s="20"/>
      <c r="B3211" s="20"/>
      <c r="C3211" s="30"/>
      <c r="D3211" s="30"/>
      <c r="E3211" s="30"/>
      <c r="F3211" s="22"/>
      <c r="G3211" s="23"/>
      <c r="H3211" s="23"/>
      <c r="I3211" s="23"/>
      <c r="J3211" s="23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</row>
    <row r="3212">
      <c r="A3212" s="20"/>
      <c r="B3212" s="20"/>
      <c r="C3212" s="30"/>
      <c r="D3212" s="30"/>
      <c r="E3212" s="30"/>
      <c r="F3212" s="22"/>
      <c r="G3212" s="23"/>
      <c r="H3212" s="23"/>
      <c r="I3212" s="23"/>
      <c r="J3212" s="23"/>
      <c r="K3212" s="23"/>
      <c r="L3212" s="23"/>
      <c r="M3212" s="23"/>
      <c r="N3212" s="23"/>
      <c r="O3212" s="23"/>
      <c r="P3212" s="23"/>
      <c r="Q3212" s="23"/>
      <c r="R3212" s="23"/>
      <c r="S3212" s="23"/>
      <c r="T3212" s="23"/>
      <c r="U3212" s="23"/>
    </row>
    <row r="3213">
      <c r="A3213" s="20"/>
      <c r="B3213" s="20"/>
      <c r="C3213" s="30"/>
      <c r="D3213" s="30"/>
      <c r="E3213" s="30"/>
      <c r="F3213" s="22"/>
      <c r="G3213" s="23"/>
      <c r="H3213" s="23"/>
      <c r="I3213" s="23"/>
      <c r="J3213" s="23"/>
      <c r="K3213" s="23"/>
      <c r="L3213" s="23"/>
      <c r="M3213" s="23"/>
      <c r="N3213" s="23"/>
      <c r="O3213" s="23"/>
      <c r="P3213" s="23"/>
      <c r="Q3213" s="23"/>
      <c r="R3213" s="23"/>
      <c r="S3213" s="23"/>
      <c r="T3213" s="23"/>
      <c r="U3213" s="23"/>
    </row>
    <row r="3214">
      <c r="A3214" s="20"/>
      <c r="B3214" s="20"/>
      <c r="C3214" s="30"/>
      <c r="D3214" s="30"/>
      <c r="E3214" s="30"/>
      <c r="F3214" s="22"/>
      <c r="G3214" s="23"/>
      <c r="H3214" s="23"/>
      <c r="I3214" s="23"/>
      <c r="J3214" s="23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</row>
    <row r="3215">
      <c r="A3215" s="20"/>
      <c r="B3215" s="20"/>
      <c r="C3215" s="30"/>
      <c r="D3215" s="30"/>
      <c r="E3215" s="30"/>
      <c r="F3215" s="22"/>
      <c r="G3215" s="23"/>
      <c r="H3215" s="23"/>
      <c r="I3215" s="23"/>
      <c r="J3215" s="23"/>
      <c r="K3215" s="23"/>
      <c r="L3215" s="23"/>
      <c r="M3215" s="23"/>
      <c r="N3215" s="23"/>
      <c r="O3215" s="23"/>
      <c r="P3215" s="23"/>
      <c r="Q3215" s="23"/>
      <c r="R3215" s="23"/>
      <c r="S3215" s="23"/>
      <c r="T3215" s="23"/>
      <c r="U3215" s="23"/>
    </row>
    <row r="3216">
      <c r="A3216" s="20"/>
      <c r="B3216" s="20"/>
      <c r="C3216" s="30"/>
      <c r="D3216" s="30"/>
      <c r="E3216" s="30"/>
      <c r="F3216" s="22"/>
      <c r="G3216" s="23"/>
      <c r="H3216" s="23"/>
      <c r="I3216" s="23"/>
      <c r="J3216" s="23"/>
      <c r="K3216" s="23"/>
      <c r="L3216" s="23"/>
      <c r="M3216" s="23"/>
      <c r="N3216" s="23"/>
      <c r="O3216" s="23"/>
      <c r="P3216" s="23"/>
      <c r="Q3216" s="23"/>
      <c r="R3216" s="23"/>
      <c r="S3216" s="23"/>
      <c r="T3216" s="23"/>
      <c r="U3216" s="23"/>
    </row>
    <row r="3217">
      <c r="A3217" s="20"/>
      <c r="B3217" s="20"/>
      <c r="C3217" s="30"/>
      <c r="D3217" s="30"/>
      <c r="E3217" s="30"/>
      <c r="F3217" s="22"/>
      <c r="G3217" s="23"/>
      <c r="H3217" s="23"/>
      <c r="I3217" s="23"/>
      <c r="J3217" s="23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</row>
    <row r="3218">
      <c r="A3218" s="20"/>
      <c r="B3218" s="20"/>
      <c r="C3218" s="30"/>
      <c r="D3218" s="30"/>
      <c r="E3218" s="30"/>
      <c r="F3218" s="22"/>
      <c r="G3218" s="23"/>
      <c r="H3218" s="23"/>
      <c r="I3218" s="23"/>
      <c r="J3218" s="23"/>
      <c r="K3218" s="23"/>
      <c r="L3218" s="23"/>
      <c r="M3218" s="23"/>
      <c r="N3218" s="23"/>
      <c r="O3218" s="23"/>
      <c r="P3218" s="23"/>
      <c r="Q3218" s="23"/>
      <c r="R3218" s="23"/>
      <c r="S3218" s="23"/>
      <c r="T3218" s="23"/>
      <c r="U3218" s="23"/>
    </row>
    <row r="3219">
      <c r="A3219" s="20"/>
      <c r="B3219" s="20"/>
      <c r="C3219" s="30"/>
      <c r="D3219" s="30"/>
      <c r="E3219" s="30"/>
      <c r="F3219" s="22"/>
      <c r="G3219" s="23"/>
      <c r="H3219" s="23"/>
      <c r="I3219" s="23"/>
      <c r="J3219" s="23"/>
      <c r="K3219" s="23"/>
      <c r="L3219" s="23"/>
      <c r="M3219" s="23"/>
      <c r="N3219" s="23"/>
      <c r="O3219" s="23"/>
      <c r="P3219" s="23"/>
      <c r="Q3219" s="23"/>
      <c r="R3219" s="23"/>
      <c r="S3219" s="23"/>
      <c r="T3219" s="23"/>
      <c r="U3219" s="23"/>
    </row>
    <row r="3220">
      <c r="A3220" s="20"/>
      <c r="B3220" s="20"/>
      <c r="C3220" s="30"/>
      <c r="D3220" s="30"/>
      <c r="E3220" s="30"/>
      <c r="F3220" s="22"/>
      <c r="G3220" s="23"/>
      <c r="H3220" s="23"/>
      <c r="I3220" s="23"/>
      <c r="J3220" s="23"/>
      <c r="K3220" s="23"/>
      <c r="L3220" s="23"/>
      <c r="M3220" s="23"/>
      <c r="N3220" s="23"/>
      <c r="O3220" s="23"/>
      <c r="P3220" s="23"/>
      <c r="Q3220" s="23"/>
      <c r="R3220" s="23"/>
      <c r="S3220" s="23"/>
      <c r="T3220" s="23"/>
      <c r="U3220" s="23"/>
    </row>
    <row r="3221">
      <c r="A3221" s="20"/>
      <c r="B3221" s="20"/>
      <c r="C3221" s="30"/>
      <c r="D3221" s="30"/>
      <c r="E3221" s="30"/>
      <c r="F3221" s="22"/>
      <c r="G3221" s="23"/>
      <c r="H3221" s="23"/>
      <c r="I3221" s="23"/>
      <c r="J3221" s="23"/>
      <c r="K3221" s="23"/>
      <c r="L3221" s="23"/>
      <c r="M3221" s="23"/>
      <c r="N3221" s="23"/>
      <c r="O3221" s="23"/>
      <c r="P3221" s="23"/>
      <c r="Q3221" s="23"/>
      <c r="R3221" s="23"/>
      <c r="S3221" s="23"/>
      <c r="T3221" s="23"/>
      <c r="U3221" s="23"/>
    </row>
    <row r="3222">
      <c r="A3222" s="20"/>
      <c r="B3222" s="20"/>
      <c r="C3222" s="30"/>
      <c r="D3222" s="30"/>
      <c r="E3222" s="30"/>
      <c r="F3222" s="22"/>
      <c r="G3222" s="23"/>
      <c r="H3222" s="23"/>
      <c r="I3222" s="23"/>
      <c r="J3222" s="23"/>
      <c r="K3222" s="23"/>
      <c r="L3222" s="23"/>
      <c r="M3222" s="23"/>
      <c r="N3222" s="23"/>
      <c r="O3222" s="23"/>
      <c r="P3222" s="23"/>
      <c r="Q3222" s="23"/>
      <c r="R3222" s="23"/>
      <c r="S3222" s="23"/>
      <c r="T3222" s="23"/>
      <c r="U3222" s="23"/>
    </row>
    <row r="3223">
      <c r="A3223" s="20"/>
      <c r="B3223" s="20"/>
      <c r="C3223" s="30"/>
      <c r="D3223" s="30"/>
      <c r="E3223" s="30"/>
      <c r="F3223" s="22"/>
      <c r="G3223" s="23"/>
      <c r="H3223" s="23"/>
      <c r="I3223" s="23"/>
      <c r="J3223" s="23"/>
      <c r="K3223" s="23"/>
      <c r="L3223" s="23"/>
      <c r="M3223" s="23"/>
      <c r="N3223" s="23"/>
      <c r="O3223" s="23"/>
      <c r="P3223" s="23"/>
      <c r="Q3223" s="23"/>
      <c r="R3223" s="23"/>
      <c r="S3223" s="23"/>
      <c r="T3223" s="23"/>
      <c r="U3223" s="23"/>
    </row>
    <row r="3224">
      <c r="A3224" s="20"/>
      <c r="B3224" s="20"/>
      <c r="C3224" s="30"/>
      <c r="D3224" s="30"/>
      <c r="E3224" s="30"/>
      <c r="F3224" s="22"/>
      <c r="G3224" s="23"/>
      <c r="H3224" s="23"/>
      <c r="I3224" s="23"/>
      <c r="J3224" s="23"/>
      <c r="K3224" s="23"/>
      <c r="L3224" s="23"/>
      <c r="M3224" s="23"/>
      <c r="N3224" s="23"/>
      <c r="O3224" s="23"/>
      <c r="P3224" s="23"/>
      <c r="Q3224" s="23"/>
      <c r="R3224" s="23"/>
      <c r="S3224" s="23"/>
      <c r="T3224" s="23"/>
      <c r="U3224" s="23"/>
    </row>
    <row r="3225">
      <c r="A3225" s="20"/>
      <c r="B3225" s="20"/>
      <c r="C3225" s="30"/>
      <c r="D3225" s="30"/>
      <c r="E3225" s="30"/>
      <c r="F3225" s="22"/>
      <c r="G3225" s="23"/>
      <c r="H3225" s="23"/>
      <c r="I3225" s="23"/>
      <c r="J3225" s="23"/>
      <c r="K3225" s="23"/>
      <c r="L3225" s="23"/>
      <c r="M3225" s="23"/>
      <c r="N3225" s="23"/>
      <c r="O3225" s="23"/>
      <c r="P3225" s="23"/>
      <c r="Q3225" s="23"/>
      <c r="R3225" s="23"/>
      <c r="S3225" s="23"/>
      <c r="T3225" s="23"/>
      <c r="U3225" s="23"/>
    </row>
    <row r="3226">
      <c r="A3226" s="20"/>
      <c r="B3226" s="20"/>
      <c r="C3226" s="30"/>
      <c r="D3226" s="30"/>
      <c r="E3226" s="30"/>
      <c r="F3226" s="22"/>
      <c r="G3226" s="23"/>
      <c r="H3226" s="23"/>
      <c r="I3226" s="23"/>
      <c r="J3226" s="23"/>
      <c r="K3226" s="23"/>
      <c r="L3226" s="23"/>
      <c r="M3226" s="23"/>
      <c r="N3226" s="23"/>
      <c r="O3226" s="23"/>
      <c r="P3226" s="23"/>
      <c r="Q3226" s="23"/>
      <c r="R3226" s="23"/>
      <c r="S3226" s="23"/>
      <c r="T3226" s="23"/>
      <c r="U3226" s="23"/>
    </row>
    <row r="3227">
      <c r="A3227" s="20"/>
      <c r="B3227" s="20"/>
      <c r="C3227" s="30"/>
      <c r="D3227" s="30"/>
      <c r="E3227" s="30"/>
      <c r="F3227" s="22"/>
      <c r="G3227" s="23"/>
      <c r="H3227" s="23"/>
      <c r="I3227" s="23"/>
      <c r="J3227" s="23"/>
      <c r="K3227" s="23"/>
      <c r="L3227" s="23"/>
      <c r="M3227" s="23"/>
      <c r="N3227" s="23"/>
      <c r="O3227" s="23"/>
      <c r="P3227" s="23"/>
      <c r="Q3227" s="23"/>
      <c r="R3227" s="23"/>
      <c r="S3227" s="23"/>
      <c r="T3227" s="23"/>
      <c r="U3227" s="23"/>
    </row>
    <row r="3228">
      <c r="A3228" s="20"/>
      <c r="B3228" s="20"/>
      <c r="C3228" s="30"/>
      <c r="D3228" s="30"/>
      <c r="E3228" s="30"/>
      <c r="F3228" s="22"/>
      <c r="G3228" s="23"/>
      <c r="H3228" s="23"/>
      <c r="I3228" s="23"/>
      <c r="J3228" s="23"/>
      <c r="K3228" s="23"/>
      <c r="L3228" s="23"/>
      <c r="M3228" s="23"/>
      <c r="N3228" s="23"/>
      <c r="O3228" s="23"/>
      <c r="P3228" s="23"/>
      <c r="Q3228" s="23"/>
      <c r="R3228" s="23"/>
      <c r="S3228" s="23"/>
      <c r="T3228" s="23"/>
      <c r="U3228" s="23"/>
    </row>
    <row r="3229">
      <c r="A3229" s="20"/>
      <c r="B3229" s="20"/>
      <c r="C3229" s="30"/>
      <c r="D3229" s="30"/>
      <c r="E3229" s="30"/>
      <c r="F3229" s="22"/>
      <c r="G3229" s="23"/>
      <c r="H3229" s="23"/>
      <c r="I3229" s="23"/>
      <c r="J3229" s="23"/>
      <c r="K3229" s="23"/>
      <c r="L3229" s="23"/>
      <c r="M3229" s="23"/>
      <c r="N3229" s="23"/>
      <c r="O3229" s="23"/>
      <c r="P3229" s="23"/>
      <c r="Q3229" s="23"/>
      <c r="R3229" s="23"/>
      <c r="S3229" s="23"/>
      <c r="T3229" s="23"/>
      <c r="U3229" s="23"/>
    </row>
    <row r="3230">
      <c r="A3230" s="20"/>
      <c r="B3230" s="20"/>
      <c r="C3230" s="30"/>
      <c r="D3230" s="30"/>
      <c r="E3230" s="30"/>
      <c r="F3230" s="22"/>
      <c r="G3230" s="23"/>
      <c r="H3230" s="23"/>
      <c r="I3230" s="23"/>
      <c r="J3230" s="23"/>
      <c r="K3230" s="23"/>
      <c r="L3230" s="23"/>
      <c r="M3230" s="23"/>
      <c r="N3230" s="23"/>
      <c r="O3230" s="23"/>
      <c r="P3230" s="23"/>
      <c r="Q3230" s="23"/>
      <c r="R3230" s="23"/>
      <c r="S3230" s="23"/>
      <c r="T3230" s="23"/>
      <c r="U3230" s="23"/>
    </row>
    <row r="3231">
      <c r="A3231" s="20"/>
      <c r="B3231" s="20"/>
      <c r="C3231" s="30"/>
      <c r="D3231" s="30"/>
      <c r="E3231" s="30"/>
      <c r="F3231" s="22"/>
      <c r="G3231" s="23"/>
      <c r="H3231" s="23"/>
      <c r="I3231" s="23"/>
      <c r="J3231" s="23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</row>
    <row r="3232">
      <c r="A3232" s="20"/>
      <c r="B3232" s="20"/>
      <c r="C3232" s="30"/>
      <c r="D3232" s="30"/>
      <c r="E3232" s="30"/>
      <c r="F3232" s="22"/>
      <c r="G3232" s="23"/>
      <c r="H3232" s="23"/>
      <c r="I3232" s="23"/>
      <c r="J3232" s="23"/>
      <c r="K3232" s="23"/>
      <c r="L3232" s="23"/>
      <c r="M3232" s="23"/>
      <c r="N3232" s="23"/>
      <c r="O3232" s="23"/>
      <c r="P3232" s="23"/>
      <c r="Q3232" s="23"/>
      <c r="R3232" s="23"/>
      <c r="S3232" s="23"/>
      <c r="T3232" s="23"/>
      <c r="U3232" s="23"/>
    </row>
    <row r="3233">
      <c r="A3233" s="20"/>
      <c r="B3233" s="20"/>
      <c r="C3233" s="30"/>
      <c r="D3233" s="30"/>
      <c r="E3233" s="30"/>
      <c r="F3233" s="22"/>
      <c r="G3233" s="23"/>
      <c r="H3233" s="23"/>
      <c r="I3233" s="23"/>
      <c r="J3233" s="23"/>
      <c r="K3233" s="23"/>
      <c r="L3233" s="23"/>
      <c r="M3233" s="23"/>
      <c r="N3233" s="23"/>
      <c r="O3233" s="23"/>
      <c r="P3233" s="23"/>
      <c r="Q3233" s="23"/>
      <c r="R3233" s="23"/>
      <c r="S3233" s="23"/>
      <c r="T3233" s="23"/>
      <c r="U3233" s="23"/>
    </row>
    <row r="3234">
      <c r="A3234" s="20"/>
      <c r="B3234" s="20"/>
      <c r="C3234" s="30"/>
      <c r="D3234" s="30"/>
      <c r="E3234" s="30"/>
      <c r="F3234" s="22"/>
      <c r="G3234" s="23"/>
      <c r="H3234" s="23"/>
      <c r="I3234" s="23"/>
      <c r="J3234" s="23"/>
      <c r="K3234" s="23"/>
      <c r="L3234" s="23"/>
      <c r="M3234" s="23"/>
      <c r="N3234" s="23"/>
      <c r="O3234" s="23"/>
      <c r="P3234" s="23"/>
      <c r="Q3234" s="23"/>
      <c r="R3234" s="23"/>
      <c r="S3234" s="23"/>
      <c r="T3234" s="23"/>
      <c r="U3234" s="23"/>
    </row>
    <row r="3235">
      <c r="A3235" s="20"/>
      <c r="B3235" s="20"/>
      <c r="C3235" s="30"/>
      <c r="D3235" s="30"/>
      <c r="E3235" s="30"/>
      <c r="F3235" s="22"/>
      <c r="G3235" s="23"/>
      <c r="H3235" s="23"/>
      <c r="I3235" s="23"/>
      <c r="J3235" s="23"/>
      <c r="K3235" s="23"/>
      <c r="L3235" s="23"/>
      <c r="M3235" s="23"/>
      <c r="N3235" s="23"/>
      <c r="O3235" s="23"/>
      <c r="P3235" s="23"/>
      <c r="Q3235" s="23"/>
      <c r="R3235" s="23"/>
      <c r="S3235" s="23"/>
      <c r="T3235" s="23"/>
      <c r="U3235" s="23"/>
    </row>
    <row r="3236">
      <c r="A3236" s="20"/>
      <c r="B3236" s="20"/>
      <c r="C3236" s="30"/>
      <c r="D3236" s="30"/>
      <c r="E3236" s="30"/>
      <c r="F3236" s="22"/>
      <c r="G3236" s="23"/>
      <c r="H3236" s="23"/>
      <c r="I3236" s="23"/>
      <c r="J3236" s="23"/>
      <c r="K3236" s="23"/>
      <c r="L3236" s="23"/>
      <c r="M3236" s="23"/>
      <c r="N3236" s="23"/>
      <c r="O3236" s="23"/>
      <c r="P3236" s="23"/>
      <c r="Q3236" s="23"/>
      <c r="R3236" s="23"/>
      <c r="S3236" s="23"/>
      <c r="T3236" s="23"/>
      <c r="U3236" s="23"/>
    </row>
    <row r="3237">
      <c r="A3237" s="20"/>
      <c r="B3237" s="20"/>
      <c r="C3237" s="30"/>
      <c r="D3237" s="30"/>
      <c r="E3237" s="30"/>
      <c r="F3237" s="22"/>
      <c r="G3237" s="23"/>
      <c r="H3237" s="23"/>
      <c r="I3237" s="23"/>
      <c r="J3237" s="23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</row>
    <row r="3238">
      <c r="A3238" s="20"/>
      <c r="B3238" s="20"/>
      <c r="C3238" s="30"/>
      <c r="D3238" s="30"/>
      <c r="E3238" s="30"/>
      <c r="F3238" s="22"/>
      <c r="G3238" s="23"/>
      <c r="H3238" s="23"/>
      <c r="I3238" s="23"/>
      <c r="J3238" s="23"/>
      <c r="K3238" s="23"/>
      <c r="L3238" s="23"/>
      <c r="M3238" s="23"/>
      <c r="N3238" s="23"/>
      <c r="O3238" s="23"/>
      <c r="P3238" s="23"/>
      <c r="Q3238" s="23"/>
      <c r="R3238" s="23"/>
      <c r="S3238" s="23"/>
      <c r="T3238" s="23"/>
      <c r="U3238" s="23"/>
    </row>
    <row r="3239">
      <c r="A3239" s="20"/>
      <c r="B3239" s="20"/>
      <c r="C3239" s="30"/>
      <c r="D3239" s="30"/>
      <c r="E3239" s="30"/>
      <c r="F3239" s="22"/>
      <c r="G3239" s="23"/>
      <c r="H3239" s="23"/>
      <c r="I3239" s="23"/>
      <c r="J3239" s="23"/>
      <c r="K3239" s="23"/>
      <c r="L3239" s="23"/>
      <c r="M3239" s="23"/>
      <c r="N3239" s="23"/>
      <c r="O3239" s="23"/>
      <c r="P3239" s="23"/>
      <c r="Q3239" s="23"/>
      <c r="R3239" s="23"/>
      <c r="S3239" s="23"/>
      <c r="T3239" s="23"/>
      <c r="U3239" s="23"/>
    </row>
    <row r="3240">
      <c r="A3240" s="20"/>
      <c r="B3240" s="20"/>
      <c r="C3240" s="30"/>
      <c r="D3240" s="30"/>
      <c r="E3240" s="30"/>
      <c r="F3240" s="22"/>
      <c r="G3240" s="23"/>
      <c r="H3240" s="23"/>
      <c r="I3240" s="23"/>
      <c r="J3240" s="23"/>
      <c r="K3240" s="23"/>
      <c r="L3240" s="23"/>
      <c r="M3240" s="23"/>
      <c r="N3240" s="23"/>
      <c r="O3240" s="23"/>
      <c r="P3240" s="23"/>
      <c r="Q3240" s="23"/>
      <c r="R3240" s="23"/>
      <c r="S3240" s="23"/>
      <c r="T3240" s="23"/>
      <c r="U3240" s="23"/>
    </row>
    <row r="3241">
      <c r="A3241" s="20"/>
      <c r="B3241" s="20"/>
      <c r="C3241" s="30"/>
      <c r="D3241" s="30"/>
      <c r="E3241" s="30"/>
      <c r="F3241" s="22"/>
      <c r="G3241" s="23"/>
      <c r="H3241" s="23"/>
      <c r="I3241" s="23"/>
      <c r="J3241" s="23"/>
      <c r="K3241" s="23"/>
      <c r="L3241" s="23"/>
      <c r="M3241" s="23"/>
      <c r="N3241" s="23"/>
      <c r="O3241" s="23"/>
      <c r="P3241" s="23"/>
      <c r="Q3241" s="23"/>
      <c r="R3241" s="23"/>
      <c r="S3241" s="23"/>
      <c r="T3241" s="23"/>
      <c r="U3241" s="23"/>
    </row>
    <row r="3242">
      <c r="A3242" s="20"/>
      <c r="B3242" s="20"/>
      <c r="C3242" s="30"/>
      <c r="D3242" s="30"/>
      <c r="E3242" s="30"/>
      <c r="F3242" s="22"/>
      <c r="G3242" s="23"/>
      <c r="H3242" s="23"/>
      <c r="I3242" s="23"/>
      <c r="J3242" s="23"/>
      <c r="K3242" s="23"/>
      <c r="L3242" s="23"/>
      <c r="M3242" s="23"/>
      <c r="N3242" s="23"/>
      <c r="O3242" s="23"/>
      <c r="P3242" s="23"/>
      <c r="Q3242" s="23"/>
      <c r="R3242" s="23"/>
      <c r="S3242" s="23"/>
      <c r="T3242" s="23"/>
      <c r="U3242" s="23"/>
    </row>
    <row r="3243">
      <c r="A3243" s="20"/>
      <c r="B3243" s="20"/>
      <c r="C3243" s="30"/>
      <c r="D3243" s="30"/>
      <c r="E3243" s="30"/>
      <c r="F3243" s="22"/>
      <c r="G3243" s="23"/>
      <c r="H3243" s="23"/>
      <c r="I3243" s="23"/>
      <c r="J3243" s="23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</row>
    <row r="3244">
      <c r="A3244" s="20"/>
      <c r="B3244" s="20"/>
      <c r="C3244" s="30"/>
      <c r="D3244" s="30"/>
      <c r="E3244" s="30"/>
      <c r="F3244" s="22"/>
      <c r="G3244" s="23"/>
      <c r="H3244" s="23"/>
      <c r="I3244" s="23"/>
      <c r="J3244" s="23"/>
      <c r="K3244" s="23"/>
      <c r="L3244" s="23"/>
      <c r="M3244" s="23"/>
      <c r="N3244" s="23"/>
      <c r="O3244" s="23"/>
      <c r="P3244" s="23"/>
      <c r="Q3244" s="23"/>
      <c r="R3244" s="23"/>
      <c r="S3244" s="23"/>
      <c r="T3244" s="23"/>
      <c r="U3244" s="23"/>
    </row>
    <row r="3245">
      <c r="A3245" s="20"/>
      <c r="B3245" s="20"/>
      <c r="C3245" s="30"/>
      <c r="D3245" s="30"/>
      <c r="E3245" s="30"/>
      <c r="F3245" s="22"/>
      <c r="G3245" s="23"/>
      <c r="H3245" s="23"/>
      <c r="I3245" s="23"/>
      <c r="J3245" s="23"/>
      <c r="K3245" s="23"/>
      <c r="L3245" s="23"/>
      <c r="M3245" s="23"/>
      <c r="N3245" s="23"/>
      <c r="O3245" s="23"/>
      <c r="P3245" s="23"/>
      <c r="Q3245" s="23"/>
      <c r="R3245" s="23"/>
      <c r="S3245" s="23"/>
      <c r="T3245" s="23"/>
      <c r="U3245" s="23"/>
    </row>
    <row r="3246">
      <c r="A3246" s="20"/>
      <c r="B3246" s="20"/>
      <c r="C3246" s="30"/>
      <c r="D3246" s="30"/>
      <c r="E3246" s="30"/>
      <c r="F3246" s="22"/>
      <c r="G3246" s="23"/>
      <c r="H3246" s="23"/>
      <c r="I3246" s="23"/>
      <c r="J3246" s="23"/>
      <c r="K3246" s="23"/>
      <c r="L3246" s="23"/>
      <c r="M3246" s="23"/>
      <c r="N3246" s="23"/>
      <c r="O3246" s="23"/>
      <c r="P3246" s="23"/>
      <c r="Q3246" s="23"/>
      <c r="R3246" s="23"/>
      <c r="S3246" s="23"/>
      <c r="T3246" s="23"/>
      <c r="U3246" s="23"/>
    </row>
    <row r="3247">
      <c r="A3247" s="20"/>
      <c r="B3247" s="20"/>
      <c r="C3247" s="30"/>
      <c r="D3247" s="30"/>
      <c r="E3247" s="30"/>
      <c r="F3247" s="22"/>
      <c r="G3247" s="23"/>
      <c r="H3247" s="23"/>
      <c r="I3247" s="23"/>
      <c r="J3247" s="23"/>
      <c r="K3247" s="23"/>
      <c r="L3247" s="23"/>
      <c r="M3247" s="23"/>
      <c r="N3247" s="23"/>
      <c r="O3247" s="23"/>
      <c r="P3247" s="23"/>
      <c r="Q3247" s="23"/>
      <c r="R3247" s="23"/>
      <c r="S3247" s="23"/>
      <c r="T3247" s="23"/>
      <c r="U3247" s="23"/>
    </row>
    <row r="3248">
      <c r="A3248" s="20"/>
      <c r="B3248" s="20"/>
      <c r="C3248" s="30"/>
      <c r="D3248" s="30"/>
      <c r="E3248" s="30"/>
      <c r="F3248" s="22"/>
      <c r="G3248" s="23"/>
      <c r="H3248" s="23"/>
      <c r="I3248" s="23"/>
      <c r="J3248" s="23"/>
      <c r="K3248" s="23"/>
      <c r="L3248" s="23"/>
      <c r="M3248" s="23"/>
      <c r="N3248" s="23"/>
      <c r="O3248" s="23"/>
      <c r="P3248" s="23"/>
      <c r="Q3248" s="23"/>
      <c r="R3248" s="23"/>
      <c r="S3248" s="23"/>
      <c r="T3248" s="23"/>
      <c r="U3248" s="23"/>
    </row>
    <row r="3249">
      <c r="A3249" s="20"/>
      <c r="B3249" s="20"/>
      <c r="C3249" s="30"/>
      <c r="D3249" s="30"/>
      <c r="E3249" s="30"/>
      <c r="F3249" s="22"/>
      <c r="G3249" s="23"/>
      <c r="H3249" s="23"/>
      <c r="I3249" s="23"/>
      <c r="J3249" s="23"/>
      <c r="K3249" s="23"/>
      <c r="L3249" s="23"/>
      <c r="M3249" s="23"/>
      <c r="N3249" s="23"/>
      <c r="O3249" s="23"/>
      <c r="P3249" s="23"/>
      <c r="Q3249" s="23"/>
      <c r="R3249" s="23"/>
      <c r="S3249" s="23"/>
      <c r="T3249" s="23"/>
      <c r="U3249" s="23"/>
    </row>
    <row r="3250">
      <c r="A3250" s="20"/>
      <c r="B3250" s="20"/>
      <c r="C3250" s="30"/>
      <c r="D3250" s="30"/>
      <c r="E3250" s="30"/>
      <c r="F3250" s="22"/>
      <c r="G3250" s="23"/>
      <c r="H3250" s="23"/>
      <c r="I3250" s="23"/>
      <c r="J3250" s="23"/>
      <c r="K3250" s="23"/>
      <c r="L3250" s="23"/>
      <c r="M3250" s="23"/>
      <c r="N3250" s="23"/>
      <c r="O3250" s="23"/>
      <c r="P3250" s="23"/>
      <c r="Q3250" s="23"/>
      <c r="R3250" s="23"/>
      <c r="S3250" s="23"/>
      <c r="T3250" s="23"/>
      <c r="U3250" s="23"/>
    </row>
    <row r="3251">
      <c r="A3251" s="20"/>
      <c r="B3251" s="20"/>
      <c r="C3251" s="30"/>
      <c r="D3251" s="30"/>
      <c r="E3251" s="30"/>
      <c r="F3251" s="22"/>
      <c r="G3251" s="23"/>
      <c r="H3251" s="23"/>
      <c r="I3251" s="23"/>
      <c r="J3251" s="23"/>
      <c r="K3251" s="23"/>
      <c r="L3251" s="23"/>
      <c r="M3251" s="23"/>
      <c r="N3251" s="23"/>
      <c r="O3251" s="23"/>
      <c r="P3251" s="23"/>
      <c r="Q3251" s="23"/>
      <c r="R3251" s="23"/>
      <c r="S3251" s="23"/>
      <c r="T3251" s="23"/>
      <c r="U3251" s="23"/>
    </row>
    <row r="3252">
      <c r="A3252" s="20"/>
      <c r="B3252" s="20"/>
      <c r="C3252" s="30"/>
      <c r="D3252" s="30"/>
      <c r="E3252" s="30"/>
      <c r="F3252" s="22"/>
      <c r="G3252" s="23"/>
      <c r="H3252" s="23"/>
      <c r="I3252" s="23"/>
      <c r="J3252" s="23"/>
      <c r="K3252" s="23"/>
      <c r="L3252" s="23"/>
      <c r="M3252" s="23"/>
      <c r="N3252" s="23"/>
      <c r="O3252" s="23"/>
      <c r="P3252" s="23"/>
      <c r="Q3252" s="23"/>
      <c r="R3252" s="23"/>
      <c r="S3252" s="23"/>
      <c r="T3252" s="23"/>
      <c r="U3252" s="23"/>
    </row>
    <row r="3253">
      <c r="A3253" s="20"/>
      <c r="B3253" s="20"/>
      <c r="C3253" s="30"/>
      <c r="D3253" s="30"/>
      <c r="E3253" s="30"/>
      <c r="F3253" s="22"/>
      <c r="G3253" s="23"/>
      <c r="H3253" s="23"/>
      <c r="I3253" s="23"/>
      <c r="J3253" s="23"/>
      <c r="K3253" s="23"/>
      <c r="L3253" s="23"/>
      <c r="M3253" s="23"/>
      <c r="N3253" s="23"/>
      <c r="O3253" s="23"/>
      <c r="P3253" s="23"/>
      <c r="Q3253" s="23"/>
      <c r="R3253" s="23"/>
      <c r="S3253" s="23"/>
      <c r="T3253" s="23"/>
      <c r="U3253" s="23"/>
    </row>
    <row r="3254">
      <c r="A3254" s="20"/>
      <c r="B3254" s="20"/>
      <c r="C3254" s="30"/>
      <c r="D3254" s="30"/>
      <c r="E3254" s="30"/>
      <c r="F3254" s="22"/>
      <c r="G3254" s="23"/>
      <c r="H3254" s="23"/>
      <c r="I3254" s="23"/>
      <c r="J3254" s="23"/>
      <c r="K3254" s="23"/>
      <c r="L3254" s="23"/>
      <c r="M3254" s="23"/>
      <c r="N3254" s="23"/>
      <c r="O3254" s="23"/>
      <c r="P3254" s="23"/>
      <c r="Q3254" s="23"/>
      <c r="R3254" s="23"/>
      <c r="S3254" s="23"/>
      <c r="T3254" s="23"/>
      <c r="U3254" s="23"/>
    </row>
    <row r="3255">
      <c r="A3255" s="20"/>
      <c r="B3255" s="20"/>
      <c r="C3255" s="30"/>
      <c r="D3255" s="30"/>
      <c r="E3255" s="30"/>
      <c r="F3255" s="22"/>
      <c r="G3255" s="23"/>
      <c r="H3255" s="23"/>
      <c r="I3255" s="23"/>
      <c r="J3255" s="23"/>
      <c r="K3255" s="23"/>
      <c r="L3255" s="23"/>
      <c r="M3255" s="23"/>
      <c r="N3255" s="23"/>
      <c r="O3255" s="23"/>
      <c r="P3255" s="23"/>
      <c r="Q3255" s="23"/>
      <c r="R3255" s="23"/>
      <c r="S3255" s="23"/>
      <c r="T3255" s="23"/>
      <c r="U3255" s="23"/>
    </row>
    <row r="3256">
      <c r="A3256" s="20"/>
      <c r="B3256" s="20"/>
      <c r="C3256" s="30"/>
      <c r="D3256" s="30"/>
      <c r="E3256" s="30"/>
      <c r="F3256" s="22"/>
      <c r="G3256" s="23"/>
      <c r="H3256" s="23"/>
      <c r="I3256" s="23"/>
      <c r="J3256" s="23"/>
      <c r="K3256" s="23"/>
      <c r="L3256" s="23"/>
      <c r="M3256" s="23"/>
      <c r="N3256" s="23"/>
      <c r="O3256" s="23"/>
      <c r="P3256" s="23"/>
      <c r="Q3256" s="23"/>
      <c r="R3256" s="23"/>
      <c r="S3256" s="23"/>
      <c r="T3256" s="23"/>
      <c r="U3256" s="23"/>
    </row>
    <row r="3257">
      <c r="A3257" s="20"/>
      <c r="B3257" s="20"/>
      <c r="C3257" s="30"/>
      <c r="D3257" s="30"/>
      <c r="E3257" s="30"/>
      <c r="F3257" s="22"/>
      <c r="G3257" s="23"/>
      <c r="H3257" s="23"/>
      <c r="I3257" s="23"/>
      <c r="J3257" s="23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</row>
    <row r="3258">
      <c r="A3258" s="20"/>
      <c r="B3258" s="20"/>
      <c r="C3258" s="30"/>
      <c r="D3258" s="30"/>
      <c r="E3258" s="30"/>
      <c r="F3258" s="22"/>
      <c r="G3258" s="23"/>
      <c r="H3258" s="23"/>
      <c r="I3258" s="23"/>
      <c r="J3258" s="23"/>
      <c r="K3258" s="23"/>
      <c r="L3258" s="23"/>
      <c r="M3258" s="23"/>
      <c r="N3258" s="23"/>
      <c r="O3258" s="23"/>
      <c r="P3258" s="23"/>
      <c r="Q3258" s="23"/>
      <c r="R3258" s="23"/>
      <c r="S3258" s="23"/>
      <c r="T3258" s="23"/>
      <c r="U3258" s="23"/>
    </row>
    <row r="3259">
      <c r="A3259" s="20"/>
      <c r="B3259" s="20"/>
      <c r="C3259" s="30"/>
      <c r="D3259" s="30"/>
      <c r="E3259" s="30"/>
      <c r="F3259" s="22"/>
      <c r="G3259" s="23"/>
      <c r="H3259" s="23"/>
      <c r="I3259" s="23"/>
      <c r="J3259" s="23"/>
      <c r="K3259" s="23"/>
      <c r="L3259" s="23"/>
      <c r="M3259" s="23"/>
      <c r="N3259" s="23"/>
      <c r="O3259" s="23"/>
      <c r="P3259" s="23"/>
      <c r="Q3259" s="23"/>
      <c r="R3259" s="23"/>
      <c r="S3259" s="23"/>
      <c r="T3259" s="23"/>
      <c r="U3259" s="23"/>
    </row>
    <row r="3260">
      <c r="A3260" s="20"/>
      <c r="B3260" s="20"/>
      <c r="C3260" s="30"/>
      <c r="D3260" s="30"/>
      <c r="E3260" s="30"/>
      <c r="F3260" s="22"/>
      <c r="G3260" s="23"/>
      <c r="H3260" s="23"/>
      <c r="I3260" s="23"/>
      <c r="J3260" s="23"/>
      <c r="K3260" s="23"/>
      <c r="L3260" s="23"/>
      <c r="M3260" s="23"/>
      <c r="N3260" s="23"/>
      <c r="O3260" s="23"/>
      <c r="P3260" s="23"/>
      <c r="Q3260" s="23"/>
      <c r="R3260" s="23"/>
      <c r="S3260" s="23"/>
      <c r="T3260" s="23"/>
      <c r="U3260" s="23"/>
    </row>
    <row r="3261">
      <c r="A3261" s="20"/>
      <c r="B3261" s="20"/>
      <c r="C3261" s="30"/>
      <c r="D3261" s="30"/>
      <c r="E3261" s="30"/>
      <c r="F3261" s="22"/>
      <c r="G3261" s="23"/>
      <c r="H3261" s="23"/>
      <c r="I3261" s="23"/>
      <c r="J3261" s="23"/>
      <c r="K3261" s="23"/>
      <c r="L3261" s="23"/>
      <c r="M3261" s="23"/>
      <c r="N3261" s="23"/>
      <c r="O3261" s="23"/>
      <c r="P3261" s="23"/>
      <c r="Q3261" s="23"/>
      <c r="R3261" s="23"/>
      <c r="S3261" s="23"/>
      <c r="T3261" s="23"/>
      <c r="U3261" s="23"/>
    </row>
    <row r="3262">
      <c r="A3262" s="20"/>
      <c r="B3262" s="20"/>
      <c r="C3262" s="30"/>
      <c r="D3262" s="30"/>
      <c r="E3262" s="30"/>
      <c r="F3262" s="22"/>
      <c r="G3262" s="23"/>
      <c r="H3262" s="23"/>
      <c r="I3262" s="23"/>
      <c r="J3262" s="23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</row>
    <row r="3263">
      <c r="A3263" s="20"/>
      <c r="B3263" s="20"/>
      <c r="C3263" s="30"/>
      <c r="D3263" s="30"/>
      <c r="E3263" s="30"/>
      <c r="F3263" s="22"/>
      <c r="G3263" s="23"/>
      <c r="H3263" s="23"/>
      <c r="I3263" s="23"/>
      <c r="J3263" s="23"/>
      <c r="K3263" s="23"/>
      <c r="L3263" s="23"/>
      <c r="M3263" s="23"/>
      <c r="N3263" s="23"/>
      <c r="O3263" s="23"/>
      <c r="P3263" s="23"/>
      <c r="Q3263" s="23"/>
      <c r="R3263" s="23"/>
      <c r="S3263" s="23"/>
      <c r="T3263" s="23"/>
      <c r="U3263" s="23"/>
    </row>
    <row r="3264">
      <c r="A3264" s="20"/>
      <c r="B3264" s="20"/>
      <c r="C3264" s="30"/>
      <c r="D3264" s="30"/>
      <c r="E3264" s="30"/>
      <c r="F3264" s="22"/>
      <c r="G3264" s="23"/>
      <c r="H3264" s="23"/>
      <c r="I3264" s="23"/>
      <c r="J3264" s="23"/>
      <c r="K3264" s="23"/>
      <c r="L3264" s="23"/>
      <c r="M3264" s="23"/>
      <c r="N3264" s="23"/>
      <c r="O3264" s="23"/>
      <c r="P3264" s="23"/>
      <c r="Q3264" s="23"/>
      <c r="R3264" s="23"/>
      <c r="S3264" s="23"/>
      <c r="T3264" s="23"/>
      <c r="U3264" s="23"/>
    </row>
    <row r="3265">
      <c r="A3265" s="20"/>
      <c r="B3265" s="20"/>
      <c r="C3265" s="30"/>
      <c r="D3265" s="30"/>
      <c r="E3265" s="30"/>
      <c r="F3265" s="22"/>
      <c r="G3265" s="23"/>
      <c r="H3265" s="23"/>
      <c r="I3265" s="23"/>
      <c r="J3265" s="23"/>
      <c r="K3265" s="23"/>
      <c r="L3265" s="23"/>
      <c r="M3265" s="23"/>
      <c r="N3265" s="23"/>
      <c r="O3265" s="23"/>
      <c r="P3265" s="23"/>
      <c r="Q3265" s="23"/>
      <c r="R3265" s="23"/>
      <c r="S3265" s="23"/>
      <c r="T3265" s="23"/>
      <c r="U3265" s="23"/>
    </row>
    <row r="3266">
      <c r="A3266" s="20"/>
      <c r="B3266" s="20"/>
      <c r="C3266" s="30"/>
      <c r="D3266" s="30"/>
      <c r="E3266" s="30"/>
      <c r="F3266" s="22"/>
      <c r="G3266" s="23"/>
      <c r="H3266" s="23"/>
      <c r="I3266" s="23"/>
      <c r="J3266" s="23"/>
      <c r="K3266" s="23"/>
      <c r="L3266" s="23"/>
      <c r="M3266" s="23"/>
      <c r="N3266" s="23"/>
      <c r="O3266" s="23"/>
      <c r="P3266" s="23"/>
      <c r="Q3266" s="23"/>
      <c r="R3266" s="23"/>
      <c r="S3266" s="23"/>
      <c r="T3266" s="23"/>
      <c r="U3266" s="23"/>
    </row>
    <row r="3267">
      <c r="A3267" s="20"/>
      <c r="B3267" s="20"/>
      <c r="C3267" s="30"/>
      <c r="D3267" s="30"/>
      <c r="E3267" s="30"/>
      <c r="F3267" s="22"/>
      <c r="G3267" s="23"/>
      <c r="H3267" s="23"/>
      <c r="I3267" s="23"/>
      <c r="J3267" s="23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</row>
    <row r="3268">
      <c r="A3268" s="20"/>
      <c r="B3268" s="20"/>
      <c r="C3268" s="30"/>
      <c r="D3268" s="30"/>
      <c r="E3268" s="30"/>
      <c r="F3268" s="22"/>
      <c r="G3268" s="23"/>
      <c r="H3268" s="23"/>
      <c r="I3268" s="23"/>
      <c r="J3268" s="23"/>
      <c r="K3268" s="23"/>
      <c r="L3268" s="23"/>
      <c r="M3268" s="23"/>
      <c r="N3268" s="23"/>
      <c r="O3268" s="23"/>
      <c r="P3268" s="23"/>
      <c r="Q3268" s="23"/>
      <c r="R3268" s="23"/>
      <c r="S3268" s="23"/>
      <c r="T3268" s="23"/>
      <c r="U3268" s="23"/>
    </row>
    <row r="3269">
      <c r="A3269" s="20"/>
      <c r="B3269" s="20"/>
      <c r="C3269" s="30"/>
      <c r="D3269" s="30"/>
      <c r="E3269" s="30"/>
      <c r="F3269" s="22"/>
      <c r="G3269" s="23"/>
      <c r="H3269" s="23"/>
      <c r="I3269" s="23"/>
      <c r="J3269" s="23"/>
      <c r="K3269" s="23"/>
      <c r="L3269" s="23"/>
      <c r="M3269" s="23"/>
      <c r="N3269" s="23"/>
      <c r="O3269" s="23"/>
      <c r="P3269" s="23"/>
      <c r="Q3269" s="23"/>
      <c r="R3269" s="23"/>
      <c r="S3269" s="23"/>
      <c r="T3269" s="23"/>
      <c r="U3269" s="23"/>
    </row>
    <row r="3270">
      <c r="A3270" s="20"/>
      <c r="B3270" s="20"/>
      <c r="C3270" s="30"/>
      <c r="D3270" s="30"/>
      <c r="E3270" s="30"/>
      <c r="F3270" s="22"/>
      <c r="G3270" s="23"/>
      <c r="H3270" s="23"/>
      <c r="I3270" s="23"/>
      <c r="J3270" s="23"/>
      <c r="K3270" s="23"/>
      <c r="L3270" s="23"/>
      <c r="M3270" s="23"/>
      <c r="N3270" s="23"/>
      <c r="O3270" s="23"/>
      <c r="P3270" s="23"/>
      <c r="Q3270" s="23"/>
      <c r="R3270" s="23"/>
      <c r="S3270" s="23"/>
      <c r="T3270" s="23"/>
      <c r="U3270" s="23"/>
    </row>
    <row r="3271">
      <c r="A3271" s="20"/>
      <c r="B3271" s="20"/>
      <c r="C3271" s="30"/>
      <c r="D3271" s="30"/>
      <c r="E3271" s="30"/>
      <c r="F3271" s="22"/>
      <c r="G3271" s="23"/>
      <c r="H3271" s="23"/>
      <c r="I3271" s="23"/>
      <c r="J3271" s="23"/>
      <c r="K3271" s="23"/>
      <c r="L3271" s="23"/>
      <c r="M3271" s="23"/>
      <c r="N3271" s="23"/>
      <c r="O3271" s="23"/>
      <c r="P3271" s="23"/>
      <c r="Q3271" s="23"/>
      <c r="R3271" s="23"/>
      <c r="S3271" s="23"/>
      <c r="T3271" s="23"/>
      <c r="U3271" s="23"/>
    </row>
    <row r="3272">
      <c r="A3272" s="20"/>
      <c r="B3272" s="20"/>
      <c r="C3272" s="30"/>
      <c r="D3272" s="30"/>
      <c r="E3272" s="30"/>
      <c r="F3272" s="22"/>
      <c r="G3272" s="23"/>
      <c r="H3272" s="23"/>
      <c r="I3272" s="23"/>
      <c r="J3272" s="23"/>
      <c r="K3272" s="23"/>
      <c r="L3272" s="23"/>
      <c r="M3272" s="23"/>
      <c r="N3272" s="23"/>
      <c r="O3272" s="23"/>
      <c r="P3272" s="23"/>
      <c r="Q3272" s="23"/>
      <c r="R3272" s="23"/>
      <c r="S3272" s="23"/>
      <c r="T3272" s="23"/>
      <c r="U3272" s="23"/>
    </row>
    <row r="3273">
      <c r="A3273" s="20"/>
      <c r="B3273" s="20"/>
      <c r="C3273" s="30"/>
      <c r="D3273" s="30"/>
      <c r="E3273" s="30"/>
      <c r="F3273" s="22"/>
      <c r="G3273" s="23"/>
      <c r="H3273" s="23"/>
      <c r="I3273" s="23"/>
      <c r="J3273" s="23"/>
      <c r="K3273" s="23"/>
      <c r="L3273" s="23"/>
      <c r="M3273" s="23"/>
      <c r="N3273" s="23"/>
      <c r="O3273" s="23"/>
      <c r="P3273" s="23"/>
      <c r="Q3273" s="23"/>
      <c r="R3273" s="23"/>
      <c r="S3273" s="23"/>
      <c r="T3273" s="23"/>
      <c r="U3273" s="23"/>
    </row>
    <row r="3274">
      <c r="A3274" s="20"/>
      <c r="B3274" s="20"/>
      <c r="C3274" s="30"/>
      <c r="D3274" s="30"/>
      <c r="E3274" s="30"/>
      <c r="F3274" s="22"/>
      <c r="G3274" s="23"/>
      <c r="H3274" s="23"/>
      <c r="I3274" s="23"/>
      <c r="J3274" s="23"/>
      <c r="K3274" s="23"/>
      <c r="L3274" s="23"/>
      <c r="M3274" s="23"/>
      <c r="N3274" s="23"/>
      <c r="O3274" s="23"/>
      <c r="P3274" s="23"/>
      <c r="Q3274" s="23"/>
      <c r="R3274" s="23"/>
      <c r="S3274" s="23"/>
      <c r="T3274" s="23"/>
      <c r="U3274" s="23"/>
    </row>
    <row r="3275">
      <c r="A3275" s="20"/>
      <c r="B3275" s="20"/>
      <c r="C3275" s="30"/>
      <c r="D3275" s="30"/>
      <c r="E3275" s="30"/>
      <c r="F3275" s="22"/>
      <c r="G3275" s="23"/>
      <c r="H3275" s="23"/>
      <c r="I3275" s="23"/>
      <c r="J3275" s="23"/>
      <c r="K3275" s="23"/>
      <c r="L3275" s="23"/>
      <c r="M3275" s="23"/>
      <c r="N3275" s="23"/>
      <c r="O3275" s="23"/>
      <c r="P3275" s="23"/>
      <c r="Q3275" s="23"/>
      <c r="R3275" s="23"/>
      <c r="S3275" s="23"/>
      <c r="T3275" s="23"/>
      <c r="U3275" s="23"/>
    </row>
    <row r="3276">
      <c r="A3276" s="20"/>
      <c r="B3276" s="20"/>
      <c r="C3276" s="30"/>
      <c r="D3276" s="30"/>
      <c r="E3276" s="30"/>
      <c r="F3276" s="22"/>
      <c r="G3276" s="23"/>
      <c r="H3276" s="23"/>
      <c r="I3276" s="23"/>
      <c r="J3276" s="23"/>
      <c r="K3276" s="23"/>
      <c r="L3276" s="23"/>
      <c r="M3276" s="23"/>
      <c r="N3276" s="23"/>
      <c r="O3276" s="23"/>
      <c r="P3276" s="23"/>
      <c r="Q3276" s="23"/>
      <c r="R3276" s="23"/>
      <c r="S3276" s="23"/>
      <c r="T3276" s="23"/>
      <c r="U3276" s="23"/>
    </row>
    <row r="3277">
      <c r="A3277" s="20"/>
      <c r="B3277" s="20"/>
      <c r="C3277" s="30"/>
      <c r="D3277" s="30"/>
      <c r="E3277" s="30"/>
      <c r="F3277" s="22"/>
      <c r="G3277" s="23"/>
      <c r="H3277" s="23"/>
      <c r="I3277" s="23"/>
      <c r="J3277" s="23"/>
      <c r="K3277" s="23"/>
      <c r="L3277" s="23"/>
      <c r="M3277" s="23"/>
      <c r="N3277" s="23"/>
      <c r="O3277" s="23"/>
      <c r="P3277" s="23"/>
      <c r="Q3277" s="23"/>
      <c r="R3277" s="23"/>
      <c r="S3277" s="23"/>
      <c r="T3277" s="23"/>
      <c r="U3277" s="23"/>
    </row>
    <row r="3278">
      <c r="A3278" s="20"/>
      <c r="B3278" s="20"/>
      <c r="C3278" s="30"/>
      <c r="D3278" s="30"/>
      <c r="E3278" s="30"/>
      <c r="F3278" s="22"/>
      <c r="G3278" s="23"/>
      <c r="H3278" s="23"/>
      <c r="I3278" s="23"/>
      <c r="J3278" s="23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</row>
    <row r="3279">
      <c r="A3279" s="20"/>
      <c r="B3279" s="20"/>
      <c r="C3279" s="30"/>
      <c r="D3279" s="30"/>
      <c r="E3279" s="30"/>
      <c r="F3279" s="22"/>
      <c r="G3279" s="23"/>
      <c r="H3279" s="23"/>
      <c r="I3279" s="23"/>
      <c r="J3279" s="23"/>
      <c r="K3279" s="23"/>
      <c r="L3279" s="23"/>
      <c r="M3279" s="23"/>
      <c r="N3279" s="23"/>
      <c r="O3279" s="23"/>
      <c r="P3279" s="23"/>
      <c r="Q3279" s="23"/>
      <c r="R3279" s="23"/>
      <c r="S3279" s="23"/>
      <c r="T3279" s="23"/>
      <c r="U3279" s="23"/>
    </row>
    <row r="3280">
      <c r="A3280" s="20"/>
      <c r="B3280" s="20"/>
      <c r="C3280" s="30"/>
      <c r="D3280" s="30"/>
      <c r="E3280" s="30"/>
      <c r="F3280" s="22"/>
      <c r="G3280" s="23"/>
      <c r="H3280" s="23"/>
      <c r="I3280" s="23"/>
      <c r="J3280" s="23"/>
      <c r="K3280" s="23"/>
      <c r="L3280" s="23"/>
      <c r="M3280" s="23"/>
      <c r="N3280" s="23"/>
      <c r="O3280" s="23"/>
      <c r="P3280" s="23"/>
      <c r="Q3280" s="23"/>
      <c r="R3280" s="23"/>
      <c r="S3280" s="23"/>
      <c r="T3280" s="23"/>
      <c r="U3280" s="23"/>
    </row>
    <row r="3281">
      <c r="A3281" s="20"/>
      <c r="B3281" s="20"/>
      <c r="C3281" s="30"/>
      <c r="D3281" s="30"/>
      <c r="E3281" s="30"/>
      <c r="F3281" s="22"/>
      <c r="G3281" s="23"/>
      <c r="H3281" s="23"/>
      <c r="I3281" s="23"/>
      <c r="J3281" s="23"/>
      <c r="K3281" s="23"/>
      <c r="L3281" s="23"/>
      <c r="M3281" s="23"/>
      <c r="N3281" s="23"/>
      <c r="O3281" s="23"/>
      <c r="P3281" s="23"/>
      <c r="Q3281" s="23"/>
      <c r="R3281" s="23"/>
      <c r="S3281" s="23"/>
      <c r="T3281" s="23"/>
      <c r="U3281" s="23"/>
    </row>
    <row r="3282">
      <c r="A3282" s="20"/>
      <c r="B3282" s="20"/>
      <c r="C3282" s="30"/>
      <c r="D3282" s="30"/>
      <c r="E3282" s="30"/>
      <c r="F3282" s="22"/>
      <c r="G3282" s="23"/>
      <c r="H3282" s="23"/>
      <c r="I3282" s="23"/>
      <c r="J3282" s="23"/>
      <c r="K3282" s="23"/>
      <c r="L3282" s="23"/>
      <c r="M3282" s="23"/>
      <c r="N3282" s="23"/>
      <c r="O3282" s="23"/>
      <c r="P3282" s="23"/>
      <c r="Q3282" s="23"/>
      <c r="R3282" s="23"/>
      <c r="S3282" s="23"/>
      <c r="T3282" s="23"/>
      <c r="U3282" s="23"/>
    </row>
    <row r="3283">
      <c r="A3283" s="20"/>
      <c r="B3283" s="20"/>
      <c r="C3283" s="30"/>
      <c r="D3283" s="30"/>
      <c r="E3283" s="30"/>
      <c r="F3283" s="22"/>
      <c r="G3283" s="23"/>
      <c r="H3283" s="23"/>
      <c r="I3283" s="23"/>
      <c r="J3283" s="23"/>
      <c r="K3283" s="23"/>
      <c r="L3283" s="23"/>
      <c r="M3283" s="23"/>
      <c r="N3283" s="23"/>
      <c r="O3283" s="23"/>
      <c r="P3283" s="23"/>
      <c r="Q3283" s="23"/>
      <c r="R3283" s="23"/>
      <c r="S3283" s="23"/>
      <c r="T3283" s="23"/>
      <c r="U3283" s="23"/>
    </row>
    <row r="3284">
      <c r="A3284" s="20"/>
      <c r="B3284" s="20"/>
      <c r="C3284" s="30"/>
      <c r="D3284" s="30"/>
      <c r="E3284" s="30"/>
      <c r="F3284" s="22"/>
      <c r="G3284" s="23"/>
      <c r="H3284" s="23"/>
      <c r="I3284" s="23"/>
      <c r="J3284" s="23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</row>
    <row r="3285">
      <c r="A3285" s="20"/>
      <c r="B3285" s="20"/>
      <c r="C3285" s="30"/>
      <c r="D3285" s="30"/>
      <c r="E3285" s="30"/>
      <c r="F3285" s="22"/>
      <c r="G3285" s="23"/>
      <c r="H3285" s="23"/>
      <c r="I3285" s="23"/>
      <c r="J3285" s="23"/>
      <c r="K3285" s="23"/>
      <c r="L3285" s="23"/>
      <c r="M3285" s="23"/>
      <c r="N3285" s="23"/>
      <c r="O3285" s="23"/>
      <c r="P3285" s="23"/>
      <c r="Q3285" s="23"/>
      <c r="R3285" s="23"/>
      <c r="S3285" s="23"/>
      <c r="T3285" s="23"/>
      <c r="U3285" s="23"/>
    </row>
    <row r="3286">
      <c r="A3286" s="20"/>
      <c r="B3286" s="20"/>
      <c r="C3286" s="30"/>
      <c r="D3286" s="30"/>
      <c r="E3286" s="30"/>
      <c r="F3286" s="22"/>
      <c r="G3286" s="23"/>
      <c r="H3286" s="23"/>
      <c r="I3286" s="23"/>
      <c r="J3286" s="23"/>
      <c r="K3286" s="23"/>
      <c r="L3286" s="23"/>
      <c r="M3286" s="23"/>
      <c r="N3286" s="23"/>
      <c r="O3286" s="23"/>
      <c r="P3286" s="23"/>
      <c r="Q3286" s="23"/>
      <c r="R3286" s="23"/>
      <c r="S3286" s="23"/>
      <c r="T3286" s="23"/>
      <c r="U3286" s="23"/>
    </row>
    <row r="3287">
      <c r="A3287" s="20"/>
      <c r="B3287" s="20"/>
      <c r="C3287" s="30"/>
      <c r="D3287" s="30"/>
      <c r="E3287" s="30"/>
      <c r="F3287" s="22"/>
      <c r="G3287" s="23"/>
      <c r="H3287" s="23"/>
      <c r="I3287" s="23"/>
      <c r="J3287" s="23"/>
      <c r="K3287" s="23"/>
      <c r="L3287" s="23"/>
      <c r="M3287" s="23"/>
      <c r="N3287" s="23"/>
      <c r="O3287" s="23"/>
      <c r="P3287" s="23"/>
      <c r="Q3287" s="23"/>
      <c r="R3287" s="23"/>
      <c r="S3287" s="23"/>
      <c r="T3287" s="23"/>
      <c r="U3287" s="23"/>
    </row>
    <row r="3288">
      <c r="A3288" s="20"/>
      <c r="B3288" s="20"/>
      <c r="C3288" s="30"/>
      <c r="D3288" s="30"/>
      <c r="E3288" s="30"/>
      <c r="F3288" s="22"/>
      <c r="G3288" s="23"/>
      <c r="H3288" s="23"/>
      <c r="I3288" s="23"/>
      <c r="J3288" s="23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</row>
    <row r="3289">
      <c r="A3289" s="20"/>
      <c r="B3289" s="20"/>
      <c r="C3289" s="30"/>
      <c r="D3289" s="30"/>
      <c r="E3289" s="30"/>
      <c r="F3289" s="22"/>
      <c r="G3289" s="23"/>
      <c r="H3289" s="23"/>
      <c r="I3289" s="23"/>
      <c r="J3289" s="23"/>
      <c r="K3289" s="23"/>
      <c r="L3289" s="23"/>
      <c r="M3289" s="23"/>
      <c r="N3289" s="23"/>
      <c r="O3289" s="23"/>
      <c r="P3289" s="23"/>
      <c r="Q3289" s="23"/>
      <c r="R3289" s="23"/>
      <c r="S3289" s="23"/>
      <c r="T3289" s="23"/>
      <c r="U3289" s="23"/>
    </row>
    <row r="3290">
      <c r="A3290" s="20"/>
      <c r="B3290" s="20"/>
      <c r="C3290" s="30"/>
      <c r="D3290" s="30"/>
      <c r="E3290" s="30"/>
      <c r="F3290" s="22"/>
      <c r="G3290" s="23"/>
      <c r="H3290" s="23"/>
      <c r="I3290" s="23"/>
      <c r="J3290" s="23"/>
      <c r="K3290" s="23"/>
      <c r="L3290" s="23"/>
      <c r="M3290" s="23"/>
      <c r="N3290" s="23"/>
      <c r="O3290" s="23"/>
      <c r="P3290" s="23"/>
      <c r="Q3290" s="23"/>
      <c r="R3290" s="23"/>
      <c r="S3290" s="23"/>
      <c r="T3290" s="23"/>
      <c r="U3290" s="23"/>
    </row>
    <row r="3291">
      <c r="A3291" s="20"/>
      <c r="B3291" s="20"/>
      <c r="C3291" s="30"/>
      <c r="D3291" s="30"/>
      <c r="E3291" s="30"/>
      <c r="F3291" s="22"/>
      <c r="G3291" s="23"/>
      <c r="H3291" s="23"/>
      <c r="I3291" s="23"/>
      <c r="J3291" s="23"/>
      <c r="K3291" s="23"/>
      <c r="L3291" s="23"/>
      <c r="M3291" s="23"/>
      <c r="N3291" s="23"/>
      <c r="O3291" s="23"/>
      <c r="P3291" s="23"/>
      <c r="Q3291" s="23"/>
      <c r="R3291" s="23"/>
      <c r="S3291" s="23"/>
      <c r="T3291" s="23"/>
      <c r="U3291" s="23"/>
    </row>
    <row r="3292">
      <c r="A3292" s="20"/>
      <c r="B3292" s="20"/>
      <c r="C3292" s="30"/>
      <c r="D3292" s="30"/>
      <c r="E3292" s="30"/>
      <c r="F3292" s="22"/>
      <c r="G3292" s="23"/>
      <c r="H3292" s="23"/>
      <c r="I3292" s="23"/>
      <c r="J3292" s="23"/>
      <c r="K3292" s="23"/>
      <c r="L3292" s="23"/>
      <c r="M3292" s="23"/>
      <c r="N3292" s="23"/>
      <c r="O3292" s="23"/>
      <c r="P3292" s="23"/>
      <c r="Q3292" s="23"/>
      <c r="R3292" s="23"/>
      <c r="S3292" s="23"/>
      <c r="T3292" s="23"/>
      <c r="U3292" s="23"/>
    </row>
    <row r="3293">
      <c r="A3293" s="20"/>
      <c r="B3293" s="20"/>
      <c r="C3293" s="30"/>
      <c r="D3293" s="30"/>
      <c r="E3293" s="30"/>
      <c r="F3293" s="22"/>
      <c r="G3293" s="23"/>
      <c r="H3293" s="23"/>
      <c r="I3293" s="23"/>
      <c r="J3293" s="23"/>
      <c r="K3293" s="23"/>
      <c r="L3293" s="23"/>
      <c r="M3293" s="23"/>
      <c r="N3293" s="23"/>
      <c r="O3293" s="23"/>
      <c r="P3293" s="23"/>
      <c r="Q3293" s="23"/>
      <c r="R3293" s="23"/>
      <c r="S3293" s="23"/>
      <c r="T3293" s="23"/>
      <c r="U3293" s="23"/>
    </row>
    <row r="3294">
      <c r="A3294" s="20"/>
      <c r="B3294" s="20"/>
      <c r="C3294" s="30"/>
      <c r="D3294" s="30"/>
      <c r="E3294" s="30"/>
      <c r="F3294" s="22"/>
      <c r="G3294" s="23"/>
      <c r="H3294" s="23"/>
      <c r="I3294" s="23"/>
      <c r="J3294" s="23"/>
      <c r="K3294" s="23"/>
      <c r="L3294" s="23"/>
      <c r="M3294" s="23"/>
      <c r="N3294" s="23"/>
      <c r="O3294" s="23"/>
      <c r="P3294" s="23"/>
      <c r="Q3294" s="23"/>
      <c r="R3294" s="23"/>
      <c r="S3294" s="23"/>
      <c r="T3294" s="23"/>
      <c r="U3294" s="23"/>
    </row>
    <row r="3295">
      <c r="A3295" s="20"/>
      <c r="B3295" s="20"/>
      <c r="C3295" s="30"/>
      <c r="D3295" s="30"/>
      <c r="E3295" s="30"/>
      <c r="F3295" s="22"/>
      <c r="G3295" s="23"/>
      <c r="H3295" s="23"/>
      <c r="I3295" s="23"/>
      <c r="J3295" s="23"/>
      <c r="K3295" s="23"/>
      <c r="L3295" s="23"/>
      <c r="M3295" s="23"/>
      <c r="N3295" s="23"/>
      <c r="O3295" s="23"/>
      <c r="P3295" s="23"/>
      <c r="Q3295" s="23"/>
      <c r="R3295" s="23"/>
      <c r="S3295" s="23"/>
      <c r="T3295" s="23"/>
      <c r="U3295" s="23"/>
    </row>
    <row r="3296">
      <c r="A3296" s="20"/>
      <c r="B3296" s="20"/>
      <c r="C3296" s="30"/>
      <c r="D3296" s="30"/>
      <c r="E3296" s="30"/>
      <c r="F3296" s="22"/>
      <c r="G3296" s="23"/>
      <c r="H3296" s="23"/>
      <c r="I3296" s="23"/>
      <c r="J3296" s="23"/>
      <c r="K3296" s="23"/>
      <c r="L3296" s="23"/>
      <c r="M3296" s="23"/>
      <c r="N3296" s="23"/>
      <c r="O3296" s="23"/>
      <c r="P3296" s="23"/>
      <c r="Q3296" s="23"/>
      <c r="R3296" s="23"/>
      <c r="S3296" s="23"/>
      <c r="T3296" s="23"/>
      <c r="U3296" s="23"/>
    </row>
    <row r="3297">
      <c r="A3297" s="20"/>
      <c r="B3297" s="20"/>
      <c r="C3297" s="30"/>
      <c r="D3297" s="30"/>
      <c r="E3297" s="30"/>
      <c r="F3297" s="22"/>
      <c r="G3297" s="23"/>
      <c r="H3297" s="23"/>
      <c r="I3297" s="23"/>
      <c r="J3297" s="23"/>
      <c r="K3297" s="23"/>
      <c r="L3297" s="23"/>
      <c r="M3297" s="23"/>
      <c r="N3297" s="23"/>
      <c r="O3297" s="23"/>
      <c r="P3297" s="23"/>
      <c r="Q3297" s="23"/>
      <c r="R3297" s="23"/>
      <c r="S3297" s="23"/>
      <c r="T3297" s="23"/>
      <c r="U3297" s="23"/>
    </row>
    <row r="3298">
      <c r="A3298" s="20"/>
      <c r="B3298" s="20"/>
      <c r="C3298" s="30"/>
      <c r="D3298" s="30"/>
      <c r="E3298" s="30"/>
      <c r="F3298" s="22"/>
      <c r="G3298" s="23"/>
      <c r="H3298" s="23"/>
      <c r="I3298" s="23"/>
      <c r="J3298" s="23"/>
      <c r="K3298" s="23"/>
      <c r="L3298" s="23"/>
      <c r="M3298" s="23"/>
      <c r="N3298" s="23"/>
      <c r="O3298" s="23"/>
      <c r="P3298" s="23"/>
      <c r="Q3298" s="23"/>
      <c r="R3298" s="23"/>
      <c r="S3298" s="23"/>
      <c r="T3298" s="23"/>
      <c r="U3298" s="23"/>
    </row>
    <row r="3299">
      <c r="A3299" s="20"/>
      <c r="B3299" s="20"/>
      <c r="C3299" s="30"/>
      <c r="D3299" s="30"/>
      <c r="E3299" s="30"/>
      <c r="F3299" s="22"/>
      <c r="G3299" s="23"/>
      <c r="H3299" s="23"/>
      <c r="I3299" s="23"/>
      <c r="J3299" s="23"/>
      <c r="K3299" s="23"/>
      <c r="L3299" s="23"/>
      <c r="M3299" s="23"/>
      <c r="N3299" s="23"/>
      <c r="O3299" s="23"/>
      <c r="P3299" s="23"/>
      <c r="Q3299" s="23"/>
      <c r="R3299" s="23"/>
      <c r="S3299" s="23"/>
      <c r="T3299" s="23"/>
      <c r="U3299" s="23"/>
    </row>
    <row r="3300">
      <c r="A3300" s="20"/>
      <c r="B3300" s="20"/>
      <c r="C3300" s="30"/>
      <c r="D3300" s="30"/>
      <c r="E3300" s="30"/>
      <c r="F3300" s="22"/>
      <c r="G3300" s="23"/>
      <c r="H3300" s="23"/>
      <c r="I3300" s="23"/>
      <c r="J3300" s="23"/>
      <c r="K3300" s="23"/>
      <c r="L3300" s="23"/>
      <c r="M3300" s="23"/>
      <c r="N3300" s="23"/>
      <c r="O3300" s="23"/>
      <c r="P3300" s="23"/>
      <c r="Q3300" s="23"/>
      <c r="R3300" s="23"/>
      <c r="S3300" s="23"/>
      <c r="T3300" s="23"/>
      <c r="U3300" s="23"/>
    </row>
    <row r="3301">
      <c r="A3301" s="20"/>
      <c r="B3301" s="20"/>
      <c r="C3301" s="30"/>
      <c r="D3301" s="30"/>
      <c r="E3301" s="30"/>
      <c r="F3301" s="22"/>
      <c r="G3301" s="23"/>
      <c r="H3301" s="23"/>
      <c r="I3301" s="23"/>
      <c r="J3301" s="23"/>
      <c r="K3301" s="23"/>
      <c r="L3301" s="23"/>
      <c r="M3301" s="23"/>
      <c r="N3301" s="23"/>
      <c r="O3301" s="23"/>
      <c r="P3301" s="23"/>
      <c r="Q3301" s="23"/>
      <c r="R3301" s="23"/>
      <c r="S3301" s="23"/>
      <c r="T3301" s="23"/>
      <c r="U3301" s="23"/>
    </row>
    <row r="3302">
      <c r="A3302" s="20"/>
      <c r="B3302" s="20"/>
      <c r="C3302" s="30"/>
      <c r="D3302" s="30"/>
      <c r="E3302" s="30"/>
      <c r="F3302" s="22"/>
      <c r="G3302" s="23"/>
      <c r="H3302" s="23"/>
      <c r="I3302" s="23"/>
      <c r="J3302" s="23"/>
      <c r="K3302" s="23"/>
      <c r="L3302" s="23"/>
      <c r="M3302" s="23"/>
      <c r="N3302" s="23"/>
      <c r="O3302" s="23"/>
      <c r="P3302" s="23"/>
      <c r="Q3302" s="23"/>
      <c r="R3302" s="23"/>
      <c r="S3302" s="23"/>
      <c r="T3302" s="23"/>
      <c r="U3302" s="23"/>
    </row>
    <row r="3303">
      <c r="A3303" s="20"/>
      <c r="B3303" s="20"/>
      <c r="C3303" s="30"/>
      <c r="D3303" s="30"/>
      <c r="E3303" s="30"/>
      <c r="F3303" s="22"/>
      <c r="G3303" s="23"/>
      <c r="H3303" s="23"/>
      <c r="I3303" s="23"/>
      <c r="J3303" s="23"/>
      <c r="K3303" s="23"/>
      <c r="L3303" s="23"/>
      <c r="M3303" s="23"/>
      <c r="N3303" s="23"/>
      <c r="O3303" s="23"/>
      <c r="P3303" s="23"/>
      <c r="Q3303" s="23"/>
      <c r="R3303" s="23"/>
      <c r="S3303" s="23"/>
      <c r="T3303" s="23"/>
      <c r="U3303" s="23"/>
    </row>
    <row r="3304">
      <c r="A3304" s="20"/>
      <c r="B3304" s="20"/>
      <c r="C3304" s="30"/>
      <c r="D3304" s="30"/>
      <c r="E3304" s="30"/>
      <c r="F3304" s="22"/>
      <c r="G3304" s="23"/>
      <c r="H3304" s="23"/>
      <c r="I3304" s="23"/>
      <c r="J3304" s="23"/>
      <c r="K3304" s="23"/>
      <c r="L3304" s="23"/>
      <c r="M3304" s="23"/>
      <c r="N3304" s="23"/>
      <c r="O3304" s="23"/>
      <c r="P3304" s="23"/>
      <c r="Q3304" s="23"/>
      <c r="R3304" s="23"/>
      <c r="S3304" s="23"/>
      <c r="T3304" s="23"/>
      <c r="U3304" s="23"/>
    </row>
    <row r="3305">
      <c r="A3305" s="20"/>
      <c r="B3305" s="20"/>
      <c r="C3305" s="30"/>
      <c r="D3305" s="30"/>
      <c r="E3305" s="30"/>
      <c r="F3305" s="22"/>
      <c r="G3305" s="23"/>
      <c r="H3305" s="23"/>
      <c r="I3305" s="23"/>
      <c r="J3305" s="23"/>
      <c r="K3305" s="23"/>
      <c r="L3305" s="23"/>
      <c r="M3305" s="23"/>
      <c r="N3305" s="23"/>
      <c r="O3305" s="23"/>
      <c r="P3305" s="23"/>
      <c r="Q3305" s="23"/>
      <c r="R3305" s="23"/>
      <c r="S3305" s="23"/>
      <c r="T3305" s="23"/>
      <c r="U3305" s="23"/>
    </row>
    <row r="3306">
      <c r="A3306" s="20"/>
      <c r="B3306" s="20"/>
      <c r="C3306" s="30"/>
      <c r="D3306" s="30"/>
      <c r="E3306" s="30"/>
      <c r="F3306" s="22"/>
      <c r="G3306" s="23"/>
      <c r="H3306" s="23"/>
      <c r="I3306" s="23"/>
      <c r="J3306" s="23"/>
      <c r="K3306" s="23"/>
      <c r="L3306" s="23"/>
      <c r="M3306" s="23"/>
      <c r="N3306" s="23"/>
      <c r="O3306" s="23"/>
      <c r="P3306" s="23"/>
      <c r="Q3306" s="23"/>
      <c r="R3306" s="23"/>
      <c r="S3306" s="23"/>
      <c r="T3306" s="23"/>
      <c r="U3306" s="23"/>
    </row>
    <row r="3307">
      <c r="A3307" s="20"/>
      <c r="B3307" s="20"/>
      <c r="C3307" s="30"/>
      <c r="D3307" s="30"/>
      <c r="E3307" s="30"/>
      <c r="F3307" s="22"/>
      <c r="G3307" s="23"/>
      <c r="H3307" s="23"/>
      <c r="I3307" s="23"/>
      <c r="J3307" s="23"/>
      <c r="K3307" s="23"/>
      <c r="L3307" s="23"/>
      <c r="M3307" s="23"/>
      <c r="N3307" s="23"/>
      <c r="O3307" s="23"/>
      <c r="P3307" s="23"/>
      <c r="Q3307" s="23"/>
      <c r="R3307" s="23"/>
      <c r="S3307" s="23"/>
      <c r="T3307" s="23"/>
      <c r="U3307" s="23"/>
    </row>
    <row r="3308">
      <c r="A3308" s="20"/>
      <c r="B3308" s="20"/>
      <c r="C3308" s="30"/>
      <c r="D3308" s="30"/>
      <c r="E3308" s="30"/>
      <c r="F3308" s="22"/>
      <c r="G3308" s="23"/>
      <c r="H3308" s="23"/>
      <c r="I3308" s="23"/>
      <c r="J3308" s="23"/>
      <c r="K3308" s="23"/>
      <c r="L3308" s="23"/>
      <c r="M3308" s="23"/>
      <c r="N3308" s="23"/>
      <c r="O3308" s="23"/>
      <c r="P3308" s="23"/>
      <c r="Q3308" s="23"/>
      <c r="R3308" s="23"/>
      <c r="S3308" s="23"/>
      <c r="T3308" s="23"/>
      <c r="U3308" s="23"/>
    </row>
    <row r="3309">
      <c r="A3309" s="20"/>
      <c r="B3309" s="20"/>
      <c r="C3309" s="30"/>
      <c r="D3309" s="30"/>
      <c r="E3309" s="30"/>
      <c r="F3309" s="22"/>
      <c r="G3309" s="23"/>
      <c r="H3309" s="23"/>
      <c r="I3309" s="23"/>
      <c r="J3309" s="23"/>
      <c r="K3309" s="23"/>
      <c r="L3309" s="23"/>
      <c r="M3309" s="23"/>
      <c r="N3309" s="23"/>
      <c r="O3309" s="23"/>
      <c r="P3309" s="23"/>
      <c r="Q3309" s="23"/>
      <c r="R3309" s="23"/>
      <c r="S3309" s="23"/>
      <c r="T3309" s="23"/>
      <c r="U3309" s="23"/>
    </row>
    <row r="3310">
      <c r="A3310" s="20"/>
      <c r="B3310" s="20"/>
      <c r="C3310" s="30"/>
      <c r="D3310" s="30"/>
      <c r="E3310" s="30"/>
      <c r="F3310" s="22"/>
      <c r="G3310" s="23"/>
      <c r="H3310" s="23"/>
      <c r="I3310" s="23"/>
      <c r="J3310" s="23"/>
      <c r="K3310" s="23"/>
      <c r="L3310" s="23"/>
      <c r="M3310" s="23"/>
      <c r="N3310" s="23"/>
      <c r="O3310" s="23"/>
      <c r="P3310" s="23"/>
      <c r="Q3310" s="23"/>
      <c r="R3310" s="23"/>
      <c r="S3310" s="23"/>
      <c r="T3310" s="23"/>
      <c r="U3310" s="23"/>
    </row>
    <row r="3311">
      <c r="A3311" s="20"/>
      <c r="B3311" s="20"/>
      <c r="C3311" s="30"/>
      <c r="D3311" s="30"/>
      <c r="E3311" s="30"/>
      <c r="F3311" s="22"/>
      <c r="G3311" s="23"/>
      <c r="H3311" s="23"/>
      <c r="I3311" s="23"/>
      <c r="J3311" s="23"/>
      <c r="K3311" s="23"/>
      <c r="L3311" s="23"/>
      <c r="M3311" s="23"/>
      <c r="N3311" s="23"/>
      <c r="O3311" s="23"/>
      <c r="P3311" s="23"/>
      <c r="Q3311" s="23"/>
      <c r="R3311" s="23"/>
      <c r="S3311" s="23"/>
      <c r="T3311" s="23"/>
      <c r="U3311" s="23"/>
    </row>
    <row r="3312">
      <c r="A3312" s="20"/>
      <c r="B3312" s="20"/>
      <c r="C3312" s="30"/>
      <c r="D3312" s="30"/>
      <c r="E3312" s="30"/>
      <c r="F3312" s="22"/>
      <c r="G3312" s="23"/>
      <c r="H3312" s="23"/>
      <c r="I3312" s="23"/>
      <c r="J3312" s="23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</row>
    <row r="3313">
      <c r="A3313" s="20"/>
      <c r="B3313" s="20"/>
      <c r="C3313" s="30"/>
      <c r="D3313" s="30"/>
      <c r="E3313" s="30"/>
      <c r="F3313" s="22"/>
      <c r="G3313" s="23"/>
      <c r="H3313" s="23"/>
      <c r="I3313" s="23"/>
      <c r="J3313" s="23"/>
      <c r="K3313" s="23"/>
      <c r="L3313" s="23"/>
      <c r="M3313" s="23"/>
      <c r="N3313" s="23"/>
      <c r="O3313" s="23"/>
      <c r="P3313" s="23"/>
      <c r="Q3313" s="23"/>
      <c r="R3313" s="23"/>
      <c r="S3313" s="23"/>
      <c r="T3313" s="23"/>
      <c r="U3313" s="23"/>
    </row>
    <row r="3314">
      <c r="A3314" s="20"/>
      <c r="B3314" s="20"/>
      <c r="C3314" s="30"/>
      <c r="D3314" s="30"/>
      <c r="E3314" s="30"/>
      <c r="F3314" s="22"/>
      <c r="G3314" s="23"/>
      <c r="H3314" s="23"/>
      <c r="I3314" s="23"/>
      <c r="J3314" s="23"/>
      <c r="K3314" s="23"/>
      <c r="L3314" s="23"/>
      <c r="M3314" s="23"/>
      <c r="N3314" s="23"/>
      <c r="O3314" s="23"/>
      <c r="P3314" s="23"/>
      <c r="Q3314" s="23"/>
      <c r="R3314" s="23"/>
      <c r="S3314" s="23"/>
      <c r="T3314" s="23"/>
      <c r="U3314" s="23"/>
    </row>
    <row r="3315">
      <c r="A3315" s="20"/>
      <c r="B3315" s="20"/>
      <c r="C3315" s="30"/>
      <c r="D3315" s="30"/>
      <c r="E3315" s="30"/>
      <c r="F3315" s="22"/>
      <c r="G3315" s="23"/>
      <c r="H3315" s="23"/>
      <c r="I3315" s="23"/>
      <c r="J3315" s="23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</row>
    <row r="3316">
      <c r="A3316" s="20"/>
      <c r="B3316" s="20"/>
      <c r="C3316" s="30"/>
      <c r="D3316" s="30"/>
      <c r="E3316" s="30"/>
      <c r="F3316" s="22"/>
      <c r="G3316" s="23"/>
      <c r="H3316" s="23"/>
      <c r="I3316" s="23"/>
      <c r="J3316" s="23"/>
      <c r="K3316" s="23"/>
      <c r="L3316" s="23"/>
      <c r="M3316" s="23"/>
      <c r="N3316" s="23"/>
      <c r="O3316" s="23"/>
      <c r="P3316" s="23"/>
      <c r="Q3316" s="23"/>
      <c r="R3316" s="23"/>
      <c r="S3316" s="23"/>
      <c r="T3316" s="23"/>
      <c r="U3316" s="23"/>
    </row>
    <row r="3317">
      <c r="A3317" s="20"/>
      <c r="B3317" s="20"/>
      <c r="C3317" s="30"/>
      <c r="D3317" s="30"/>
      <c r="E3317" s="30"/>
      <c r="F3317" s="22"/>
      <c r="G3317" s="23"/>
      <c r="H3317" s="23"/>
      <c r="I3317" s="23"/>
      <c r="J3317" s="23"/>
      <c r="K3317" s="23"/>
      <c r="L3317" s="23"/>
      <c r="M3317" s="23"/>
      <c r="N3317" s="23"/>
      <c r="O3317" s="23"/>
      <c r="P3317" s="23"/>
      <c r="Q3317" s="23"/>
      <c r="R3317" s="23"/>
      <c r="S3317" s="23"/>
      <c r="T3317" s="23"/>
      <c r="U3317" s="23"/>
    </row>
    <row r="3318">
      <c r="A3318" s="20"/>
      <c r="B3318" s="20"/>
      <c r="C3318" s="30"/>
      <c r="D3318" s="30"/>
      <c r="E3318" s="30"/>
      <c r="F3318" s="22"/>
      <c r="G3318" s="23"/>
      <c r="H3318" s="23"/>
      <c r="I3318" s="23"/>
      <c r="J3318" s="23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</row>
    <row r="3319">
      <c r="A3319" s="20"/>
      <c r="B3319" s="20"/>
      <c r="C3319" s="30"/>
      <c r="D3319" s="30"/>
      <c r="E3319" s="30"/>
      <c r="F3319" s="22"/>
      <c r="G3319" s="23"/>
      <c r="H3319" s="23"/>
      <c r="I3319" s="23"/>
      <c r="J3319" s="23"/>
      <c r="K3319" s="23"/>
      <c r="L3319" s="23"/>
      <c r="M3319" s="23"/>
      <c r="N3319" s="23"/>
      <c r="O3319" s="23"/>
      <c r="P3319" s="23"/>
      <c r="Q3319" s="23"/>
      <c r="R3319" s="23"/>
      <c r="S3319" s="23"/>
      <c r="T3319" s="23"/>
      <c r="U3319" s="23"/>
    </row>
    <row r="3320">
      <c r="A3320" s="20"/>
      <c r="B3320" s="20"/>
      <c r="C3320" s="30"/>
      <c r="D3320" s="30"/>
      <c r="E3320" s="30"/>
      <c r="F3320" s="22"/>
      <c r="G3320" s="23"/>
      <c r="H3320" s="23"/>
      <c r="I3320" s="23"/>
      <c r="J3320" s="23"/>
      <c r="K3320" s="23"/>
      <c r="L3320" s="23"/>
      <c r="M3320" s="23"/>
      <c r="N3320" s="23"/>
      <c r="O3320" s="23"/>
      <c r="P3320" s="23"/>
      <c r="Q3320" s="23"/>
      <c r="R3320" s="23"/>
      <c r="S3320" s="23"/>
      <c r="T3320" s="23"/>
      <c r="U3320" s="23"/>
    </row>
    <row r="3321">
      <c r="A3321" s="20"/>
      <c r="B3321" s="20"/>
      <c r="C3321" s="30"/>
      <c r="D3321" s="30"/>
      <c r="E3321" s="30"/>
      <c r="F3321" s="22"/>
      <c r="G3321" s="23"/>
      <c r="H3321" s="23"/>
      <c r="I3321" s="23"/>
      <c r="J3321" s="23"/>
      <c r="K3321" s="23"/>
      <c r="L3321" s="23"/>
      <c r="M3321" s="23"/>
      <c r="N3321" s="23"/>
      <c r="O3321" s="23"/>
      <c r="P3321" s="23"/>
      <c r="Q3321" s="23"/>
      <c r="R3321" s="23"/>
      <c r="S3321" s="23"/>
      <c r="T3321" s="23"/>
      <c r="U3321" s="23"/>
    </row>
    <row r="3322">
      <c r="A3322" s="20"/>
      <c r="B3322" s="20"/>
      <c r="C3322" s="30"/>
      <c r="D3322" s="30"/>
      <c r="E3322" s="30"/>
      <c r="F3322" s="22"/>
      <c r="G3322" s="23"/>
      <c r="H3322" s="23"/>
      <c r="I3322" s="23"/>
      <c r="J3322" s="23"/>
      <c r="K3322" s="23"/>
      <c r="L3322" s="23"/>
      <c r="M3322" s="23"/>
      <c r="N3322" s="23"/>
      <c r="O3322" s="23"/>
      <c r="P3322" s="23"/>
      <c r="Q3322" s="23"/>
      <c r="R3322" s="23"/>
      <c r="S3322" s="23"/>
      <c r="T3322" s="23"/>
      <c r="U3322" s="23"/>
    </row>
    <row r="3323">
      <c r="A3323" s="20"/>
      <c r="B3323" s="20"/>
      <c r="C3323" s="30"/>
      <c r="D3323" s="30"/>
      <c r="E3323" s="30"/>
      <c r="F3323" s="22"/>
      <c r="G3323" s="23"/>
      <c r="H3323" s="23"/>
      <c r="I3323" s="23"/>
      <c r="J3323" s="23"/>
      <c r="K3323" s="23"/>
      <c r="L3323" s="23"/>
      <c r="M3323" s="23"/>
      <c r="N3323" s="23"/>
      <c r="O3323" s="23"/>
      <c r="P3323" s="23"/>
      <c r="Q3323" s="23"/>
      <c r="R3323" s="23"/>
      <c r="S3323" s="23"/>
      <c r="T3323" s="23"/>
      <c r="U3323" s="23"/>
    </row>
    <row r="3324">
      <c r="A3324" s="20"/>
      <c r="B3324" s="20"/>
      <c r="C3324" s="30"/>
      <c r="D3324" s="30"/>
      <c r="E3324" s="30"/>
      <c r="F3324" s="22"/>
      <c r="G3324" s="23"/>
      <c r="H3324" s="23"/>
      <c r="I3324" s="23"/>
      <c r="J3324" s="23"/>
      <c r="K3324" s="23"/>
      <c r="L3324" s="23"/>
      <c r="M3324" s="23"/>
      <c r="N3324" s="23"/>
      <c r="O3324" s="23"/>
      <c r="P3324" s="23"/>
      <c r="Q3324" s="23"/>
      <c r="R3324" s="23"/>
      <c r="S3324" s="23"/>
      <c r="T3324" s="23"/>
      <c r="U3324" s="23"/>
    </row>
    <row r="3325">
      <c r="A3325" s="20"/>
      <c r="B3325" s="20"/>
      <c r="C3325" s="30"/>
      <c r="D3325" s="30"/>
      <c r="E3325" s="30"/>
      <c r="F3325" s="22"/>
      <c r="G3325" s="23"/>
      <c r="H3325" s="23"/>
      <c r="I3325" s="23"/>
      <c r="J3325" s="23"/>
      <c r="K3325" s="23"/>
      <c r="L3325" s="23"/>
      <c r="M3325" s="23"/>
      <c r="N3325" s="23"/>
      <c r="O3325" s="23"/>
      <c r="P3325" s="23"/>
      <c r="Q3325" s="23"/>
      <c r="R3325" s="23"/>
      <c r="S3325" s="23"/>
      <c r="T3325" s="23"/>
      <c r="U3325" s="23"/>
    </row>
    <row r="3326">
      <c r="A3326" s="20"/>
      <c r="B3326" s="20"/>
      <c r="C3326" s="30"/>
      <c r="D3326" s="30"/>
      <c r="E3326" s="30"/>
      <c r="F3326" s="22"/>
      <c r="G3326" s="23"/>
      <c r="H3326" s="23"/>
      <c r="I3326" s="23"/>
      <c r="J3326" s="23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</row>
    <row r="3327">
      <c r="A3327" s="20"/>
      <c r="B3327" s="20"/>
      <c r="C3327" s="30"/>
      <c r="D3327" s="30"/>
      <c r="E3327" s="30"/>
      <c r="F3327" s="22"/>
      <c r="G3327" s="23"/>
      <c r="H3327" s="23"/>
      <c r="I3327" s="23"/>
      <c r="J3327" s="23"/>
      <c r="K3327" s="23"/>
      <c r="L3327" s="23"/>
      <c r="M3327" s="23"/>
      <c r="N3327" s="23"/>
      <c r="O3327" s="23"/>
      <c r="P3327" s="23"/>
      <c r="Q3327" s="23"/>
      <c r="R3327" s="23"/>
      <c r="S3327" s="23"/>
      <c r="T3327" s="23"/>
      <c r="U3327" s="23"/>
    </row>
    <row r="3328">
      <c r="A3328" s="20"/>
      <c r="B3328" s="20"/>
      <c r="C3328" s="30"/>
      <c r="D3328" s="30"/>
      <c r="E3328" s="30"/>
      <c r="F3328" s="22"/>
      <c r="G3328" s="23"/>
      <c r="H3328" s="23"/>
      <c r="I3328" s="23"/>
      <c r="J3328" s="23"/>
      <c r="K3328" s="23"/>
      <c r="L3328" s="23"/>
      <c r="M3328" s="23"/>
      <c r="N3328" s="23"/>
      <c r="O3328" s="23"/>
      <c r="P3328" s="23"/>
      <c r="Q3328" s="23"/>
      <c r="R3328" s="23"/>
      <c r="S3328" s="23"/>
      <c r="T3328" s="23"/>
      <c r="U3328" s="23"/>
    </row>
    <row r="3329">
      <c r="A3329" s="20"/>
      <c r="B3329" s="20"/>
      <c r="C3329" s="30"/>
      <c r="D3329" s="30"/>
      <c r="E3329" s="30"/>
      <c r="F3329" s="22"/>
      <c r="G3329" s="23"/>
      <c r="H3329" s="23"/>
      <c r="I3329" s="23"/>
      <c r="J3329" s="23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</row>
    <row r="3330">
      <c r="A3330" s="20"/>
      <c r="B3330" s="20"/>
      <c r="C3330" s="30"/>
      <c r="D3330" s="30"/>
      <c r="E3330" s="30"/>
      <c r="F3330" s="22"/>
      <c r="G3330" s="23"/>
      <c r="H3330" s="23"/>
      <c r="I3330" s="23"/>
      <c r="J3330" s="23"/>
      <c r="K3330" s="23"/>
      <c r="L3330" s="23"/>
      <c r="M3330" s="23"/>
      <c r="N3330" s="23"/>
      <c r="O3330" s="23"/>
      <c r="P3330" s="23"/>
      <c r="Q3330" s="23"/>
      <c r="R3330" s="23"/>
      <c r="S3330" s="23"/>
      <c r="T3330" s="23"/>
      <c r="U3330" s="23"/>
    </row>
    <row r="3331">
      <c r="A3331" s="20"/>
      <c r="B3331" s="20"/>
      <c r="C3331" s="30"/>
      <c r="D3331" s="30"/>
      <c r="E3331" s="30"/>
      <c r="F3331" s="22"/>
      <c r="G3331" s="23"/>
      <c r="H3331" s="23"/>
      <c r="I3331" s="23"/>
      <c r="J3331" s="23"/>
      <c r="K3331" s="23"/>
      <c r="L3331" s="23"/>
      <c r="M3331" s="23"/>
      <c r="N3331" s="23"/>
      <c r="O3331" s="23"/>
      <c r="P3331" s="23"/>
      <c r="Q3331" s="23"/>
      <c r="R3331" s="23"/>
      <c r="S3331" s="23"/>
      <c r="T3331" s="23"/>
      <c r="U3331" s="23"/>
    </row>
    <row r="3332">
      <c r="A3332" s="20"/>
      <c r="B3332" s="20"/>
      <c r="C3332" s="30"/>
      <c r="D3332" s="30"/>
      <c r="E3332" s="30"/>
      <c r="F3332" s="22"/>
      <c r="G3332" s="23"/>
      <c r="H3332" s="23"/>
      <c r="I3332" s="23"/>
      <c r="J3332" s="23"/>
      <c r="K3332" s="23"/>
      <c r="L3332" s="23"/>
      <c r="M3332" s="23"/>
      <c r="N3332" s="23"/>
      <c r="O3332" s="23"/>
      <c r="P3332" s="23"/>
      <c r="Q3332" s="23"/>
      <c r="R3332" s="23"/>
      <c r="S3332" s="23"/>
      <c r="T3332" s="23"/>
      <c r="U3332" s="23"/>
    </row>
    <row r="3333">
      <c r="A3333" s="20"/>
      <c r="B3333" s="20"/>
      <c r="C3333" s="30"/>
      <c r="D3333" s="30"/>
      <c r="E3333" s="30"/>
      <c r="F3333" s="22"/>
      <c r="G3333" s="23"/>
      <c r="H3333" s="23"/>
      <c r="I3333" s="23"/>
      <c r="J3333" s="23"/>
      <c r="K3333" s="23"/>
      <c r="L3333" s="23"/>
      <c r="M3333" s="23"/>
      <c r="N3333" s="23"/>
      <c r="O3333" s="23"/>
      <c r="P3333" s="23"/>
      <c r="Q3333" s="23"/>
      <c r="R3333" s="23"/>
      <c r="S3333" s="23"/>
      <c r="T3333" s="23"/>
      <c r="U3333" s="23"/>
    </row>
    <row r="3334">
      <c r="A3334" s="20"/>
      <c r="B3334" s="20"/>
      <c r="C3334" s="30"/>
      <c r="D3334" s="30"/>
      <c r="E3334" s="30"/>
      <c r="F3334" s="22"/>
      <c r="G3334" s="23"/>
      <c r="H3334" s="23"/>
      <c r="I3334" s="23"/>
      <c r="J3334" s="23"/>
      <c r="K3334" s="23"/>
      <c r="L3334" s="23"/>
      <c r="M3334" s="23"/>
      <c r="N3334" s="23"/>
      <c r="O3334" s="23"/>
      <c r="P3334" s="23"/>
      <c r="Q3334" s="23"/>
      <c r="R3334" s="23"/>
      <c r="S3334" s="23"/>
      <c r="T3334" s="23"/>
      <c r="U3334" s="23"/>
    </row>
    <row r="3335">
      <c r="A3335" s="20"/>
      <c r="B3335" s="20"/>
      <c r="C3335" s="30"/>
      <c r="D3335" s="30"/>
      <c r="E3335" s="30"/>
      <c r="F3335" s="22"/>
      <c r="G3335" s="23"/>
      <c r="H3335" s="23"/>
      <c r="I3335" s="23"/>
      <c r="J3335" s="23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</row>
    <row r="3336">
      <c r="A3336" s="20"/>
      <c r="B3336" s="20"/>
      <c r="C3336" s="30"/>
      <c r="D3336" s="30"/>
      <c r="E3336" s="30"/>
      <c r="F3336" s="22"/>
      <c r="G3336" s="23"/>
      <c r="H3336" s="23"/>
      <c r="I3336" s="23"/>
      <c r="J3336" s="23"/>
      <c r="K3336" s="23"/>
      <c r="L3336" s="23"/>
      <c r="M3336" s="23"/>
      <c r="N3336" s="23"/>
      <c r="O3336" s="23"/>
      <c r="P3336" s="23"/>
      <c r="Q3336" s="23"/>
      <c r="R3336" s="23"/>
      <c r="S3336" s="23"/>
      <c r="T3336" s="23"/>
      <c r="U3336" s="23"/>
    </row>
    <row r="3337">
      <c r="A3337" s="20"/>
      <c r="B3337" s="20"/>
      <c r="C3337" s="30"/>
      <c r="D3337" s="30"/>
      <c r="E3337" s="30"/>
      <c r="F3337" s="22"/>
      <c r="G3337" s="23"/>
      <c r="H3337" s="23"/>
      <c r="I3337" s="23"/>
      <c r="J3337" s="23"/>
      <c r="K3337" s="23"/>
      <c r="L3337" s="23"/>
      <c r="M3337" s="23"/>
      <c r="N3337" s="23"/>
      <c r="O3337" s="23"/>
      <c r="P3337" s="23"/>
      <c r="Q3337" s="23"/>
      <c r="R3337" s="23"/>
      <c r="S3337" s="23"/>
      <c r="T3337" s="23"/>
      <c r="U3337" s="23"/>
    </row>
    <row r="3338">
      <c r="A3338" s="20"/>
      <c r="B3338" s="20"/>
      <c r="C3338" s="30"/>
      <c r="D3338" s="30"/>
      <c r="E3338" s="30"/>
      <c r="F3338" s="22"/>
      <c r="G3338" s="23"/>
      <c r="H3338" s="23"/>
      <c r="I3338" s="23"/>
      <c r="J3338" s="23"/>
      <c r="K3338" s="23"/>
      <c r="L3338" s="23"/>
      <c r="M3338" s="23"/>
      <c r="N3338" s="23"/>
      <c r="O3338" s="23"/>
      <c r="P3338" s="23"/>
      <c r="Q3338" s="23"/>
      <c r="R3338" s="23"/>
      <c r="S3338" s="23"/>
      <c r="T3338" s="23"/>
      <c r="U3338" s="23"/>
    </row>
    <row r="3339">
      <c r="A3339" s="20"/>
      <c r="B3339" s="20"/>
      <c r="C3339" s="30"/>
      <c r="D3339" s="30"/>
      <c r="E3339" s="30"/>
      <c r="F3339" s="22"/>
      <c r="G3339" s="23"/>
      <c r="H3339" s="23"/>
      <c r="I3339" s="23"/>
      <c r="J3339" s="23"/>
      <c r="K3339" s="23"/>
      <c r="L3339" s="23"/>
      <c r="M3339" s="23"/>
      <c r="N3339" s="23"/>
      <c r="O3339" s="23"/>
      <c r="P3339" s="23"/>
      <c r="Q3339" s="23"/>
      <c r="R3339" s="23"/>
      <c r="S3339" s="23"/>
      <c r="T3339" s="23"/>
      <c r="U3339" s="23"/>
    </row>
    <row r="3340">
      <c r="A3340" s="20"/>
      <c r="B3340" s="20"/>
      <c r="C3340" s="30"/>
      <c r="D3340" s="30"/>
      <c r="E3340" s="30"/>
      <c r="F3340" s="22"/>
      <c r="G3340" s="23"/>
      <c r="H3340" s="23"/>
      <c r="I3340" s="23"/>
      <c r="J3340" s="23"/>
      <c r="K3340" s="23"/>
      <c r="L3340" s="23"/>
      <c r="M3340" s="23"/>
      <c r="N3340" s="23"/>
      <c r="O3340" s="23"/>
      <c r="P3340" s="23"/>
      <c r="Q3340" s="23"/>
      <c r="R3340" s="23"/>
      <c r="S3340" s="23"/>
      <c r="T3340" s="23"/>
      <c r="U3340" s="23"/>
    </row>
    <row r="3341">
      <c r="A3341" s="20"/>
      <c r="B3341" s="20"/>
      <c r="C3341" s="30"/>
      <c r="D3341" s="30"/>
      <c r="E3341" s="30"/>
      <c r="F3341" s="22"/>
      <c r="G3341" s="23"/>
      <c r="H3341" s="23"/>
      <c r="I3341" s="23"/>
      <c r="J3341" s="23"/>
      <c r="K3341" s="23"/>
      <c r="L3341" s="23"/>
      <c r="M3341" s="23"/>
      <c r="N3341" s="23"/>
      <c r="O3341" s="23"/>
      <c r="P3341" s="23"/>
      <c r="Q3341" s="23"/>
      <c r="R3341" s="23"/>
      <c r="S3341" s="23"/>
      <c r="T3341" s="23"/>
      <c r="U3341" s="23"/>
    </row>
    <row r="3342">
      <c r="A3342" s="20"/>
      <c r="B3342" s="20"/>
      <c r="C3342" s="30"/>
      <c r="D3342" s="30"/>
      <c r="E3342" s="30"/>
      <c r="F3342" s="22"/>
      <c r="G3342" s="23"/>
      <c r="H3342" s="23"/>
      <c r="I3342" s="23"/>
      <c r="J3342" s="23"/>
      <c r="K3342" s="23"/>
      <c r="L3342" s="23"/>
      <c r="M3342" s="23"/>
      <c r="N3342" s="23"/>
      <c r="O3342" s="23"/>
      <c r="P3342" s="23"/>
      <c r="Q3342" s="23"/>
      <c r="R3342" s="23"/>
      <c r="S3342" s="23"/>
      <c r="T3342" s="23"/>
      <c r="U3342" s="23"/>
    </row>
    <row r="3343">
      <c r="A3343" s="20"/>
      <c r="B3343" s="20"/>
      <c r="C3343" s="30"/>
      <c r="D3343" s="30"/>
      <c r="E3343" s="30"/>
      <c r="F3343" s="22"/>
      <c r="G3343" s="23"/>
      <c r="H3343" s="23"/>
      <c r="I3343" s="23"/>
      <c r="J3343" s="23"/>
      <c r="K3343" s="23"/>
      <c r="L3343" s="23"/>
      <c r="M3343" s="23"/>
      <c r="N3343" s="23"/>
      <c r="O3343" s="23"/>
      <c r="P3343" s="23"/>
      <c r="Q3343" s="23"/>
      <c r="R3343" s="23"/>
      <c r="S3343" s="23"/>
      <c r="T3343" s="23"/>
      <c r="U3343" s="23"/>
    </row>
    <row r="3344">
      <c r="A3344" s="20"/>
      <c r="B3344" s="20"/>
      <c r="C3344" s="30"/>
      <c r="D3344" s="30"/>
      <c r="E3344" s="30"/>
      <c r="F3344" s="22"/>
      <c r="G3344" s="23"/>
      <c r="H3344" s="23"/>
      <c r="I3344" s="23"/>
      <c r="J3344" s="23"/>
      <c r="K3344" s="23"/>
      <c r="L3344" s="23"/>
      <c r="M3344" s="23"/>
      <c r="N3344" s="23"/>
      <c r="O3344" s="23"/>
      <c r="P3344" s="23"/>
      <c r="Q3344" s="23"/>
      <c r="R3344" s="23"/>
      <c r="S3344" s="23"/>
      <c r="T3344" s="23"/>
      <c r="U3344" s="23"/>
    </row>
    <row r="3345">
      <c r="A3345" s="20"/>
      <c r="B3345" s="20"/>
      <c r="C3345" s="30"/>
      <c r="D3345" s="30"/>
      <c r="E3345" s="30"/>
      <c r="F3345" s="22"/>
      <c r="G3345" s="23"/>
      <c r="H3345" s="23"/>
      <c r="I3345" s="23"/>
      <c r="J3345" s="23"/>
      <c r="K3345" s="23"/>
      <c r="L3345" s="23"/>
      <c r="M3345" s="23"/>
      <c r="N3345" s="23"/>
      <c r="O3345" s="23"/>
      <c r="P3345" s="23"/>
      <c r="Q3345" s="23"/>
      <c r="R3345" s="23"/>
      <c r="S3345" s="23"/>
      <c r="T3345" s="23"/>
      <c r="U3345" s="23"/>
    </row>
    <row r="3346">
      <c r="A3346" s="20"/>
      <c r="B3346" s="20"/>
      <c r="C3346" s="30"/>
      <c r="D3346" s="30"/>
      <c r="E3346" s="30"/>
      <c r="F3346" s="22"/>
      <c r="G3346" s="23"/>
      <c r="H3346" s="23"/>
      <c r="I3346" s="23"/>
      <c r="J3346" s="23"/>
      <c r="K3346" s="23"/>
      <c r="L3346" s="23"/>
      <c r="M3346" s="23"/>
      <c r="N3346" s="23"/>
      <c r="O3346" s="23"/>
      <c r="P3346" s="23"/>
      <c r="Q3346" s="23"/>
      <c r="R3346" s="23"/>
      <c r="S3346" s="23"/>
      <c r="T3346" s="23"/>
      <c r="U3346" s="23"/>
    </row>
    <row r="3347">
      <c r="A3347" s="20"/>
      <c r="B3347" s="20"/>
      <c r="C3347" s="30"/>
      <c r="D3347" s="30"/>
      <c r="E3347" s="30"/>
      <c r="F3347" s="22"/>
      <c r="G3347" s="23"/>
      <c r="H3347" s="23"/>
      <c r="I3347" s="23"/>
      <c r="J3347" s="23"/>
      <c r="K3347" s="23"/>
      <c r="L3347" s="23"/>
      <c r="M3347" s="23"/>
      <c r="N3347" s="23"/>
      <c r="O3347" s="23"/>
      <c r="P3347" s="23"/>
      <c r="Q3347" s="23"/>
      <c r="R3347" s="23"/>
      <c r="S3347" s="23"/>
      <c r="T3347" s="23"/>
      <c r="U3347" s="23"/>
    </row>
    <row r="3348">
      <c r="A3348" s="20"/>
      <c r="B3348" s="20"/>
      <c r="C3348" s="30"/>
      <c r="D3348" s="30"/>
      <c r="E3348" s="30"/>
      <c r="F3348" s="22"/>
      <c r="G3348" s="23"/>
      <c r="H3348" s="23"/>
      <c r="I3348" s="23"/>
      <c r="J3348" s="23"/>
      <c r="K3348" s="23"/>
      <c r="L3348" s="23"/>
      <c r="M3348" s="23"/>
      <c r="N3348" s="23"/>
      <c r="O3348" s="23"/>
      <c r="P3348" s="23"/>
      <c r="Q3348" s="23"/>
      <c r="R3348" s="23"/>
      <c r="S3348" s="23"/>
      <c r="T3348" s="23"/>
      <c r="U3348" s="23"/>
    </row>
    <row r="3349">
      <c r="A3349" s="20"/>
      <c r="B3349" s="20"/>
      <c r="C3349" s="30"/>
      <c r="D3349" s="30"/>
      <c r="E3349" s="30"/>
      <c r="F3349" s="22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</row>
    <row r="3350">
      <c r="A3350" s="20"/>
      <c r="B3350" s="20"/>
      <c r="C3350" s="30"/>
      <c r="D3350" s="30"/>
      <c r="E3350" s="30"/>
      <c r="F3350" s="22"/>
      <c r="G3350" s="23"/>
      <c r="H3350" s="23"/>
      <c r="I3350" s="23"/>
      <c r="J3350" s="23"/>
      <c r="K3350" s="23"/>
      <c r="L3350" s="23"/>
      <c r="M3350" s="23"/>
      <c r="N3350" s="23"/>
      <c r="O3350" s="23"/>
      <c r="P3350" s="23"/>
      <c r="Q3350" s="23"/>
      <c r="R3350" s="23"/>
      <c r="S3350" s="23"/>
      <c r="T3350" s="23"/>
      <c r="U3350" s="23"/>
    </row>
    <row r="3351">
      <c r="A3351" s="20"/>
      <c r="B3351" s="20"/>
      <c r="C3351" s="30"/>
      <c r="D3351" s="30"/>
      <c r="E3351" s="30"/>
      <c r="F3351" s="22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</row>
    <row r="3352">
      <c r="A3352" s="20"/>
      <c r="B3352" s="20"/>
      <c r="C3352" s="30"/>
      <c r="D3352" s="30"/>
      <c r="E3352" s="30"/>
      <c r="F3352" s="22"/>
      <c r="G3352" s="23"/>
      <c r="H3352" s="23"/>
      <c r="I3352" s="23"/>
      <c r="J3352" s="23"/>
      <c r="K3352" s="23"/>
      <c r="L3352" s="23"/>
      <c r="M3352" s="23"/>
      <c r="N3352" s="23"/>
      <c r="O3352" s="23"/>
      <c r="P3352" s="23"/>
      <c r="Q3352" s="23"/>
      <c r="R3352" s="23"/>
      <c r="S3352" s="23"/>
      <c r="T3352" s="23"/>
      <c r="U3352" s="23"/>
    </row>
    <row r="3353">
      <c r="A3353" s="20"/>
      <c r="B3353" s="20"/>
      <c r="C3353" s="30"/>
      <c r="D3353" s="30"/>
      <c r="E3353" s="30"/>
      <c r="F3353" s="22"/>
      <c r="G3353" s="23"/>
      <c r="H3353" s="23"/>
      <c r="I3353" s="23"/>
      <c r="J3353" s="23"/>
      <c r="K3353" s="23"/>
      <c r="L3353" s="23"/>
      <c r="M3353" s="23"/>
      <c r="N3353" s="23"/>
      <c r="O3353" s="23"/>
      <c r="P3353" s="23"/>
      <c r="Q3353" s="23"/>
      <c r="R3353" s="23"/>
      <c r="S3353" s="23"/>
      <c r="T3353" s="23"/>
      <c r="U3353" s="23"/>
    </row>
    <row r="3354">
      <c r="A3354" s="20"/>
      <c r="B3354" s="20"/>
      <c r="C3354" s="30"/>
      <c r="D3354" s="30"/>
      <c r="E3354" s="30"/>
      <c r="F3354" s="22"/>
      <c r="G3354" s="23"/>
      <c r="H3354" s="23"/>
      <c r="I3354" s="23"/>
      <c r="J3354" s="23"/>
      <c r="K3354" s="23"/>
      <c r="L3354" s="23"/>
      <c r="M3354" s="23"/>
      <c r="N3354" s="23"/>
      <c r="O3354" s="23"/>
      <c r="P3354" s="23"/>
      <c r="Q3354" s="23"/>
      <c r="R3354" s="23"/>
      <c r="S3354" s="23"/>
      <c r="T3354" s="23"/>
      <c r="U3354" s="23"/>
    </row>
    <row r="3355">
      <c r="A3355" s="20"/>
      <c r="B3355" s="20"/>
      <c r="C3355" s="30"/>
      <c r="D3355" s="30"/>
      <c r="E3355" s="30"/>
      <c r="F3355" s="22"/>
      <c r="G3355" s="23"/>
      <c r="H3355" s="23"/>
      <c r="I3355" s="23"/>
      <c r="J3355" s="23"/>
      <c r="K3355" s="23"/>
      <c r="L3355" s="23"/>
      <c r="M3355" s="23"/>
      <c r="N3355" s="23"/>
      <c r="O3355" s="23"/>
      <c r="P3355" s="23"/>
      <c r="Q3355" s="23"/>
      <c r="R3355" s="23"/>
      <c r="S3355" s="23"/>
      <c r="T3355" s="23"/>
      <c r="U3355" s="23"/>
    </row>
    <row r="3356">
      <c r="A3356" s="20"/>
      <c r="B3356" s="20"/>
      <c r="C3356" s="30"/>
      <c r="D3356" s="30"/>
      <c r="E3356" s="30"/>
      <c r="F3356" s="22"/>
      <c r="G3356" s="23"/>
      <c r="H3356" s="23"/>
      <c r="I3356" s="23"/>
      <c r="J3356" s="23"/>
      <c r="K3356" s="23"/>
      <c r="L3356" s="23"/>
      <c r="M3356" s="23"/>
      <c r="N3356" s="23"/>
      <c r="O3356" s="23"/>
      <c r="P3356" s="23"/>
      <c r="Q3356" s="23"/>
      <c r="R3356" s="23"/>
      <c r="S3356" s="23"/>
      <c r="T3356" s="23"/>
      <c r="U3356" s="23"/>
    </row>
    <row r="3357">
      <c r="A3357" s="20"/>
      <c r="B3357" s="20"/>
      <c r="C3357" s="30"/>
      <c r="D3357" s="30"/>
      <c r="E3357" s="30"/>
      <c r="F3357" s="22"/>
      <c r="G3357" s="23"/>
      <c r="H3357" s="23"/>
      <c r="I3357" s="23"/>
      <c r="J3357" s="23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</row>
    <row r="3358">
      <c r="A3358" s="20"/>
      <c r="B3358" s="20"/>
      <c r="C3358" s="30"/>
      <c r="D3358" s="30"/>
      <c r="E3358" s="30"/>
      <c r="F3358" s="22"/>
      <c r="G3358" s="23"/>
      <c r="H3358" s="23"/>
      <c r="I3358" s="23"/>
      <c r="J3358" s="23"/>
      <c r="K3358" s="23"/>
      <c r="L3358" s="23"/>
      <c r="M3358" s="23"/>
      <c r="N3358" s="23"/>
      <c r="O3358" s="23"/>
      <c r="P3358" s="23"/>
      <c r="Q3358" s="23"/>
      <c r="R3358" s="23"/>
      <c r="S3358" s="23"/>
      <c r="T3358" s="23"/>
      <c r="U3358" s="23"/>
    </row>
    <row r="3359">
      <c r="A3359" s="20"/>
      <c r="B3359" s="20"/>
      <c r="C3359" s="30"/>
      <c r="D3359" s="30"/>
      <c r="E3359" s="30"/>
      <c r="F3359" s="22"/>
      <c r="G3359" s="23"/>
      <c r="H3359" s="23"/>
      <c r="I3359" s="23"/>
      <c r="J3359" s="23"/>
      <c r="K3359" s="23"/>
      <c r="L3359" s="23"/>
      <c r="M3359" s="23"/>
      <c r="N3359" s="23"/>
      <c r="O3359" s="23"/>
      <c r="P3359" s="23"/>
      <c r="Q3359" s="23"/>
      <c r="R3359" s="23"/>
      <c r="S3359" s="23"/>
      <c r="T3359" s="23"/>
      <c r="U3359" s="23"/>
    </row>
    <row r="3360">
      <c r="A3360" s="20"/>
      <c r="B3360" s="20"/>
      <c r="C3360" s="30"/>
      <c r="D3360" s="30"/>
      <c r="E3360" s="30"/>
      <c r="F3360" s="22"/>
      <c r="G3360" s="23"/>
      <c r="H3360" s="23"/>
      <c r="I3360" s="23"/>
      <c r="J3360" s="23"/>
      <c r="K3360" s="23"/>
      <c r="L3360" s="23"/>
      <c r="M3360" s="23"/>
      <c r="N3360" s="23"/>
      <c r="O3360" s="23"/>
      <c r="P3360" s="23"/>
      <c r="Q3360" s="23"/>
      <c r="R3360" s="23"/>
      <c r="S3360" s="23"/>
      <c r="T3360" s="23"/>
      <c r="U3360" s="23"/>
    </row>
    <row r="3361">
      <c r="A3361" s="20"/>
      <c r="B3361" s="20"/>
      <c r="C3361" s="30"/>
      <c r="D3361" s="30"/>
      <c r="E3361" s="30"/>
      <c r="F3361" s="22"/>
      <c r="G3361" s="23"/>
      <c r="H3361" s="23"/>
      <c r="I3361" s="23"/>
      <c r="J3361" s="23"/>
      <c r="K3361" s="23"/>
      <c r="L3361" s="23"/>
      <c r="M3361" s="23"/>
      <c r="N3361" s="23"/>
      <c r="O3361" s="23"/>
      <c r="P3361" s="23"/>
      <c r="Q3361" s="23"/>
      <c r="R3361" s="23"/>
      <c r="S3361" s="23"/>
      <c r="T3361" s="23"/>
      <c r="U3361" s="23"/>
    </row>
    <row r="3362">
      <c r="A3362" s="20"/>
      <c r="B3362" s="20"/>
      <c r="C3362" s="30"/>
      <c r="D3362" s="30"/>
      <c r="E3362" s="30"/>
      <c r="F3362" s="22"/>
      <c r="G3362" s="23"/>
      <c r="H3362" s="23"/>
      <c r="I3362" s="23"/>
      <c r="J3362" s="23"/>
      <c r="K3362" s="23"/>
      <c r="L3362" s="23"/>
      <c r="M3362" s="23"/>
      <c r="N3362" s="23"/>
      <c r="O3362" s="23"/>
      <c r="P3362" s="23"/>
      <c r="Q3362" s="23"/>
      <c r="R3362" s="23"/>
      <c r="S3362" s="23"/>
      <c r="T3362" s="23"/>
      <c r="U3362" s="23"/>
    </row>
    <row r="3363">
      <c r="A3363" s="20"/>
      <c r="B3363" s="20"/>
      <c r="C3363" s="30"/>
      <c r="D3363" s="30"/>
      <c r="E3363" s="30"/>
      <c r="F3363" s="22"/>
      <c r="G3363" s="23"/>
      <c r="H3363" s="23"/>
      <c r="I3363" s="23"/>
      <c r="J3363" s="23"/>
      <c r="K3363" s="23"/>
      <c r="L3363" s="23"/>
      <c r="M3363" s="23"/>
      <c r="N3363" s="23"/>
      <c r="O3363" s="23"/>
      <c r="P3363" s="23"/>
      <c r="Q3363" s="23"/>
      <c r="R3363" s="23"/>
      <c r="S3363" s="23"/>
      <c r="T3363" s="23"/>
      <c r="U3363" s="23"/>
    </row>
    <row r="3364">
      <c r="A3364" s="20"/>
      <c r="B3364" s="20"/>
      <c r="C3364" s="30"/>
      <c r="D3364" s="30"/>
      <c r="E3364" s="30"/>
      <c r="F3364" s="22"/>
      <c r="G3364" s="23"/>
      <c r="H3364" s="23"/>
      <c r="I3364" s="23"/>
      <c r="J3364" s="23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</row>
    <row r="3365">
      <c r="A3365" s="20"/>
      <c r="B3365" s="20"/>
      <c r="C3365" s="30"/>
      <c r="D3365" s="30"/>
      <c r="E3365" s="30"/>
      <c r="F3365" s="22"/>
      <c r="G3365" s="23"/>
      <c r="H3365" s="23"/>
      <c r="I3365" s="23"/>
      <c r="J3365" s="23"/>
      <c r="K3365" s="23"/>
      <c r="L3365" s="23"/>
      <c r="M3365" s="23"/>
      <c r="N3365" s="23"/>
      <c r="O3365" s="23"/>
      <c r="P3365" s="23"/>
      <c r="Q3365" s="23"/>
      <c r="R3365" s="23"/>
      <c r="S3365" s="23"/>
      <c r="T3365" s="23"/>
      <c r="U3365" s="23"/>
    </row>
    <row r="3366">
      <c r="A3366" s="20"/>
      <c r="B3366" s="20"/>
      <c r="C3366" s="30"/>
      <c r="D3366" s="30"/>
      <c r="E3366" s="30"/>
      <c r="F3366" s="22"/>
      <c r="G3366" s="23"/>
      <c r="H3366" s="23"/>
      <c r="I3366" s="23"/>
      <c r="J3366" s="23"/>
      <c r="K3366" s="23"/>
      <c r="L3366" s="23"/>
      <c r="M3366" s="23"/>
      <c r="N3366" s="23"/>
      <c r="O3366" s="23"/>
      <c r="P3366" s="23"/>
      <c r="Q3366" s="23"/>
      <c r="R3366" s="23"/>
      <c r="S3366" s="23"/>
      <c r="T3366" s="23"/>
      <c r="U3366" s="23"/>
    </row>
    <row r="3367">
      <c r="A3367" s="20"/>
      <c r="B3367" s="20"/>
      <c r="C3367" s="30"/>
      <c r="D3367" s="30"/>
      <c r="E3367" s="30"/>
      <c r="F3367" s="22"/>
      <c r="G3367" s="23"/>
      <c r="H3367" s="23"/>
      <c r="I3367" s="23"/>
      <c r="J3367" s="23"/>
      <c r="K3367" s="23"/>
      <c r="L3367" s="23"/>
      <c r="M3367" s="23"/>
      <c r="N3367" s="23"/>
      <c r="O3367" s="23"/>
      <c r="P3367" s="23"/>
      <c r="Q3367" s="23"/>
      <c r="R3367" s="23"/>
      <c r="S3367" s="23"/>
      <c r="T3367" s="23"/>
      <c r="U3367" s="23"/>
    </row>
    <row r="3368">
      <c r="A3368" s="20"/>
      <c r="B3368" s="20"/>
      <c r="C3368" s="30"/>
      <c r="D3368" s="30"/>
      <c r="E3368" s="30"/>
      <c r="F3368" s="22"/>
      <c r="G3368" s="23"/>
      <c r="H3368" s="23"/>
      <c r="I3368" s="23"/>
      <c r="J3368" s="23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</row>
    <row r="3369">
      <c r="A3369" s="20"/>
      <c r="B3369" s="20"/>
      <c r="C3369" s="30"/>
      <c r="D3369" s="30"/>
      <c r="E3369" s="30"/>
      <c r="F3369" s="22"/>
      <c r="G3369" s="23"/>
      <c r="H3369" s="23"/>
      <c r="I3369" s="23"/>
      <c r="J3369" s="23"/>
      <c r="K3369" s="23"/>
      <c r="L3369" s="23"/>
      <c r="M3369" s="23"/>
      <c r="N3369" s="23"/>
      <c r="O3369" s="23"/>
      <c r="P3369" s="23"/>
      <c r="Q3369" s="23"/>
      <c r="R3369" s="23"/>
      <c r="S3369" s="23"/>
      <c r="T3369" s="23"/>
      <c r="U3369" s="23"/>
    </row>
    <row r="3370">
      <c r="A3370" s="20"/>
      <c r="B3370" s="20"/>
      <c r="C3370" s="30"/>
      <c r="D3370" s="30"/>
      <c r="E3370" s="30"/>
      <c r="F3370" s="22"/>
      <c r="G3370" s="23"/>
      <c r="H3370" s="23"/>
      <c r="I3370" s="23"/>
      <c r="J3370" s="23"/>
      <c r="K3370" s="23"/>
      <c r="L3370" s="23"/>
      <c r="M3370" s="23"/>
      <c r="N3370" s="23"/>
      <c r="O3370" s="23"/>
      <c r="P3370" s="23"/>
      <c r="Q3370" s="23"/>
      <c r="R3370" s="23"/>
      <c r="S3370" s="23"/>
      <c r="T3370" s="23"/>
      <c r="U3370" s="23"/>
    </row>
    <row r="3371">
      <c r="A3371" s="20"/>
      <c r="B3371" s="20"/>
      <c r="C3371" s="30"/>
      <c r="D3371" s="30"/>
      <c r="E3371" s="30"/>
      <c r="F3371" s="22"/>
      <c r="G3371" s="23"/>
      <c r="H3371" s="23"/>
      <c r="I3371" s="23"/>
      <c r="J3371" s="23"/>
      <c r="K3371" s="23"/>
      <c r="L3371" s="23"/>
      <c r="M3371" s="23"/>
      <c r="N3371" s="23"/>
      <c r="O3371" s="23"/>
      <c r="P3371" s="23"/>
      <c r="Q3371" s="23"/>
      <c r="R3371" s="23"/>
      <c r="S3371" s="23"/>
      <c r="T3371" s="23"/>
      <c r="U3371" s="23"/>
    </row>
    <row r="3372">
      <c r="A3372" s="20"/>
      <c r="B3372" s="20"/>
      <c r="C3372" s="30"/>
      <c r="D3372" s="30"/>
      <c r="E3372" s="30"/>
      <c r="F3372" s="22"/>
      <c r="G3372" s="23"/>
      <c r="H3372" s="23"/>
      <c r="I3372" s="23"/>
      <c r="J3372" s="23"/>
      <c r="K3372" s="23"/>
      <c r="L3372" s="23"/>
      <c r="M3372" s="23"/>
      <c r="N3372" s="23"/>
      <c r="O3372" s="23"/>
      <c r="P3372" s="23"/>
      <c r="Q3372" s="23"/>
      <c r="R3372" s="23"/>
      <c r="S3372" s="23"/>
      <c r="T3372" s="23"/>
      <c r="U3372" s="23"/>
    </row>
    <row r="3373">
      <c r="A3373" s="20"/>
      <c r="B3373" s="20"/>
      <c r="C3373" s="30"/>
      <c r="D3373" s="30"/>
      <c r="E3373" s="30"/>
      <c r="F3373" s="22"/>
      <c r="G3373" s="23"/>
      <c r="H3373" s="23"/>
      <c r="I3373" s="23"/>
      <c r="J3373" s="23"/>
      <c r="K3373" s="23"/>
      <c r="L3373" s="23"/>
      <c r="M3373" s="23"/>
      <c r="N3373" s="23"/>
      <c r="O3373" s="23"/>
      <c r="P3373" s="23"/>
      <c r="Q3373" s="23"/>
      <c r="R3373" s="23"/>
      <c r="S3373" s="23"/>
      <c r="T3373" s="23"/>
      <c r="U3373" s="23"/>
    </row>
    <row r="3374">
      <c r="A3374" s="20"/>
      <c r="B3374" s="20"/>
      <c r="C3374" s="30"/>
      <c r="D3374" s="30"/>
      <c r="E3374" s="30"/>
      <c r="F3374" s="22"/>
      <c r="G3374" s="23"/>
      <c r="H3374" s="23"/>
      <c r="I3374" s="23"/>
      <c r="J3374" s="23"/>
      <c r="K3374" s="23"/>
      <c r="L3374" s="23"/>
      <c r="M3374" s="23"/>
      <c r="N3374" s="23"/>
      <c r="O3374" s="23"/>
      <c r="P3374" s="23"/>
      <c r="Q3374" s="23"/>
      <c r="R3374" s="23"/>
      <c r="S3374" s="23"/>
      <c r="T3374" s="23"/>
      <c r="U3374" s="23"/>
    </row>
    <row r="3375">
      <c r="A3375" s="20"/>
      <c r="B3375" s="20"/>
      <c r="C3375" s="30"/>
      <c r="D3375" s="30"/>
      <c r="E3375" s="30"/>
      <c r="F3375" s="22"/>
      <c r="G3375" s="23"/>
      <c r="H3375" s="23"/>
      <c r="I3375" s="23"/>
      <c r="J3375" s="23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</row>
    <row r="3376">
      <c r="A3376" s="20"/>
      <c r="B3376" s="20"/>
      <c r="C3376" s="30"/>
      <c r="D3376" s="30"/>
      <c r="E3376" s="30"/>
      <c r="F3376" s="22"/>
      <c r="G3376" s="23"/>
      <c r="H3376" s="23"/>
      <c r="I3376" s="23"/>
      <c r="J3376" s="23"/>
      <c r="K3376" s="23"/>
      <c r="L3376" s="23"/>
      <c r="M3376" s="23"/>
      <c r="N3376" s="23"/>
      <c r="O3376" s="23"/>
      <c r="P3376" s="23"/>
      <c r="Q3376" s="23"/>
      <c r="R3376" s="23"/>
      <c r="S3376" s="23"/>
      <c r="T3376" s="23"/>
      <c r="U3376" s="23"/>
    </row>
    <row r="3377">
      <c r="A3377" s="20"/>
      <c r="B3377" s="20"/>
      <c r="C3377" s="30"/>
      <c r="D3377" s="30"/>
      <c r="E3377" s="30"/>
      <c r="F3377" s="22"/>
      <c r="G3377" s="23"/>
      <c r="H3377" s="23"/>
      <c r="I3377" s="23"/>
      <c r="J3377" s="23"/>
      <c r="K3377" s="23"/>
      <c r="L3377" s="23"/>
      <c r="M3377" s="23"/>
      <c r="N3377" s="23"/>
      <c r="O3377" s="23"/>
      <c r="P3377" s="23"/>
      <c r="Q3377" s="23"/>
      <c r="R3377" s="23"/>
      <c r="S3377" s="23"/>
      <c r="T3377" s="23"/>
      <c r="U3377" s="23"/>
    </row>
    <row r="3378">
      <c r="A3378" s="20"/>
      <c r="B3378" s="20"/>
      <c r="C3378" s="30"/>
      <c r="D3378" s="30"/>
      <c r="E3378" s="30"/>
      <c r="F3378" s="22"/>
      <c r="G3378" s="23"/>
      <c r="H3378" s="23"/>
      <c r="I3378" s="23"/>
      <c r="J3378" s="23"/>
      <c r="K3378" s="23"/>
      <c r="L3378" s="23"/>
      <c r="M3378" s="23"/>
      <c r="N3378" s="23"/>
      <c r="O3378" s="23"/>
      <c r="P3378" s="23"/>
      <c r="Q3378" s="23"/>
      <c r="R3378" s="23"/>
      <c r="S3378" s="23"/>
      <c r="T3378" s="23"/>
      <c r="U3378" s="23"/>
    </row>
    <row r="3379">
      <c r="A3379" s="20"/>
      <c r="B3379" s="20"/>
      <c r="C3379" s="30"/>
      <c r="D3379" s="30"/>
      <c r="E3379" s="30"/>
      <c r="F3379" s="22"/>
      <c r="G3379" s="23"/>
      <c r="H3379" s="23"/>
      <c r="I3379" s="23"/>
      <c r="J3379" s="23"/>
      <c r="K3379" s="23"/>
      <c r="L3379" s="23"/>
      <c r="M3379" s="23"/>
      <c r="N3379" s="23"/>
      <c r="O3379" s="23"/>
      <c r="P3379" s="23"/>
      <c r="Q3379" s="23"/>
      <c r="R3379" s="23"/>
      <c r="S3379" s="23"/>
      <c r="T3379" s="23"/>
      <c r="U3379" s="23"/>
    </row>
    <row r="3380">
      <c r="A3380" s="20"/>
      <c r="B3380" s="20"/>
      <c r="C3380" s="30"/>
      <c r="D3380" s="30"/>
      <c r="E3380" s="30"/>
      <c r="F3380" s="22"/>
      <c r="G3380" s="23"/>
      <c r="H3380" s="23"/>
      <c r="I3380" s="23"/>
      <c r="J3380" s="23"/>
      <c r="K3380" s="23"/>
      <c r="L3380" s="23"/>
      <c r="M3380" s="23"/>
      <c r="N3380" s="23"/>
      <c r="O3380" s="23"/>
      <c r="P3380" s="23"/>
      <c r="Q3380" s="23"/>
      <c r="R3380" s="23"/>
      <c r="S3380" s="23"/>
      <c r="T3380" s="23"/>
      <c r="U3380" s="23"/>
    </row>
    <row r="3381">
      <c r="A3381" s="20"/>
      <c r="B3381" s="20"/>
      <c r="C3381" s="30"/>
      <c r="D3381" s="30"/>
      <c r="E3381" s="30"/>
      <c r="F3381" s="22"/>
      <c r="G3381" s="23"/>
      <c r="H3381" s="23"/>
      <c r="I3381" s="23"/>
      <c r="J3381" s="23"/>
      <c r="K3381" s="23"/>
      <c r="L3381" s="23"/>
      <c r="M3381" s="23"/>
      <c r="N3381" s="23"/>
      <c r="O3381" s="23"/>
      <c r="P3381" s="23"/>
      <c r="Q3381" s="23"/>
      <c r="R3381" s="23"/>
      <c r="S3381" s="23"/>
      <c r="T3381" s="23"/>
      <c r="U3381" s="23"/>
    </row>
    <row r="3382">
      <c r="A3382" s="20"/>
      <c r="B3382" s="20"/>
      <c r="C3382" s="30"/>
      <c r="D3382" s="30"/>
      <c r="E3382" s="30"/>
      <c r="F3382" s="22"/>
      <c r="G3382" s="23"/>
      <c r="H3382" s="23"/>
      <c r="I3382" s="23"/>
      <c r="J3382" s="23"/>
      <c r="K3382" s="23"/>
      <c r="L3382" s="23"/>
      <c r="M3382" s="23"/>
      <c r="N3382" s="23"/>
      <c r="O3382" s="23"/>
      <c r="P3382" s="23"/>
      <c r="Q3382" s="23"/>
      <c r="R3382" s="23"/>
      <c r="S3382" s="23"/>
      <c r="T3382" s="23"/>
      <c r="U3382" s="23"/>
    </row>
    <row r="3383">
      <c r="A3383" s="20"/>
      <c r="B3383" s="20"/>
      <c r="C3383" s="30"/>
      <c r="D3383" s="30"/>
      <c r="E3383" s="30"/>
      <c r="F3383" s="22"/>
      <c r="G3383" s="23"/>
      <c r="H3383" s="23"/>
      <c r="I3383" s="23"/>
      <c r="J3383" s="23"/>
      <c r="K3383" s="23"/>
      <c r="L3383" s="23"/>
      <c r="M3383" s="23"/>
      <c r="N3383" s="23"/>
      <c r="O3383" s="23"/>
      <c r="P3383" s="23"/>
      <c r="Q3383" s="23"/>
      <c r="R3383" s="23"/>
      <c r="S3383" s="23"/>
      <c r="T3383" s="23"/>
      <c r="U3383" s="23"/>
    </row>
    <row r="3384">
      <c r="A3384" s="20"/>
      <c r="B3384" s="20"/>
      <c r="C3384" s="30"/>
      <c r="D3384" s="30"/>
      <c r="E3384" s="30"/>
      <c r="F3384" s="22"/>
      <c r="G3384" s="23"/>
      <c r="H3384" s="23"/>
      <c r="I3384" s="23"/>
      <c r="J3384" s="23"/>
      <c r="K3384" s="23"/>
      <c r="L3384" s="23"/>
      <c r="M3384" s="23"/>
      <c r="N3384" s="23"/>
      <c r="O3384" s="23"/>
      <c r="P3384" s="23"/>
      <c r="Q3384" s="23"/>
      <c r="R3384" s="23"/>
      <c r="S3384" s="23"/>
      <c r="T3384" s="23"/>
      <c r="U3384" s="23"/>
    </row>
    <row r="3385">
      <c r="A3385" s="20"/>
      <c r="B3385" s="20"/>
      <c r="C3385" s="30"/>
      <c r="D3385" s="30"/>
      <c r="E3385" s="30"/>
      <c r="F3385" s="22"/>
      <c r="G3385" s="23"/>
      <c r="H3385" s="23"/>
      <c r="I3385" s="23"/>
      <c r="J3385" s="23"/>
      <c r="K3385" s="23"/>
      <c r="L3385" s="23"/>
      <c r="M3385" s="23"/>
      <c r="N3385" s="23"/>
      <c r="O3385" s="23"/>
      <c r="P3385" s="23"/>
      <c r="Q3385" s="23"/>
      <c r="R3385" s="23"/>
      <c r="S3385" s="23"/>
      <c r="T3385" s="23"/>
      <c r="U3385" s="23"/>
    </row>
    <row r="3386">
      <c r="A3386" s="20"/>
      <c r="B3386" s="20"/>
      <c r="C3386" s="30"/>
      <c r="D3386" s="30"/>
      <c r="E3386" s="30"/>
      <c r="F3386" s="22"/>
      <c r="G3386" s="23"/>
      <c r="H3386" s="23"/>
      <c r="I3386" s="23"/>
      <c r="J3386" s="23"/>
      <c r="K3386" s="23"/>
      <c r="L3386" s="23"/>
      <c r="M3386" s="23"/>
      <c r="N3386" s="23"/>
      <c r="O3386" s="23"/>
      <c r="P3386" s="23"/>
      <c r="Q3386" s="23"/>
      <c r="R3386" s="23"/>
      <c r="S3386" s="23"/>
      <c r="T3386" s="23"/>
      <c r="U3386" s="23"/>
    </row>
    <row r="3387">
      <c r="A3387" s="20"/>
      <c r="B3387" s="20"/>
      <c r="C3387" s="30"/>
      <c r="D3387" s="30"/>
      <c r="E3387" s="30"/>
      <c r="F3387" s="22"/>
      <c r="G3387" s="23"/>
      <c r="H3387" s="23"/>
      <c r="I3387" s="23"/>
      <c r="J3387" s="23"/>
      <c r="K3387" s="23"/>
      <c r="L3387" s="23"/>
      <c r="M3387" s="23"/>
      <c r="N3387" s="23"/>
      <c r="O3387" s="23"/>
      <c r="P3387" s="23"/>
      <c r="Q3387" s="23"/>
      <c r="R3387" s="23"/>
      <c r="S3387" s="23"/>
      <c r="T3387" s="23"/>
      <c r="U3387" s="23"/>
    </row>
    <row r="3388">
      <c r="A3388" s="20"/>
      <c r="B3388" s="20"/>
      <c r="C3388" s="30"/>
      <c r="D3388" s="30"/>
      <c r="E3388" s="30"/>
      <c r="F3388" s="22"/>
      <c r="G3388" s="23"/>
      <c r="H3388" s="23"/>
      <c r="I3388" s="23"/>
      <c r="J3388" s="23"/>
      <c r="K3388" s="23"/>
      <c r="L3388" s="23"/>
      <c r="M3388" s="23"/>
      <c r="N3388" s="23"/>
      <c r="O3388" s="23"/>
      <c r="P3388" s="23"/>
      <c r="Q3388" s="23"/>
      <c r="R3388" s="23"/>
      <c r="S3388" s="23"/>
      <c r="T3388" s="23"/>
      <c r="U3388" s="23"/>
    </row>
    <row r="3389">
      <c r="A3389" s="20"/>
      <c r="B3389" s="20"/>
      <c r="C3389" s="30"/>
      <c r="D3389" s="30"/>
      <c r="E3389" s="30"/>
      <c r="F3389" s="22"/>
      <c r="G3389" s="23"/>
      <c r="H3389" s="23"/>
      <c r="I3389" s="23"/>
      <c r="J3389" s="23"/>
      <c r="K3389" s="23"/>
      <c r="L3389" s="23"/>
      <c r="M3389" s="23"/>
      <c r="N3389" s="23"/>
      <c r="O3389" s="23"/>
      <c r="P3389" s="23"/>
      <c r="Q3389" s="23"/>
      <c r="R3389" s="23"/>
      <c r="S3389" s="23"/>
      <c r="T3389" s="23"/>
      <c r="U3389" s="23"/>
    </row>
    <row r="3390">
      <c r="A3390" s="20"/>
      <c r="B3390" s="20"/>
      <c r="C3390" s="30"/>
      <c r="D3390" s="30"/>
      <c r="E3390" s="30"/>
      <c r="F3390" s="22"/>
      <c r="G3390" s="23"/>
      <c r="H3390" s="23"/>
      <c r="I3390" s="23"/>
      <c r="J3390" s="23"/>
      <c r="K3390" s="23"/>
      <c r="L3390" s="23"/>
      <c r="M3390" s="23"/>
      <c r="N3390" s="23"/>
      <c r="O3390" s="23"/>
      <c r="P3390" s="23"/>
      <c r="Q3390" s="23"/>
      <c r="R3390" s="23"/>
      <c r="S3390" s="23"/>
      <c r="T3390" s="23"/>
      <c r="U3390" s="23"/>
    </row>
    <row r="3391">
      <c r="A3391" s="20"/>
      <c r="B3391" s="20"/>
      <c r="C3391" s="30"/>
      <c r="D3391" s="30"/>
      <c r="E3391" s="30"/>
      <c r="F3391" s="22"/>
      <c r="G3391" s="23"/>
      <c r="H3391" s="23"/>
      <c r="I3391" s="23"/>
      <c r="J3391" s="23"/>
      <c r="K3391" s="23"/>
      <c r="L3391" s="23"/>
      <c r="M3391" s="23"/>
      <c r="N3391" s="23"/>
      <c r="O3391" s="23"/>
      <c r="P3391" s="23"/>
      <c r="Q3391" s="23"/>
      <c r="R3391" s="23"/>
      <c r="S3391" s="23"/>
      <c r="T3391" s="23"/>
      <c r="U3391" s="23"/>
    </row>
    <row r="3392">
      <c r="A3392" s="20"/>
      <c r="B3392" s="20"/>
      <c r="C3392" s="30"/>
      <c r="D3392" s="30"/>
      <c r="E3392" s="30"/>
      <c r="F3392" s="22"/>
      <c r="G3392" s="23"/>
      <c r="H3392" s="23"/>
      <c r="I3392" s="23"/>
      <c r="J3392" s="23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</row>
    <row r="3393">
      <c r="A3393" s="20"/>
      <c r="B3393" s="20"/>
      <c r="C3393" s="30"/>
      <c r="D3393" s="30"/>
      <c r="E3393" s="30"/>
      <c r="F3393" s="22"/>
      <c r="G3393" s="23"/>
      <c r="H3393" s="23"/>
      <c r="I3393" s="23"/>
      <c r="J3393" s="23"/>
      <c r="K3393" s="23"/>
      <c r="L3393" s="23"/>
      <c r="M3393" s="23"/>
      <c r="N3393" s="23"/>
      <c r="O3393" s="23"/>
      <c r="P3393" s="23"/>
      <c r="Q3393" s="23"/>
      <c r="R3393" s="23"/>
      <c r="S3393" s="23"/>
      <c r="T3393" s="23"/>
      <c r="U3393" s="23"/>
    </row>
    <row r="3394">
      <c r="A3394" s="20"/>
      <c r="B3394" s="20"/>
      <c r="C3394" s="30"/>
      <c r="D3394" s="30"/>
      <c r="E3394" s="30"/>
      <c r="F3394" s="22"/>
      <c r="G3394" s="23"/>
      <c r="H3394" s="23"/>
      <c r="I3394" s="23"/>
      <c r="J3394" s="23"/>
      <c r="K3394" s="23"/>
      <c r="L3394" s="23"/>
      <c r="M3394" s="23"/>
      <c r="N3394" s="23"/>
      <c r="O3394" s="23"/>
      <c r="P3394" s="23"/>
      <c r="Q3394" s="23"/>
      <c r="R3394" s="23"/>
      <c r="S3394" s="23"/>
      <c r="T3394" s="23"/>
      <c r="U3394" s="23"/>
    </row>
    <row r="3395">
      <c r="A3395" s="20"/>
      <c r="B3395" s="20"/>
      <c r="C3395" s="30"/>
      <c r="D3395" s="30"/>
      <c r="E3395" s="30"/>
      <c r="F3395" s="22"/>
      <c r="G3395" s="23"/>
      <c r="H3395" s="23"/>
      <c r="I3395" s="23"/>
      <c r="J3395" s="23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</row>
    <row r="3396">
      <c r="A3396" s="20"/>
      <c r="B3396" s="20"/>
      <c r="C3396" s="30"/>
      <c r="D3396" s="30"/>
      <c r="E3396" s="30"/>
      <c r="F3396" s="22"/>
      <c r="G3396" s="23"/>
      <c r="H3396" s="23"/>
      <c r="I3396" s="23"/>
      <c r="J3396" s="23"/>
      <c r="K3396" s="23"/>
      <c r="L3396" s="23"/>
      <c r="M3396" s="23"/>
      <c r="N3396" s="23"/>
      <c r="O3396" s="23"/>
      <c r="P3396" s="23"/>
      <c r="Q3396" s="23"/>
      <c r="R3396" s="23"/>
      <c r="S3396" s="23"/>
      <c r="T3396" s="23"/>
      <c r="U3396" s="23"/>
    </row>
    <row r="3397">
      <c r="A3397" s="20"/>
      <c r="B3397" s="20"/>
      <c r="C3397" s="30"/>
      <c r="D3397" s="30"/>
      <c r="E3397" s="30"/>
      <c r="F3397" s="22"/>
      <c r="G3397" s="23"/>
      <c r="H3397" s="23"/>
      <c r="I3397" s="23"/>
      <c r="J3397" s="23"/>
      <c r="K3397" s="23"/>
      <c r="L3397" s="23"/>
      <c r="M3397" s="23"/>
      <c r="N3397" s="23"/>
      <c r="O3397" s="23"/>
      <c r="P3397" s="23"/>
      <c r="Q3397" s="23"/>
      <c r="R3397" s="23"/>
      <c r="S3397" s="23"/>
      <c r="T3397" s="23"/>
      <c r="U3397" s="23"/>
    </row>
    <row r="3398">
      <c r="A3398" s="20"/>
      <c r="B3398" s="20"/>
      <c r="C3398" s="30"/>
      <c r="D3398" s="30"/>
      <c r="E3398" s="30"/>
      <c r="F3398" s="22"/>
      <c r="G3398" s="23"/>
      <c r="H3398" s="23"/>
      <c r="I3398" s="23"/>
      <c r="J3398" s="23"/>
      <c r="K3398" s="23"/>
      <c r="L3398" s="23"/>
      <c r="M3398" s="23"/>
      <c r="N3398" s="23"/>
      <c r="O3398" s="23"/>
      <c r="P3398" s="23"/>
      <c r="Q3398" s="23"/>
      <c r="R3398" s="23"/>
      <c r="S3398" s="23"/>
      <c r="T3398" s="23"/>
      <c r="U3398" s="23"/>
    </row>
    <row r="3399">
      <c r="A3399" s="20"/>
      <c r="B3399" s="20"/>
      <c r="C3399" s="30"/>
      <c r="D3399" s="30"/>
      <c r="E3399" s="30"/>
      <c r="F3399" s="22"/>
      <c r="G3399" s="23"/>
      <c r="H3399" s="23"/>
      <c r="I3399" s="23"/>
      <c r="J3399" s="23"/>
      <c r="K3399" s="23"/>
      <c r="L3399" s="23"/>
      <c r="M3399" s="23"/>
      <c r="N3399" s="23"/>
      <c r="O3399" s="23"/>
      <c r="P3399" s="23"/>
      <c r="Q3399" s="23"/>
      <c r="R3399" s="23"/>
      <c r="S3399" s="23"/>
      <c r="T3399" s="23"/>
      <c r="U3399" s="23"/>
    </row>
    <row r="3400">
      <c r="A3400" s="20"/>
      <c r="B3400" s="20"/>
      <c r="C3400" s="30"/>
      <c r="D3400" s="30"/>
      <c r="E3400" s="30"/>
      <c r="F3400" s="22"/>
      <c r="G3400" s="23"/>
      <c r="H3400" s="23"/>
      <c r="I3400" s="23"/>
      <c r="J3400" s="23"/>
      <c r="K3400" s="23"/>
      <c r="L3400" s="23"/>
      <c r="M3400" s="23"/>
      <c r="N3400" s="23"/>
      <c r="O3400" s="23"/>
      <c r="P3400" s="23"/>
      <c r="Q3400" s="23"/>
      <c r="R3400" s="23"/>
      <c r="S3400" s="23"/>
      <c r="T3400" s="23"/>
      <c r="U3400" s="23"/>
    </row>
    <row r="3401">
      <c r="A3401" s="20"/>
      <c r="B3401" s="20"/>
      <c r="C3401" s="30"/>
      <c r="D3401" s="30"/>
      <c r="E3401" s="30"/>
      <c r="F3401" s="22"/>
      <c r="G3401" s="23"/>
      <c r="H3401" s="23"/>
      <c r="I3401" s="23"/>
      <c r="J3401" s="23"/>
      <c r="K3401" s="23"/>
      <c r="L3401" s="23"/>
      <c r="M3401" s="23"/>
      <c r="N3401" s="23"/>
      <c r="O3401" s="23"/>
      <c r="P3401" s="23"/>
      <c r="Q3401" s="23"/>
      <c r="R3401" s="23"/>
      <c r="S3401" s="23"/>
      <c r="T3401" s="23"/>
      <c r="U3401" s="23"/>
    </row>
    <row r="3402">
      <c r="A3402" s="20"/>
      <c r="B3402" s="20"/>
      <c r="C3402" s="30"/>
      <c r="D3402" s="30"/>
      <c r="E3402" s="30"/>
      <c r="F3402" s="22"/>
      <c r="G3402" s="23"/>
      <c r="H3402" s="23"/>
      <c r="I3402" s="23"/>
      <c r="J3402" s="23"/>
      <c r="K3402" s="23"/>
      <c r="L3402" s="23"/>
      <c r="M3402" s="23"/>
      <c r="N3402" s="23"/>
      <c r="O3402" s="23"/>
      <c r="P3402" s="23"/>
      <c r="Q3402" s="23"/>
      <c r="R3402" s="23"/>
      <c r="S3402" s="23"/>
      <c r="T3402" s="23"/>
      <c r="U3402" s="23"/>
    </row>
    <row r="3403">
      <c r="A3403" s="20"/>
      <c r="B3403" s="20"/>
      <c r="C3403" s="30"/>
      <c r="D3403" s="30"/>
      <c r="E3403" s="30"/>
      <c r="F3403" s="22"/>
      <c r="G3403" s="23"/>
      <c r="H3403" s="23"/>
      <c r="I3403" s="23"/>
      <c r="J3403" s="23"/>
      <c r="K3403" s="23"/>
      <c r="L3403" s="23"/>
      <c r="M3403" s="23"/>
      <c r="N3403" s="23"/>
      <c r="O3403" s="23"/>
      <c r="P3403" s="23"/>
      <c r="Q3403" s="23"/>
      <c r="R3403" s="23"/>
      <c r="S3403" s="23"/>
      <c r="T3403" s="23"/>
      <c r="U3403" s="23"/>
    </row>
    <row r="3404">
      <c r="A3404" s="20"/>
      <c r="B3404" s="20"/>
      <c r="C3404" s="30"/>
      <c r="D3404" s="30"/>
      <c r="E3404" s="30"/>
      <c r="F3404" s="22"/>
      <c r="G3404" s="23"/>
      <c r="H3404" s="23"/>
      <c r="I3404" s="23"/>
      <c r="J3404" s="23"/>
      <c r="K3404" s="23"/>
      <c r="L3404" s="23"/>
      <c r="M3404" s="23"/>
      <c r="N3404" s="23"/>
      <c r="O3404" s="23"/>
      <c r="P3404" s="23"/>
      <c r="Q3404" s="23"/>
      <c r="R3404" s="23"/>
      <c r="S3404" s="23"/>
      <c r="T3404" s="23"/>
      <c r="U3404" s="23"/>
    </row>
    <row r="3405">
      <c r="A3405" s="20"/>
      <c r="B3405" s="20"/>
      <c r="C3405" s="30"/>
      <c r="D3405" s="30"/>
      <c r="E3405" s="30"/>
      <c r="F3405" s="22"/>
      <c r="G3405" s="23"/>
      <c r="H3405" s="23"/>
      <c r="I3405" s="23"/>
      <c r="J3405" s="23"/>
      <c r="K3405" s="23"/>
      <c r="L3405" s="23"/>
      <c r="M3405" s="23"/>
      <c r="N3405" s="23"/>
      <c r="O3405" s="23"/>
      <c r="P3405" s="23"/>
      <c r="Q3405" s="23"/>
      <c r="R3405" s="23"/>
      <c r="S3405" s="23"/>
      <c r="T3405" s="23"/>
      <c r="U3405" s="23"/>
    </row>
    <row r="3406">
      <c r="A3406" s="20"/>
      <c r="B3406" s="20"/>
      <c r="C3406" s="30"/>
      <c r="D3406" s="30"/>
      <c r="E3406" s="30"/>
      <c r="F3406" s="22"/>
      <c r="G3406" s="23"/>
      <c r="H3406" s="23"/>
      <c r="I3406" s="23"/>
      <c r="J3406" s="23"/>
      <c r="K3406" s="23"/>
      <c r="L3406" s="23"/>
      <c r="M3406" s="23"/>
      <c r="N3406" s="23"/>
      <c r="O3406" s="23"/>
      <c r="P3406" s="23"/>
      <c r="Q3406" s="23"/>
      <c r="R3406" s="23"/>
      <c r="S3406" s="23"/>
      <c r="T3406" s="23"/>
      <c r="U3406" s="23"/>
    </row>
    <row r="3407">
      <c r="A3407" s="20"/>
      <c r="B3407" s="20"/>
      <c r="C3407" s="30"/>
      <c r="D3407" s="30"/>
      <c r="E3407" s="30"/>
      <c r="F3407" s="22"/>
      <c r="G3407" s="23"/>
      <c r="H3407" s="23"/>
      <c r="I3407" s="23"/>
      <c r="J3407" s="23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</row>
    <row r="3408">
      <c r="A3408" s="20"/>
      <c r="B3408" s="20"/>
      <c r="C3408" s="30"/>
      <c r="D3408" s="30"/>
      <c r="E3408" s="30"/>
      <c r="F3408" s="22"/>
      <c r="G3408" s="23"/>
      <c r="H3408" s="23"/>
      <c r="I3408" s="23"/>
      <c r="J3408" s="23"/>
      <c r="K3408" s="23"/>
      <c r="L3408" s="23"/>
      <c r="M3408" s="23"/>
      <c r="N3408" s="23"/>
      <c r="O3408" s="23"/>
      <c r="P3408" s="23"/>
      <c r="Q3408" s="23"/>
      <c r="R3408" s="23"/>
      <c r="S3408" s="23"/>
      <c r="T3408" s="23"/>
      <c r="U3408" s="23"/>
    </row>
    <row r="3409">
      <c r="A3409" s="20"/>
      <c r="B3409" s="20"/>
      <c r="C3409" s="30"/>
      <c r="D3409" s="30"/>
      <c r="E3409" s="30"/>
      <c r="F3409" s="22"/>
      <c r="G3409" s="23"/>
      <c r="H3409" s="23"/>
      <c r="I3409" s="23"/>
      <c r="J3409" s="23"/>
      <c r="K3409" s="23"/>
      <c r="L3409" s="23"/>
      <c r="M3409" s="23"/>
      <c r="N3409" s="23"/>
      <c r="O3409" s="23"/>
      <c r="P3409" s="23"/>
      <c r="Q3409" s="23"/>
      <c r="R3409" s="23"/>
      <c r="S3409" s="23"/>
      <c r="T3409" s="23"/>
      <c r="U3409" s="23"/>
    </row>
    <row r="3410">
      <c r="A3410" s="20"/>
      <c r="B3410" s="20"/>
      <c r="C3410" s="30"/>
      <c r="D3410" s="30"/>
      <c r="E3410" s="30"/>
      <c r="F3410" s="22"/>
      <c r="G3410" s="23"/>
      <c r="H3410" s="23"/>
      <c r="I3410" s="23"/>
      <c r="J3410" s="23"/>
      <c r="K3410" s="23"/>
      <c r="L3410" s="23"/>
      <c r="M3410" s="23"/>
      <c r="N3410" s="23"/>
      <c r="O3410" s="23"/>
      <c r="P3410" s="23"/>
      <c r="Q3410" s="23"/>
      <c r="R3410" s="23"/>
      <c r="S3410" s="23"/>
      <c r="T3410" s="23"/>
      <c r="U3410" s="23"/>
    </row>
    <row r="3411">
      <c r="A3411" s="20"/>
      <c r="B3411" s="20"/>
      <c r="C3411" s="30"/>
      <c r="D3411" s="30"/>
      <c r="E3411" s="30"/>
      <c r="F3411" s="22"/>
      <c r="G3411" s="23"/>
      <c r="H3411" s="23"/>
      <c r="I3411" s="23"/>
      <c r="J3411" s="23"/>
      <c r="K3411" s="23"/>
      <c r="L3411" s="23"/>
      <c r="M3411" s="23"/>
      <c r="N3411" s="23"/>
      <c r="O3411" s="23"/>
      <c r="P3411" s="23"/>
      <c r="Q3411" s="23"/>
      <c r="R3411" s="23"/>
      <c r="S3411" s="23"/>
      <c r="T3411" s="23"/>
      <c r="U3411" s="23"/>
    </row>
    <row r="3412">
      <c r="A3412" s="20"/>
      <c r="B3412" s="20"/>
      <c r="C3412" s="30"/>
      <c r="D3412" s="30"/>
      <c r="E3412" s="30"/>
      <c r="F3412" s="22"/>
      <c r="G3412" s="23"/>
      <c r="H3412" s="23"/>
      <c r="I3412" s="23"/>
      <c r="J3412" s="23"/>
      <c r="K3412" s="23"/>
      <c r="L3412" s="23"/>
      <c r="M3412" s="23"/>
      <c r="N3412" s="23"/>
      <c r="O3412" s="23"/>
      <c r="P3412" s="23"/>
      <c r="Q3412" s="23"/>
      <c r="R3412" s="23"/>
      <c r="S3412" s="23"/>
      <c r="T3412" s="23"/>
      <c r="U3412" s="23"/>
    </row>
    <row r="3413">
      <c r="A3413" s="20"/>
      <c r="B3413" s="20"/>
      <c r="C3413" s="30"/>
      <c r="D3413" s="30"/>
      <c r="E3413" s="30"/>
      <c r="F3413" s="22"/>
      <c r="G3413" s="23"/>
      <c r="H3413" s="23"/>
      <c r="I3413" s="23"/>
      <c r="J3413" s="23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</row>
    <row r="3414">
      <c r="A3414" s="20"/>
      <c r="B3414" s="20"/>
      <c r="C3414" s="30"/>
      <c r="D3414" s="30"/>
      <c r="E3414" s="30"/>
      <c r="F3414" s="22"/>
      <c r="G3414" s="23"/>
      <c r="H3414" s="23"/>
      <c r="I3414" s="23"/>
      <c r="J3414" s="23"/>
      <c r="K3414" s="23"/>
      <c r="L3414" s="23"/>
      <c r="M3414" s="23"/>
      <c r="N3414" s="23"/>
      <c r="O3414" s="23"/>
      <c r="P3414" s="23"/>
      <c r="Q3414" s="23"/>
      <c r="R3414" s="23"/>
      <c r="S3414" s="23"/>
      <c r="T3414" s="23"/>
      <c r="U3414" s="23"/>
    </row>
    <row r="3415">
      <c r="A3415" s="20"/>
      <c r="B3415" s="20"/>
      <c r="C3415" s="30"/>
      <c r="D3415" s="30"/>
      <c r="E3415" s="30"/>
      <c r="F3415" s="22"/>
      <c r="G3415" s="23"/>
      <c r="H3415" s="23"/>
      <c r="I3415" s="23"/>
      <c r="J3415" s="23"/>
      <c r="K3415" s="23"/>
      <c r="L3415" s="23"/>
      <c r="M3415" s="23"/>
      <c r="N3415" s="23"/>
      <c r="O3415" s="23"/>
      <c r="P3415" s="23"/>
      <c r="Q3415" s="23"/>
      <c r="R3415" s="23"/>
      <c r="S3415" s="23"/>
      <c r="T3415" s="23"/>
      <c r="U3415" s="23"/>
    </row>
    <row r="3416">
      <c r="A3416" s="20"/>
      <c r="B3416" s="20"/>
      <c r="C3416" s="30"/>
      <c r="D3416" s="30"/>
      <c r="E3416" s="30"/>
      <c r="F3416" s="22"/>
      <c r="G3416" s="23"/>
      <c r="H3416" s="23"/>
      <c r="I3416" s="23"/>
      <c r="J3416" s="23"/>
      <c r="K3416" s="23"/>
      <c r="L3416" s="23"/>
      <c r="M3416" s="23"/>
      <c r="N3416" s="23"/>
      <c r="O3416" s="23"/>
      <c r="P3416" s="23"/>
      <c r="Q3416" s="23"/>
      <c r="R3416" s="23"/>
      <c r="S3416" s="23"/>
      <c r="T3416" s="23"/>
      <c r="U3416" s="23"/>
    </row>
    <row r="3417">
      <c r="A3417" s="20"/>
      <c r="B3417" s="20"/>
      <c r="C3417" s="30"/>
      <c r="D3417" s="30"/>
      <c r="E3417" s="30"/>
      <c r="F3417" s="22"/>
      <c r="G3417" s="23"/>
      <c r="H3417" s="23"/>
      <c r="I3417" s="23"/>
      <c r="J3417" s="23"/>
      <c r="K3417" s="23"/>
      <c r="L3417" s="23"/>
      <c r="M3417" s="23"/>
      <c r="N3417" s="23"/>
      <c r="O3417" s="23"/>
      <c r="P3417" s="23"/>
      <c r="Q3417" s="23"/>
      <c r="R3417" s="23"/>
      <c r="S3417" s="23"/>
      <c r="T3417" s="23"/>
      <c r="U3417" s="23"/>
    </row>
    <row r="3418">
      <c r="A3418" s="20"/>
      <c r="B3418" s="20"/>
      <c r="C3418" s="30"/>
      <c r="D3418" s="30"/>
      <c r="E3418" s="30"/>
      <c r="F3418" s="22"/>
      <c r="G3418" s="23"/>
      <c r="H3418" s="23"/>
      <c r="I3418" s="23"/>
      <c r="J3418" s="23"/>
      <c r="K3418" s="23"/>
      <c r="L3418" s="23"/>
      <c r="M3418" s="23"/>
      <c r="N3418" s="23"/>
      <c r="O3418" s="23"/>
      <c r="P3418" s="23"/>
      <c r="Q3418" s="23"/>
      <c r="R3418" s="23"/>
      <c r="S3418" s="23"/>
      <c r="T3418" s="23"/>
      <c r="U3418" s="23"/>
    </row>
    <row r="3419">
      <c r="A3419" s="20"/>
      <c r="B3419" s="20"/>
      <c r="C3419" s="30"/>
      <c r="D3419" s="30"/>
      <c r="E3419" s="30"/>
      <c r="F3419" s="22"/>
      <c r="G3419" s="23"/>
      <c r="H3419" s="23"/>
      <c r="I3419" s="23"/>
      <c r="J3419" s="23"/>
      <c r="K3419" s="23"/>
      <c r="L3419" s="23"/>
      <c r="M3419" s="23"/>
      <c r="N3419" s="23"/>
      <c r="O3419" s="23"/>
      <c r="P3419" s="23"/>
      <c r="Q3419" s="23"/>
      <c r="R3419" s="23"/>
      <c r="S3419" s="23"/>
      <c r="T3419" s="23"/>
      <c r="U3419" s="23"/>
    </row>
    <row r="3420">
      <c r="A3420" s="20"/>
      <c r="B3420" s="20"/>
      <c r="C3420" s="30"/>
      <c r="D3420" s="30"/>
      <c r="E3420" s="30"/>
      <c r="F3420" s="22"/>
      <c r="G3420" s="23"/>
      <c r="H3420" s="23"/>
      <c r="I3420" s="23"/>
      <c r="J3420" s="23"/>
      <c r="K3420" s="23"/>
      <c r="L3420" s="23"/>
      <c r="M3420" s="23"/>
      <c r="N3420" s="23"/>
      <c r="O3420" s="23"/>
      <c r="P3420" s="23"/>
      <c r="Q3420" s="23"/>
      <c r="R3420" s="23"/>
      <c r="S3420" s="23"/>
      <c r="T3420" s="23"/>
      <c r="U3420" s="23"/>
    </row>
    <row r="3421">
      <c r="A3421" s="20"/>
      <c r="B3421" s="20"/>
      <c r="C3421" s="30"/>
      <c r="D3421" s="30"/>
      <c r="E3421" s="30"/>
      <c r="F3421" s="22"/>
      <c r="G3421" s="23"/>
      <c r="H3421" s="23"/>
      <c r="I3421" s="23"/>
      <c r="J3421" s="23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</row>
    <row r="3422">
      <c r="A3422" s="20"/>
      <c r="B3422" s="20"/>
      <c r="C3422" s="30"/>
      <c r="D3422" s="30"/>
      <c r="E3422" s="30"/>
      <c r="F3422" s="22"/>
      <c r="G3422" s="23"/>
      <c r="H3422" s="23"/>
      <c r="I3422" s="23"/>
      <c r="J3422" s="23"/>
      <c r="K3422" s="23"/>
      <c r="L3422" s="23"/>
      <c r="M3422" s="23"/>
      <c r="N3422" s="23"/>
      <c r="O3422" s="23"/>
      <c r="P3422" s="23"/>
      <c r="Q3422" s="23"/>
      <c r="R3422" s="23"/>
      <c r="S3422" s="23"/>
      <c r="T3422" s="23"/>
      <c r="U3422" s="23"/>
    </row>
    <row r="3423">
      <c r="A3423" s="20"/>
      <c r="B3423" s="20"/>
      <c r="C3423" s="30"/>
      <c r="D3423" s="30"/>
      <c r="E3423" s="30"/>
      <c r="F3423" s="22"/>
      <c r="G3423" s="23"/>
      <c r="H3423" s="23"/>
      <c r="I3423" s="23"/>
      <c r="J3423" s="23"/>
      <c r="K3423" s="23"/>
      <c r="L3423" s="23"/>
      <c r="M3423" s="23"/>
      <c r="N3423" s="23"/>
      <c r="O3423" s="23"/>
      <c r="P3423" s="23"/>
      <c r="Q3423" s="23"/>
      <c r="R3423" s="23"/>
      <c r="S3423" s="23"/>
      <c r="T3423" s="23"/>
      <c r="U3423" s="23"/>
    </row>
    <row r="3424">
      <c r="A3424" s="20"/>
      <c r="B3424" s="20"/>
      <c r="C3424" s="30"/>
      <c r="D3424" s="30"/>
      <c r="E3424" s="30"/>
      <c r="F3424" s="22"/>
      <c r="G3424" s="23"/>
      <c r="H3424" s="23"/>
      <c r="I3424" s="23"/>
      <c r="J3424" s="23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</row>
    <row r="3425">
      <c r="A3425" s="20"/>
      <c r="B3425" s="20"/>
      <c r="C3425" s="30"/>
      <c r="D3425" s="30"/>
      <c r="E3425" s="30"/>
      <c r="F3425" s="22"/>
      <c r="G3425" s="23"/>
      <c r="H3425" s="23"/>
      <c r="I3425" s="23"/>
      <c r="J3425" s="23"/>
      <c r="K3425" s="23"/>
      <c r="L3425" s="23"/>
      <c r="M3425" s="23"/>
      <c r="N3425" s="23"/>
      <c r="O3425" s="23"/>
      <c r="P3425" s="23"/>
      <c r="Q3425" s="23"/>
      <c r="R3425" s="23"/>
      <c r="S3425" s="23"/>
      <c r="T3425" s="23"/>
      <c r="U3425" s="23"/>
    </row>
    <row r="3426">
      <c r="A3426" s="20"/>
      <c r="B3426" s="20"/>
      <c r="C3426" s="30"/>
      <c r="D3426" s="30"/>
      <c r="E3426" s="30"/>
      <c r="F3426" s="22"/>
      <c r="G3426" s="23"/>
      <c r="H3426" s="23"/>
      <c r="I3426" s="23"/>
      <c r="J3426" s="23"/>
      <c r="K3426" s="23"/>
      <c r="L3426" s="23"/>
      <c r="M3426" s="23"/>
      <c r="N3426" s="23"/>
      <c r="O3426" s="23"/>
      <c r="P3426" s="23"/>
      <c r="Q3426" s="23"/>
      <c r="R3426" s="23"/>
      <c r="S3426" s="23"/>
      <c r="T3426" s="23"/>
      <c r="U3426" s="23"/>
    </row>
    <row r="3427">
      <c r="A3427" s="20"/>
      <c r="B3427" s="20"/>
      <c r="C3427" s="30"/>
      <c r="D3427" s="30"/>
      <c r="E3427" s="30"/>
      <c r="F3427" s="22"/>
      <c r="G3427" s="23"/>
      <c r="H3427" s="23"/>
      <c r="I3427" s="23"/>
      <c r="J3427" s="23"/>
      <c r="K3427" s="23"/>
      <c r="L3427" s="23"/>
      <c r="M3427" s="23"/>
      <c r="N3427" s="23"/>
      <c r="O3427" s="23"/>
      <c r="P3427" s="23"/>
      <c r="Q3427" s="23"/>
      <c r="R3427" s="23"/>
      <c r="S3427" s="23"/>
      <c r="T3427" s="23"/>
      <c r="U3427" s="23"/>
    </row>
    <row r="3428">
      <c r="A3428" s="20"/>
      <c r="B3428" s="20"/>
      <c r="C3428" s="30"/>
      <c r="D3428" s="30"/>
      <c r="E3428" s="30"/>
      <c r="F3428" s="22"/>
      <c r="G3428" s="23"/>
      <c r="H3428" s="23"/>
      <c r="I3428" s="23"/>
      <c r="J3428" s="23"/>
      <c r="K3428" s="23"/>
      <c r="L3428" s="23"/>
      <c r="M3428" s="23"/>
      <c r="N3428" s="23"/>
      <c r="O3428" s="23"/>
      <c r="P3428" s="23"/>
      <c r="Q3428" s="23"/>
      <c r="R3428" s="23"/>
      <c r="S3428" s="23"/>
      <c r="T3428" s="23"/>
      <c r="U3428" s="23"/>
    </row>
    <row r="3429">
      <c r="A3429" s="20"/>
      <c r="B3429" s="20"/>
      <c r="C3429" s="30"/>
      <c r="D3429" s="30"/>
      <c r="E3429" s="30"/>
      <c r="F3429" s="22"/>
      <c r="G3429" s="23"/>
      <c r="H3429" s="23"/>
      <c r="I3429" s="23"/>
      <c r="J3429" s="23"/>
      <c r="K3429" s="23"/>
      <c r="L3429" s="23"/>
      <c r="M3429" s="23"/>
      <c r="N3429" s="23"/>
      <c r="O3429" s="23"/>
      <c r="P3429" s="23"/>
      <c r="Q3429" s="23"/>
      <c r="R3429" s="23"/>
      <c r="S3429" s="23"/>
      <c r="T3429" s="23"/>
      <c r="U3429" s="23"/>
    </row>
    <row r="3430">
      <c r="A3430" s="20"/>
      <c r="B3430" s="20"/>
      <c r="C3430" s="30"/>
      <c r="D3430" s="30"/>
      <c r="E3430" s="30"/>
      <c r="F3430" s="22"/>
      <c r="G3430" s="23"/>
      <c r="H3430" s="23"/>
      <c r="I3430" s="23"/>
      <c r="J3430" s="23"/>
      <c r="K3430" s="23"/>
      <c r="L3430" s="23"/>
      <c r="M3430" s="23"/>
      <c r="N3430" s="23"/>
      <c r="O3430" s="23"/>
      <c r="P3430" s="23"/>
      <c r="Q3430" s="23"/>
      <c r="R3430" s="23"/>
      <c r="S3430" s="23"/>
      <c r="T3430" s="23"/>
      <c r="U3430" s="23"/>
    </row>
    <row r="3431">
      <c r="A3431" s="20"/>
      <c r="B3431" s="20"/>
      <c r="C3431" s="30"/>
      <c r="D3431" s="30"/>
      <c r="E3431" s="30"/>
      <c r="F3431" s="22"/>
      <c r="G3431" s="23"/>
      <c r="H3431" s="23"/>
      <c r="I3431" s="23"/>
      <c r="J3431" s="23"/>
      <c r="K3431" s="23"/>
      <c r="L3431" s="23"/>
      <c r="M3431" s="23"/>
      <c r="N3431" s="23"/>
      <c r="O3431" s="23"/>
      <c r="P3431" s="23"/>
      <c r="Q3431" s="23"/>
      <c r="R3431" s="23"/>
      <c r="S3431" s="23"/>
      <c r="T3431" s="23"/>
      <c r="U3431" s="23"/>
    </row>
    <row r="3432">
      <c r="A3432" s="20"/>
      <c r="B3432" s="20"/>
      <c r="C3432" s="30"/>
      <c r="D3432" s="30"/>
      <c r="E3432" s="30"/>
      <c r="F3432" s="22"/>
      <c r="G3432" s="23"/>
      <c r="H3432" s="23"/>
      <c r="I3432" s="23"/>
      <c r="J3432" s="23"/>
      <c r="K3432" s="23"/>
      <c r="L3432" s="23"/>
      <c r="M3432" s="23"/>
      <c r="N3432" s="23"/>
      <c r="O3432" s="23"/>
      <c r="P3432" s="23"/>
      <c r="Q3432" s="23"/>
      <c r="R3432" s="23"/>
      <c r="S3432" s="23"/>
      <c r="T3432" s="23"/>
      <c r="U3432" s="23"/>
    </row>
    <row r="3433">
      <c r="A3433" s="20"/>
      <c r="B3433" s="20"/>
      <c r="C3433" s="30"/>
      <c r="D3433" s="30"/>
      <c r="E3433" s="30"/>
      <c r="F3433" s="22"/>
      <c r="G3433" s="23"/>
      <c r="H3433" s="23"/>
      <c r="I3433" s="23"/>
      <c r="J3433" s="23"/>
      <c r="K3433" s="23"/>
      <c r="L3433" s="23"/>
      <c r="M3433" s="23"/>
      <c r="N3433" s="23"/>
      <c r="O3433" s="23"/>
      <c r="P3433" s="23"/>
      <c r="Q3433" s="23"/>
      <c r="R3433" s="23"/>
      <c r="S3433" s="23"/>
      <c r="T3433" s="23"/>
      <c r="U3433" s="23"/>
    </row>
    <row r="3434">
      <c r="A3434" s="20"/>
      <c r="B3434" s="20"/>
      <c r="C3434" s="30"/>
      <c r="D3434" s="30"/>
      <c r="E3434" s="30"/>
      <c r="F3434" s="22"/>
      <c r="G3434" s="23"/>
      <c r="H3434" s="23"/>
      <c r="I3434" s="23"/>
      <c r="J3434" s="23"/>
      <c r="K3434" s="23"/>
      <c r="L3434" s="23"/>
      <c r="M3434" s="23"/>
      <c r="N3434" s="23"/>
      <c r="O3434" s="23"/>
      <c r="P3434" s="23"/>
      <c r="Q3434" s="23"/>
      <c r="R3434" s="23"/>
      <c r="S3434" s="23"/>
      <c r="T3434" s="23"/>
      <c r="U3434" s="23"/>
    </row>
    <row r="3435">
      <c r="A3435" s="20"/>
      <c r="B3435" s="20"/>
      <c r="C3435" s="30"/>
      <c r="D3435" s="30"/>
      <c r="E3435" s="30"/>
      <c r="F3435" s="22"/>
      <c r="G3435" s="23"/>
      <c r="H3435" s="23"/>
      <c r="I3435" s="23"/>
      <c r="J3435" s="23"/>
      <c r="K3435" s="23"/>
      <c r="L3435" s="23"/>
      <c r="M3435" s="23"/>
      <c r="N3435" s="23"/>
      <c r="O3435" s="23"/>
      <c r="P3435" s="23"/>
      <c r="Q3435" s="23"/>
      <c r="R3435" s="23"/>
      <c r="S3435" s="23"/>
      <c r="T3435" s="23"/>
      <c r="U3435" s="23"/>
    </row>
    <row r="3436">
      <c r="A3436" s="20"/>
      <c r="B3436" s="20"/>
      <c r="C3436" s="30"/>
      <c r="D3436" s="30"/>
      <c r="E3436" s="30"/>
      <c r="F3436" s="22"/>
      <c r="G3436" s="23"/>
      <c r="H3436" s="23"/>
      <c r="I3436" s="23"/>
      <c r="J3436" s="23"/>
      <c r="K3436" s="23"/>
      <c r="L3436" s="23"/>
      <c r="M3436" s="23"/>
      <c r="N3436" s="23"/>
      <c r="O3436" s="23"/>
      <c r="P3436" s="23"/>
      <c r="Q3436" s="23"/>
      <c r="R3436" s="23"/>
      <c r="S3436" s="23"/>
      <c r="T3436" s="23"/>
      <c r="U3436" s="23"/>
    </row>
    <row r="3437">
      <c r="A3437" s="20"/>
      <c r="B3437" s="20"/>
      <c r="C3437" s="30"/>
      <c r="D3437" s="30"/>
      <c r="E3437" s="30"/>
      <c r="F3437" s="22"/>
      <c r="G3437" s="23"/>
      <c r="H3437" s="23"/>
      <c r="I3437" s="23"/>
      <c r="J3437" s="23"/>
      <c r="K3437" s="23"/>
      <c r="L3437" s="23"/>
      <c r="M3437" s="23"/>
      <c r="N3437" s="23"/>
      <c r="O3437" s="23"/>
      <c r="P3437" s="23"/>
      <c r="Q3437" s="23"/>
      <c r="R3437" s="23"/>
      <c r="S3437" s="23"/>
      <c r="T3437" s="23"/>
      <c r="U3437" s="23"/>
    </row>
    <row r="3438">
      <c r="A3438" s="20"/>
      <c r="B3438" s="20"/>
      <c r="C3438" s="30"/>
      <c r="D3438" s="30"/>
      <c r="E3438" s="30"/>
      <c r="F3438" s="22"/>
      <c r="G3438" s="23"/>
      <c r="H3438" s="23"/>
      <c r="I3438" s="23"/>
      <c r="J3438" s="23"/>
      <c r="K3438" s="23"/>
      <c r="L3438" s="23"/>
      <c r="M3438" s="23"/>
      <c r="N3438" s="23"/>
      <c r="O3438" s="23"/>
      <c r="P3438" s="23"/>
      <c r="Q3438" s="23"/>
      <c r="R3438" s="23"/>
      <c r="S3438" s="23"/>
      <c r="T3438" s="23"/>
      <c r="U3438" s="23"/>
    </row>
    <row r="3439">
      <c r="A3439" s="20"/>
      <c r="B3439" s="20"/>
      <c r="C3439" s="30"/>
      <c r="D3439" s="30"/>
      <c r="E3439" s="30"/>
      <c r="F3439" s="22"/>
      <c r="G3439" s="23"/>
      <c r="H3439" s="23"/>
      <c r="I3439" s="23"/>
      <c r="J3439" s="23"/>
      <c r="K3439" s="23"/>
      <c r="L3439" s="23"/>
      <c r="M3439" s="23"/>
      <c r="N3439" s="23"/>
      <c r="O3439" s="23"/>
      <c r="P3439" s="23"/>
      <c r="Q3439" s="23"/>
      <c r="R3439" s="23"/>
      <c r="S3439" s="23"/>
      <c r="T3439" s="23"/>
      <c r="U3439" s="23"/>
    </row>
    <row r="3440">
      <c r="A3440" s="20"/>
      <c r="B3440" s="20"/>
      <c r="C3440" s="30"/>
      <c r="D3440" s="30"/>
      <c r="E3440" s="30"/>
      <c r="F3440" s="22"/>
      <c r="G3440" s="23"/>
      <c r="H3440" s="23"/>
      <c r="I3440" s="23"/>
      <c r="J3440" s="23"/>
      <c r="K3440" s="23"/>
      <c r="L3440" s="23"/>
      <c r="M3440" s="23"/>
      <c r="N3440" s="23"/>
      <c r="O3440" s="23"/>
      <c r="P3440" s="23"/>
      <c r="Q3440" s="23"/>
      <c r="R3440" s="23"/>
      <c r="S3440" s="23"/>
      <c r="T3440" s="23"/>
      <c r="U3440" s="23"/>
    </row>
    <row r="3441">
      <c r="A3441" s="20"/>
      <c r="B3441" s="20"/>
      <c r="C3441" s="30"/>
      <c r="D3441" s="30"/>
      <c r="E3441" s="30"/>
      <c r="F3441" s="22"/>
      <c r="G3441" s="23"/>
      <c r="H3441" s="23"/>
      <c r="I3441" s="23"/>
      <c r="J3441" s="23"/>
      <c r="K3441" s="23"/>
      <c r="L3441" s="23"/>
      <c r="M3441" s="23"/>
      <c r="N3441" s="23"/>
      <c r="O3441" s="23"/>
      <c r="P3441" s="23"/>
      <c r="Q3441" s="23"/>
      <c r="R3441" s="23"/>
      <c r="S3441" s="23"/>
      <c r="T3441" s="23"/>
      <c r="U3441" s="23"/>
    </row>
    <row r="3442">
      <c r="A3442" s="20"/>
      <c r="B3442" s="20"/>
      <c r="C3442" s="30"/>
      <c r="D3442" s="30"/>
      <c r="E3442" s="30"/>
      <c r="F3442" s="22"/>
      <c r="G3442" s="23"/>
      <c r="H3442" s="23"/>
      <c r="I3442" s="23"/>
      <c r="J3442" s="23"/>
      <c r="K3442" s="23"/>
      <c r="L3442" s="23"/>
      <c r="M3442" s="23"/>
      <c r="N3442" s="23"/>
      <c r="O3442" s="23"/>
      <c r="P3442" s="23"/>
      <c r="Q3442" s="23"/>
      <c r="R3442" s="23"/>
      <c r="S3442" s="23"/>
      <c r="T3442" s="23"/>
      <c r="U3442" s="23"/>
    </row>
    <row r="3443">
      <c r="A3443" s="20"/>
      <c r="B3443" s="20"/>
      <c r="C3443" s="30"/>
      <c r="D3443" s="30"/>
      <c r="E3443" s="30"/>
      <c r="F3443" s="22"/>
      <c r="G3443" s="23"/>
      <c r="H3443" s="23"/>
      <c r="I3443" s="23"/>
      <c r="J3443" s="23"/>
      <c r="K3443" s="23"/>
      <c r="L3443" s="23"/>
      <c r="M3443" s="23"/>
      <c r="N3443" s="23"/>
      <c r="O3443" s="23"/>
      <c r="P3443" s="23"/>
      <c r="Q3443" s="23"/>
      <c r="R3443" s="23"/>
      <c r="S3443" s="23"/>
      <c r="T3443" s="23"/>
      <c r="U3443" s="23"/>
    </row>
    <row r="3444">
      <c r="A3444" s="20"/>
      <c r="B3444" s="20"/>
      <c r="C3444" s="30"/>
      <c r="D3444" s="30"/>
      <c r="E3444" s="30"/>
      <c r="F3444" s="22"/>
      <c r="G3444" s="23"/>
      <c r="H3444" s="23"/>
      <c r="I3444" s="23"/>
      <c r="J3444" s="23"/>
      <c r="K3444" s="23"/>
      <c r="L3444" s="23"/>
      <c r="M3444" s="23"/>
      <c r="N3444" s="23"/>
      <c r="O3444" s="23"/>
      <c r="P3444" s="23"/>
      <c r="Q3444" s="23"/>
      <c r="R3444" s="23"/>
      <c r="S3444" s="23"/>
      <c r="T3444" s="23"/>
      <c r="U3444" s="23"/>
    </row>
    <row r="3445">
      <c r="A3445" s="20"/>
      <c r="B3445" s="20"/>
      <c r="C3445" s="30"/>
      <c r="D3445" s="30"/>
      <c r="E3445" s="30"/>
      <c r="F3445" s="22"/>
      <c r="G3445" s="23"/>
      <c r="H3445" s="23"/>
      <c r="I3445" s="23"/>
      <c r="J3445" s="23"/>
      <c r="K3445" s="23"/>
      <c r="L3445" s="23"/>
      <c r="M3445" s="23"/>
      <c r="N3445" s="23"/>
      <c r="O3445" s="23"/>
      <c r="P3445" s="23"/>
      <c r="Q3445" s="23"/>
      <c r="R3445" s="23"/>
      <c r="S3445" s="23"/>
      <c r="T3445" s="23"/>
      <c r="U3445" s="23"/>
    </row>
    <row r="3446">
      <c r="A3446" s="20"/>
      <c r="B3446" s="20"/>
      <c r="C3446" s="30"/>
      <c r="D3446" s="30"/>
      <c r="E3446" s="30"/>
      <c r="F3446" s="22"/>
      <c r="G3446" s="23"/>
      <c r="H3446" s="23"/>
      <c r="I3446" s="23"/>
      <c r="J3446" s="23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</row>
    <row r="3447">
      <c r="A3447" s="20"/>
      <c r="B3447" s="20"/>
      <c r="C3447" s="30"/>
      <c r="D3447" s="30"/>
      <c r="E3447" s="30"/>
      <c r="F3447" s="22"/>
      <c r="G3447" s="23"/>
      <c r="H3447" s="23"/>
      <c r="I3447" s="23"/>
      <c r="J3447" s="23"/>
      <c r="K3447" s="23"/>
      <c r="L3447" s="23"/>
      <c r="M3447" s="23"/>
      <c r="N3447" s="23"/>
      <c r="O3447" s="23"/>
      <c r="P3447" s="23"/>
      <c r="Q3447" s="23"/>
      <c r="R3447" s="23"/>
      <c r="S3447" s="23"/>
      <c r="T3447" s="23"/>
      <c r="U3447" s="23"/>
    </row>
    <row r="3448">
      <c r="A3448" s="20"/>
      <c r="B3448" s="20"/>
      <c r="C3448" s="30"/>
      <c r="D3448" s="30"/>
      <c r="E3448" s="30"/>
      <c r="F3448" s="22"/>
      <c r="G3448" s="23"/>
      <c r="H3448" s="23"/>
      <c r="I3448" s="23"/>
      <c r="J3448" s="23"/>
      <c r="K3448" s="23"/>
      <c r="L3448" s="23"/>
      <c r="M3448" s="23"/>
      <c r="N3448" s="23"/>
      <c r="O3448" s="23"/>
      <c r="P3448" s="23"/>
      <c r="Q3448" s="23"/>
      <c r="R3448" s="23"/>
      <c r="S3448" s="23"/>
      <c r="T3448" s="23"/>
      <c r="U3448" s="23"/>
    </row>
    <row r="3449">
      <c r="A3449" s="20"/>
      <c r="B3449" s="20"/>
      <c r="C3449" s="30"/>
      <c r="D3449" s="30"/>
      <c r="E3449" s="30"/>
      <c r="F3449" s="22"/>
      <c r="G3449" s="23"/>
      <c r="H3449" s="23"/>
      <c r="I3449" s="23"/>
      <c r="J3449" s="23"/>
      <c r="K3449" s="23"/>
      <c r="L3449" s="23"/>
      <c r="M3449" s="23"/>
      <c r="N3449" s="23"/>
      <c r="O3449" s="23"/>
      <c r="P3449" s="23"/>
      <c r="Q3449" s="23"/>
      <c r="R3449" s="23"/>
      <c r="S3449" s="23"/>
      <c r="T3449" s="23"/>
      <c r="U3449" s="23"/>
    </row>
    <row r="3450">
      <c r="A3450" s="20"/>
      <c r="B3450" s="20"/>
      <c r="C3450" s="30"/>
      <c r="D3450" s="30"/>
      <c r="E3450" s="30"/>
      <c r="F3450" s="22"/>
      <c r="G3450" s="23"/>
      <c r="H3450" s="23"/>
      <c r="I3450" s="23"/>
      <c r="J3450" s="23"/>
      <c r="K3450" s="23"/>
      <c r="L3450" s="23"/>
      <c r="M3450" s="23"/>
      <c r="N3450" s="23"/>
      <c r="O3450" s="23"/>
      <c r="P3450" s="23"/>
      <c r="Q3450" s="23"/>
      <c r="R3450" s="23"/>
      <c r="S3450" s="23"/>
      <c r="T3450" s="23"/>
      <c r="U3450" s="23"/>
    </row>
    <row r="3451">
      <c r="A3451" s="20"/>
      <c r="B3451" s="20"/>
      <c r="C3451" s="30"/>
      <c r="D3451" s="30"/>
      <c r="E3451" s="30"/>
      <c r="F3451" s="22"/>
      <c r="G3451" s="23"/>
      <c r="H3451" s="23"/>
      <c r="I3451" s="23"/>
      <c r="J3451" s="23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</row>
    <row r="3452">
      <c r="A3452" s="20"/>
      <c r="B3452" s="20"/>
      <c r="C3452" s="30"/>
      <c r="D3452" s="30"/>
      <c r="E3452" s="30"/>
      <c r="F3452" s="22"/>
      <c r="G3452" s="23"/>
      <c r="H3452" s="23"/>
      <c r="I3452" s="23"/>
      <c r="J3452" s="23"/>
      <c r="K3452" s="23"/>
      <c r="L3452" s="23"/>
      <c r="M3452" s="23"/>
      <c r="N3452" s="23"/>
      <c r="O3452" s="23"/>
      <c r="P3452" s="23"/>
      <c r="Q3452" s="23"/>
      <c r="R3452" s="23"/>
      <c r="S3452" s="23"/>
      <c r="T3452" s="23"/>
      <c r="U3452" s="23"/>
    </row>
    <row r="3453">
      <c r="A3453" s="20"/>
      <c r="B3453" s="20"/>
      <c r="C3453" s="30"/>
      <c r="D3453" s="30"/>
      <c r="E3453" s="30"/>
      <c r="F3453" s="22"/>
      <c r="G3453" s="23"/>
      <c r="H3453" s="23"/>
      <c r="I3453" s="23"/>
      <c r="J3453" s="23"/>
      <c r="K3453" s="23"/>
      <c r="L3453" s="23"/>
      <c r="M3453" s="23"/>
      <c r="N3453" s="23"/>
      <c r="O3453" s="23"/>
      <c r="P3453" s="23"/>
      <c r="Q3453" s="23"/>
      <c r="R3453" s="23"/>
      <c r="S3453" s="23"/>
      <c r="T3453" s="23"/>
      <c r="U3453" s="23"/>
    </row>
    <row r="3454">
      <c r="A3454" s="20"/>
      <c r="B3454" s="20"/>
      <c r="C3454" s="30"/>
      <c r="D3454" s="30"/>
      <c r="E3454" s="30"/>
      <c r="F3454" s="22"/>
      <c r="G3454" s="23"/>
      <c r="H3454" s="23"/>
      <c r="I3454" s="23"/>
      <c r="J3454" s="23"/>
      <c r="K3454" s="23"/>
      <c r="L3454" s="23"/>
      <c r="M3454" s="23"/>
      <c r="N3454" s="23"/>
      <c r="O3454" s="23"/>
      <c r="P3454" s="23"/>
      <c r="Q3454" s="23"/>
      <c r="R3454" s="23"/>
      <c r="S3454" s="23"/>
      <c r="T3454" s="23"/>
      <c r="U3454" s="23"/>
    </row>
    <row r="3455">
      <c r="A3455" s="20"/>
      <c r="B3455" s="20"/>
      <c r="C3455" s="30"/>
      <c r="D3455" s="30"/>
      <c r="E3455" s="30"/>
      <c r="F3455" s="22"/>
      <c r="G3455" s="23"/>
      <c r="H3455" s="23"/>
      <c r="I3455" s="23"/>
      <c r="J3455" s="23"/>
      <c r="K3455" s="23"/>
      <c r="L3455" s="23"/>
      <c r="M3455" s="23"/>
      <c r="N3455" s="23"/>
      <c r="O3455" s="23"/>
      <c r="P3455" s="23"/>
      <c r="Q3455" s="23"/>
      <c r="R3455" s="23"/>
      <c r="S3455" s="23"/>
      <c r="T3455" s="23"/>
      <c r="U3455" s="23"/>
    </row>
    <row r="3456">
      <c r="A3456" s="20"/>
      <c r="B3456" s="20"/>
      <c r="C3456" s="30"/>
      <c r="D3456" s="30"/>
      <c r="E3456" s="30"/>
      <c r="F3456" s="22"/>
      <c r="G3456" s="23"/>
      <c r="H3456" s="23"/>
      <c r="I3456" s="23"/>
      <c r="J3456" s="23"/>
      <c r="K3456" s="23"/>
      <c r="L3456" s="23"/>
      <c r="M3456" s="23"/>
      <c r="N3456" s="23"/>
      <c r="O3456" s="23"/>
      <c r="P3456" s="23"/>
      <c r="Q3456" s="23"/>
      <c r="R3456" s="23"/>
      <c r="S3456" s="23"/>
      <c r="T3456" s="23"/>
      <c r="U3456" s="23"/>
    </row>
    <row r="3457">
      <c r="A3457" s="20"/>
      <c r="B3457" s="20"/>
      <c r="C3457" s="30"/>
      <c r="D3457" s="30"/>
      <c r="E3457" s="30"/>
      <c r="F3457" s="22"/>
      <c r="G3457" s="23"/>
      <c r="H3457" s="23"/>
      <c r="I3457" s="23"/>
      <c r="J3457" s="23"/>
      <c r="K3457" s="23"/>
      <c r="L3457" s="23"/>
      <c r="M3457" s="23"/>
      <c r="N3457" s="23"/>
      <c r="O3457" s="23"/>
      <c r="P3457" s="23"/>
      <c r="Q3457" s="23"/>
      <c r="R3457" s="23"/>
      <c r="S3457" s="23"/>
      <c r="T3457" s="23"/>
      <c r="U3457" s="23"/>
    </row>
    <row r="3458">
      <c r="A3458" s="20"/>
      <c r="B3458" s="20"/>
      <c r="C3458" s="30"/>
      <c r="D3458" s="30"/>
      <c r="E3458" s="30"/>
      <c r="F3458" s="22"/>
      <c r="G3458" s="23"/>
      <c r="H3458" s="23"/>
      <c r="I3458" s="23"/>
      <c r="J3458" s="23"/>
      <c r="K3458" s="23"/>
      <c r="L3458" s="23"/>
      <c r="M3458" s="23"/>
      <c r="N3458" s="23"/>
      <c r="O3458" s="23"/>
      <c r="P3458" s="23"/>
      <c r="Q3458" s="23"/>
      <c r="R3458" s="23"/>
      <c r="S3458" s="23"/>
      <c r="T3458" s="23"/>
      <c r="U3458" s="23"/>
    </row>
    <row r="3459">
      <c r="A3459" s="20"/>
      <c r="B3459" s="20"/>
      <c r="C3459" s="30"/>
      <c r="D3459" s="30"/>
      <c r="E3459" s="30"/>
      <c r="F3459" s="22"/>
      <c r="G3459" s="23"/>
      <c r="H3459" s="23"/>
      <c r="I3459" s="23"/>
      <c r="J3459" s="23"/>
      <c r="K3459" s="23"/>
      <c r="L3459" s="23"/>
      <c r="M3459" s="23"/>
      <c r="N3459" s="23"/>
      <c r="O3459" s="23"/>
      <c r="P3459" s="23"/>
      <c r="Q3459" s="23"/>
      <c r="R3459" s="23"/>
      <c r="S3459" s="23"/>
      <c r="T3459" s="23"/>
      <c r="U3459" s="23"/>
    </row>
    <row r="3460">
      <c r="A3460" s="20"/>
      <c r="B3460" s="20"/>
      <c r="C3460" s="30"/>
      <c r="D3460" s="30"/>
      <c r="E3460" s="30"/>
      <c r="F3460" s="22"/>
      <c r="G3460" s="23"/>
      <c r="H3460" s="23"/>
      <c r="I3460" s="23"/>
      <c r="J3460" s="23"/>
      <c r="K3460" s="23"/>
      <c r="L3460" s="23"/>
      <c r="M3460" s="23"/>
      <c r="N3460" s="23"/>
      <c r="O3460" s="23"/>
      <c r="P3460" s="23"/>
      <c r="Q3460" s="23"/>
      <c r="R3460" s="23"/>
      <c r="S3460" s="23"/>
      <c r="T3460" s="23"/>
      <c r="U3460" s="23"/>
    </row>
    <row r="3461">
      <c r="A3461" s="20"/>
      <c r="B3461" s="20"/>
      <c r="C3461" s="30"/>
      <c r="D3461" s="30"/>
      <c r="E3461" s="30"/>
      <c r="F3461" s="22"/>
      <c r="G3461" s="23"/>
      <c r="H3461" s="23"/>
      <c r="I3461" s="23"/>
      <c r="J3461" s="23"/>
      <c r="K3461" s="23"/>
      <c r="L3461" s="23"/>
      <c r="M3461" s="23"/>
      <c r="N3461" s="23"/>
      <c r="O3461" s="23"/>
      <c r="P3461" s="23"/>
      <c r="Q3461" s="23"/>
      <c r="R3461" s="23"/>
      <c r="S3461" s="23"/>
      <c r="T3461" s="23"/>
      <c r="U3461" s="23"/>
    </row>
    <row r="3462">
      <c r="A3462" s="20"/>
      <c r="B3462" s="20"/>
      <c r="C3462" s="30"/>
      <c r="D3462" s="30"/>
      <c r="E3462" s="30"/>
      <c r="F3462" s="22"/>
      <c r="G3462" s="23"/>
      <c r="H3462" s="23"/>
      <c r="I3462" s="23"/>
      <c r="J3462" s="23"/>
      <c r="K3462" s="23"/>
      <c r="L3462" s="23"/>
      <c r="M3462" s="23"/>
      <c r="N3462" s="23"/>
      <c r="O3462" s="23"/>
      <c r="P3462" s="23"/>
      <c r="Q3462" s="23"/>
      <c r="R3462" s="23"/>
      <c r="S3462" s="23"/>
      <c r="T3462" s="23"/>
      <c r="U3462" s="23"/>
    </row>
    <row r="3463">
      <c r="A3463" s="20"/>
      <c r="B3463" s="20"/>
      <c r="C3463" s="30"/>
      <c r="D3463" s="30"/>
      <c r="E3463" s="30"/>
      <c r="F3463" s="22"/>
      <c r="G3463" s="23"/>
      <c r="H3463" s="23"/>
      <c r="I3463" s="23"/>
      <c r="J3463" s="23"/>
      <c r="K3463" s="23"/>
      <c r="L3463" s="23"/>
      <c r="M3463" s="23"/>
      <c r="N3463" s="23"/>
      <c r="O3463" s="23"/>
      <c r="P3463" s="23"/>
      <c r="Q3463" s="23"/>
      <c r="R3463" s="23"/>
      <c r="S3463" s="23"/>
      <c r="T3463" s="23"/>
      <c r="U3463" s="23"/>
    </row>
    <row r="3464">
      <c r="A3464" s="20"/>
      <c r="B3464" s="20"/>
      <c r="C3464" s="30"/>
      <c r="D3464" s="30"/>
      <c r="E3464" s="30"/>
      <c r="F3464" s="22"/>
      <c r="G3464" s="23"/>
      <c r="H3464" s="23"/>
      <c r="I3464" s="23"/>
      <c r="J3464" s="23"/>
      <c r="K3464" s="23"/>
      <c r="L3464" s="23"/>
      <c r="M3464" s="23"/>
      <c r="N3464" s="23"/>
      <c r="O3464" s="23"/>
      <c r="P3464" s="23"/>
      <c r="Q3464" s="23"/>
      <c r="R3464" s="23"/>
      <c r="S3464" s="23"/>
      <c r="T3464" s="23"/>
      <c r="U3464" s="23"/>
    </row>
    <row r="3465">
      <c r="A3465" s="20"/>
      <c r="B3465" s="20"/>
      <c r="C3465" s="30"/>
      <c r="D3465" s="30"/>
      <c r="E3465" s="30"/>
      <c r="F3465" s="22"/>
      <c r="G3465" s="23"/>
      <c r="H3465" s="23"/>
      <c r="I3465" s="23"/>
      <c r="J3465" s="23"/>
      <c r="K3465" s="23"/>
      <c r="L3465" s="23"/>
      <c r="M3465" s="23"/>
      <c r="N3465" s="23"/>
      <c r="O3465" s="23"/>
      <c r="P3465" s="23"/>
      <c r="Q3465" s="23"/>
      <c r="R3465" s="23"/>
      <c r="S3465" s="23"/>
      <c r="T3465" s="23"/>
      <c r="U3465" s="23"/>
    </row>
    <row r="3466">
      <c r="A3466" s="20"/>
      <c r="B3466" s="20"/>
      <c r="C3466" s="30"/>
      <c r="D3466" s="30"/>
      <c r="E3466" s="30"/>
      <c r="F3466" s="22"/>
      <c r="G3466" s="23"/>
      <c r="H3466" s="23"/>
      <c r="I3466" s="23"/>
      <c r="J3466" s="23"/>
      <c r="K3466" s="23"/>
      <c r="L3466" s="23"/>
      <c r="M3466" s="23"/>
      <c r="N3466" s="23"/>
      <c r="O3466" s="23"/>
      <c r="P3466" s="23"/>
      <c r="Q3466" s="23"/>
      <c r="R3466" s="23"/>
      <c r="S3466" s="23"/>
      <c r="T3466" s="23"/>
      <c r="U3466" s="23"/>
    </row>
    <row r="3467">
      <c r="A3467" s="20"/>
      <c r="B3467" s="20"/>
      <c r="C3467" s="30"/>
      <c r="D3467" s="30"/>
      <c r="E3467" s="30"/>
      <c r="F3467" s="22"/>
      <c r="G3467" s="23"/>
      <c r="H3467" s="23"/>
      <c r="I3467" s="23"/>
      <c r="J3467" s="23"/>
      <c r="K3467" s="23"/>
      <c r="L3467" s="23"/>
      <c r="M3467" s="23"/>
      <c r="N3467" s="23"/>
      <c r="O3467" s="23"/>
      <c r="P3467" s="23"/>
      <c r="Q3467" s="23"/>
      <c r="R3467" s="23"/>
      <c r="S3467" s="23"/>
      <c r="T3467" s="23"/>
      <c r="U3467" s="23"/>
    </row>
    <row r="3468">
      <c r="A3468" s="20"/>
      <c r="B3468" s="20"/>
      <c r="C3468" s="30"/>
      <c r="D3468" s="30"/>
      <c r="E3468" s="30"/>
      <c r="F3468" s="22"/>
      <c r="G3468" s="23"/>
      <c r="H3468" s="23"/>
      <c r="I3468" s="23"/>
      <c r="J3468" s="23"/>
      <c r="K3468" s="23"/>
      <c r="L3468" s="23"/>
      <c r="M3468" s="23"/>
      <c r="N3468" s="23"/>
      <c r="O3468" s="23"/>
      <c r="P3468" s="23"/>
      <c r="Q3468" s="23"/>
      <c r="R3468" s="23"/>
      <c r="S3468" s="23"/>
      <c r="T3468" s="23"/>
      <c r="U3468" s="23"/>
    </row>
    <row r="3469">
      <c r="A3469" s="20"/>
      <c r="B3469" s="20"/>
      <c r="C3469" s="30"/>
      <c r="D3469" s="30"/>
      <c r="E3469" s="30"/>
      <c r="F3469" s="22"/>
      <c r="G3469" s="23"/>
      <c r="H3469" s="23"/>
      <c r="I3469" s="23"/>
      <c r="J3469" s="23"/>
      <c r="K3469" s="23"/>
      <c r="L3469" s="23"/>
      <c r="M3469" s="23"/>
      <c r="N3469" s="23"/>
      <c r="O3469" s="23"/>
      <c r="P3469" s="23"/>
      <c r="Q3469" s="23"/>
      <c r="R3469" s="23"/>
      <c r="S3469" s="23"/>
      <c r="T3469" s="23"/>
      <c r="U3469" s="23"/>
    </row>
    <row r="3470">
      <c r="A3470" s="20"/>
      <c r="B3470" s="20"/>
      <c r="C3470" s="30"/>
      <c r="D3470" s="30"/>
      <c r="E3470" s="30"/>
      <c r="F3470" s="22"/>
      <c r="G3470" s="23"/>
      <c r="H3470" s="23"/>
      <c r="I3470" s="23"/>
      <c r="J3470" s="23"/>
      <c r="K3470" s="23"/>
      <c r="L3470" s="23"/>
      <c r="M3470" s="23"/>
      <c r="N3470" s="23"/>
      <c r="O3470" s="23"/>
      <c r="P3470" s="23"/>
      <c r="Q3470" s="23"/>
      <c r="R3470" s="23"/>
      <c r="S3470" s="23"/>
      <c r="T3470" s="23"/>
      <c r="U3470" s="23"/>
    </row>
    <row r="3471">
      <c r="A3471" s="20"/>
      <c r="B3471" s="20"/>
      <c r="C3471" s="30"/>
      <c r="D3471" s="30"/>
      <c r="E3471" s="30"/>
      <c r="F3471" s="22"/>
      <c r="G3471" s="23"/>
      <c r="H3471" s="23"/>
      <c r="I3471" s="23"/>
      <c r="J3471" s="23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</row>
    <row r="3472">
      <c r="A3472" s="20"/>
      <c r="B3472" s="20"/>
      <c r="C3472" s="30"/>
      <c r="D3472" s="30"/>
      <c r="E3472" s="30"/>
      <c r="F3472" s="22"/>
      <c r="G3472" s="23"/>
      <c r="H3472" s="23"/>
      <c r="I3472" s="23"/>
      <c r="J3472" s="23"/>
      <c r="K3472" s="23"/>
      <c r="L3472" s="23"/>
      <c r="M3472" s="23"/>
      <c r="N3472" s="23"/>
      <c r="O3472" s="23"/>
      <c r="P3472" s="23"/>
      <c r="Q3472" s="23"/>
      <c r="R3472" s="23"/>
      <c r="S3472" s="23"/>
      <c r="T3472" s="23"/>
      <c r="U3472" s="23"/>
    </row>
    <row r="3473">
      <c r="A3473" s="20"/>
      <c r="B3473" s="20"/>
      <c r="C3473" s="30"/>
      <c r="D3473" s="30"/>
      <c r="E3473" s="30"/>
      <c r="F3473" s="22"/>
      <c r="G3473" s="23"/>
      <c r="H3473" s="23"/>
      <c r="I3473" s="23"/>
      <c r="J3473" s="23"/>
      <c r="K3473" s="23"/>
      <c r="L3473" s="23"/>
      <c r="M3473" s="23"/>
      <c r="N3473" s="23"/>
      <c r="O3473" s="23"/>
      <c r="P3473" s="23"/>
      <c r="Q3473" s="23"/>
      <c r="R3473" s="23"/>
      <c r="S3473" s="23"/>
      <c r="T3473" s="23"/>
      <c r="U3473" s="23"/>
    </row>
    <row r="3474">
      <c r="A3474" s="20"/>
      <c r="B3474" s="20"/>
      <c r="C3474" s="30"/>
      <c r="D3474" s="30"/>
      <c r="E3474" s="30"/>
      <c r="F3474" s="22"/>
      <c r="G3474" s="23"/>
      <c r="H3474" s="23"/>
      <c r="I3474" s="23"/>
      <c r="J3474" s="23"/>
      <c r="K3474" s="23"/>
      <c r="L3474" s="23"/>
      <c r="M3474" s="23"/>
      <c r="N3474" s="23"/>
      <c r="O3474" s="23"/>
      <c r="P3474" s="23"/>
      <c r="Q3474" s="23"/>
      <c r="R3474" s="23"/>
      <c r="S3474" s="23"/>
      <c r="T3474" s="23"/>
      <c r="U3474" s="23"/>
    </row>
    <row r="3475">
      <c r="A3475" s="20"/>
      <c r="B3475" s="20"/>
      <c r="C3475" s="30"/>
      <c r="D3475" s="30"/>
      <c r="E3475" s="30"/>
      <c r="F3475" s="22"/>
      <c r="G3475" s="23"/>
      <c r="H3475" s="23"/>
      <c r="I3475" s="23"/>
      <c r="J3475" s="23"/>
      <c r="K3475" s="23"/>
      <c r="L3475" s="23"/>
      <c r="M3475" s="23"/>
      <c r="N3475" s="23"/>
      <c r="O3475" s="23"/>
      <c r="P3475" s="23"/>
      <c r="Q3475" s="23"/>
      <c r="R3475" s="23"/>
      <c r="S3475" s="23"/>
      <c r="T3475" s="23"/>
      <c r="U3475" s="23"/>
    </row>
    <row r="3476">
      <c r="A3476" s="20"/>
      <c r="B3476" s="20"/>
      <c r="C3476" s="30"/>
      <c r="D3476" s="30"/>
      <c r="E3476" s="30"/>
      <c r="F3476" s="22"/>
      <c r="G3476" s="23"/>
      <c r="H3476" s="23"/>
      <c r="I3476" s="23"/>
      <c r="J3476" s="23"/>
      <c r="K3476" s="23"/>
      <c r="L3476" s="23"/>
      <c r="M3476" s="23"/>
      <c r="N3476" s="23"/>
      <c r="O3476" s="23"/>
      <c r="P3476" s="23"/>
      <c r="Q3476" s="23"/>
      <c r="R3476" s="23"/>
      <c r="S3476" s="23"/>
      <c r="T3476" s="23"/>
      <c r="U3476" s="23"/>
    </row>
    <row r="3477">
      <c r="A3477" s="20"/>
      <c r="B3477" s="20"/>
      <c r="C3477" s="30"/>
      <c r="D3477" s="30"/>
      <c r="E3477" s="30"/>
      <c r="F3477" s="22"/>
      <c r="G3477" s="23"/>
      <c r="H3477" s="23"/>
      <c r="I3477" s="23"/>
      <c r="J3477" s="23"/>
      <c r="K3477" s="23"/>
      <c r="L3477" s="23"/>
      <c r="M3477" s="23"/>
      <c r="N3477" s="23"/>
      <c r="O3477" s="23"/>
      <c r="P3477" s="23"/>
      <c r="Q3477" s="23"/>
      <c r="R3477" s="23"/>
      <c r="S3477" s="23"/>
      <c r="T3477" s="23"/>
      <c r="U3477" s="23"/>
    </row>
    <row r="3478">
      <c r="A3478" s="20"/>
      <c r="B3478" s="20"/>
      <c r="C3478" s="30"/>
      <c r="D3478" s="30"/>
      <c r="E3478" s="30"/>
      <c r="F3478" s="22"/>
      <c r="G3478" s="23"/>
      <c r="H3478" s="23"/>
      <c r="I3478" s="23"/>
      <c r="J3478" s="23"/>
      <c r="K3478" s="23"/>
      <c r="L3478" s="23"/>
      <c r="M3478" s="23"/>
      <c r="N3478" s="23"/>
      <c r="O3478" s="23"/>
      <c r="P3478" s="23"/>
      <c r="Q3478" s="23"/>
      <c r="R3478" s="23"/>
      <c r="S3478" s="23"/>
      <c r="T3478" s="23"/>
      <c r="U3478" s="23"/>
    </row>
    <row r="3479">
      <c r="A3479" s="20"/>
      <c r="B3479" s="20"/>
      <c r="C3479" s="30"/>
      <c r="D3479" s="30"/>
      <c r="E3479" s="30"/>
      <c r="F3479" s="22"/>
      <c r="G3479" s="23"/>
      <c r="H3479" s="23"/>
      <c r="I3479" s="23"/>
      <c r="J3479" s="23"/>
      <c r="K3479" s="23"/>
      <c r="L3479" s="23"/>
      <c r="M3479" s="23"/>
      <c r="N3479" s="23"/>
      <c r="O3479" s="23"/>
      <c r="P3479" s="23"/>
      <c r="Q3479" s="23"/>
      <c r="R3479" s="23"/>
      <c r="S3479" s="23"/>
      <c r="T3479" s="23"/>
      <c r="U3479" s="23"/>
    </row>
    <row r="3480">
      <c r="A3480" s="20"/>
      <c r="B3480" s="20"/>
      <c r="C3480" s="30"/>
      <c r="D3480" s="30"/>
      <c r="E3480" s="30"/>
      <c r="F3480" s="22"/>
      <c r="G3480" s="23"/>
      <c r="H3480" s="23"/>
      <c r="I3480" s="23"/>
      <c r="J3480" s="23"/>
      <c r="K3480" s="23"/>
      <c r="L3480" s="23"/>
      <c r="M3480" s="23"/>
      <c r="N3480" s="23"/>
      <c r="O3480" s="23"/>
      <c r="P3480" s="23"/>
      <c r="Q3480" s="23"/>
      <c r="R3480" s="23"/>
      <c r="S3480" s="23"/>
      <c r="T3480" s="23"/>
      <c r="U3480" s="23"/>
    </row>
    <row r="3481">
      <c r="A3481" s="20"/>
      <c r="B3481" s="20"/>
      <c r="C3481" s="30"/>
      <c r="D3481" s="30"/>
      <c r="E3481" s="30"/>
      <c r="F3481" s="22"/>
      <c r="G3481" s="23"/>
      <c r="H3481" s="23"/>
      <c r="I3481" s="23"/>
      <c r="J3481" s="23"/>
      <c r="K3481" s="23"/>
      <c r="L3481" s="23"/>
      <c r="M3481" s="23"/>
      <c r="N3481" s="23"/>
      <c r="O3481" s="23"/>
      <c r="P3481" s="23"/>
      <c r="Q3481" s="23"/>
      <c r="R3481" s="23"/>
      <c r="S3481" s="23"/>
      <c r="T3481" s="23"/>
      <c r="U3481" s="23"/>
    </row>
    <row r="3482">
      <c r="A3482" s="20"/>
      <c r="B3482" s="20"/>
      <c r="C3482" s="30"/>
      <c r="D3482" s="30"/>
      <c r="E3482" s="30"/>
      <c r="F3482" s="22"/>
      <c r="G3482" s="23"/>
      <c r="H3482" s="23"/>
      <c r="I3482" s="23"/>
      <c r="J3482" s="23"/>
      <c r="K3482" s="23"/>
      <c r="L3482" s="23"/>
      <c r="M3482" s="23"/>
      <c r="N3482" s="23"/>
      <c r="O3482" s="23"/>
      <c r="P3482" s="23"/>
      <c r="Q3482" s="23"/>
      <c r="R3482" s="23"/>
      <c r="S3482" s="23"/>
      <c r="T3482" s="23"/>
      <c r="U3482" s="23"/>
    </row>
    <row r="3483">
      <c r="A3483" s="20"/>
      <c r="B3483" s="20"/>
      <c r="C3483" s="30"/>
      <c r="D3483" s="30"/>
      <c r="E3483" s="30"/>
      <c r="F3483" s="22"/>
      <c r="G3483" s="23"/>
      <c r="H3483" s="23"/>
      <c r="I3483" s="23"/>
      <c r="J3483" s="23"/>
      <c r="K3483" s="23"/>
      <c r="L3483" s="23"/>
      <c r="M3483" s="23"/>
      <c r="N3483" s="23"/>
      <c r="O3483" s="23"/>
      <c r="P3483" s="23"/>
      <c r="Q3483" s="23"/>
      <c r="R3483" s="23"/>
      <c r="S3483" s="23"/>
      <c r="T3483" s="23"/>
      <c r="U3483" s="23"/>
    </row>
    <row r="3484">
      <c r="A3484" s="20"/>
      <c r="B3484" s="20"/>
      <c r="C3484" s="30"/>
      <c r="D3484" s="30"/>
      <c r="E3484" s="30"/>
      <c r="F3484" s="22"/>
      <c r="G3484" s="23"/>
      <c r="H3484" s="23"/>
      <c r="I3484" s="23"/>
      <c r="J3484" s="23"/>
      <c r="K3484" s="23"/>
      <c r="L3484" s="23"/>
      <c r="M3484" s="23"/>
      <c r="N3484" s="23"/>
      <c r="O3484" s="23"/>
      <c r="P3484" s="23"/>
      <c r="Q3484" s="23"/>
      <c r="R3484" s="23"/>
      <c r="S3484" s="23"/>
      <c r="T3484" s="23"/>
      <c r="U3484" s="23"/>
    </row>
    <row r="3485">
      <c r="A3485" s="20"/>
      <c r="B3485" s="20"/>
      <c r="C3485" s="30"/>
      <c r="D3485" s="30"/>
      <c r="E3485" s="30"/>
      <c r="F3485" s="22"/>
      <c r="G3485" s="23"/>
      <c r="H3485" s="23"/>
      <c r="I3485" s="23"/>
      <c r="J3485" s="23"/>
      <c r="K3485" s="23"/>
      <c r="L3485" s="23"/>
      <c r="M3485" s="23"/>
      <c r="N3485" s="23"/>
      <c r="O3485" s="23"/>
      <c r="P3485" s="23"/>
      <c r="Q3485" s="23"/>
      <c r="R3485" s="23"/>
      <c r="S3485" s="23"/>
      <c r="T3485" s="23"/>
      <c r="U3485" s="23"/>
    </row>
    <row r="3486">
      <c r="A3486" s="20"/>
      <c r="B3486" s="20"/>
      <c r="C3486" s="30"/>
      <c r="D3486" s="30"/>
      <c r="E3486" s="30"/>
      <c r="F3486" s="22"/>
      <c r="G3486" s="23"/>
      <c r="H3486" s="23"/>
      <c r="I3486" s="23"/>
      <c r="J3486" s="23"/>
      <c r="K3486" s="23"/>
      <c r="L3486" s="23"/>
      <c r="M3486" s="23"/>
      <c r="N3486" s="23"/>
      <c r="O3486" s="23"/>
      <c r="P3486" s="23"/>
      <c r="Q3486" s="23"/>
      <c r="R3486" s="23"/>
      <c r="S3486" s="23"/>
      <c r="T3486" s="23"/>
      <c r="U3486" s="23"/>
    </row>
    <row r="3487">
      <c r="A3487" s="20"/>
      <c r="B3487" s="20"/>
      <c r="C3487" s="30"/>
      <c r="D3487" s="30"/>
      <c r="E3487" s="30"/>
      <c r="F3487" s="22"/>
      <c r="G3487" s="23"/>
      <c r="H3487" s="23"/>
      <c r="I3487" s="23"/>
      <c r="J3487" s="23"/>
      <c r="K3487" s="23"/>
      <c r="L3487" s="23"/>
      <c r="M3487" s="23"/>
      <c r="N3487" s="23"/>
      <c r="O3487" s="23"/>
      <c r="P3487" s="23"/>
      <c r="Q3487" s="23"/>
      <c r="R3487" s="23"/>
      <c r="S3487" s="23"/>
      <c r="T3487" s="23"/>
      <c r="U3487" s="23"/>
    </row>
    <row r="3488">
      <c r="A3488" s="20"/>
      <c r="B3488" s="20"/>
      <c r="C3488" s="30"/>
      <c r="D3488" s="30"/>
      <c r="E3488" s="30"/>
      <c r="F3488" s="22"/>
      <c r="G3488" s="23"/>
      <c r="H3488" s="23"/>
      <c r="I3488" s="23"/>
      <c r="J3488" s="23"/>
      <c r="K3488" s="23"/>
      <c r="L3488" s="23"/>
      <c r="M3488" s="23"/>
      <c r="N3488" s="23"/>
      <c r="O3488" s="23"/>
      <c r="P3488" s="23"/>
      <c r="Q3488" s="23"/>
      <c r="R3488" s="23"/>
      <c r="S3488" s="23"/>
      <c r="T3488" s="23"/>
      <c r="U3488" s="23"/>
    </row>
    <row r="3489">
      <c r="A3489" s="20"/>
      <c r="B3489" s="20"/>
      <c r="C3489" s="30"/>
      <c r="D3489" s="30"/>
      <c r="E3489" s="30"/>
      <c r="F3489" s="22"/>
      <c r="G3489" s="23"/>
      <c r="H3489" s="23"/>
      <c r="I3489" s="23"/>
      <c r="J3489" s="23"/>
      <c r="K3489" s="23"/>
      <c r="L3489" s="23"/>
      <c r="M3489" s="23"/>
      <c r="N3489" s="23"/>
      <c r="O3489" s="23"/>
      <c r="P3489" s="23"/>
      <c r="Q3489" s="23"/>
      <c r="R3489" s="23"/>
      <c r="S3489" s="23"/>
      <c r="T3489" s="23"/>
      <c r="U3489" s="23"/>
    </row>
    <row r="3490">
      <c r="A3490" s="20"/>
      <c r="B3490" s="20"/>
      <c r="C3490" s="30"/>
      <c r="D3490" s="30"/>
      <c r="E3490" s="30"/>
      <c r="F3490" s="22"/>
      <c r="G3490" s="23"/>
      <c r="H3490" s="23"/>
      <c r="I3490" s="23"/>
      <c r="J3490" s="23"/>
      <c r="K3490" s="23"/>
      <c r="L3490" s="23"/>
      <c r="M3490" s="23"/>
      <c r="N3490" s="23"/>
      <c r="O3490" s="23"/>
      <c r="P3490" s="23"/>
      <c r="Q3490" s="23"/>
      <c r="R3490" s="23"/>
      <c r="S3490" s="23"/>
      <c r="T3490" s="23"/>
      <c r="U3490" s="23"/>
    </row>
    <row r="3491">
      <c r="A3491" s="20"/>
      <c r="B3491" s="20"/>
      <c r="C3491" s="30"/>
      <c r="D3491" s="30"/>
      <c r="E3491" s="30"/>
      <c r="F3491" s="22"/>
      <c r="G3491" s="23"/>
      <c r="H3491" s="23"/>
      <c r="I3491" s="23"/>
      <c r="J3491" s="23"/>
      <c r="K3491" s="23"/>
      <c r="L3491" s="23"/>
      <c r="M3491" s="23"/>
      <c r="N3491" s="23"/>
      <c r="O3491" s="23"/>
      <c r="P3491" s="23"/>
      <c r="Q3491" s="23"/>
      <c r="R3491" s="23"/>
      <c r="S3491" s="23"/>
      <c r="T3491" s="23"/>
      <c r="U3491" s="23"/>
    </row>
    <row r="3492">
      <c r="A3492" s="20"/>
      <c r="B3492" s="20"/>
      <c r="C3492" s="30"/>
      <c r="D3492" s="30"/>
      <c r="E3492" s="30"/>
      <c r="F3492" s="22"/>
      <c r="G3492" s="23"/>
      <c r="H3492" s="23"/>
      <c r="I3492" s="23"/>
      <c r="J3492" s="23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</row>
    <row r="3493">
      <c r="A3493" s="20"/>
      <c r="B3493" s="20"/>
      <c r="C3493" s="30"/>
      <c r="D3493" s="30"/>
      <c r="E3493" s="30"/>
      <c r="F3493" s="22"/>
      <c r="G3493" s="23"/>
      <c r="H3493" s="23"/>
      <c r="I3493" s="23"/>
      <c r="J3493" s="23"/>
      <c r="K3493" s="23"/>
      <c r="L3493" s="23"/>
      <c r="M3493" s="23"/>
      <c r="N3493" s="23"/>
      <c r="O3493" s="23"/>
      <c r="P3493" s="23"/>
      <c r="Q3493" s="23"/>
      <c r="R3493" s="23"/>
      <c r="S3493" s="23"/>
      <c r="T3493" s="23"/>
      <c r="U3493" s="23"/>
    </row>
    <row r="3494">
      <c r="A3494" s="20"/>
      <c r="B3494" s="20"/>
      <c r="C3494" s="30"/>
      <c r="D3494" s="30"/>
      <c r="E3494" s="30"/>
      <c r="F3494" s="22"/>
      <c r="G3494" s="23"/>
      <c r="H3494" s="23"/>
      <c r="I3494" s="23"/>
      <c r="J3494" s="23"/>
      <c r="K3494" s="23"/>
      <c r="L3494" s="23"/>
      <c r="M3494" s="23"/>
      <c r="N3494" s="23"/>
      <c r="O3494" s="23"/>
      <c r="P3494" s="23"/>
      <c r="Q3494" s="23"/>
      <c r="R3494" s="23"/>
      <c r="S3494" s="23"/>
      <c r="T3494" s="23"/>
      <c r="U3494" s="23"/>
    </row>
    <row r="3495">
      <c r="A3495" s="20"/>
      <c r="B3495" s="20"/>
      <c r="C3495" s="30"/>
      <c r="D3495" s="30"/>
      <c r="E3495" s="30"/>
      <c r="F3495" s="22"/>
      <c r="G3495" s="23"/>
      <c r="H3495" s="23"/>
      <c r="I3495" s="23"/>
      <c r="J3495" s="23"/>
      <c r="K3495" s="23"/>
      <c r="L3495" s="23"/>
      <c r="M3495" s="23"/>
      <c r="N3495" s="23"/>
      <c r="O3495" s="23"/>
      <c r="P3495" s="23"/>
      <c r="Q3495" s="23"/>
      <c r="R3495" s="23"/>
      <c r="S3495" s="23"/>
      <c r="T3495" s="23"/>
      <c r="U3495" s="23"/>
    </row>
    <row r="3496">
      <c r="A3496" s="20"/>
      <c r="B3496" s="20"/>
      <c r="C3496" s="30"/>
      <c r="D3496" s="30"/>
      <c r="E3496" s="30"/>
      <c r="F3496" s="22"/>
      <c r="G3496" s="23"/>
      <c r="H3496" s="23"/>
      <c r="I3496" s="23"/>
      <c r="J3496" s="23"/>
      <c r="K3496" s="23"/>
      <c r="L3496" s="23"/>
      <c r="M3496" s="23"/>
      <c r="N3496" s="23"/>
      <c r="O3496" s="23"/>
      <c r="P3496" s="23"/>
      <c r="Q3496" s="23"/>
      <c r="R3496" s="23"/>
      <c r="S3496" s="23"/>
      <c r="T3496" s="23"/>
      <c r="U3496" s="23"/>
    </row>
    <row r="3497">
      <c r="A3497" s="20"/>
      <c r="B3497" s="20"/>
      <c r="C3497" s="30"/>
      <c r="D3497" s="30"/>
      <c r="E3497" s="30"/>
      <c r="F3497" s="22"/>
      <c r="G3497" s="23"/>
      <c r="H3497" s="23"/>
      <c r="I3497" s="23"/>
      <c r="J3497" s="23"/>
      <c r="K3497" s="23"/>
      <c r="L3497" s="23"/>
      <c r="M3497" s="23"/>
      <c r="N3497" s="23"/>
      <c r="O3497" s="23"/>
      <c r="P3497" s="23"/>
      <c r="Q3497" s="23"/>
      <c r="R3497" s="23"/>
      <c r="S3497" s="23"/>
      <c r="T3497" s="23"/>
      <c r="U3497" s="23"/>
    </row>
    <row r="3498">
      <c r="A3498" s="20"/>
      <c r="B3498" s="20"/>
      <c r="C3498" s="30"/>
      <c r="D3498" s="30"/>
      <c r="E3498" s="30"/>
      <c r="F3498" s="22"/>
      <c r="G3498" s="23"/>
      <c r="H3498" s="23"/>
      <c r="I3498" s="23"/>
      <c r="J3498" s="23"/>
      <c r="K3498" s="23"/>
      <c r="L3498" s="23"/>
      <c r="M3498" s="23"/>
      <c r="N3498" s="23"/>
      <c r="O3498" s="23"/>
      <c r="P3498" s="23"/>
      <c r="Q3498" s="23"/>
      <c r="R3498" s="23"/>
      <c r="S3498" s="23"/>
      <c r="T3498" s="23"/>
      <c r="U3498" s="23"/>
    </row>
    <row r="3499">
      <c r="A3499" s="20"/>
      <c r="B3499" s="20"/>
      <c r="C3499" s="30"/>
      <c r="D3499" s="30"/>
      <c r="E3499" s="30"/>
      <c r="F3499" s="22"/>
      <c r="G3499" s="23"/>
      <c r="H3499" s="23"/>
      <c r="I3499" s="23"/>
      <c r="J3499" s="23"/>
      <c r="K3499" s="23"/>
      <c r="L3499" s="23"/>
      <c r="M3499" s="23"/>
      <c r="N3499" s="23"/>
      <c r="O3499" s="23"/>
      <c r="P3499" s="23"/>
      <c r="Q3499" s="23"/>
      <c r="R3499" s="23"/>
      <c r="S3499" s="23"/>
      <c r="T3499" s="23"/>
      <c r="U3499" s="23"/>
    </row>
    <row r="3500">
      <c r="A3500" s="20"/>
      <c r="B3500" s="20"/>
      <c r="C3500" s="30"/>
      <c r="D3500" s="30"/>
      <c r="E3500" s="30"/>
      <c r="F3500" s="22"/>
      <c r="G3500" s="23"/>
      <c r="H3500" s="23"/>
      <c r="I3500" s="23"/>
      <c r="J3500" s="23"/>
      <c r="K3500" s="23"/>
      <c r="L3500" s="23"/>
      <c r="M3500" s="23"/>
      <c r="N3500" s="23"/>
      <c r="O3500" s="23"/>
      <c r="P3500" s="23"/>
      <c r="Q3500" s="23"/>
      <c r="R3500" s="23"/>
      <c r="S3500" s="23"/>
      <c r="T3500" s="23"/>
      <c r="U3500" s="23"/>
    </row>
    <row r="3501">
      <c r="A3501" s="20"/>
      <c r="B3501" s="20"/>
      <c r="C3501" s="30"/>
      <c r="D3501" s="30"/>
      <c r="E3501" s="30"/>
      <c r="F3501" s="22"/>
      <c r="G3501" s="23"/>
      <c r="H3501" s="23"/>
      <c r="I3501" s="23"/>
      <c r="J3501" s="23"/>
      <c r="K3501" s="23"/>
      <c r="L3501" s="23"/>
      <c r="M3501" s="23"/>
      <c r="N3501" s="23"/>
      <c r="O3501" s="23"/>
      <c r="P3501" s="23"/>
      <c r="Q3501" s="23"/>
      <c r="R3501" s="23"/>
      <c r="S3501" s="23"/>
      <c r="T3501" s="23"/>
      <c r="U3501" s="23"/>
    </row>
    <row r="3502">
      <c r="A3502" s="20"/>
      <c r="B3502" s="20"/>
      <c r="C3502" s="30"/>
      <c r="D3502" s="30"/>
      <c r="E3502" s="30"/>
      <c r="F3502" s="22"/>
      <c r="G3502" s="23"/>
      <c r="H3502" s="23"/>
      <c r="I3502" s="23"/>
      <c r="J3502" s="23"/>
      <c r="K3502" s="23"/>
      <c r="L3502" s="23"/>
      <c r="M3502" s="23"/>
      <c r="N3502" s="23"/>
      <c r="O3502" s="23"/>
      <c r="P3502" s="23"/>
      <c r="Q3502" s="23"/>
      <c r="R3502" s="23"/>
      <c r="S3502" s="23"/>
      <c r="T3502" s="23"/>
      <c r="U3502" s="23"/>
    </row>
    <row r="3503">
      <c r="A3503" s="20"/>
      <c r="B3503" s="20"/>
      <c r="C3503" s="30"/>
      <c r="D3503" s="30"/>
      <c r="E3503" s="30"/>
      <c r="F3503" s="22"/>
      <c r="G3503" s="23"/>
      <c r="H3503" s="23"/>
      <c r="I3503" s="23"/>
      <c r="J3503" s="23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</row>
    <row r="3504">
      <c r="A3504" s="20"/>
      <c r="B3504" s="20"/>
      <c r="C3504" s="30"/>
      <c r="D3504" s="30"/>
      <c r="E3504" s="30"/>
      <c r="F3504" s="22"/>
      <c r="G3504" s="23"/>
      <c r="H3504" s="23"/>
      <c r="I3504" s="23"/>
      <c r="J3504" s="23"/>
      <c r="K3504" s="23"/>
      <c r="L3504" s="23"/>
      <c r="M3504" s="23"/>
      <c r="N3504" s="23"/>
      <c r="O3504" s="23"/>
      <c r="P3504" s="23"/>
      <c r="Q3504" s="23"/>
      <c r="R3504" s="23"/>
      <c r="S3504" s="23"/>
      <c r="T3504" s="23"/>
      <c r="U3504" s="23"/>
    </row>
    <row r="3505">
      <c r="A3505" s="20"/>
      <c r="B3505" s="20"/>
      <c r="C3505" s="30"/>
      <c r="D3505" s="30"/>
      <c r="E3505" s="30"/>
      <c r="F3505" s="22"/>
      <c r="G3505" s="23"/>
      <c r="H3505" s="23"/>
      <c r="I3505" s="23"/>
      <c r="J3505" s="23"/>
      <c r="K3505" s="23"/>
      <c r="L3505" s="23"/>
      <c r="M3505" s="23"/>
      <c r="N3505" s="23"/>
      <c r="O3505" s="23"/>
      <c r="P3505" s="23"/>
      <c r="Q3505" s="23"/>
      <c r="R3505" s="23"/>
      <c r="S3505" s="23"/>
      <c r="T3505" s="23"/>
      <c r="U3505" s="23"/>
    </row>
    <row r="3506">
      <c r="A3506" s="20"/>
      <c r="B3506" s="20"/>
      <c r="C3506" s="30"/>
      <c r="D3506" s="30"/>
      <c r="E3506" s="30"/>
      <c r="F3506" s="22"/>
      <c r="G3506" s="23"/>
      <c r="H3506" s="23"/>
      <c r="I3506" s="23"/>
      <c r="J3506" s="23"/>
      <c r="K3506" s="23"/>
      <c r="L3506" s="23"/>
      <c r="M3506" s="23"/>
      <c r="N3506" s="23"/>
      <c r="O3506" s="23"/>
      <c r="P3506" s="23"/>
      <c r="Q3506" s="23"/>
      <c r="R3506" s="23"/>
      <c r="S3506" s="23"/>
      <c r="T3506" s="23"/>
      <c r="U3506" s="23"/>
    </row>
    <row r="3507">
      <c r="A3507" s="20"/>
      <c r="B3507" s="20"/>
      <c r="C3507" s="30"/>
      <c r="D3507" s="30"/>
      <c r="E3507" s="30"/>
      <c r="F3507" s="22"/>
      <c r="G3507" s="23"/>
      <c r="H3507" s="23"/>
      <c r="I3507" s="23"/>
      <c r="J3507" s="23"/>
      <c r="K3507" s="23"/>
      <c r="L3507" s="23"/>
      <c r="M3507" s="23"/>
      <c r="N3507" s="23"/>
      <c r="O3507" s="23"/>
      <c r="P3507" s="23"/>
      <c r="Q3507" s="23"/>
      <c r="R3507" s="23"/>
      <c r="S3507" s="23"/>
      <c r="T3507" s="23"/>
      <c r="U3507" s="23"/>
    </row>
    <row r="3508">
      <c r="A3508" s="20"/>
      <c r="B3508" s="20"/>
      <c r="C3508" s="30"/>
      <c r="D3508" s="30"/>
      <c r="E3508" s="30"/>
      <c r="F3508" s="22"/>
      <c r="G3508" s="23"/>
      <c r="H3508" s="23"/>
      <c r="I3508" s="23"/>
      <c r="J3508" s="23"/>
      <c r="K3508" s="23"/>
      <c r="L3508" s="23"/>
      <c r="M3508" s="23"/>
      <c r="N3508" s="23"/>
      <c r="O3508" s="23"/>
      <c r="P3508" s="23"/>
      <c r="Q3508" s="23"/>
      <c r="R3508" s="23"/>
      <c r="S3508" s="23"/>
      <c r="T3508" s="23"/>
      <c r="U3508" s="23"/>
    </row>
    <row r="3509">
      <c r="A3509" s="20"/>
      <c r="B3509" s="20"/>
      <c r="C3509" s="30"/>
      <c r="D3509" s="30"/>
      <c r="E3509" s="30"/>
      <c r="F3509" s="22"/>
      <c r="G3509" s="23"/>
      <c r="H3509" s="23"/>
      <c r="I3509" s="23"/>
      <c r="J3509" s="23"/>
      <c r="K3509" s="23"/>
      <c r="L3509" s="23"/>
      <c r="M3509" s="23"/>
      <c r="N3509" s="23"/>
      <c r="O3509" s="23"/>
      <c r="P3509" s="23"/>
      <c r="Q3509" s="23"/>
      <c r="R3509" s="23"/>
      <c r="S3509" s="23"/>
      <c r="T3509" s="23"/>
      <c r="U3509" s="23"/>
    </row>
    <row r="3510">
      <c r="A3510" s="20"/>
      <c r="B3510" s="20"/>
      <c r="C3510" s="30"/>
      <c r="D3510" s="30"/>
      <c r="E3510" s="30"/>
      <c r="F3510" s="22"/>
      <c r="G3510" s="23"/>
      <c r="H3510" s="23"/>
      <c r="I3510" s="23"/>
      <c r="J3510" s="23"/>
      <c r="K3510" s="23"/>
      <c r="L3510" s="23"/>
      <c r="M3510" s="23"/>
      <c r="N3510" s="23"/>
      <c r="O3510" s="23"/>
      <c r="P3510" s="23"/>
      <c r="Q3510" s="23"/>
      <c r="R3510" s="23"/>
      <c r="S3510" s="23"/>
      <c r="T3510" s="23"/>
      <c r="U3510" s="23"/>
    </row>
    <row r="3511">
      <c r="A3511" s="20"/>
      <c r="B3511" s="20"/>
      <c r="C3511" s="30"/>
      <c r="D3511" s="30"/>
      <c r="E3511" s="30"/>
      <c r="F3511" s="22"/>
      <c r="G3511" s="23"/>
      <c r="H3511" s="23"/>
      <c r="I3511" s="23"/>
      <c r="J3511" s="23"/>
      <c r="K3511" s="23"/>
      <c r="L3511" s="23"/>
      <c r="M3511" s="23"/>
      <c r="N3511" s="23"/>
      <c r="O3511" s="23"/>
      <c r="P3511" s="23"/>
      <c r="Q3511" s="23"/>
      <c r="R3511" s="23"/>
      <c r="S3511" s="23"/>
      <c r="T3511" s="23"/>
      <c r="U3511" s="23"/>
    </row>
    <row r="3512">
      <c r="A3512" s="20"/>
      <c r="B3512" s="20"/>
      <c r="C3512" s="30"/>
      <c r="D3512" s="30"/>
      <c r="E3512" s="30"/>
      <c r="F3512" s="22"/>
      <c r="G3512" s="23"/>
      <c r="H3512" s="23"/>
      <c r="I3512" s="23"/>
      <c r="J3512" s="23"/>
      <c r="K3512" s="23"/>
      <c r="L3512" s="23"/>
      <c r="M3512" s="23"/>
      <c r="N3512" s="23"/>
      <c r="O3512" s="23"/>
      <c r="P3512" s="23"/>
      <c r="Q3512" s="23"/>
      <c r="R3512" s="23"/>
      <c r="S3512" s="23"/>
      <c r="T3512" s="23"/>
      <c r="U3512" s="23"/>
    </row>
    <row r="3513">
      <c r="A3513" s="20"/>
      <c r="B3513" s="20"/>
      <c r="C3513" s="30"/>
      <c r="D3513" s="30"/>
      <c r="E3513" s="30"/>
      <c r="F3513" s="22"/>
      <c r="G3513" s="23"/>
      <c r="H3513" s="23"/>
      <c r="I3513" s="23"/>
      <c r="J3513" s="23"/>
      <c r="K3513" s="23"/>
      <c r="L3513" s="23"/>
      <c r="M3513" s="23"/>
      <c r="N3513" s="23"/>
      <c r="O3513" s="23"/>
      <c r="P3513" s="23"/>
      <c r="Q3513" s="23"/>
      <c r="R3513" s="23"/>
      <c r="S3513" s="23"/>
      <c r="T3513" s="23"/>
      <c r="U3513" s="23"/>
    </row>
    <row r="3514">
      <c r="A3514" s="20"/>
      <c r="B3514" s="20"/>
      <c r="C3514" s="30"/>
      <c r="D3514" s="30"/>
      <c r="E3514" s="30"/>
      <c r="F3514" s="22"/>
      <c r="G3514" s="23"/>
      <c r="H3514" s="23"/>
      <c r="I3514" s="23"/>
      <c r="J3514" s="23"/>
      <c r="K3514" s="23"/>
      <c r="L3514" s="23"/>
      <c r="M3514" s="23"/>
      <c r="N3514" s="23"/>
      <c r="O3514" s="23"/>
      <c r="P3514" s="23"/>
      <c r="Q3514" s="23"/>
      <c r="R3514" s="23"/>
      <c r="S3514" s="23"/>
      <c r="T3514" s="23"/>
      <c r="U3514" s="23"/>
    </row>
    <row r="3515">
      <c r="A3515" s="20"/>
      <c r="B3515" s="20"/>
      <c r="C3515" s="30"/>
      <c r="D3515" s="30"/>
      <c r="E3515" s="30"/>
      <c r="F3515" s="22"/>
      <c r="G3515" s="23"/>
      <c r="H3515" s="23"/>
      <c r="I3515" s="23"/>
      <c r="J3515" s="23"/>
      <c r="K3515" s="23"/>
      <c r="L3515" s="23"/>
      <c r="M3515" s="23"/>
      <c r="N3515" s="23"/>
      <c r="O3515" s="23"/>
      <c r="P3515" s="23"/>
      <c r="Q3515" s="23"/>
      <c r="R3515" s="23"/>
      <c r="S3515" s="23"/>
      <c r="T3515" s="23"/>
      <c r="U3515" s="23"/>
    </row>
    <row r="3516">
      <c r="A3516" s="20"/>
      <c r="B3516" s="20"/>
      <c r="C3516" s="30"/>
      <c r="D3516" s="30"/>
      <c r="E3516" s="30"/>
      <c r="F3516" s="22"/>
      <c r="G3516" s="23"/>
      <c r="H3516" s="23"/>
      <c r="I3516" s="23"/>
      <c r="J3516" s="23"/>
      <c r="K3516" s="23"/>
      <c r="L3516" s="23"/>
      <c r="M3516" s="23"/>
      <c r="N3516" s="23"/>
      <c r="O3516" s="23"/>
      <c r="P3516" s="23"/>
      <c r="Q3516" s="23"/>
      <c r="R3516" s="23"/>
      <c r="S3516" s="23"/>
      <c r="T3516" s="23"/>
      <c r="U3516" s="23"/>
    </row>
    <row r="3517">
      <c r="A3517" s="20"/>
      <c r="B3517" s="20"/>
      <c r="C3517" s="30"/>
      <c r="D3517" s="30"/>
      <c r="E3517" s="30"/>
      <c r="F3517" s="22"/>
      <c r="G3517" s="23"/>
      <c r="H3517" s="23"/>
      <c r="I3517" s="23"/>
      <c r="J3517" s="23"/>
      <c r="K3517" s="23"/>
      <c r="L3517" s="23"/>
      <c r="M3517" s="23"/>
      <c r="N3517" s="23"/>
      <c r="O3517" s="23"/>
      <c r="P3517" s="23"/>
      <c r="Q3517" s="23"/>
      <c r="R3517" s="23"/>
      <c r="S3517" s="23"/>
      <c r="T3517" s="23"/>
      <c r="U3517" s="23"/>
    </row>
    <row r="3518">
      <c r="A3518" s="20"/>
      <c r="B3518" s="20"/>
      <c r="C3518" s="30"/>
      <c r="D3518" s="30"/>
      <c r="E3518" s="30"/>
      <c r="F3518" s="22"/>
      <c r="G3518" s="23"/>
      <c r="H3518" s="23"/>
      <c r="I3518" s="23"/>
      <c r="J3518" s="23"/>
      <c r="K3518" s="23"/>
      <c r="L3518" s="23"/>
      <c r="M3518" s="23"/>
      <c r="N3518" s="23"/>
      <c r="O3518" s="23"/>
      <c r="P3518" s="23"/>
      <c r="Q3518" s="23"/>
      <c r="R3518" s="23"/>
      <c r="S3518" s="23"/>
      <c r="T3518" s="23"/>
      <c r="U3518" s="23"/>
    </row>
    <row r="3519">
      <c r="A3519" s="20"/>
      <c r="B3519" s="20"/>
      <c r="C3519" s="30"/>
      <c r="D3519" s="30"/>
      <c r="E3519" s="30"/>
      <c r="F3519" s="22"/>
      <c r="G3519" s="23"/>
      <c r="H3519" s="23"/>
      <c r="I3519" s="23"/>
      <c r="J3519" s="23"/>
      <c r="K3519" s="23"/>
      <c r="L3519" s="23"/>
      <c r="M3519" s="23"/>
      <c r="N3519" s="23"/>
      <c r="O3519" s="23"/>
      <c r="P3519" s="23"/>
      <c r="Q3519" s="23"/>
      <c r="R3519" s="23"/>
      <c r="S3519" s="23"/>
      <c r="T3519" s="23"/>
      <c r="U3519" s="23"/>
    </row>
    <row r="3520">
      <c r="A3520" s="20"/>
      <c r="B3520" s="20"/>
      <c r="C3520" s="30"/>
      <c r="D3520" s="30"/>
      <c r="E3520" s="30"/>
      <c r="F3520" s="22"/>
      <c r="G3520" s="23"/>
      <c r="H3520" s="23"/>
      <c r="I3520" s="23"/>
      <c r="J3520" s="23"/>
      <c r="K3520" s="23"/>
      <c r="L3520" s="23"/>
      <c r="M3520" s="23"/>
      <c r="N3520" s="23"/>
      <c r="O3520" s="23"/>
      <c r="P3520" s="23"/>
      <c r="Q3520" s="23"/>
      <c r="R3520" s="23"/>
      <c r="S3520" s="23"/>
      <c r="T3520" s="23"/>
      <c r="U3520" s="23"/>
    </row>
    <row r="3521">
      <c r="A3521" s="20"/>
      <c r="B3521" s="20"/>
      <c r="C3521" s="30"/>
      <c r="D3521" s="30"/>
      <c r="E3521" s="30"/>
      <c r="F3521" s="22"/>
      <c r="G3521" s="23"/>
      <c r="H3521" s="23"/>
      <c r="I3521" s="23"/>
      <c r="J3521" s="23"/>
      <c r="K3521" s="23"/>
      <c r="L3521" s="23"/>
      <c r="M3521" s="23"/>
      <c r="N3521" s="23"/>
      <c r="O3521" s="23"/>
      <c r="P3521" s="23"/>
      <c r="Q3521" s="23"/>
      <c r="R3521" s="23"/>
      <c r="S3521" s="23"/>
      <c r="T3521" s="23"/>
      <c r="U3521" s="23"/>
    </row>
    <row r="3522">
      <c r="A3522" s="20"/>
      <c r="B3522" s="20"/>
      <c r="C3522" s="30"/>
      <c r="D3522" s="30"/>
      <c r="E3522" s="30"/>
      <c r="F3522" s="22"/>
      <c r="G3522" s="23"/>
      <c r="H3522" s="23"/>
      <c r="I3522" s="23"/>
      <c r="J3522" s="23"/>
      <c r="K3522" s="23"/>
      <c r="L3522" s="23"/>
      <c r="M3522" s="23"/>
      <c r="N3522" s="23"/>
      <c r="O3522" s="23"/>
      <c r="P3522" s="23"/>
      <c r="Q3522" s="23"/>
      <c r="R3522" s="23"/>
      <c r="S3522" s="23"/>
      <c r="T3522" s="23"/>
      <c r="U3522" s="23"/>
    </row>
    <row r="3523">
      <c r="A3523" s="20"/>
      <c r="B3523" s="20"/>
      <c r="C3523" s="30"/>
      <c r="D3523" s="30"/>
      <c r="E3523" s="30"/>
      <c r="F3523" s="22"/>
      <c r="G3523" s="23"/>
      <c r="H3523" s="23"/>
      <c r="I3523" s="23"/>
      <c r="J3523" s="23"/>
      <c r="K3523" s="23"/>
      <c r="L3523" s="23"/>
      <c r="M3523" s="23"/>
      <c r="N3523" s="23"/>
      <c r="O3523" s="23"/>
      <c r="P3523" s="23"/>
      <c r="Q3523" s="23"/>
      <c r="R3523" s="23"/>
      <c r="S3523" s="23"/>
      <c r="T3523" s="23"/>
      <c r="U3523" s="23"/>
    </row>
    <row r="3524">
      <c r="A3524" s="20"/>
      <c r="B3524" s="20"/>
      <c r="C3524" s="30"/>
      <c r="D3524" s="30"/>
      <c r="E3524" s="30"/>
      <c r="F3524" s="22"/>
      <c r="G3524" s="23"/>
      <c r="H3524" s="23"/>
      <c r="I3524" s="23"/>
      <c r="J3524" s="23"/>
      <c r="K3524" s="23"/>
      <c r="L3524" s="23"/>
      <c r="M3524" s="23"/>
      <c r="N3524" s="23"/>
      <c r="O3524" s="23"/>
      <c r="P3524" s="23"/>
      <c r="Q3524" s="23"/>
      <c r="R3524" s="23"/>
      <c r="S3524" s="23"/>
      <c r="T3524" s="23"/>
      <c r="U3524" s="23"/>
    </row>
    <row r="3525">
      <c r="A3525" s="20"/>
      <c r="B3525" s="20"/>
      <c r="C3525" s="30"/>
      <c r="D3525" s="30"/>
      <c r="E3525" s="30"/>
      <c r="F3525" s="22"/>
      <c r="G3525" s="23"/>
      <c r="H3525" s="23"/>
      <c r="I3525" s="23"/>
      <c r="J3525" s="23"/>
      <c r="K3525" s="23"/>
      <c r="L3525" s="23"/>
      <c r="M3525" s="23"/>
      <c r="N3525" s="23"/>
      <c r="O3525" s="23"/>
      <c r="P3525" s="23"/>
      <c r="Q3525" s="23"/>
      <c r="R3525" s="23"/>
      <c r="S3525" s="23"/>
      <c r="T3525" s="23"/>
      <c r="U3525" s="23"/>
    </row>
    <row r="3526">
      <c r="A3526" s="20"/>
      <c r="B3526" s="20"/>
      <c r="C3526" s="30"/>
      <c r="D3526" s="30"/>
      <c r="E3526" s="30"/>
      <c r="F3526" s="22"/>
      <c r="G3526" s="23"/>
      <c r="H3526" s="23"/>
      <c r="I3526" s="23"/>
      <c r="J3526" s="23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</row>
    <row r="3527">
      <c r="A3527" s="20"/>
      <c r="B3527" s="20"/>
      <c r="C3527" s="30"/>
      <c r="D3527" s="30"/>
      <c r="E3527" s="30"/>
      <c r="F3527" s="22"/>
      <c r="G3527" s="23"/>
      <c r="H3527" s="23"/>
      <c r="I3527" s="23"/>
      <c r="J3527" s="23"/>
      <c r="K3527" s="23"/>
      <c r="L3527" s="23"/>
      <c r="M3527" s="23"/>
      <c r="N3527" s="23"/>
      <c r="O3527" s="23"/>
      <c r="P3527" s="23"/>
      <c r="Q3527" s="23"/>
      <c r="R3527" s="23"/>
      <c r="S3527" s="23"/>
      <c r="T3527" s="23"/>
      <c r="U3527" s="23"/>
    </row>
    <row r="3528">
      <c r="A3528" s="20"/>
      <c r="B3528" s="20"/>
      <c r="C3528" s="30"/>
      <c r="D3528" s="30"/>
      <c r="E3528" s="30"/>
      <c r="F3528" s="22"/>
      <c r="G3528" s="23"/>
      <c r="H3528" s="23"/>
      <c r="I3528" s="23"/>
      <c r="J3528" s="23"/>
      <c r="K3528" s="23"/>
      <c r="L3528" s="23"/>
      <c r="M3528" s="23"/>
      <c r="N3528" s="23"/>
      <c r="O3528" s="23"/>
      <c r="P3528" s="23"/>
      <c r="Q3528" s="23"/>
      <c r="R3528" s="23"/>
      <c r="S3528" s="23"/>
      <c r="T3528" s="23"/>
      <c r="U3528" s="23"/>
    </row>
    <row r="3529">
      <c r="A3529" s="20"/>
      <c r="B3529" s="20"/>
      <c r="C3529" s="30"/>
      <c r="D3529" s="30"/>
      <c r="E3529" s="30"/>
      <c r="F3529" s="22"/>
      <c r="G3529" s="23"/>
      <c r="H3529" s="23"/>
      <c r="I3529" s="23"/>
      <c r="J3529" s="23"/>
      <c r="K3529" s="23"/>
      <c r="L3529" s="23"/>
      <c r="M3529" s="23"/>
      <c r="N3529" s="23"/>
      <c r="O3529" s="23"/>
      <c r="P3529" s="23"/>
      <c r="Q3529" s="23"/>
      <c r="R3529" s="23"/>
      <c r="S3529" s="23"/>
      <c r="T3529" s="23"/>
      <c r="U3529" s="23"/>
    </row>
    <row r="3530">
      <c r="A3530" s="20"/>
      <c r="B3530" s="20"/>
      <c r="C3530" s="30"/>
      <c r="D3530" s="30"/>
      <c r="E3530" s="30"/>
      <c r="F3530" s="22"/>
      <c r="G3530" s="23"/>
      <c r="H3530" s="23"/>
      <c r="I3530" s="23"/>
      <c r="J3530" s="23"/>
      <c r="K3530" s="23"/>
      <c r="L3530" s="23"/>
      <c r="M3530" s="23"/>
      <c r="N3530" s="23"/>
      <c r="O3530" s="23"/>
      <c r="P3530" s="23"/>
      <c r="Q3530" s="23"/>
      <c r="R3530" s="23"/>
      <c r="S3530" s="23"/>
      <c r="T3530" s="23"/>
      <c r="U3530" s="23"/>
    </row>
    <row r="3531">
      <c r="A3531" s="20"/>
      <c r="B3531" s="20"/>
      <c r="C3531" s="30"/>
      <c r="D3531" s="30"/>
      <c r="E3531" s="30"/>
      <c r="F3531" s="22"/>
      <c r="G3531" s="23"/>
      <c r="H3531" s="23"/>
      <c r="I3531" s="23"/>
      <c r="J3531" s="23"/>
      <c r="K3531" s="23"/>
      <c r="L3531" s="23"/>
      <c r="M3531" s="23"/>
      <c r="N3531" s="23"/>
      <c r="O3531" s="23"/>
      <c r="P3531" s="23"/>
      <c r="Q3531" s="23"/>
      <c r="R3531" s="23"/>
      <c r="S3531" s="23"/>
      <c r="T3531" s="23"/>
      <c r="U3531" s="23"/>
    </row>
    <row r="3532">
      <c r="A3532" s="20"/>
      <c r="B3532" s="20"/>
      <c r="C3532" s="30"/>
      <c r="D3532" s="30"/>
      <c r="E3532" s="30"/>
      <c r="F3532" s="22"/>
      <c r="G3532" s="23"/>
      <c r="H3532" s="23"/>
      <c r="I3532" s="23"/>
      <c r="J3532" s="23"/>
      <c r="K3532" s="23"/>
      <c r="L3532" s="23"/>
      <c r="M3532" s="23"/>
      <c r="N3532" s="23"/>
      <c r="O3532" s="23"/>
      <c r="P3532" s="23"/>
      <c r="Q3532" s="23"/>
      <c r="R3532" s="23"/>
      <c r="S3532" s="23"/>
      <c r="T3532" s="23"/>
      <c r="U3532" s="23"/>
    </row>
    <row r="3533">
      <c r="A3533" s="20"/>
      <c r="B3533" s="20"/>
      <c r="C3533" s="30"/>
      <c r="D3533" s="30"/>
      <c r="E3533" s="30"/>
      <c r="F3533" s="22"/>
      <c r="G3533" s="23"/>
      <c r="H3533" s="23"/>
      <c r="I3533" s="23"/>
      <c r="J3533" s="23"/>
      <c r="K3533" s="23"/>
      <c r="L3533" s="23"/>
      <c r="M3533" s="23"/>
      <c r="N3533" s="23"/>
      <c r="O3533" s="23"/>
      <c r="P3533" s="23"/>
      <c r="Q3533" s="23"/>
      <c r="R3533" s="23"/>
      <c r="S3533" s="23"/>
      <c r="T3533" s="23"/>
      <c r="U3533" s="23"/>
    </row>
    <row r="3534">
      <c r="A3534" s="20"/>
      <c r="B3534" s="20"/>
      <c r="C3534" s="30"/>
      <c r="D3534" s="30"/>
      <c r="E3534" s="30"/>
      <c r="F3534" s="22"/>
      <c r="G3534" s="23"/>
      <c r="H3534" s="23"/>
      <c r="I3534" s="23"/>
      <c r="J3534" s="23"/>
      <c r="K3534" s="23"/>
      <c r="L3534" s="23"/>
      <c r="M3534" s="23"/>
      <c r="N3534" s="23"/>
      <c r="O3534" s="23"/>
      <c r="P3534" s="23"/>
      <c r="Q3534" s="23"/>
      <c r="R3534" s="23"/>
      <c r="S3534" s="23"/>
      <c r="T3534" s="23"/>
      <c r="U3534" s="23"/>
    </row>
    <row r="3535">
      <c r="A3535" s="20"/>
      <c r="B3535" s="20"/>
      <c r="C3535" s="30"/>
      <c r="D3535" s="30"/>
      <c r="E3535" s="30"/>
      <c r="F3535" s="22"/>
      <c r="G3535" s="23"/>
      <c r="H3535" s="23"/>
      <c r="I3535" s="23"/>
      <c r="J3535" s="23"/>
      <c r="K3535" s="23"/>
      <c r="L3535" s="23"/>
      <c r="M3535" s="23"/>
      <c r="N3535" s="23"/>
      <c r="O3535" s="23"/>
      <c r="P3535" s="23"/>
      <c r="Q3535" s="23"/>
      <c r="R3535" s="23"/>
      <c r="S3535" s="23"/>
      <c r="T3535" s="23"/>
      <c r="U3535" s="23"/>
    </row>
    <row r="3536">
      <c r="A3536" s="20"/>
      <c r="B3536" s="20"/>
      <c r="C3536" s="30"/>
      <c r="D3536" s="30"/>
      <c r="E3536" s="30"/>
      <c r="F3536" s="22"/>
      <c r="G3536" s="23"/>
      <c r="H3536" s="23"/>
      <c r="I3536" s="23"/>
      <c r="J3536" s="23"/>
      <c r="K3536" s="23"/>
      <c r="L3536" s="23"/>
      <c r="M3536" s="23"/>
      <c r="N3536" s="23"/>
      <c r="O3536" s="23"/>
      <c r="P3536" s="23"/>
      <c r="Q3536" s="23"/>
      <c r="R3536" s="23"/>
      <c r="S3536" s="23"/>
      <c r="T3536" s="23"/>
      <c r="U3536" s="23"/>
    </row>
    <row r="3537">
      <c r="A3537" s="20"/>
      <c r="B3537" s="20"/>
      <c r="C3537" s="30"/>
      <c r="D3537" s="30"/>
      <c r="E3537" s="30"/>
      <c r="F3537" s="22"/>
      <c r="G3537" s="23"/>
      <c r="H3537" s="23"/>
      <c r="I3537" s="23"/>
      <c r="J3537" s="23"/>
      <c r="K3537" s="23"/>
      <c r="L3537" s="23"/>
      <c r="M3537" s="23"/>
      <c r="N3537" s="23"/>
      <c r="O3537" s="23"/>
      <c r="P3537" s="23"/>
      <c r="Q3537" s="23"/>
      <c r="R3537" s="23"/>
      <c r="S3537" s="23"/>
      <c r="T3537" s="23"/>
      <c r="U3537" s="23"/>
    </row>
    <row r="3538">
      <c r="A3538" s="20"/>
      <c r="B3538" s="20"/>
      <c r="C3538" s="30"/>
      <c r="D3538" s="30"/>
      <c r="E3538" s="30"/>
      <c r="F3538" s="22"/>
      <c r="G3538" s="23"/>
      <c r="H3538" s="23"/>
      <c r="I3538" s="23"/>
      <c r="J3538" s="23"/>
      <c r="K3538" s="23"/>
      <c r="L3538" s="23"/>
      <c r="M3538" s="23"/>
      <c r="N3538" s="23"/>
      <c r="O3538" s="23"/>
      <c r="P3538" s="23"/>
      <c r="Q3538" s="23"/>
      <c r="R3538" s="23"/>
      <c r="S3538" s="23"/>
      <c r="T3538" s="23"/>
      <c r="U3538" s="23"/>
    </row>
    <row r="3539">
      <c r="A3539" s="20"/>
      <c r="B3539" s="20"/>
      <c r="C3539" s="30"/>
      <c r="D3539" s="30"/>
      <c r="E3539" s="30"/>
      <c r="F3539" s="22"/>
      <c r="G3539" s="23"/>
      <c r="H3539" s="23"/>
      <c r="I3539" s="23"/>
      <c r="J3539" s="23"/>
      <c r="K3539" s="23"/>
      <c r="L3539" s="23"/>
      <c r="M3539" s="23"/>
      <c r="N3539" s="23"/>
      <c r="O3539" s="23"/>
      <c r="P3539" s="23"/>
      <c r="Q3539" s="23"/>
      <c r="R3539" s="23"/>
      <c r="S3539" s="23"/>
      <c r="T3539" s="23"/>
      <c r="U3539" s="23"/>
    </row>
    <row r="3540">
      <c r="A3540" s="20"/>
      <c r="B3540" s="20"/>
      <c r="C3540" s="30"/>
      <c r="D3540" s="30"/>
      <c r="E3540" s="30"/>
      <c r="F3540" s="22"/>
      <c r="G3540" s="23"/>
      <c r="H3540" s="23"/>
      <c r="I3540" s="23"/>
      <c r="J3540" s="23"/>
      <c r="K3540" s="23"/>
      <c r="L3540" s="23"/>
      <c r="M3540" s="23"/>
      <c r="N3540" s="23"/>
      <c r="O3540" s="23"/>
      <c r="P3540" s="23"/>
      <c r="Q3540" s="23"/>
      <c r="R3540" s="23"/>
      <c r="S3540" s="23"/>
      <c r="T3540" s="23"/>
      <c r="U3540" s="23"/>
    </row>
    <row r="3541">
      <c r="A3541" s="20"/>
      <c r="B3541" s="20"/>
      <c r="C3541" s="30"/>
      <c r="D3541" s="30"/>
      <c r="E3541" s="30"/>
      <c r="F3541" s="22"/>
      <c r="G3541" s="23"/>
      <c r="H3541" s="23"/>
      <c r="I3541" s="23"/>
      <c r="J3541" s="23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</row>
    <row r="3542">
      <c r="A3542" s="20"/>
      <c r="B3542" s="20"/>
      <c r="C3542" s="30"/>
      <c r="D3542" s="30"/>
      <c r="E3542" s="30"/>
      <c r="F3542" s="22"/>
      <c r="G3542" s="23"/>
      <c r="H3542" s="23"/>
      <c r="I3542" s="23"/>
      <c r="J3542" s="23"/>
      <c r="K3542" s="23"/>
      <c r="L3542" s="23"/>
      <c r="M3542" s="23"/>
      <c r="N3542" s="23"/>
      <c r="O3542" s="23"/>
      <c r="P3542" s="23"/>
      <c r="Q3542" s="23"/>
      <c r="R3542" s="23"/>
      <c r="S3542" s="23"/>
      <c r="T3542" s="23"/>
      <c r="U3542" s="23"/>
    </row>
    <row r="3543">
      <c r="A3543" s="20"/>
      <c r="B3543" s="20"/>
      <c r="C3543" s="30"/>
      <c r="D3543" s="30"/>
      <c r="E3543" s="30"/>
      <c r="F3543" s="22"/>
      <c r="G3543" s="23"/>
      <c r="H3543" s="23"/>
      <c r="I3543" s="23"/>
      <c r="J3543" s="23"/>
      <c r="K3543" s="23"/>
      <c r="L3543" s="23"/>
      <c r="M3543" s="23"/>
      <c r="N3543" s="23"/>
      <c r="O3543" s="23"/>
      <c r="P3543" s="23"/>
      <c r="Q3543" s="23"/>
      <c r="R3543" s="23"/>
      <c r="S3543" s="23"/>
      <c r="T3543" s="23"/>
      <c r="U3543" s="23"/>
    </row>
    <row r="3544">
      <c r="A3544" s="20"/>
      <c r="B3544" s="20"/>
      <c r="C3544" s="30"/>
      <c r="D3544" s="30"/>
      <c r="E3544" s="30"/>
      <c r="F3544" s="22"/>
      <c r="G3544" s="23"/>
      <c r="H3544" s="23"/>
      <c r="I3544" s="23"/>
      <c r="J3544" s="23"/>
      <c r="K3544" s="23"/>
      <c r="L3544" s="23"/>
      <c r="M3544" s="23"/>
      <c r="N3544" s="23"/>
      <c r="O3544" s="23"/>
      <c r="P3544" s="23"/>
      <c r="Q3544" s="23"/>
      <c r="R3544" s="23"/>
      <c r="S3544" s="23"/>
      <c r="T3544" s="23"/>
      <c r="U3544" s="23"/>
    </row>
    <row r="3545">
      <c r="A3545" s="20"/>
      <c r="B3545" s="20"/>
      <c r="C3545" s="30"/>
      <c r="D3545" s="30"/>
      <c r="E3545" s="30"/>
      <c r="F3545" s="22"/>
      <c r="G3545" s="23"/>
      <c r="H3545" s="23"/>
      <c r="I3545" s="23"/>
      <c r="J3545" s="23"/>
      <c r="K3545" s="23"/>
      <c r="L3545" s="23"/>
      <c r="M3545" s="23"/>
      <c r="N3545" s="23"/>
      <c r="O3545" s="23"/>
      <c r="P3545" s="23"/>
      <c r="Q3545" s="23"/>
      <c r="R3545" s="23"/>
      <c r="S3545" s="23"/>
      <c r="T3545" s="23"/>
      <c r="U3545" s="23"/>
    </row>
    <row r="3546">
      <c r="A3546" s="20"/>
      <c r="B3546" s="20"/>
      <c r="C3546" s="30"/>
      <c r="D3546" s="30"/>
      <c r="E3546" s="30"/>
      <c r="F3546" s="22"/>
      <c r="G3546" s="23"/>
      <c r="H3546" s="23"/>
      <c r="I3546" s="23"/>
      <c r="J3546" s="23"/>
      <c r="K3546" s="23"/>
      <c r="L3546" s="23"/>
      <c r="M3546" s="23"/>
      <c r="N3546" s="23"/>
      <c r="O3546" s="23"/>
      <c r="P3546" s="23"/>
      <c r="Q3546" s="23"/>
      <c r="R3546" s="23"/>
      <c r="S3546" s="23"/>
      <c r="T3546" s="23"/>
      <c r="U3546" s="23"/>
    </row>
    <row r="3547">
      <c r="A3547" s="20"/>
      <c r="B3547" s="20"/>
      <c r="C3547" s="30"/>
      <c r="D3547" s="30"/>
      <c r="E3547" s="30"/>
      <c r="F3547" s="22"/>
      <c r="G3547" s="23"/>
      <c r="H3547" s="23"/>
      <c r="I3547" s="23"/>
      <c r="J3547" s="23"/>
      <c r="K3547" s="23"/>
      <c r="L3547" s="23"/>
      <c r="M3547" s="23"/>
      <c r="N3547" s="23"/>
      <c r="O3547" s="23"/>
      <c r="P3547" s="23"/>
      <c r="Q3547" s="23"/>
      <c r="R3547" s="23"/>
      <c r="S3547" s="23"/>
      <c r="T3547" s="23"/>
      <c r="U3547" s="23"/>
    </row>
    <row r="3548">
      <c r="A3548" s="20"/>
      <c r="B3548" s="20"/>
      <c r="C3548" s="30"/>
      <c r="D3548" s="30"/>
      <c r="E3548" s="30"/>
      <c r="F3548" s="22"/>
      <c r="G3548" s="23"/>
      <c r="H3548" s="23"/>
      <c r="I3548" s="23"/>
      <c r="J3548" s="23"/>
      <c r="K3548" s="23"/>
      <c r="L3548" s="23"/>
      <c r="M3548" s="23"/>
      <c r="N3548" s="23"/>
      <c r="O3548" s="23"/>
      <c r="P3548" s="23"/>
      <c r="Q3548" s="23"/>
      <c r="R3548" s="23"/>
      <c r="S3548" s="23"/>
      <c r="T3548" s="23"/>
      <c r="U3548" s="23"/>
    </row>
    <row r="3549">
      <c r="A3549" s="20"/>
      <c r="B3549" s="20"/>
      <c r="C3549" s="30"/>
      <c r="D3549" s="30"/>
      <c r="E3549" s="30"/>
      <c r="F3549" s="22"/>
      <c r="G3549" s="23"/>
      <c r="H3549" s="23"/>
      <c r="I3549" s="23"/>
      <c r="J3549" s="23"/>
      <c r="K3549" s="23"/>
      <c r="L3549" s="23"/>
      <c r="M3549" s="23"/>
      <c r="N3549" s="23"/>
      <c r="O3549" s="23"/>
      <c r="P3549" s="23"/>
      <c r="Q3549" s="23"/>
      <c r="R3549" s="23"/>
      <c r="S3549" s="23"/>
      <c r="T3549" s="23"/>
      <c r="U3549" s="23"/>
    </row>
    <row r="3550">
      <c r="A3550" s="20"/>
      <c r="B3550" s="20"/>
      <c r="C3550" s="30"/>
      <c r="D3550" s="30"/>
      <c r="E3550" s="30"/>
      <c r="F3550" s="22"/>
      <c r="G3550" s="23"/>
      <c r="H3550" s="23"/>
      <c r="I3550" s="23"/>
      <c r="J3550" s="23"/>
      <c r="K3550" s="23"/>
      <c r="L3550" s="23"/>
      <c r="M3550" s="23"/>
      <c r="N3550" s="23"/>
      <c r="O3550" s="23"/>
      <c r="P3550" s="23"/>
      <c r="Q3550" s="23"/>
      <c r="R3550" s="23"/>
      <c r="S3550" s="23"/>
      <c r="T3550" s="23"/>
      <c r="U3550" s="23"/>
    </row>
    <row r="3551">
      <c r="A3551" s="20"/>
      <c r="B3551" s="20"/>
      <c r="C3551" s="30"/>
      <c r="D3551" s="30"/>
      <c r="E3551" s="30"/>
      <c r="F3551" s="22"/>
      <c r="G3551" s="23"/>
      <c r="H3551" s="23"/>
      <c r="I3551" s="23"/>
      <c r="J3551" s="23"/>
      <c r="K3551" s="23"/>
      <c r="L3551" s="23"/>
      <c r="M3551" s="23"/>
      <c r="N3551" s="23"/>
      <c r="O3551" s="23"/>
      <c r="P3551" s="23"/>
      <c r="Q3551" s="23"/>
      <c r="R3551" s="23"/>
      <c r="S3551" s="23"/>
      <c r="T3551" s="23"/>
      <c r="U3551" s="23"/>
    </row>
    <row r="3552">
      <c r="A3552" s="20"/>
      <c r="B3552" s="20"/>
      <c r="C3552" s="30"/>
      <c r="D3552" s="30"/>
      <c r="E3552" s="30"/>
      <c r="F3552" s="22"/>
      <c r="G3552" s="23"/>
      <c r="H3552" s="23"/>
      <c r="I3552" s="23"/>
      <c r="J3552" s="23"/>
      <c r="K3552" s="23"/>
      <c r="L3552" s="23"/>
      <c r="M3552" s="23"/>
      <c r="N3552" s="23"/>
      <c r="O3552" s="23"/>
      <c r="P3552" s="23"/>
      <c r="Q3552" s="23"/>
      <c r="R3552" s="23"/>
      <c r="S3552" s="23"/>
      <c r="T3552" s="23"/>
      <c r="U3552" s="23"/>
    </row>
    <row r="3553">
      <c r="A3553" s="20"/>
      <c r="B3553" s="20"/>
      <c r="C3553" s="30"/>
      <c r="D3553" s="30"/>
      <c r="E3553" s="30"/>
      <c r="F3553" s="22"/>
      <c r="G3553" s="23"/>
      <c r="H3553" s="23"/>
      <c r="I3553" s="23"/>
      <c r="J3553" s="23"/>
      <c r="K3553" s="23"/>
      <c r="L3553" s="23"/>
      <c r="M3553" s="23"/>
      <c r="N3553" s="23"/>
      <c r="O3553" s="23"/>
      <c r="P3553" s="23"/>
      <c r="Q3553" s="23"/>
      <c r="R3553" s="23"/>
      <c r="S3553" s="23"/>
      <c r="T3553" s="23"/>
      <c r="U3553" s="23"/>
    </row>
    <row r="3554">
      <c r="A3554" s="20"/>
      <c r="B3554" s="20"/>
      <c r="C3554" s="30"/>
      <c r="D3554" s="30"/>
      <c r="E3554" s="30"/>
      <c r="F3554" s="22"/>
      <c r="G3554" s="23"/>
      <c r="H3554" s="23"/>
      <c r="I3554" s="23"/>
      <c r="J3554" s="23"/>
      <c r="K3554" s="23"/>
      <c r="L3554" s="23"/>
      <c r="M3554" s="23"/>
      <c r="N3554" s="23"/>
      <c r="O3554" s="23"/>
      <c r="P3554" s="23"/>
      <c r="Q3554" s="23"/>
      <c r="R3554" s="23"/>
      <c r="S3554" s="23"/>
      <c r="T3554" s="23"/>
      <c r="U3554" s="23"/>
    </row>
    <row r="3555">
      <c r="A3555" s="20"/>
      <c r="B3555" s="20"/>
      <c r="C3555" s="30"/>
      <c r="D3555" s="30"/>
      <c r="E3555" s="30"/>
      <c r="F3555" s="22"/>
      <c r="G3555" s="23"/>
      <c r="H3555" s="23"/>
      <c r="I3555" s="23"/>
      <c r="J3555" s="23"/>
      <c r="K3555" s="23"/>
      <c r="L3555" s="23"/>
      <c r="M3555" s="23"/>
      <c r="N3555" s="23"/>
      <c r="O3555" s="23"/>
      <c r="P3555" s="23"/>
      <c r="Q3555" s="23"/>
      <c r="R3555" s="23"/>
      <c r="S3555" s="23"/>
      <c r="T3555" s="23"/>
      <c r="U3555" s="23"/>
    </row>
    <row r="3556">
      <c r="A3556" s="20"/>
      <c r="B3556" s="20"/>
      <c r="C3556" s="30"/>
      <c r="D3556" s="30"/>
      <c r="E3556" s="30"/>
      <c r="F3556" s="22"/>
      <c r="G3556" s="23"/>
      <c r="H3556" s="23"/>
      <c r="I3556" s="23"/>
      <c r="J3556" s="23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</row>
    <row r="3557">
      <c r="A3557" s="20"/>
      <c r="B3557" s="20"/>
      <c r="C3557" s="30"/>
      <c r="D3557" s="30"/>
      <c r="E3557" s="30"/>
      <c r="F3557" s="22"/>
      <c r="G3557" s="23"/>
      <c r="H3557" s="23"/>
      <c r="I3557" s="23"/>
      <c r="J3557" s="23"/>
      <c r="K3557" s="23"/>
      <c r="L3557" s="23"/>
      <c r="M3557" s="23"/>
      <c r="N3557" s="23"/>
      <c r="O3557" s="23"/>
      <c r="P3557" s="23"/>
      <c r="Q3557" s="23"/>
      <c r="R3557" s="23"/>
      <c r="S3557" s="23"/>
      <c r="T3557" s="23"/>
      <c r="U3557" s="23"/>
    </row>
    <row r="3558">
      <c r="A3558" s="20"/>
      <c r="B3558" s="20"/>
      <c r="C3558" s="30"/>
      <c r="D3558" s="30"/>
      <c r="E3558" s="30"/>
      <c r="F3558" s="22"/>
      <c r="G3558" s="23"/>
      <c r="H3558" s="23"/>
      <c r="I3558" s="23"/>
      <c r="J3558" s="23"/>
      <c r="K3558" s="23"/>
      <c r="L3558" s="23"/>
      <c r="M3558" s="23"/>
      <c r="N3558" s="23"/>
      <c r="O3558" s="23"/>
      <c r="P3558" s="23"/>
      <c r="Q3558" s="23"/>
      <c r="R3558" s="23"/>
      <c r="S3558" s="23"/>
      <c r="T3558" s="23"/>
      <c r="U3558" s="23"/>
    </row>
    <row r="3559">
      <c r="A3559" s="20"/>
      <c r="B3559" s="20"/>
      <c r="C3559" s="30"/>
      <c r="D3559" s="30"/>
      <c r="E3559" s="30"/>
      <c r="F3559" s="22"/>
      <c r="G3559" s="23"/>
      <c r="H3559" s="23"/>
      <c r="I3559" s="23"/>
      <c r="J3559" s="23"/>
      <c r="K3559" s="23"/>
      <c r="L3559" s="23"/>
      <c r="M3559" s="23"/>
      <c r="N3559" s="23"/>
      <c r="O3559" s="23"/>
      <c r="P3559" s="23"/>
      <c r="Q3559" s="23"/>
      <c r="R3559" s="23"/>
      <c r="S3559" s="23"/>
      <c r="T3559" s="23"/>
      <c r="U3559" s="23"/>
    </row>
    <row r="3560">
      <c r="A3560" s="20"/>
      <c r="B3560" s="20"/>
      <c r="C3560" s="30"/>
      <c r="D3560" s="30"/>
      <c r="E3560" s="30"/>
      <c r="F3560" s="22"/>
      <c r="G3560" s="23"/>
      <c r="H3560" s="23"/>
      <c r="I3560" s="23"/>
      <c r="J3560" s="23"/>
      <c r="K3560" s="23"/>
      <c r="L3560" s="23"/>
      <c r="M3560" s="23"/>
      <c r="N3560" s="23"/>
      <c r="O3560" s="23"/>
      <c r="P3560" s="23"/>
      <c r="Q3560" s="23"/>
      <c r="R3560" s="23"/>
      <c r="S3560" s="23"/>
      <c r="T3560" s="23"/>
      <c r="U3560" s="23"/>
    </row>
    <row r="3561">
      <c r="A3561" s="20"/>
      <c r="B3561" s="20"/>
      <c r="C3561" s="30"/>
      <c r="D3561" s="30"/>
      <c r="E3561" s="30"/>
      <c r="F3561" s="22"/>
      <c r="G3561" s="23"/>
      <c r="H3561" s="23"/>
      <c r="I3561" s="23"/>
      <c r="J3561" s="23"/>
      <c r="K3561" s="23"/>
      <c r="L3561" s="23"/>
      <c r="M3561" s="23"/>
      <c r="N3561" s="23"/>
      <c r="O3561" s="23"/>
      <c r="P3561" s="23"/>
      <c r="Q3561" s="23"/>
      <c r="R3561" s="23"/>
      <c r="S3561" s="23"/>
      <c r="T3561" s="23"/>
      <c r="U3561" s="23"/>
    </row>
    <row r="3562">
      <c r="A3562" s="20"/>
      <c r="B3562" s="20"/>
      <c r="C3562" s="30"/>
      <c r="D3562" s="30"/>
      <c r="E3562" s="30"/>
      <c r="F3562" s="22"/>
      <c r="G3562" s="23"/>
      <c r="H3562" s="23"/>
      <c r="I3562" s="23"/>
      <c r="J3562" s="23"/>
      <c r="K3562" s="23"/>
      <c r="L3562" s="23"/>
      <c r="M3562" s="23"/>
      <c r="N3562" s="23"/>
      <c r="O3562" s="23"/>
      <c r="P3562" s="23"/>
      <c r="Q3562" s="23"/>
      <c r="R3562" s="23"/>
      <c r="S3562" s="23"/>
      <c r="T3562" s="23"/>
      <c r="U3562" s="23"/>
    </row>
    <row r="3563">
      <c r="A3563" s="20"/>
      <c r="B3563" s="20"/>
      <c r="C3563" s="30"/>
      <c r="D3563" s="30"/>
      <c r="E3563" s="30"/>
      <c r="F3563" s="22"/>
      <c r="G3563" s="23"/>
      <c r="H3563" s="23"/>
      <c r="I3563" s="23"/>
      <c r="J3563" s="23"/>
      <c r="K3563" s="23"/>
      <c r="L3563" s="23"/>
      <c r="M3563" s="23"/>
      <c r="N3563" s="23"/>
      <c r="O3563" s="23"/>
      <c r="P3563" s="23"/>
      <c r="Q3563" s="23"/>
      <c r="R3563" s="23"/>
      <c r="S3563" s="23"/>
      <c r="T3563" s="23"/>
      <c r="U3563" s="23"/>
    </row>
    <row r="3564">
      <c r="A3564" s="20"/>
      <c r="B3564" s="20"/>
      <c r="C3564" s="30"/>
      <c r="D3564" s="30"/>
      <c r="E3564" s="30"/>
      <c r="F3564" s="22"/>
      <c r="G3564" s="23"/>
      <c r="H3564" s="23"/>
      <c r="I3564" s="23"/>
      <c r="J3564" s="23"/>
      <c r="K3564" s="23"/>
      <c r="L3564" s="23"/>
      <c r="M3564" s="23"/>
      <c r="N3564" s="23"/>
      <c r="O3564" s="23"/>
      <c r="P3564" s="23"/>
      <c r="Q3564" s="23"/>
      <c r="R3564" s="23"/>
      <c r="S3564" s="23"/>
      <c r="T3564" s="23"/>
      <c r="U3564" s="23"/>
    </row>
    <row r="3565">
      <c r="A3565" s="20"/>
      <c r="B3565" s="20"/>
      <c r="C3565" s="30"/>
      <c r="D3565" s="30"/>
      <c r="E3565" s="30"/>
      <c r="F3565" s="22"/>
      <c r="G3565" s="23"/>
      <c r="H3565" s="23"/>
      <c r="I3565" s="23"/>
      <c r="J3565" s="23"/>
      <c r="K3565" s="23"/>
      <c r="L3565" s="23"/>
      <c r="M3565" s="23"/>
      <c r="N3565" s="23"/>
      <c r="O3565" s="23"/>
      <c r="P3565" s="23"/>
      <c r="Q3565" s="23"/>
      <c r="R3565" s="23"/>
      <c r="S3565" s="23"/>
      <c r="T3565" s="23"/>
      <c r="U3565" s="23"/>
    </row>
    <row r="3566">
      <c r="A3566" s="20"/>
      <c r="B3566" s="20"/>
      <c r="C3566" s="30"/>
      <c r="D3566" s="30"/>
      <c r="E3566" s="30"/>
      <c r="F3566" s="22"/>
      <c r="G3566" s="23"/>
      <c r="H3566" s="23"/>
      <c r="I3566" s="23"/>
      <c r="J3566" s="23"/>
      <c r="K3566" s="23"/>
      <c r="L3566" s="23"/>
      <c r="M3566" s="23"/>
      <c r="N3566" s="23"/>
      <c r="O3566" s="23"/>
      <c r="P3566" s="23"/>
      <c r="Q3566" s="23"/>
      <c r="R3566" s="23"/>
      <c r="S3566" s="23"/>
      <c r="T3566" s="23"/>
      <c r="U3566" s="23"/>
    </row>
    <row r="3567">
      <c r="A3567" s="20"/>
      <c r="B3567" s="20"/>
      <c r="C3567" s="30"/>
      <c r="D3567" s="30"/>
      <c r="E3567" s="30"/>
      <c r="F3567" s="22"/>
      <c r="G3567" s="23"/>
      <c r="H3567" s="23"/>
      <c r="I3567" s="23"/>
      <c r="J3567" s="23"/>
      <c r="K3567" s="23"/>
      <c r="L3567" s="23"/>
      <c r="M3567" s="23"/>
      <c r="N3567" s="23"/>
      <c r="O3567" s="23"/>
      <c r="P3567" s="23"/>
      <c r="Q3567" s="23"/>
      <c r="R3567" s="23"/>
      <c r="S3567" s="23"/>
      <c r="T3567" s="23"/>
      <c r="U3567" s="23"/>
    </row>
    <row r="3568">
      <c r="A3568" s="20"/>
      <c r="B3568" s="20"/>
      <c r="C3568" s="30"/>
      <c r="D3568" s="30"/>
      <c r="E3568" s="30"/>
      <c r="F3568" s="22"/>
      <c r="G3568" s="23"/>
      <c r="H3568" s="23"/>
      <c r="I3568" s="23"/>
      <c r="J3568" s="23"/>
      <c r="K3568" s="23"/>
      <c r="L3568" s="23"/>
      <c r="M3568" s="23"/>
      <c r="N3568" s="23"/>
      <c r="O3568" s="23"/>
      <c r="P3568" s="23"/>
      <c r="Q3568" s="23"/>
      <c r="R3568" s="23"/>
      <c r="S3568" s="23"/>
      <c r="T3568" s="23"/>
      <c r="U3568" s="23"/>
    </row>
    <row r="3569">
      <c r="A3569" s="20"/>
      <c r="B3569" s="20"/>
      <c r="C3569" s="30"/>
      <c r="D3569" s="30"/>
      <c r="E3569" s="30"/>
      <c r="F3569" s="22"/>
      <c r="G3569" s="23"/>
      <c r="H3569" s="23"/>
      <c r="I3569" s="23"/>
      <c r="J3569" s="23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</row>
    <row r="3570">
      <c r="A3570" s="20"/>
      <c r="B3570" s="20"/>
      <c r="C3570" s="30"/>
      <c r="D3570" s="30"/>
      <c r="E3570" s="30"/>
      <c r="F3570" s="22"/>
      <c r="G3570" s="23"/>
      <c r="H3570" s="23"/>
      <c r="I3570" s="23"/>
      <c r="J3570" s="23"/>
      <c r="K3570" s="23"/>
      <c r="L3570" s="23"/>
      <c r="M3570" s="23"/>
      <c r="N3570" s="23"/>
      <c r="O3570" s="23"/>
      <c r="P3570" s="23"/>
      <c r="Q3570" s="23"/>
      <c r="R3570" s="23"/>
      <c r="S3570" s="23"/>
      <c r="T3570" s="23"/>
      <c r="U3570" s="23"/>
    </row>
    <row r="3571">
      <c r="A3571" s="20"/>
      <c r="B3571" s="20"/>
      <c r="C3571" s="30"/>
      <c r="D3571" s="30"/>
      <c r="E3571" s="30"/>
      <c r="F3571" s="22"/>
      <c r="G3571" s="23"/>
      <c r="H3571" s="23"/>
      <c r="I3571" s="23"/>
      <c r="J3571" s="23"/>
      <c r="K3571" s="23"/>
      <c r="L3571" s="23"/>
      <c r="M3571" s="23"/>
      <c r="N3571" s="23"/>
      <c r="O3571" s="23"/>
      <c r="P3571" s="23"/>
      <c r="Q3571" s="23"/>
      <c r="R3571" s="23"/>
      <c r="S3571" s="23"/>
      <c r="T3571" s="23"/>
      <c r="U3571" s="23"/>
    </row>
    <row r="3572">
      <c r="A3572" s="20"/>
      <c r="B3572" s="20"/>
      <c r="C3572" s="30"/>
      <c r="D3572" s="30"/>
      <c r="E3572" s="30"/>
      <c r="F3572" s="22"/>
      <c r="G3572" s="23"/>
      <c r="H3572" s="23"/>
      <c r="I3572" s="23"/>
      <c r="J3572" s="23"/>
      <c r="K3572" s="23"/>
      <c r="L3572" s="23"/>
      <c r="M3572" s="23"/>
      <c r="N3572" s="23"/>
      <c r="O3572" s="23"/>
      <c r="P3572" s="23"/>
      <c r="Q3572" s="23"/>
      <c r="R3572" s="23"/>
      <c r="S3572" s="23"/>
      <c r="T3572" s="23"/>
      <c r="U3572" s="23"/>
    </row>
    <row r="3573">
      <c r="A3573" s="20"/>
      <c r="B3573" s="20"/>
      <c r="C3573" s="30"/>
      <c r="D3573" s="30"/>
      <c r="E3573" s="30"/>
      <c r="F3573" s="22"/>
      <c r="G3573" s="23"/>
      <c r="H3573" s="23"/>
      <c r="I3573" s="23"/>
      <c r="J3573" s="23"/>
      <c r="K3573" s="23"/>
      <c r="L3573" s="23"/>
      <c r="M3573" s="23"/>
      <c r="N3573" s="23"/>
      <c r="O3573" s="23"/>
      <c r="P3573" s="23"/>
      <c r="Q3573" s="23"/>
      <c r="R3573" s="23"/>
      <c r="S3573" s="23"/>
      <c r="T3573" s="23"/>
      <c r="U3573" s="23"/>
    </row>
    <row r="3574">
      <c r="A3574" s="20"/>
      <c r="B3574" s="20"/>
      <c r="C3574" s="30"/>
      <c r="D3574" s="30"/>
      <c r="E3574" s="30"/>
      <c r="F3574" s="22"/>
      <c r="G3574" s="23"/>
      <c r="H3574" s="23"/>
      <c r="I3574" s="23"/>
      <c r="J3574" s="23"/>
      <c r="K3574" s="23"/>
      <c r="L3574" s="23"/>
      <c r="M3574" s="23"/>
      <c r="N3574" s="23"/>
      <c r="O3574" s="23"/>
      <c r="P3574" s="23"/>
      <c r="Q3574" s="23"/>
      <c r="R3574" s="23"/>
      <c r="S3574" s="23"/>
      <c r="T3574" s="23"/>
      <c r="U3574" s="23"/>
    </row>
    <row r="3575">
      <c r="A3575" s="20"/>
      <c r="B3575" s="20"/>
      <c r="C3575" s="30"/>
      <c r="D3575" s="30"/>
      <c r="E3575" s="30"/>
      <c r="F3575" s="22"/>
      <c r="G3575" s="23"/>
      <c r="H3575" s="23"/>
      <c r="I3575" s="23"/>
      <c r="J3575" s="23"/>
      <c r="K3575" s="23"/>
      <c r="L3575" s="23"/>
      <c r="M3575" s="23"/>
      <c r="N3575" s="23"/>
      <c r="O3575" s="23"/>
      <c r="P3575" s="23"/>
      <c r="Q3575" s="23"/>
      <c r="R3575" s="23"/>
      <c r="S3575" s="23"/>
      <c r="T3575" s="23"/>
      <c r="U3575" s="23"/>
    </row>
    <row r="3576">
      <c r="A3576" s="20"/>
      <c r="B3576" s="20"/>
      <c r="C3576" s="30"/>
      <c r="D3576" s="30"/>
      <c r="E3576" s="30"/>
      <c r="F3576" s="22"/>
      <c r="G3576" s="23"/>
      <c r="H3576" s="23"/>
      <c r="I3576" s="23"/>
      <c r="J3576" s="23"/>
      <c r="K3576" s="23"/>
      <c r="L3576" s="23"/>
      <c r="M3576" s="23"/>
      <c r="N3576" s="23"/>
      <c r="O3576" s="23"/>
      <c r="P3576" s="23"/>
      <c r="Q3576" s="23"/>
      <c r="R3576" s="23"/>
      <c r="S3576" s="23"/>
      <c r="T3576" s="23"/>
      <c r="U3576" s="23"/>
    </row>
    <row r="3577">
      <c r="A3577" s="20"/>
      <c r="B3577" s="20"/>
      <c r="C3577" s="30"/>
      <c r="D3577" s="30"/>
      <c r="E3577" s="30"/>
      <c r="F3577" s="22"/>
      <c r="G3577" s="23"/>
      <c r="H3577" s="23"/>
      <c r="I3577" s="23"/>
      <c r="J3577" s="23"/>
      <c r="K3577" s="23"/>
      <c r="L3577" s="23"/>
      <c r="M3577" s="23"/>
      <c r="N3577" s="23"/>
      <c r="O3577" s="23"/>
      <c r="P3577" s="23"/>
      <c r="Q3577" s="23"/>
      <c r="R3577" s="23"/>
      <c r="S3577" s="23"/>
      <c r="T3577" s="23"/>
      <c r="U3577" s="23"/>
    </row>
    <row r="3578">
      <c r="A3578" s="20"/>
      <c r="B3578" s="20"/>
      <c r="C3578" s="30"/>
      <c r="D3578" s="30"/>
      <c r="E3578" s="30"/>
      <c r="F3578" s="22"/>
      <c r="G3578" s="23"/>
      <c r="H3578" s="23"/>
      <c r="I3578" s="23"/>
      <c r="J3578" s="23"/>
      <c r="K3578" s="23"/>
      <c r="L3578" s="23"/>
      <c r="M3578" s="23"/>
      <c r="N3578" s="23"/>
      <c r="O3578" s="23"/>
      <c r="P3578" s="23"/>
      <c r="Q3578" s="23"/>
      <c r="R3578" s="23"/>
      <c r="S3578" s="23"/>
      <c r="T3578" s="23"/>
      <c r="U3578" s="23"/>
    </row>
    <row r="3579">
      <c r="A3579" s="20"/>
      <c r="B3579" s="20"/>
      <c r="C3579" s="30"/>
      <c r="D3579" s="30"/>
      <c r="E3579" s="30"/>
      <c r="F3579" s="22"/>
      <c r="G3579" s="23"/>
      <c r="H3579" s="23"/>
      <c r="I3579" s="23"/>
      <c r="J3579" s="23"/>
      <c r="K3579" s="23"/>
      <c r="L3579" s="23"/>
      <c r="M3579" s="23"/>
      <c r="N3579" s="23"/>
      <c r="O3579" s="23"/>
      <c r="P3579" s="23"/>
      <c r="Q3579" s="23"/>
      <c r="R3579" s="23"/>
      <c r="S3579" s="23"/>
      <c r="T3579" s="23"/>
      <c r="U3579" s="23"/>
    </row>
    <row r="3580">
      <c r="A3580" s="20"/>
      <c r="B3580" s="20"/>
      <c r="C3580" s="30"/>
      <c r="D3580" s="30"/>
      <c r="E3580" s="30"/>
      <c r="F3580" s="22"/>
      <c r="G3580" s="23"/>
      <c r="H3580" s="23"/>
      <c r="I3580" s="23"/>
      <c r="J3580" s="23"/>
      <c r="K3580" s="23"/>
      <c r="L3580" s="23"/>
      <c r="M3580" s="23"/>
      <c r="N3580" s="23"/>
      <c r="O3580" s="23"/>
      <c r="P3580" s="23"/>
      <c r="Q3580" s="23"/>
      <c r="R3580" s="23"/>
      <c r="S3580" s="23"/>
      <c r="T3580" s="23"/>
      <c r="U3580" s="23"/>
    </row>
    <row r="3581">
      <c r="A3581" s="20"/>
      <c r="B3581" s="20"/>
      <c r="C3581" s="30"/>
      <c r="D3581" s="30"/>
      <c r="E3581" s="30"/>
      <c r="F3581" s="22"/>
      <c r="G3581" s="23"/>
      <c r="H3581" s="23"/>
      <c r="I3581" s="23"/>
      <c r="J3581" s="23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</row>
    <row r="3582">
      <c r="A3582" s="20"/>
      <c r="B3582" s="20"/>
      <c r="C3582" s="30"/>
      <c r="D3582" s="30"/>
      <c r="E3582" s="30"/>
      <c r="F3582" s="22"/>
      <c r="G3582" s="23"/>
      <c r="H3582" s="23"/>
      <c r="I3582" s="23"/>
      <c r="J3582" s="23"/>
      <c r="K3582" s="23"/>
      <c r="L3582" s="23"/>
      <c r="M3582" s="23"/>
      <c r="N3582" s="23"/>
      <c r="O3582" s="23"/>
      <c r="P3582" s="23"/>
      <c r="Q3582" s="23"/>
      <c r="R3582" s="23"/>
      <c r="S3582" s="23"/>
      <c r="T3582" s="23"/>
      <c r="U3582" s="23"/>
    </row>
    <row r="3583">
      <c r="A3583" s="20"/>
      <c r="B3583" s="20"/>
      <c r="C3583" s="30"/>
      <c r="D3583" s="30"/>
      <c r="E3583" s="30"/>
      <c r="F3583" s="22"/>
      <c r="G3583" s="23"/>
      <c r="H3583" s="23"/>
      <c r="I3583" s="23"/>
      <c r="J3583" s="23"/>
      <c r="K3583" s="23"/>
      <c r="L3583" s="23"/>
      <c r="M3583" s="23"/>
      <c r="N3583" s="23"/>
      <c r="O3583" s="23"/>
      <c r="P3583" s="23"/>
      <c r="Q3583" s="23"/>
      <c r="R3583" s="23"/>
      <c r="S3583" s="23"/>
      <c r="T3583" s="23"/>
      <c r="U3583" s="23"/>
    </row>
    <row r="3584">
      <c r="A3584" s="20"/>
      <c r="B3584" s="20"/>
      <c r="C3584" s="30"/>
      <c r="D3584" s="30"/>
      <c r="E3584" s="30"/>
      <c r="F3584" s="22"/>
      <c r="G3584" s="23"/>
      <c r="H3584" s="23"/>
      <c r="I3584" s="23"/>
      <c r="J3584" s="23"/>
      <c r="K3584" s="23"/>
      <c r="L3584" s="23"/>
      <c r="M3584" s="23"/>
      <c r="N3584" s="23"/>
      <c r="O3584" s="23"/>
      <c r="P3584" s="23"/>
      <c r="Q3584" s="23"/>
      <c r="R3584" s="23"/>
      <c r="S3584" s="23"/>
      <c r="T3584" s="23"/>
      <c r="U3584" s="23"/>
    </row>
    <row r="3585">
      <c r="A3585" s="20"/>
      <c r="B3585" s="20"/>
      <c r="C3585" s="30"/>
      <c r="D3585" s="30"/>
      <c r="E3585" s="30"/>
      <c r="F3585" s="22"/>
      <c r="G3585" s="23"/>
      <c r="H3585" s="23"/>
      <c r="I3585" s="23"/>
      <c r="J3585" s="23"/>
      <c r="K3585" s="23"/>
      <c r="L3585" s="23"/>
      <c r="M3585" s="23"/>
      <c r="N3585" s="23"/>
      <c r="O3585" s="23"/>
      <c r="P3585" s="23"/>
      <c r="Q3585" s="23"/>
      <c r="R3585" s="23"/>
      <c r="S3585" s="23"/>
      <c r="T3585" s="23"/>
      <c r="U3585" s="23"/>
    </row>
    <row r="3586">
      <c r="A3586" s="20"/>
      <c r="B3586" s="20"/>
      <c r="C3586" s="30"/>
      <c r="D3586" s="30"/>
      <c r="E3586" s="30"/>
      <c r="F3586" s="22"/>
      <c r="G3586" s="23"/>
      <c r="H3586" s="23"/>
      <c r="I3586" s="23"/>
      <c r="J3586" s="23"/>
      <c r="K3586" s="23"/>
      <c r="L3586" s="23"/>
      <c r="M3586" s="23"/>
      <c r="N3586" s="23"/>
      <c r="O3586" s="23"/>
      <c r="P3586" s="23"/>
      <c r="Q3586" s="23"/>
      <c r="R3586" s="23"/>
      <c r="S3586" s="23"/>
      <c r="T3586" s="23"/>
      <c r="U3586" s="23"/>
    </row>
    <row r="3587">
      <c r="A3587" s="20"/>
      <c r="B3587" s="20"/>
      <c r="C3587" s="30"/>
      <c r="D3587" s="30"/>
      <c r="E3587" s="30"/>
      <c r="F3587" s="22"/>
      <c r="G3587" s="23"/>
      <c r="H3587" s="23"/>
      <c r="I3587" s="23"/>
      <c r="J3587" s="23"/>
      <c r="K3587" s="23"/>
      <c r="L3587" s="23"/>
      <c r="M3587" s="23"/>
      <c r="N3587" s="23"/>
      <c r="O3587" s="23"/>
      <c r="P3587" s="23"/>
      <c r="Q3587" s="23"/>
      <c r="R3587" s="23"/>
      <c r="S3587" s="23"/>
      <c r="T3587" s="23"/>
      <c r="U3587" s="23"/>
    </row>
    <row r="3588">
      <c r="A3588" s="20"/>
      <c r="B3588" s="20"/>
      <c r="C3588" s="30"/>
      <c r="D3588" s="30"/>
      <c r="E3588" s="30"/>
      <c r="F3588" s="22"/>
      <c r="G3588" s="23"/>
      <c r="H3588" s="23"/>
      <c r="I3588" s="23"/>
      <c r="J3588" s="23"/>
      <c r="K3588" s="23"/>
      <c r="L3588" s="23"/>
      <c r="M3588" s="23"/>
      <c r="N3588" s="23"/>
      <c r="O3588" s="23"/>
      <c r="P3588" s="23"/>
      <c r="Q3588" s="23"/>
      <c r="R3588" s="23"/>
      <c r="S3588" s="23"/>
      <c r="T3588" s="23"/>
      <c r="U3588" s="23"/>
    </row>
    <row r="3589">
      <c r="A3589" s="20"/>
      <c r="B3589" s="20"/>
      <c r="C3589" s="30"/>
      <c r="D3589" s="30"/>
      <c r="E3589" s="30"/>
      <c r="F3589" s="22"/>
      <c r="G3589" s="23"/>
      <c r="H3589" s="23"/>
      <c r="I3589" s="23"/>
      <c r="J3589" s="23"/>
      <c r="K3589" s="23"/>
      <c r="L3589" s="23"/>
      <c r="M3589" s="23"/>
      <c r="N3589" s="23"/>
      <c r="O3589" s="23"/>
      <c r="P3589" s="23"/>
      <c r="Q3589" s="23"/>
      <c r="R3589" s="23"/>
      <c r="S3589" s="23"/>
      <c r="T3589" s="23"/>
      <c r="U3589" s="23"/>
    </row>
    <row r="3590">
      <c r="A3590" s="20"/>
      <c r="B3590" s="20"/>
      <c r="C3590" s="30"/>
      <c r="D3590" s="30"/>
      <c r="E3590" s="30"/>
      <c r="F3590" s="22"/>
      <c r="G3590" s="23"/>
      <c r="H3590" s="23"/>
      <c r="I3590" s="23"/>
      <c r="J3590" s="23"/>
      <c r="K3590" s="23"/>
      <c r="L3590" s="23"/>
      <c r="M3590" s="23"/>
      <c r="N3590" s="23"/>
      <c r="O3590" s="23"/>
      <c r="P3590" s="23"/>
      <c r="Q3590" s="23"/>
      <c r="R3590" s="23"/>
      <c r="S3590" s="23"/>
      <c r="T3590" s="23"/>
      <c r="U3590" s="23"/>
    </row>
    <row r="3591">
      <c r="A3591" s="20"/>
      <c r="B3591" s="20"/>
      <c r="C3591" s="30"/>
      <c r="D3591" s="30"/>
      <c r="E3591" s="30"/>
      <c r="F3591" s="22"/>
      <c r="G3591" s="23"/>
      <c r="H3591" s="23"/>
      <c r="I3591" s="23"/>
      <c r="J3591" s="23"/>
      <c r="K3591" s="23"/>
      <c r="L3591" s="23"/>
      <c r="M3591" s="23"/>
      <c r="N3591" s="23"/>
      <c r="O3591" s="23"/>
      <c r="P3591" s="23"/>
      <c r="Q3591" s="23"/>
      <c r="R3591" s="23"/>
      <c r="S3591" s="23"/>
      <c r="T3591" s="23"/>
      <c r="U3591" s="23"/>
    </row>
    <row r="3592">
      <c r="A3592" s="20"/>
      <c r="B3592" s="20"/>
      <c r="C3592" s="30"/>
      <c r="D3592" s="30"/>
      <c r="E3592" s="30"/>
      <c r="F3592" s="22"/>
      <c r="G3592" s="23"/>
      <c r="H3592" s="23"/>
      <c r="I3592" s="23"/>
      <c r="J3592" s="23"/>
      <c r="K3592" s="23"/>
      <c r="L3592" s="23"/>
      <c r="M3592" s="23"/>
      <c r="N3592" s="23"/>
      <c r="O3592" s="23"/>
      <c r="P3592" s="23"/>
      <c r="Q3592" s="23"/>
      <c r="R3592" s="23"/>
      <c r="S3592" s="23"/>
      <c r="T3592" s="23"/>
      <c r="U3592" s="23"/>
    </row>
    <row r="3593">
      <c r="A3593" s="20"/>
      <c r="B3593" s="20"/>
      <c r="C3593" s="30"/>
      <c r="D3593" s="30"/>
      <c r="E3593" s="30"/>
      <c r="F3593" s="22"/>
      <c r="G3593" s="23"/>
      <c r="H3593" s="23"/>
      <c r="I3593" s="23"/>
      <c r="J3593" s="23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</row>
    <row r="3594">
      <c r="A3594" s="20"/>
      <c r="B3594" s="20"/>
      <c r="C3594" s="30"/>
      <c r="D3594" s="30"/>
      <c r="E3594" s="30"/>
      <c r="F3594" s="22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</row>
    <row r="3595">
      <c r="A3595" s="20"/>
      <c r="B3595" s="20"/>
      <c r="C3595" s="30"/>
      <c r="D3595" s="30"/>
      <c r="E3595" s="30"/>
      <c r="F3595" s="22"/>
      <c r="G3595" s="23"/>
      <c r="H3595" s="23"/>
      <c r="I3595" s="23"/>
      <c r="J3595" s="23"/>
      <c r="K3595" s="23"/>
      <c r="L3595" s="23"/>
      <c r="M3595" s="23"/>
      <c r="N3595" s="23"/>
      <c r="O3595" s="23"/>
      <c r="P3595" s="23"/>
      <c r="Q3595" s="23"/>
      <c r="R3595" s="23"/>
      <c r="S3595" s="23"/>
      <c r="T3595" s="23"/>
      <c r="U3595" s="23"/>
    </row>
    <row r="3596">
      <c r="A3596" s="20"/>
      <c r="B3596" s="20"/>
      <c r="C3596" s="30"/>
      <c r="D3596" s="30"/>
      <c r="E3596" s="30"/>
      <c r="F3596" s="22"/>
      <c r="G3596" s="23"/>
      <c r="H3596" s="23"/>
      <c r="I3596" s="23"/>
      <c r="J3596" s="23"/>
      <c r="K3596" s="23"/>
      <c r="L3596" s="23"/>
      <c r="M3596" s="23"/>
      <c r="N3596" s="23"/>
      <c r="O3596" s="23"/>
      <c r="P3596" s="23"/>
      <c r="Q3596" s="23"/>
      <c r="R3596" s="23"/>
      <c r="S3596" s="23"/>
      <c r="T3596" s="23"/>
      <c r="U3596" s="23"/>
    </row>
    <row r="3597">
      <c r="A3597" s="20"/>
      <c r="B3597" s="20"/>
      <c r="C3597" s="30"/>
      <c r="D3597" s="30"/>
      <c r="E3597" s="30"/>
      <c r="F3597" s="22"/>
      <c r="G3597" s="23"/>
      <c r="H3597" s="23"/>
      <c r="I3597" s="23"/>
      <c r="J3597" s="23"/>
      <c r="K3597" s="23"/>
      <c r="L3597" s="23"/>
      <c r="M3597" s="23"/>
      <c r="N3597" s="23"/>
      <c r="O3597" s="23"/>
      <c r="P3597" s="23"/>
      <c r="Q3597" s="23"/>
      <c r="R3597" s="23"/>
      <c r="S3597" s="23"/>
      <c r="T3597" s="23"/>
      <c r="U3597" s="23"/>
    </row>
    <row r="3598">
      <c r="A3598" s="20"/>
      <c r="B3598" s="20"/>
      <c r="C3598" s="30"/>
      <c r="D3598" s="30"/>
      <c r="E3598" s="30"/>
      <c r="F3598" s="22"/>
      <c r="G3598" s="23"/>
      <c r="H3598" s="23"/>
      <c r="I3598" s="23"/>
      <c r="J3598" s="23"/>
      <c r="K3598" s="23"/>
      <c r="L3598" s="23"/>
      <c r="M3598" s="23"/>
      <c r="N3598" s="23"/>
      <c r="O3598" s="23"/>
      <c r="P3598" s="23"/>
      <c r="Q3598" s="23"/>
      <c r="R3598" s="23"/>
      <c r="S3598" s="23"/>
      <c r="T3598" s="23"/>
      <c r="U3598" s="23"/>
    </row>
    <row r="3599">
      <c r="A3599" s="20"/>
      <c r="B3599" s="20"/>
      <c r="C3599" s="30"/>
      <c r="D3599" s="30"/>
      <c r="E3599" s="30"/>
      <c r="F3599" s="22"/>
      <c r="G3599" s="23"/>
      <c r="H3599" s="23"/>
      <c r="I3599" s="23"/>
      <c r="J3599" s="23"/>
      <c r="K3599" s="23"/>
      <c r="L3599" s="23"/>
      <c r="M3599" s="23"/>
      <c r="N3599" s="23"/>
      <c r="O3599" s="23"/>
      <c r="P3599" s="23"/>
      <c r="Q3599" s="23"/>
      <c r="R3599" s="23"/>
      <c r="S3599" s="23"/>
      <c r="T3599" s="23"/>
      <c r="U3599" s="23"/>
    </row>
    <row r="3600">
      <c r="A3600" s="20"/>
      <c r="B3600" s="20"/>
      <c r="C3600" s="30"/>
      <c r="D3600" s="30"/>
      <c r="E3600" s="30"/>
      <c r="F3600" s="22"/>
      <c r="G3600" s="23"/>
      <c r="H3600" s="23"/>
      <c r="I3600" s="23"/>
      <c r="J3600" s="23"/>
      <c r="K3600" s="23"/>
      <c r="L3600" s="23"/>
      <c r="M3600" s="23"/>
      <c r="N3600" s="23"/>
      <c r="O3600" s="23"/>
      <c r="P3600" s="23"/>
      <c r="Q3600" s="23"/>
      <c r="R3600" s="23"/>
      <c r="S3600" s="23"/>
      <c r="T3600" s="23"/>
      <c r="U3600" s="23"/>
    </row>
    <row r="3601">
      <c r="A3601" s="20"/>
      <c r="B3601" s="20"/>
      <c r="C3601" s="30"/>
      <c r="D3601" s="30"/>
      <c r="E3601" s="30"/>
      <c r="F3601" s="22"/>
      <c r="G3601" s="23"/>
      <c r="H3601" s="23"/>
      <c r="I3601" s="23"/>
      <c r="J3601" s="23"/>
      <c r="K3601" s="23"/>
      <c r="L3601" s="23"/>
      <c r="M3601" s="23"/>
      <c r="N3601" s="23"/>
      <c r="O3601" s="23"/>
      <c r="P3601" s="23"/>
      <c r="Q3601" s="23"/>
      <c r="R3601" s="23"/>
      <c r="S3601" s="23"/>
      <c r="T3601" s="23"/>
      <c r="U3601" s="23"/>
    </row>
    <row r="3602">
      <c r="A3602" s="20"/>
      <c r="B3602" s="20"/>
      <c r="C3602" s="30"/>
      <c r="D3602" s="30"/>
      <c r="E3602" s="30"/>
      <c r="F3602" s="22"/>
      <c r="G3602" s="23"/>
      <c r="H3602" s="23"/>
      <c r="I3602" s="23"/>
      <c r="J3602" s="23"/>
      <c r="K3602" s="23"/>
      <c r="L3602" s="23"/>
      <c r="M3602" s="23"/>
      <c r="N3602" s="23"/>
      <c r="O3602" s="23"/>
      <c r="P3602" s="23"/>
      <c r="Q3602" s="23"/>
      <c r="R3602" s="23"/>
      <c r="S3602" s="23"/>
      <c r="T3602" s="23"/>
      <c r="U3602" s="23"/>
    </row>
    <row r="3603">
      <c r="A3603" s="20"/>
      <c r="B3603" s="20"/>
      <c r="C3603" s="30"/>
      <c r="D3603" s="30"/>
      <c r="E3603" s="30"/>
      <c r="F3603" s="22"/>
      <c r="G3603" s="23"/>
      <c r="H3603" s="23"/>
      <c r="I3603" s="23"/>
      <c r="J3603" s="23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</row>
    <row r="3604">
      <c r="A3604" s="20"/>
      <c r="B3604" s="20"/>
      <c r="C3604" s="30"/>
      <c r="D3604" s="30"/>
      <c r="E3604" s="30"/>
      <c r="F3604" s="22"/>
      <c r="G3604" s="23"/>
      <c r="H3604" s="23"/>
      <c r="I3604" s="23"/>
      <c r="J3604" s="23"/>
      <c r="K3604" s="23"/>
      <c r="L3604" s="23"/>
      <c r="M3604" s="23"/>
      <c r="N3604" s="23"/>
      <c r="O3604" s="23"/>
      <c r="P3604" s="23"/>
      <c r="Q3604" s="23"/>
      <c r="R3604" s="23"/>
      <c r="S3604" s="23"/>
      <c r="T3604" s="23"/>
      <c r="U3604" s="23"/>
    </row>
    <row r="3605">
      <c r="A3605" s="20"/>
      <c r="B3605" s="20"/>
      <c r="C3605" s="30"/>
      <c r="D3605" s="30"/>
      <c r="E3605" s="30"/>
      <c r="F3605" s="22"/>
      <c r="G3605" s="23"/>
      <c r="H3605" s="23"/>
      <c r="I3605" s="23"/>
      <c r="J3605" s="23"/>
      <c r="K3605" s="23"/>
      <c r="L3605" s="23"/>
      <c r="M3605" s="23"/>
      <c r="N3605" s="23"/>
      <c r="O3605" s="23"/>
      <c r="P3605" s="23"/>
      <c r="Q3605" s="23"/>
      <c r="R3605" s="23"/>
      <c r="S3605" s="23"/>
      <c r="T3605" s="23"/>
      <c r="U3605" s="23"/>
    </row>
    <row r="3606">
      <c r="A3606" s="20"/>
      <c r="B3606" s="20"/>
      <c r="C3606" s="30"/>
      <c r="D3606" s="30"/>
      <c r="E3606" s="30"/>
      <c r="F3606" s="22"/>
      <c r="G3606" s="23"/>
      <c r="H3606" s="23"/>
      <c r="I3606" s="23"/>
      <c r="J3606" s="23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</row>
    <row r="3607">
      <c r="A3607" s="20"/>
      <c r="B3607" s="20"/>
      <c r="C3607" s="30"/>
      <c r="D3607" s="30"/>
      <c r="E3607" s="30"/>
      <c r="F3607" s="22"/>
      <c r="G3607" s="23"/>
      <c r="H3607" s="23"/>
      <c r="I3607" s="23"/>
      <c r="J3607" s="23"/>
      <c r="K3607" s="23"/>
      <c r="L3607" s="23"/>
      <c r="M3607" s="23"/>
      <c r="N3607" s="23"/>
      <c r="O3607" s="23"/>
      <c r="P3607" s="23"/>
      <c r="Q3607" s="23"/>
      <c r="R3607" s="23"/>
      <c r="S3607" s="23"/>
      <c r="T3607" s="23"/>
      <c r="U3607" s="23"/>
    </row>
    <row r="3608">
      <c r="A3608" s="20"/>
      <c r="B3608" s="20"/>
      <c r="C3608" s="30"/>
      <c r="D3608" s="30"/>
      <c r="E3608" s="30"/>
      <c r="F3608" s="22"/>
      <c r="G3608" s="23"/>
      <c r="H3608" s="23"/>
      <c r="I3608" s="23"/>
      <c r="J3608" s="23"/>
      <c r="K3608" s="23"/>
      <c r="L3608" s="23"/>
      <c r="M3608" s="23"/>
      <c r="N3608" s="23"/>
      <c r="O3608" s="23"/>
      <c r="P3608" s="23"/>
      <c r="Q3608" s="23"/>
      <c r="R3608" s="23"/>
      <c r="S3608" s="23"/>
      <c r="T3608" s="23"/>
      <c r="U3608" s="23"/>
    </row>
    <row r="3609">
      <c r="A3609" s="20"/>
      <c r="B3609" s="20"/>
      <c r="C3609" s="30"/>
      <c r="D3609" s="30"/>
      <c r="E3609" s="30"/>
      <c r="F3609" s="22"/>
      <c r="G3609" s="23"/>
      <c r="H3609" s="23"/>
      <c r="I3609" s="23"/>
      <c r="J3609" s="23"/>
      <c r="K3609" s="23"/>
      <c r="L3609" s="23"/>
      <c r="M3609" s="23"/>
      <c r="N3609" s="23"/>
      <c r="O3609" s="23"/>
      <c r="P3609" s="23"/>
      <c r="Q3609" s="23"/>
      <c r="R3609" s="23"/>
      <c r="S3609" s="23"/>
      <c r="T3609" s="23"/>
      <c r="U3609" s="23"/>
    </row>
    <row r="3610">
      <c r="A3610" s="20"/>
      <c r="B3610" s="20"/>
      <c r="C3610" s="30"/>
      <c r="D3610" s="30"/>
      <c r="E3610" s="30"/>
      <c r="F3610" s="22"/>
      <c r="G3610" s="23"/>
      <c r="H3610" s="23"/>
      <c r="I3610" s="23"/>
      <c r="J3610" s="23"/>
      <c r="K3610" s="23"/>
      <c r="L3610" s="23"/>
      <c r="M3610" s="23"/>
      <c r="N3610" s="23"/>
      <c r="O3610" s="23"/>
      <c r="P3610" s="23"/>
      <c r="Q3610" s="23"/>
      <c r="R3610" s="23"/>
      <c r="S3610" s="23"/>
      <c r="T3610" s="23"/>
      <c r="U3610" s="23"/>
    </row>
    <row r="3611">
      <c r="A3611" s="20"/>
      <c r="B3611" s="20"/>
      <c r="C3611" s="30"/>
      <c r="D3611" s="30"/>
      <c r="E3611" s="30"/>
      <c r="F3611" s="22"/>
      <c r="G3611" s="23"/>
      <c r="H3611" s="23"/>
      <c r="I3611" s="23"/>
      <c r="J3611" s="23"/>
      <c r="K3611" s="23"/>
      <c r="L3611" s="23"/>
      <c r="M3611" s="23"/>
      <c r="N3611" s="23"/>
      <c r="O3611" s="23"/>
      <c r="P3611" s="23"/>
      <c r="Q3611" s="23"/>
      <c r="R3611" s="23"/>
      <c r="S3611" s="23"/>
      <c r="T3611" s="23"/>
      <c r="U3611" s="23"/>
    </row>
    <row r="3612">
      <c r="A3612" s="20"/>
      <c r="B3612" s="20"/>
      <c r="C3612" s="30"/>
      <c r="D3612" s="30"/>
      <c r="E3612" s="30"/>
      <c r="F3612" s="22"/>
      <c r="G3612" s="23"/>
      <c r="H3612" s="23"/>
      <c r="I3612" s="23"/>
      <c r="J3612" s="23"/>
      <c r="K3612" s="23"/>
      <c r="L3612" s="23"/>
      <c r="M3612" s="23"/>
      <c r="N3612" s="23"/>
      <c r="O3612" s="23"/>
      <c r="P3612" s="23"/>
      <c r="Q3612" s="23"/>
      <c r="R3612" s="23"/>
      <c r="S3612" s="23"/>
      <c r="T3612" s="23"/>
      <c r="U3612" s="23"/>
    </row>
    <row r="3613">
      <c r="A3613" s="20"/>
      <c r="B3613" s="20"/>
      <c r="C3613" s="30"/>
      <c r="D3613" s="30"/>
      <c r="E3613" s="30"/>
      <c r="F3613" s="22"/>
      <c r="G3613" s="23"/>
      <c r="H3613" s="23"/>
      <c r="I3613" s="23"/>
      <c r="J3613" s="23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</row>
    <row r="3614">
      <c r="A3614" s="20"/>
      <c r="B3614" s="20"/>
      <c r="C3614" s="30"/>
      <c r="D3614" s="30"/>
      <c r="E3614" s="30"/>
      <c r="F3614" s="22"/>
      <c r="G3614" s="23"/>
      <c r="H3614" s="23"/>
      <c r="I3614" s="23"/>
      <c r="J3614" s="23"/>
      <c r="K3614" s="23"/>
      <c r="L3614" s="23"/>
      <c r="M3614" s="23"/>
      <c r="N3614" s="23"/>
      <c r="O3614" s="23"/>
      <c r="P3614" s="23"/>
      <c r="Q3614" s="23"/>
      <c r="R3614" s="23"/>
      <c r="S3614" s="23"/>
      <c r="T3614" s="23"/>
      <c r="U3614" s="23"/>
    </row>
    <row r="3615">
      <c r="A3615" s="20"/>
      <c r="B3615" s="20"/>
      <c r="C3615" s="30"/>
      <c r="D3615" s="30"/>
      <c r="E3615" s="30"/>
      <c r="F3615" s="22"/>
      <c r="G3615" s="23"/>
      <c r="H3615" s="23"/>
      <c r="I3615" s="23"/>
      <c r="J3615" s="23"/>
      <c r="K3615" s="23"/>
      <c r="L3615" s="23"/>
      <c r="M3615" s="23"/>
      <c r="N3615" s="23"/>
      <c r="O3615" s="23"/>
      <c r="P3615" s="23"/>
      <c r="Q3615" s="23"/>
      <c r="R3615" s="23"/>
      <c r="S3615" s="23"/>
      <c r="T3615" s="23"/>
      <c r="U3615" s="23"/>
    </row>
    <row r="3616">
      <c r="A3616" s="20"/>
      <c r="B3616" s="20"/>
      <c r="C3616" s="30"/>
      <c r="D3616" s="30"/>
      <c r="E3616" s="30"/>
      <c r="F3616" s="22"/>
      <c r="G3616" s="23"/>
      <c r="H3616" s="23"/>
      <c r="I3616" s="23"/>
      <c r="J3616" s="23"/>
      <c r="K3616" s="23"/>
      <c r="L3616" s="23"/>
      <c r="M3616" s="23"/>
      <c r="N3616" s="23"/>
      <c r="O3616" s="23"/>
      <c r="P3616" s="23"/>
      <c r="Q3616" s="23"/>
      <c r="R3616" s="23"/>
      <c r="S3616" s="23"/>
      <c r="T3616" s="23"/>
      <c r="U3616" s="23"/>
    </row>
    <row r="3617">
      <c r="A3617" s="20"/>
      <c r="B3617" s="20"/>
      <c r="C3617" s="30"/>
      <c r="D3617" s="30"/>
      <c r="E3617" s="30"/>
      <c r="F3617" s="22"/>
      <c r="G3617" s="23"/>
      <c r="H3617" s="23"/>
      <c r="I3617" s="23"/>
      <c r="J3617" s="23"/>
      <c r="K3617" s="23"/>
      <c r="L3617" s="23"/>
      <c r="M3617" s="23"/>
      <c r="N3617" s="23"/>
      <c r="O3617" s="23"/>
      <c r="P3617" s="23"/>
      <c r="Q3617" s="23"/>
      <c r="R3617" s="23"/>
      <c r="S3617" s="23"/>
      <c r="T3617" s="23"/>
      <c r="U3617" s="23"/>
    </row>
    <row r="3618">
      <c r="A3618" s="20"/>
      <c r="B3618" s="20"/>
      <c r="C3618" s="30"/>
      <c r="D3618" s="30"/>
      <c r="E3618" s="30"/>
      <c r="F3618" s="22"/>
      <c r="G3618" s="23"/>
      <c r="H3618" s="23"/>
      <c r="I3618" s="23"/>
      <c r="J3618" s="23"/>
      <c r="K3618" s="23"/>
      <c r="L3618" s="23"/>
      <c r="M3618" s="23"/>
      <c r="N3618" s="23"/>
      <c r="O3618" s="23"/>
      <c r="P3618" s="23"/>
      <c r="Q3618" s="23"/>
      <c r="R3618" s="23"/>
      <c r="S3618" s="23"/>
      <c r="T3618" s="23"/>
      <c r="U3618" s="23"/>
    </row>
    <row r="3619">
      <c r="A3619" s="20"/>
      <c r="B3619" s="20"/>
      <c r="C3619" s="30"/>
      <c r="D3619" s="30"/>
      <c r="E3619" s="30"/>
      <c r="F3619" s="22"/>
      <c r="G3619" s="23"/>
      <c r="H3619" s="23"/>
      <c r="I3619" s="23"/>
      <c r="J3619" s="23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</row>
    <row r="3620">
      <c r="A3620" s="20"/>
      <c r="B3620" s="20"/>
      <c r="C3620" s="30"/>
      <c r="D3620" s="30"/>
      <c r="E3620" s="30"/>
      <c r="F3620" s="22"/>
      <c r="G3620" s="23"/>
      <c r="H3620" s="23"/>
      <c r="I3620" s="23"/>
      <c r="J3620" s="23"/>
      <c r="K3620" s="23"/>
      <c r="L3620" s="23"/>
      <c r="M3620" s="23"/>
      <c r="N3620" s="23"/>
      <c r="O3620" s="23"/>
      <c r="P3620" s="23"/>
      <c r="Q3620" s="23"/>
      <c r="R3620" s="23"/>
      <c r="S3620" s="23"/>
      <c r="T3620" s="23"/>
      <c r="U3620" s="23"/>
    </row>
    <row r="3621">
      <c r="A3621" s="20"/>
      <c r="B3621" s="20"/>
      <c r="C3621" s="30"/>
      <c r="D3621" s="30"/>
      <c r="E3621" s="30"/>
      <c r="F3621" s="22"/>
      <c r="G3621" s="23"/>
      <c r="H3621" s="23"/>
      <c r="I3621" s="23"/>
      <c r="J3621" s="23"/>
      <c r="K3621" s="23"/>
      <c r="L3621" s="23"/>
      <c r="M3621" s="23"/>
      <c r="N3621" s="23"/>
      <c r="O3621" s="23"/>
      <c r="P3621" s="23"/>
      <c r="Q3621" s="23"/>
      <c r="R3621" s="23"/>
      <c r="S3621" s="23"/>
      <c r="T3621" s="23"/>
      <c r="U3621" s="23"/>
    </row>
    <row r="3622">
      <c r="A3622" s="20"/>
      <c r="B3622" s="20"/>
      <c r="C3622" s="30"/>
      <c r="D3622" s="30"/>
      <c r="E3622" s="30"/>
      <c r="F3622" s="22"/>
      <c r="G3622" s="23"/>
      <c r="H3622" s="23"/>
      <c r="I3622" s="23"/>
      <c r="J3622" s="23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</row>
    <row r="3623">
      <c r="A3623" s="20"/>
      <c r="B3623" s="20"/>
      <c r="C3623" s="30"/>
      <c r="D3623" s="30"/>
      <c r="E3623" s="30"/>
      <c r="F3623" s="22"/>
      <c r="G3623" s="23"/>
      <c r="H3623" s="23"/>
      <c r="I3623" s="23"/>
      <c r="J3623" s="23"/>
      <c r="K3623" s="23"/>
      <c r="L3623" s="23"/>
      <c r="M3623" s="23"/>
      <c r="N3623" s="23"/>
      <c r="O3623" s="23"/>
      <c r="P3623" s="23"/>
      <c r="Q3623" s="23"/>
      <c r="R3623" s="23"/>
      <c r="S3623" s="23"/>
      <c r="T3623" s="23"/>
      <c r="U3623" s="23"/>
    </row>
    <row r="3624">
      <c r="A3624" s="20"/>
      <c r="B3624" s="20"/>
      <c r="C3624" s="30"/>
      <c r="D3624" s="30"/>
      <c r="E3624" s="30"/>
      <c r="F3624" s="22"/>
      <c r="G3624" s="23"/>
      <c r="H3624" s="23"/>
      <c r="I3624" s="23"/>
      <c r="J3624" s="23"/>
      <c r="K3624" s="23"/>
      <c r="L3624" s="23"/>
      <c r="M3624" s="23"/>
      <c r="N3624" s="23"/>
      <c r="O3624" s="23"/>
      <c r="P3624" s="23"/>
      <c r="Q3624" s="23"/>
      <c r="R3624" s="23"/>
      <c r="S3624" s="23"/>
      <c r="T3624" s="23"/>
      <c r="U3624" s="23"/>
    </row>
    <row r="3625">
      <c r="A3625" s="20"/>
      <c r="B3625" s="20"/>
      <c r="C3625" s="30"/>
      <c r="D3625" s="30"/>
      <c r="E3625" s="30"/>
      <c r="F3625" s="22"/>
      <c r="G3625" s="23"/>
      <c r="H3625" s="23"/>
      <c r="I3625" s="23"/>
      <c r="J3625" s="23"/>
      <c r="K3625" s="23"/>
      <c r="L3625" s="23"/>
      <c r="M3625" s="23"/>
      <c r="N3625" s="23"/>
      <c r="O3625" s="23"/>
      <c r="P3625" s="23"/>
      <c r="Q3625" s="23"/>
      <c r="R3625" s="23"/>
      <c r="S3625" s="23"/>
      <c r="T3625" s="23"/>
      <c r="U3625" s="23"/>
    </row>
    <row r="3626">
      <c r="A3626" s="20"/>
      <c r="B3626" s="20"/>
      <c r="C3626" s="30"/>
      <c r="D3626" s="30"/>
      <c r="E3626" s="30"/>
      <c r="F3626" s="22"/>
      <c r="G3626" s="23"/>
      <c r="H3626" s="23"/>
      <c r="I3626" s="23"/>
      <c r="J3626" s="23"/>
      <c r="K3626" s="23"/>
      <c r="L3626" s="23"/>
      <c r="M3626" s="23"/>
      <c r="N3626" s="23"/>
      <c r="O3626" s="23"/>
      <c r="P3626" s="23"/>
      <c r="Q3626" s="23"/>
      <c r="R3626" s="23"/>
      <c r="S3626" s="23"/>
      <c r="T3626" s="23"/>
      <c r="U3626" s="23"/>
    </row>
    <row r="3627">
      <c r="A3627" s="20"/>
      <c r="B3627" s="20"/>
      <c r="C3627" s="30"/>
      <c r="D3627" s="30"/>
      <c r="E3627" s="30"/>
      <c r="F3627" s="22"/>
      <c r="G3627" s="23"/>
      <c r="H3627" s="23"/>
      <c r="I3627" s="23"/>
      <c r="J3627" s="23"/>
      <c r="K3627" s="23"/>
      <c r="L3627" s="23"/>
      <c r="M3627" s="23"/>
      <c r="N3627" s="23"/>
      <c r="O3627" s="23"/>
      <c r="P3627" s="23"/>
      <c r="Q3627" s="23"/>
      <c r="R3627" s="23"/>
      <c r="S3627" s="23"/>
      <c r="T3627" s="23"/>
      <c r="U3627" s="23"/>
    </row>
    <row r="3628">
      <c r="A3628" s="20"/>
      <c r="B3628" s="20"/>
      <c r="C3628" s="30"/>
      <c r="D3628" s="30"/>
      <c r="E3628" s="30"/>
      <c r="F3628" s="22"/>
      <c r="G3628" s="23"/>
      <c r="H3628" s="23"/>
      <c r="I3628" s="23"/>
      <c r="J3628" s="23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</row>
    <row r="3629">
      <c r="A3629" s="20"/>
      <c r="B3629" s="20"/>
      <c r="C3629" s="30"/>
      <c r="D3629" s="30"/>
      <c r="E3629" s="30"/>
      <c r="F3629" s="22"/>
      <c r="G3629" s="23"/>
      <c r="H3629" s="23"/>
      <c r="I3629" s="23"/>
      <c r="J3629" s="23"/>
      <c r="K3629" s="23"/>
      <c r="L3629" s="23"/>
      <c r="M3629" s="23"/>
      <c r="N3629" s="23"/>
      <c r="O3629" s="23"/>
      <c r="P3629" s="23"/>
      <c r="Q3629" s="23"/>
      <c r="R3629" s="23"/>
      <c r="S3629" s="23"/>
      <c r="T3629" s="23"/>
      <c r="U3629" s="23"/>
    </row>
    <row r="3630">
      <c r="A3630" s="20"/>
      <c r="B3630" s="20"/>
      <c r="C3630" s="30"/>
      <c r="D3630" s="30"/>
      <c r="E3630" s="30"/>
      <c r="F3630" s="22"/>
      <c r="G3630" s="23"/>
      <c r="H3630" s="23"/>
      <c r="I3630" s="23"/>
      <c r="J3630" s="23"/>
      <c r="K3630" s="23"/>
      <c r="L3630" s="23"/>
      <c r="M3630" s="23"/>
      <c r="N3630" s="23"/>
      <c r="O3630" s="23"/>
      <c r="P3630" s="23"/>
      <c r="Q3630" s="23"/>
      <c r="R3630" s="23"/>
      <c r="S3630" s="23"/>
      <c r="T3630" s="23"/>
      <c r="U3630" s="23"/>
    </row>
    <row r="3631">
      <c r="A3631" s="20"/>
      <c r="B3631" s="20"/>
      <c r="C3631" s="30"/>
      <c r="D3631" s="30"/>
      <c r="E3631" s="30"/>
      <c r="F3631" s="22"/>
      <c r="G3631" s="23"/>
      <c r="H3631" s="23"/>
      <c r="I3631" s="23"/>
      <c r="J3631" s="23"/>
      <c r="K3631" s="23"/>
      <c r="L3631" s="23"/>
      <c r="M3631" s="23"/>
      <c r="N3631" s="23"/>
      <c r="O3631" s="23"/>
      <c r="P3631" s="23"/>
      <c r="Q3631" s="23"/>
      <c r="R3631" s="23"/>
      <c r="S3631" s="23"/>
      <c r="T3631" s="23"/>
      <c r="U3631" s="23"/>
    </row>
    <row r="3632">
      <c r="A3632" s="20"/>
      <c r="B3632" s="20"/>
      <c r="C3632" s="30"/>
      <c r="D3632" s="30"/>
      <c r="E3632" s="30"/>
      <c r="F3632" s="22"/>
      <c r="G3632" s="23"/>
      <c r="H3632" s="23"/>
      <c r="I3632" s="23"/>
      <c r="J3632" s="23"/>
      <c r="K3632" s="23"/>
      <c r="L3632" s="23"/>
      <c r="M3632" s="23"/>
      <c r="N3632" s="23"/>
      <c r="O3632" s="23"/>
      <c r="P3632" s="23"/>
      <c r="Q3632" s="23"/>
      <c r="R3632" s="23"/>
      <c r="S3632" s="23"/>
      <c r="T3632" s="23"/>
      <c r="U3632" s="23"/>
    </row>
    <row r="3633">
      <c r="A3633" s="20"/>
      <c r="B3633" s="20"/>
      <c r="C3633" s="30"/>
      <c r="D3633" s="30"/>
      <c r="E3633" s="30"/>
      <c r="F3633" s="22"/>
      <c r="G3633" s="23"/>
      <c r="H3633" s="23"/>
      <c r="I3633" s="23"/>
      <c r="J3633" s="23"/>
      <c r="K3633" s="23"/>
      <c r="L3633" s="23"/>
      <c r="M3633" s="23"/>
      <c r="N3633" s="23"/>
      <c r="O3633" s="23"/>
      <c r="P3633" s="23"/>
      <c r="Q3633" s="23"/>
      <c r="R3633" s="23"/>
      <c r="S3633" s="23"/>
      <c r="T3633" s="23"/>
      <c r="U3633" s="23"/>
    </row>
    <row r="3634">
      <c r="A3634" s="20"/>
      <c r="B3634" s="20"/>
      <c r="C3634" s="30"/>
      <c r="D3634" s="30"/>
      <c r="E3634" s="30"/>
      <c r="F3634" s="22"/>
      <c r="G3634" s="23"/>
      <c r="H3634" s="23"/>
      <c r="I3634" s="23"/>
      <c r="J3634" s="23"/>
      <c r="K3634" s="23"/>
      <c r="L3634" s="23"/>
      <c r="M3634" s="23"/>
      <c r="N3634" s="23"/>
      <c r="O3634" s="23"/>
      <c r="P3634" s="23"/>
      <c r="Q3634" s="23"/>
      <c r="R3634" s="23"/>
      <c r="S3634" s="23"/>
      <c r="T3634" s="23"/>
      <c r="U3634" s="23"/>
    </row>
    <row r="3635">
      <c r="A3635" s="20"/>
      <c r="B3635" s="20"/>
      <c r="C3635" s="30"/>
      <c r="D3635" s="30"/>
      <c r="E3635" s="30"/>
      <c r="F3635" s="22"/>
      <c r="G3635" s="23"/>
      <c r="H3635" s="23"/>
      <c r="I3635" s="23"/>
      <c r="J3635" s="23"/>
      <c r="K3635" s="23"/>
      <c r="L3635" s="23"/>
      <c r="M3635" s="23"/>
      <c r="N3635" s="23"/>
      <c r="O3635" s="23"/>
      <c r="P3635" s="23"/>
      <c r="Q3635" s="23"/>
      <c r="R3635" s="23"/>
      <c r="S3635" s="23"/>
      <c r="T3635" s="23"/>
      <c r="U3635" s="23"/>
    </row>
    <row r="3636">
      <c r="A3636" s="20"/>
      <c r="B3636" s="20"/>
      <c r="C3636" s="30"/>
      <c r="D3636" s="30"/>
      <c r="E3636" s="30"/>
      <c r="F3636" s="22"/>
      <c r="G3636" s="23"/>
      <c r="H3636" s="23"/>
      <c r="I3636" s="23"/>
      <c r="J3636" s="23"/>
      <c r="K3636" s="23"/>
      <c r="L3636" s="23"/>
      <c r="M3636" s="23"/>
      <c r="N3636" s="23"/>
      <c r="O3636" s="23"/>
      <c r="P3636" s="23"/>
      <c r="Q3636" s="23"/>
      <c r="R3636" s="23"/>
      <c r="S3636" s="23"/>
      <c r="T3636" s="23"/>
      <c r="U3636" s="23"/>
    </row>
    <row r="3637">
      <c r="A3637" s="20"/>
      <c r="B3637" s="20"/>
      <c r="C3637" s="30"/>
      <c r="D3637" s="30"/>
      <c r="E3637" s="30"/>
      <c r="F3637" s="22"/>
      <c r="G3637" s="23"/>
      <c r="H3637" s="23"/>
      <c r="I3637" s="23"/>
      <c r="J3637" s="23"/>
      <c r="K3637" s="23"/>
      <c r="L3637" s="23"/>
      <c r="M3637" s="23"/>
      <c r="N3637" s="23"/>
      <c r="O3637" s="23"/>
      <c r="P3637" s="23"/>
      <c r="Q3637" s="23"/>
      <c r="R3637" s="23"/>
      <c r="S3637" s="23"/>
      <c r="T3637" s="23"/>
      <c r="U3637" s="23"/>
    </row>
    <row r="3638">
      <c r="A3638" s="20"/>
      <c r="B3638" s="20"/>
      <c r="C3638" s="30"/>
      <c r="D3638" s="30"/>
      <c r="E3638" s="30"/>
      <c r="F3638" s="22"/>
      <c r="G3638" s="23"/>
      <c r="H3638" s="23"/>
      <c r="I3638" s="23"/>
      <c r="J3638" s="23"/>
      <c r="K3638" s="23"/>
      <c r="L3638" s="23"/>
      <c r="M3638" s="23"/>
      <c r="N3638" s="23"/>
      <c r="O3638" s="23"/>
      <c r="P3638" s="23"/>
      <c r="Q3638" s="23"/>
      <c r="R3638" s="23"/>
      <c r="S3638" s="23"/>
      <c r="T3638" s="23"/>
      <c r="U3638" s="23"/>
    </row>
    <row r="3639">
      <c r="A3639" s="20"/>
      <c r="B3639" s="20"/>
      <c r="C3639" s="30"/>
      <c r="D3639" s="30"/>
      <c r="E3639" s="30"/>
      <c r="F3639" s="22"/>
      <c r="G3639" s="23"/>
      <c r="H3639" s="23"/>
      <c r="I3639" s="23"/>
      <c r="J3639" s="23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</row>
    <row r="3640">
      <c r="A3640" s="20"/>
      <c r="B3640" s="20"/>
      <c r="C3640" s="30"/>
      <c r="D3640" s="30"/>
      <c r="E3640" s="30"/>
      <c r="F3640" s="22"/>
      <c r="G3640" s="23"/>
      <c r="H3640" s="23"/>
      <c r="I3640" s="23"/>
      <c r="J3640" s="23"/>
      <c r="K3640" s="23"/>
      <c r="L3640" s="23"/>
      <c r="M3640" s="23"/>
      <c r="N3640" s="23"/>
      <c r="O3640" s="23"/>
      <c r="P3640" s="23"/>
      <c r="Q3640" s="23"/>
      <c r="R3640" s="23"/>
      <c r="S3640" s="23"/>
      <c r="T3640" s="23"/>
      <c r="U3640" s="23"/>
    </row>
    <row r="3641">
      <c r="A3641" s="20"/>
      <c r="B3641" s="20"/>
      <c r="C3641" s="30"/>
      <c r="D3641" s="30"/>
      <c r="E3641" s="30"/>
      <c r="F3641" s="22"/>
      <c r="G3641" s="23"/>
      <c r="H3641" s="23"/>
      <c r="I3641" s="23"/>
      <c r="J3641" s="23"/>
      <c r="K3641" s="23"/>
      <c r="L3641" s="23"/>
      <c r="M3641" s="23"/>
      <c r="N3641" s="23"/>
      <c r="O3641" s="23"/>
      <c r="P3641" s="23"/>
      <c r="Q3641" s="23"/>
      <c r="R3641" s="23"/>
      <c r="S3641" s="23"/>
      <c r="T3641" s="23"/>
      <c r="U3641" s="23"/>
    </row>
    <row r="3642">
      <c r="A3642" s="20"/>
      <c r="B3642" s="20"/>
      <c r="C3642" s="30"/>
      <c r="D3642" s="30"/>
      <c r="E3642" s="30"/>
      <c r="F3642" s="22"/>
      <c r="G3642" s="23"/>
      <c r="H3642" s="23"/>
      <c r="I3642" s="23"/>
      <c r="J3642" s="23"/>
      <c r="K3642" s="23"/>
      <c r="L3642" s="23"/>
      <c r="M3642" s="23"/>
      <c r="N3642" s="23"/>
      <c r="O3642" s="23"/>
      <c r="P3642" s="23"/>
      <c r="Q3642" s="23"/>
      <c r="R3642" s="23"/>
      <c r="S3642" s="23"/>
      <c r="T3642" s="23"/>
      <c r="U3642" s="23"/>
    </row>
    <row r="3643">
      <c r="A3643" s="20"/>
      <c r="B3643" s="20"/>
      <c r="C3643" s="30"/>
      <c r="D3643" s="30"/>
      <c r="E3643" s="30"/>
      <c r="F3643" s="22"/>
      <c r="G3643" s="23"/>
      <c r="H3643" s="23"/>
      <c r="I3643" s="23"/>
      <c r="J3643" s="23"/>
      <c r="K3643" s="23"/>
      <c r="L3643" s="23"/>
      <c r="M3643" s="23"/>
      <c r="N3643" s="23"/>
      <c r="O3643" s="23"/>
      <c r="P3643" s="23"/>
      <c r="Q3643" s="23"/>
      <c r="R3643" s="23"/>
      <c r="S3643" s="23"/>
      <c r="T3643" s="23"/>
      <c r="U3643" s="23"/>
    </row>
    <row r="3644">
      <c r="A3644" s="20"/>
      <c r="B3644" s="20"/>
      <c r="C3644" s="30"/>
      <c r="D3644" s="30"/>
      <c r="E3644" s="30"/>
      <c r="F3644" s="22"/>
      <c r="G3644" s="23"/>
      <c r="H3644" s="23"/>
      <c r="I3644" s="23"/>
      <c r="J3644" s="23"/>
      <c r="K3644" s="23"/>
      <c r="L3644" s="23"/>
      <c r="M3644" s="23"/>
      <c r="N3644" s="23"/>
      <c r="O3644" s="23"/>
      <c r="P3644" s="23"/>
      <c r="Q3644" s="23"/>
      <c r="R3644" s="23"/>
      <c r="S3644" s="23"/>
      <c r="T3644" s="23"/>
      <c r="U3644" s="23"/>
    </row>
    <row r="3645">
      <c r="A3645" s="20"/>
      <c r="B3645" s="20"/>
      <c r="C3645" s="30"/>
      <c r="D3645" s="30"/>
      <c r="E3645" s="30"/>
      <c r="F3645" s="22"/>
      <c r="G3645" s="23"/>
      <c r="H3645" s="23"/>
      <c r="I3645" s="23"/>
      <c r="J3645" s="23"/>
      <c r="K3645" s="23"/>
      <c r="L3645" s="23"/>
      <c r="M3645" s="23"/>
      <c r="N3645" s="23"/>
      <c r="O3645" s="23"/>
      <c r="P3645" s="23"/>
      <c r="Q3645" s="23"/>
      <c r="R3645" s="23"/>
      <c r="S3645" s="23"/>
      <c r="T3645" s="23"/>
      <c r="U3645" s="23"/>
    </row>
    <row r="3646">
      <c r="A3646" s="20"/>
      <c r="B3646" s="20"/>
      <c r="C3646" s="30"/>
      <c r="D3646" s="30"/>
      <c r="E3646" s="30"/>
      <c r="F3646" s="22"/>
      <c r="G3646" s="23"/>
      <c r="H3646" s="23"/>
      <c r="I3646" s="23"/>
      <c r="J3646" s="23"/>
      <c r="K3646" s="23"/>
      <c r="L3646" s="23"/>
      <c r="M3646" s="23"/>
      <c r="N3646" s="23"/>
      <c r="O3646" s="23"/>
      <c r="P3646" s="23"/>
      <c r="Q3646" s="23"/>
      <c r="R3646" s="23"/>
      <c r="S3646" s="23"/>
      <c r="T3646" s="23"/>
      <c r="U3646" s="23"/>
    </row>
    <row r="3647">
      <c r="A3647" s="20"/>
      <c r="B3647" s="20"/>
      <c r="C3647" s="30"/>
      <c r="D3647" s="30"/>
      <c r="E3647" s="30"/>
      <c r="F3647" s="22"/>
      <c r="G3647" s="23"/>
      <c r="H3647" s="23"/>
      <c r="I3647" s="23"/>
      <c r="J3647" s="23"/>
      <c r="K3647" s="23"/>
      <c r="L3647" s="23"/>
      <c r="M3647" s="23"/>
      <c r="N3647" s="23"/>
      <c r="O3647" s="23"/>
      <c r="P3647" s="23"/>
      <c r="Q3647" s="23"/>
      <c r="R3647" s="23"/>
      <c r="S3647" s="23"/>
      <c r="T3647" s="23"/>
      <c r="U3647" s="23"/>
    </row>
    <row r="3648">
      <c r="A3648" s="20"/>
      <c r="B3648" s="20"/>
      <c r="C3648" s="30"/>
      <c r="D3648" s="30"/>
      <c r="E3648" s="30"/>
      <c r="F3648" s="22"/>
      <c r="G3648" s="23"/>
      <c r="H3648" s="23"/>
      <c r="I3648" s="23"/>
      <c r="J3648" s="23"/>
      <c r="K3648" s="23"/>
      <c r="L3648" s="23"/>
      <c r="M3648" s="23"/>
      <c r="N3648" s="23"/>
      <c r="O3648" s="23"/>
      <c r="P3648" s="23"/>
      <c r="Q3648" s="23"/>
      <c r="R3648" s="23"/>
      <c r="S3648" s="23"/>
      <c r="T3648" s="23"/>
      <c r="U3648" s="23"/>
    </row>
    <row r="3649">
      <c r="A3649" s="20"/>
      <c r="B3649" s="20"/>
      <c r="C3649" s="30"/>
      <c r="D3649" s="30"/>
      <c r="E3649" s="30"/>
      <c r="F3649" s="22"/>
      <c r="G3649" s="23"/>
      <c r="H3649" s="23"/>
      <c r="I3649" s="23"/>
      <c r="J3649" s="23"/>
      <c r="K3649" s="23"/>
      <c r="L3649" s="23"/>
      <c r="M3649" s="23"/>
      <c r="N3649" s="23"/>
      <c r="O3649" s="23"/>
      <c r="P3649" s="23"/>
      <c r="Q3649" s="23"/>
      <c r="R3649" s="23"/>
      <c r="S3649" s="23"/>
      <c r="T3649" s="23"/>
      <c r="U3649" s="23"/>
    </row>
    <row r="3650">
      <c r="A3650" s="20"/>
      <c r="B3650" s="20"/>
      <c r="C3650" s="30"/>
      <c r="D3650" s="30"/>
      <c r="E3650" s="30"/>
      <c r="F3650" s="22"/>
      <c r="G3650" s="23"/>
      <c r="H3650" s="23"/>
      <c r="I3650" s="23"/>
      <c r="J3650" s="23"/>
      <c r="K3650" s="23"/>
      <c r="L3650" s="23"/>
      <c r="M3650" s="23"/>
      <c r="N3650" s="23"/>
      <c r="O3650" s="23"/>
      <c r="P3650" s="23"/>
      <c r="Q3650" s="23"/>
      <c r="R3650" s="23"/>
      <c r="S3650" s="23"/>
      <c r="T3650" s="23"/>
      <c r="U3650" s="23"/>
    </row>
    <row r="3651">
      <c r="A3651" s="20"/>
      <c r="B3651" s="20"/>
      <c r="C3651" s="30"/>
      <c r="D3651" s="30"/>
      <c r="E3651" s="30"/>
      <c r="F3651" s="22"/>
      <c r="G3651" s="23"/>
      <c r="H3651" s="23"/>
      <c r="I3651" s="23"/>
      <c r="J3651" s="23"/>
      <c r="K3651" s="23"/>
      <c r="L3651" s="23"/>
      <c r="M3651" s="23"/>
      <c r="N3651" s="23"/>
      <c r="O3651" s="23"/>
      <c r="P3651" s="23"/>
      <c r="Q3651" s="23"/>
      <c r="R3651" s="23"/>
      <c r="S3651" s="23"/>
      <c r="T3651" s="23"/>
      <c r="U3651" s="23"/>
    </row>
    <row r="3652">
      <c r="A3652" s="20"/>
      <c r="B3652" s="20"/>
      <c r="C3652" s="30"/>
      <c r="D3652" s="30"/>
      <c r="E3652" s="30"/>
      <c r="F3652" s="22"/>
      <c r="G3652" s="23"/>
      <c r="H3652" s="23"/>
      <c r="I3652" s="23"/>
      <c r="J3652" s="23"/>
      <c r="K3652" s="23"/>
      <c r="L3652" s="23"/>
      <c r="M3652" s="23"/>
      <c r="N3652" s="23"/>
      <c r="O3652" s="23"/>
      <c r="P3652" s="23"/>
      <c r="Q3652" s="23"/>
      <c r="R3652" s="23"/>
      <c r="S3652" s="23"/>
      <c r="T3652" s="23"/>
      <c r="U3652" s="23"/>
    </row>
    <row r="3653">
      <c r="A3653" s="20"/>
      <c r="B3653" s="20"/>
      <c r="C3653" s="30"/>
      <c r="D3653" s="30"/>
      <c r="E3653" s="30"/>
      <c r="F3653" s="22"/>
      <c r="G3653" s="23"/>
      <c r="H3653" s="23"/>
      <c r="I3653" s="23"/>
      <c r="J3653" s="23"/>
      <c r="K3653" s="23"/>
      <c r="L3653" s="23"/>
      <c r="M3653" s="23"/>
      <c r="N3653" s="23"/>
      <c r="O3653" s="23"/>
      <c r="P3653" s="23"/>
      <c r="Q3653" s="23"/>
      <c r="R3653" s="23"/>
      <c r="S3653" s="23"/>
      <c r="T3653" s="23"/>
      <c r="U3653" s="23"/>
    </row>
    <row r="3654">
      <c r="A3654" s="20"/>
      <c r="B3654" s="20"/>
      <c r="C3654" s="30"/>
      <c r="D3654" s="30"/>
      <c r="E3654" s="30"/>
      <c r="F3654" s="22"/>
      <c r="G3654" s="23"/>
      <c r="H3654" s="23"/>
      <c r="I3654" s="23"/>
      <c r="J3654" s="23"/>
      <c r="K3654" s="23"/>
      <c r="L3654" s="23"/>
      <c r="M3654" s="23"/>
      <c r="N3654" s="23"/>
      <c r="O3654" s="23"/>
      <c r="P3654" s="23"/>
      <c r="Q3654" s="23"/>
      <c r="R3654" s="23"/>
      <c r="S3654" s="23"/>
      <c r="T3654" s="23"/>
      <c r="U3654" s="23"/>
    </row>
    <row r="3655">
      <c r="A3655" s="20"/>
      <c r="B3655" s="20"/>
      <c r="C3655" s="30"/>
      <c r="D3655" s="30"/>
      <c r="E3655" s="30"/>
      <c r="F3655" s="22"/>
      <c r="G3655" s="23"/>
      <c r="H3655" s="23"/>
      <c r="I3655" s="23"/>
      <c r="J3655" s="23"/>
      <c r="K3655" s="23"/>
      <c r="L3655" s="23"/>
      <c r="M3655" s="23"/>
      <c r="N3655" s="23"/>
      <c r="O3655" s="23"/>
      <c r="P3655" s="23"/>
      <c r="Q3655" s="23"/>
      <c r="R3655" s="23"/>
      <c r="S3655" s="23"/>
      <c r="T3655" s="23"/>
      <c r="U3655" s="23"/>
    </row>
    <row r="3656">
      <c r="A3656" s="20"/>
      <c r="B3656" s="20"/>
      <c r="C3656" s="30"/>
      <c r="D3656" s="30"/>
      <c r="E3656" s="30"/>
      <c r="F3656" s="22"/>
      <c r="G3656" s="23"/>
      <c r="H3656" s="23"/>
      <c r="I3656" s="23"/>
      <c r="J3656" s="23"/>
      <c r="K3656" s="23"/>
      <c r="L3656" s="23"/>
      <c r="M3656" s="23"/>
      <c r="N3656" s="23"/>
      <c r="O3656" s="23"/>
      <c r="P3656" s="23"/>
      <c r="Q3656" s="23"/>
      <c r="R3656" s="23"/>
      <c r="S3656" s="23"/>
      <c r="T3656" s="23"/>
      <c r="U3656" s="23"/>
    </row>
    <row r="3657">
      <c r="A3657" s="20"/>
      <c r="B3657" s="20"/>
      <c r="C3657" s="30"/>
      <c r="D3657" s="30"/>
      <c r="E3657" s="30"/>
      <c r="F3657" s="22"/>
      <c r="G3657" s="23"/>
      <c r="H3657" s="23"/>
      <c r="I3657" s="23"/>
      <c r="J3657" s="23"/>
      <c r="K3657" s="23"/>
      <c r="L3657" s="23"/>
      <c r="M3657" s="23"/>
      <c r="N3657" s="23"/>
      <c r="O3657" s="23"/>
      <c r="P3657" s="23"/>
      <c r="Q3657" s="23"/>
      <c r="R3657" s="23"/>
      <c r="S3657" s="23"/>
      <c r="T3657" s="23"/>
      <c r="U3657" s="23"/>
    </row>
    <row r="3658">
      <c r="A3658" s="20"/>
      <c r="B3658" s="20"/>
      <c r="C3658" s="30"/>
      <c r="D3658" s="30"/>
      <c r="E3658" s="30"/>
      <c r="F3658" s="22"/>
      <c r="G3658" s="23"/>
      <c r="H3658" s="23"/>
      <c r="I3658" s="23"/>
      <c r="J3658" s="23"/>
      <c r="K3658" s="23"/>
      <c r="L3658" s="23"/>
      <c r="M3658" s="23"/>
      <c r="N3658" s="23"/>
      <c r="O3658" s="23"/>
      <c r="P3658" s="23"/>
      <c r="Q3658" s="23"/>
      <c r="R3658" s="23"/>
      <c r="S3658" s="23"/>
      <c r="T3658" s="23"/>
      <c r="U3658" s="23"/>
    </row>
    <row r="3659">
      <c r="A3659" s="20"/>
      <c r="B3659" s="20"/>
      <c r="C3659" s="30"/>
      <c r="D3659" s="30"/>
      <c r="E3659" s="30"/>
      <c r="F3659" s="22"/>
      <c r="G3659" s="23"/>
      <c r="H3659" s="23"/>
      <c r="I3659" s="23"/>
      <c r="J3659" s="23"/>
      <c r="K3659" s="23"/>
      <c r="L3659" s="23"/>
      <c r="M3659" s="23"/>
      <c r="N3659" s="23"/>
      <c r="O3659" s="23"/>
      <c r="P3659" s="23"/>
      <c r="Q3659" s="23"/>
      <c r="R3659" s="23"/>
      <c r="S3659" s="23"/>
      <c r="T3659" s="23"/>
      <c r="U3659" s="23"/>
    </row>
    <row r="3660">
      <c r="A3660" s="20"/>
      <c r="B3660" s="20"/>
      <c r="C3660" s="30"/>
      <c r="D3660" s="30"/>
      <c r="E3660" s="30"/>
      <c r="F3660" s="22"/>
      <c r="G3660" s="23"/>
      <c r="H3660" s="23"/>
      <c r="I3660" s="23"/>
      <c r="J3660" s="23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</row>
    <row r="3661">
      <c r="A3661" s="20"/>
      <c r="B3661" s="20"/>
      <c r="C3661" s="30"/>
      <c r="D3661" s="30"/>
      <c r="E3661" s="30"/>
      <c r="F3661" s="22"/>
      <c r="G3661" s="23"/>
      <c r="H3661" s="23"/>
      <c r="I3661" s="23"/>
      <c r="J3661" s="23"/>
      <c r="K3661" s="23"/>
      <c r="L3661" s="23"/>
      <c r="M3661" s="23"/>
      <c r="N3661" s="23"/>
      <c r="O3661" s="23"/>
      <c r="P3661" s="23"/>
      <c r="Q3661" s="23"/>
      <c r="R3661" s="23"/>
      <c r="S3661" s="23"/>
      <c r="T3661" s="23"/>
      <c r="U3661" s="23"/>
    </row>
    <row r="3662">
      <c r="A3662" s="20"/>
      <c r="B3662" s="20"/>
      <c r="C3662" s="30"/>
      <c r="D3662" s="30"/>
      <c r="E3662" s="30"/>
      <c r="F3662" s="22"/>
      <c r="G3662" s="23"/>
      <c r="H3662" s="23"/>
      <c r="I3662" s="23"/>
      <c r="J3662" s="23"/>
      <c r="K3662" s="23"/>
      <c r="L3662" s="23"/>
      <c r="M3662" s="23"/>
      <c r="N3662" s="23"/>
      <c r="O3662" s="23"/>
      <c r="P3662" s="23"/>
      <c r="Q3662" s="23"/>
      <c r="R3662" s="23"/>
      <c r="S3662" s="23"/>
      <c r="T3662" s="23"/>
      <c r="U3662" s="23"/>
    </row>
    <row r="3663">
      <c r="A3663" s="20"/>
      <c r="B3663" s="20"/>
      <c r="C3663" s="30"/>
      <c r="D3663" s="30"/>
      <c r="E3663" s="30"/>
      <c r="F3663" s="22"/>
      <c r="G3663" s="23"/>
      <c r="H3663" s="23"/>
      <c r="I3663" s="23"/>
      <c r="J3663" s="23"/>
      <c r="K3663" s="23"/>
      <c r="L3663" s="23"/>
      <c r="M3663" s="23"/>
      <c r="N3663" s="23"/>
      <c r="O3663" s="23"/>
      <c r="P3663" s="23"/>
      <c r="Q3663" s="23"/>
      <c r="R3663" s="23"/>
      <c r="S3663" s="23"/>
      <c r="T3663" s="23"/>
      <c r="U3663" s="23"/>
    </row>
    <row r="3664">
      <c r="A3664" s="20"/>
      <c r="B3664" s="20"/>
      <c r="C3664" s="30"/>
      <c r="D3664" s="30"/>
      <c r="E3664" s="30"/>
      <c r="F3664" s="22"/>
      <c r="G3664" s="23"/>
      <c r="H3664" s="23"/>
      <c r="I3664" s="23"/>
      <c r="J3664" s="23"/>
      <c r="K3664" s="23"/>
      <c r="L3664" s="23"/>
      <c r="M3664" s="23"/>
      <c r="N3664" s="23"/>
      <c r="O3664" s="23"/>
      <c r="P3664" s="23"/>
      <c r="Q3664" s="23"/>
      <c r="R3664" s="23"/>
      <c r="S3664" s="23"/>
      <c r="T3664" s="23"/>
      <c r="U3664" s="23"/>
    </row>
    <row r="3665">
      <c r="A3665" s="20"/>
      <c r="B3665" s="20"/>
      <c r="C3665" s="30"/>
      <c r="D3665" s="30"/>
      <c r="E3665" s="30"/>
      <c r="F3665" s="22"/>
      <c r="G3665" s="23"/>
      <c r="H3665" s="23"/>
      <c r="I3665" s="23"/>
      <c r="J3665" s="23"/>
      <c r="K3665" s="23"/>
      <c r="L3665" s="23"/>
      <c r="M3665" s="23"/>
      <c r="N3665" s="23"/>
      <c r="O3665" s="23"/>
      <c r="P3665" s="23"/>
      <c r="Q3665" s="23"/>
      <c r="R3665" s="23"/>
      <c r="S3665" s="23"/>
      <c r="T3665" s="23"/>
      <c r="U3665" s="23"/>
    </row>
    <row r="3666">
      <c r="A3666" s="20"/>
      <c r="B3666" s="20"/>
      <c r="C3666" s="30"/>
      <c r="D3666" s="30"/>
      <c r="E3666" s="30"/>
      <c r="F3666" s="22"/>
      <c r="G3666" s="23"/>
      <c r="H3666" s="23"/>
      <c r="I3666" s="23"/>
      <c r="J3666" s="23"/>
      <c r="K3666" s="23"/>
      <c r="L3666" s="23"/>
      <c r="M3666" s="23"/>
      <c r="N3666" s="23"/>
      <c r="O3666" s="23"/>
      <c r="P3666" s="23"/>
      <c r="Q3666" s="23"/>
      <c r="R3666" s="23"/>
      <c r="S3666" s="23"/>
      <c r="T3666" s="23"/>
      <c r="U3666" s="23"/>
    </row>
    <row r="3667">
      <c r="A3667" s="20"/>
      <c r="B3667" s="20"/>
      <c r="C3667" s="30"/>
      <c r="D3667" s="30"/>
      <c r="E3667" s="30"/>
      <c r="F3667" s="22"/>
      <c r="G3667" s="23"/>
      <c r="H3667" s="23"/>
      <c r="I3667" s="23"/>
      <c r="J3667" s="23"/>
      <c r="K3667" s="23"/>
      <c r="L3667" s="23"/>
      <c r="M3667" s="23"/>
      <c r="N3667" s="23"/>
      <c r="O3667" s="23"/>
      <c r="P3667" s="23"/>
      <c r="Q3667" s="23"/>
      <c r="R3667" s="23"/>
      <c r="S3667" s="23"/>
      <c r="T3667" s="23"/>
      <c r="U3667" s="23"/>
    </row>
    <row r="3668">
      <c r="A3668" s="20"/>
      <c r="B3668" s="20"/>
      <c r="C3668" s="30"/>
      <c r="D3668" s="30"/>
      <c r="E3668" s="30"/>
      <c r="F3668" s="22"/>
      <c r="G3668" s="23"/>
      <c r="H3668" s="23"/>
      <c r="I3668" s="23"/>
      <c r="J3668" s="23"/>
      <c r="K3668" s="23"/>
      <c r="L3668" s="23"/>
      <c r="M3668" s="23"/>
      <c r="N3668" s="23"/>
      <c r="O3668" s="23"/>
      <c r="P3668" s="23"/>
      <c r="Q3668" s="23"/>
      <c r="R3668" s="23"/>
      <c r="S3668" s="23"/>
      <c r="T3668" s="23"/>
      <c r="U3668" s="23"/>
    </row>
    <row r="3669">
      <c r="A3669" s="20"/>
      <c r="B3669" s="20"/>
      <c r="C3669" s="30"/>
      <c r="D3669" s="30"/>
      <c r="E3669" s="30"/>
      <c r="F3669" s="22"/>
      <c r="G3669" s="23"/>
      <c r="H3669" s="23"/>
      <c r="I3669" s="23"/>
      <c r="J3669" s="23"/>
      <c r="K3669" s="23"/>
      <c r="L3669" s="23"/>
      <c r="M3669" s="23"/>
      <c r="N3669" s="23"/>
      <c r="O3669" s="23"/>
      <c r="P3669" s="23"/>
      <c r="Q3669" s="23"/>
      <c r="R3669" s="23"/>
      <c r="S3669" s="23"/>
      <c r="T3669" s="23"/>
      <c r="U3669" s="23"/>
    </row>
    <row r="3670">
      <c r="A3670" s="20"/>
      <c r="B3670" s="20"/>
      <c r="C3670" s="30"/>
      <c r="D3670" s="30"/>
      <c r="E3670" s="30"/>
      <c r="F3670" s="22"/>
      <c r="G3670" s="23"/>
      <c r="H3670" s="23"/>
      <c r="I3670" s="23"/>
      <c r="J3670" s="23"/>
      <c r="K3670" s="23"/>
      <c r="L3670" s="23"/>
      <c r="M3670" s="23"/>
      <c r="N3670" s="23"/>
      <c r="O3670" s="23"/>
      <c r="P3670" s="23"/>
      <c r="Q3670" s="23"/>
      <c r="R3670" s="23"/>
      <c r="S3670" s="23"/>
      <c r="T3670" s="23"/>
      <c r="U3670" s="23"/>
    </row>
    <row r="3671">
      <c r="A3671" s="20"/>
      <c r="B3671" s="20"/>
      <c r="C3671" s="30"/>
      <c r="D3671" s="30"/>
      <c r="E3671" s="30"/>
      <c r="F3671" s="22"/>
      <c r="G3671" s="23"/>
      <c r="H3671" s="23"/>
      <c r="I3671" s="23"/>
      <c r="J3671" s="23"/>
      <c r="K3671" s="23"/>
      <c r="L3671" s="23"/>
      <c r="M3671" s="23"/>
      <c r="N3671" s="23"/>
      <c r="O3671" s="23"/>
      <c r="P3671" s="23"/>
      <c r="Q3671" s="23"/>
      <c r="R3671" s="23"/>
      <c r="S3671" s="23"/>
      <c r="T3671" s="23"/>
      <c r="U3671" s="23"/>
    </row>
    <row r="3672">
      <c r="A3672" s="20"/>
      <c r="B3672" s="20"/>
      <c r="C3672" s="30"/>
      <c r="D3672" s="30"/>
      <c r="E3672" s="30"/>
      <c r="F3672" s="22"/>
      <c r="G3672" s="23"/>
      <c r="H3672" s="23"/>
      <c r="I3672" s="23"/>
      <c r="J3672" s="23"/>
      <c r="K3672" s="23"/>
      <c r="L3672" s="23"/>
      <c r="M3672" s="23"/>
      <c r="N3672" s="23"/>
      <c r="O3672" s="23"/>
      <c r="P3672" s="23"/>
      <c r="Q3672" s="23"/>
      <c r="R3672" s="23"/>
      <c r="S3672" s="23"/>
      <c r="T3672" s="23"/>
      <c r="U3672" s="23"/>
    </row>
    <row r="3673">
      <c r="A3673" s="20"/>
      <c r="B3673" s="20"/>
      <c r="C3673" s="30"/>
      <c r="D3673" s="30"/>
      <c r="E3673" s="30"/>
      <c r="F3673" s="22"/>
      <c r="G3673" s="23"/>
      <c r="H3673" s="23"/>
      <c r="I3673" s="23"/>
      <c r="J3673" s="23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</row>
    <row r="3674">
      <c r="A3674" s="20"/>
      <c r="B3674" s="20"/>
      <c r="C3674" s="30"/>
      <c r="D3674" s="30"/>
      <c r="E3674" s="30"/>
      <c r="F3674" s="22"/>
      <c r="G3674" s="23"/>
      <c r="H3674" s="23"/>
      <c r="I3674" s="23"/>
      <c r="J3674" s="23"/>
      <c r="K3674" s="23"/>
      <c r="L3674" s="23"/>
      <c r="M3674" s="23"/>
      <c r="N3674" s="23"/>
      <c r="O3674" s="23"/>
      <c r="P3674" s="23"/>
      <c r="Q3674" s="23"/>
      <c r="R3674" s="23"/>
      <c r="S3674" s="23"/>
      <c r="T3674" s="23"/>
      <c r="U3674" s="23"/>
    </row>
    <row r="3675">
      <c r="A3675" s="20"/>
      <c r="B3675" s="20"/>
      <c r="C3675" s="30"/>
      <c r="D3675" s="30"/>
      <c r="E3675" s="30"/>
      <c r="F3675" s="22"/>
      <c r="G3675" s="23"/>
      <c r="H3675" s="23"/>
      <c r="I3675" s="23"/>
      <c r="J3675" s="23"/>
      <c r="K3675" s="23"/>
      <c r="L3675" s="23"/>
      <c r="M3675" s="23"/>
      <c r="N3675" s="23"/>
      <c r="O3675" s="23"/>
      <c r="P3675" s="23"/>
      <c r="Q3675" s="23"/>
      <c r="R3675" s="23"/>
      <c r="S3675" s="23"/>
      <c r="T3675" s="23"/>
      <c r="U3675" s="23"/>
    </row>
    <row r="3676">
      <c r="A3676" s="20"/>
      <c r="B3676" s="20"/>
      <c r="C3676" s="30"/>
      <c r="D3676" s="30"/>
      <c r="E3676" s="30"/>
      <c r="F3676" s="22"/>
      <c r="G3676" s="23"/>
      <c r="H3676" s="23"/>
      <c r="I3676" s="23"/>
      <c r="J3676" s="23"/>
      <c r="K3676" s="23"/>
      <c r="L3676" s="23"/>
      <c r="M3676" s="23"/>
      <c r="N3676" s="23"/>
      <c r="O3676" s="23"/>
      <c r="P3676" s="23"/>
      <c r="Q3676" s="23"/>
      <c r="R3676" s="23"/>
      <c r="S3676" s="23"/>
      <c r="T3676" s="23"/>
      <c r="U3676" s="23"/>
    </row>
    <row r="3677">
      <c r="A3677" s="20"/>
      <c r="B3677" s="20"/>
      <c r="C3677" s="30"/>
      <c r="D3677" s="30"/>
      <c r="E3677" s="30"/>
      <c r="F3677" s="22"/>
      <c r="G3677" s="23"/>
      <c r="H3677" s="23"/>
      <c r="I3677" s="23"/>
      <c r="J3677" s="23"/>
      <c r="K3677" s="23"/>
      <c r="L3677" s="23"/>
      <c r="M3677" s="23"/>
      <c r="N3677" s="23"/>
      <c r="O3677" s="23"/>
      <c r="P3677" s="23"/>
      <c r="Q3677" s="23"/>
      <c r="R3677" s="23"/>
      <c r="S3677" s="23"/>
      <c r="T3677" s="23"/>
      <c r="U3677" s="23"/>
    </row>
    <row r="3678">
      <c r="A3678" s="20"/>
      <c r="B3678" s="20"/>
      <c r="C3678" s="30"/>
      <c r="D3678" s="30"/>
      <c r="E3678" s="30"/>
      <c r="F3678" s="22"/>
      <c r="G3678" s="23"/>
      <c r="H3678" s="23"/>
      <c r="I3678" s="23"/>
      <c r="J3678" s="23"/>
      <c r="K3678" s="23"/>
      <c r="L3678" s="23"/>
      <c r="M3678" s="23"/>
      <c r="N3678" s="23"/>
      <c r="O3678" s="23"/>
      <c r="P3678" s="23"/>
      <c r="Q3678" s="23"/>
      <c r="R3678" s="23"/>
      <c r="S3678" s="23"/>
      <c r="T3678" s="23"/>
      <c r="U3678" s="23"/>
    </row>
    <row r="3679">
      <c r="A3679" s="20"/>
      <c r="B3679" s="20"/>
      <c r="C3679" s="30"/>
      <c r="D3679" s="30"/>
      <c r="E3679" s="30"/>
      <c r="F3679" s="22"/>
      <c r="G3679" s="23"/>
      <c r="H3679" s="23"/>
      <c r="I3679" s="23"/>
      <c r="J3679" s="23"/>
      <c r="K3679" s="23"/>
      <c r="L3679" s="23"/>
      <c r="M3679" s="23"/>
      <c r="N3679" s="23"/>
      <c r="O3679" s="23"/>
      <c r="P3679" s="23"/>
      <c r="Q3679" s="23"/>
      <c r="R3679" s="23"/>
      <c r="S3679" s="23"/>
      <c r="T3679" s="23"/>
      <c r="U3679" s="23"/>
    </row>
    <row r="3680">
      <c r="A3680" s="20"/>
      <c r="B3680" s="20"/>
      <c r="C3680" s="30"/>
      <c r="D3680" s="30"/>
      <c r="E3680" s="30"/>
      <c r="F3680" s="22"/>
      <c r="G3680" s="23"/>
      <c r="H3680" s="23"/>
      <c r="I3680" s="23"/>
      <c r="J3680" s="23"/>
      <c r="K3680" s="23"/>
      <c r="L3680" s="23"/>
      <c r="M3680" s="23"/>
      <c r="N3680" s="23"/>
      <c r="O3680" s="23"/>
      <c r="P3680" s="23"/>
      <c r="Q3680" s="23"/>
      <c r="R3680" s="23"/>
      <c r="S3680" s="23"/>
      <c r="T3680" s="23"/>
      <c r="U3680" s="23"/>
    </row>
    <row r="3681">
      <c r="A3681" s="20"/>
      <c r="B3681" s="20"/>
      <c r="C3681" s="30"/>
      <c r="D3681" s="30"/>
      <c r="E3681" s="30"/>
      <c r="F3681" s="22"/>
      <c r="G3681" s="23"/>
      <c r="H3681" s="23"/>
      <c r="I3681" s="23"/>
      <c r="J3681" s="23"/>
      <c r="K3681" s="23"/>
      <c r="L3681" s="23"/>
      <c r="M3681" s="23"/>
      <c r="N3681" s="23"/>
      <c r="O3681" s="23"/>
      <c r="P3681" s="23"/>
      <c r="Q3681" s="23"/>
      <c r="R3681" s="23"/>
      <c r="S3681" s="23"/>
      <c r="T3681" s="23"/>
      <c r="U3681" s="23"/>
    </row>
    <row r="3682">
      <c r="A3682" s="20"/>
      <c r="B3682" s="20"/>
      <c r="C3682" s="30"/>
      <c r="D3682" s="30"/>
      <c r="E3682" s="30"/>
      <c r="F3682" s="22"/>
      <c r="G3682" s="23"/>
      <c r="H3682" s="23"/>
      <c r="I3682" s="23"/>
      <c r="J3682" s="23"/>
      <c r="K3682" s="23"/>
      <c r="L3682" s="23"/>
      <c r="M3682" s="23"/>
      <c r="N3682" s="23"/>
      <c r="O3682" s="23"/>
      <c r="P3682" s="23"/>
      <c r="Q3682" s="23"/>
      <c r="R3682" s="23"/>
      <c r="S3682" s="23"/>
      <c r="T3682" s="23"/>
      <c r="U3682" s="23"/>
    </row>
    <row r="3683">
      <c r="A3683" s="20"/>
      <c r="B3683" s="20"/>
      <c r="C3683" s="30"/>
      <c r="D3683" s="30"/>
      <c r="E3683" s="30"/>
      <c r="F3683" s="22"/>
      <c r="G3683" s="23"/>
      <c r="H3683" s="23"/>
      <c r="I3683" s="23"/>
      <c r="J3683" s="23"/>
      <c r="K3683" s="23"/>
      <c r="L3683" s="23"/>
      <c r="M3683" s="23"/>
      <c r="N3683" s="23"/>
      <c r="O3683" s="23"/>
      <c r="P3683" s="23"/>
      <c r="Q3683" s="23"/>
      <c r="R3683" s="23"/>
      <c r="S3683" s="23"/>
      <c r="T3683" s="23"/>
      <c r="U3683" s="23"/>
    </row>
    <row r="3684">
      <c r="A3684" s="20"/>
      <c r="B3684" s="20"/>
      <c r="C3684" s="30"/>
      <c r="D3684" s="30"/>
      <c r="E3684" s="30"/>
      <c r="F3684" s="22"/>
      <c r="G3684" s="23"/>
      <c r="H3684" s="23"/>
      <c r="I3684" s="23"/>
      <c r="J3684" s="23"/>
      <c r="K3684" s="23"/>
      <c r="L3684" s="23"/>
      <c r="M3684" s="23"/>
      <c r="N3684" s="23"/>
      <c r="O3684" s="23"/>
      <c r="P3684" s="23"/>
      <c r="Q3684" s="23"/>
      <c r="R3684" s="23"/>
      <c r="S3684" s="23"/>
      <c r="T3684" s="23"/>
      <c r="U3684" s="23"/>
    </row>
    <row r="3685">
      <c r="A3685" s="20"/>
      <c r="B3685" s="20"/>
      <c r="C3685" s="30"/>
      <c r="D3685" s="30"/>
      <c r="E3685" s="30"/>
      <c r="F3685" s="22"/>
      <c r="G3685" s="23"/>
      <c r="H3685" s="23"/>
      <c r="I3685" s="23"/>
      <c r="J3685" s="23"/>
      <c r="K3685" s="23"/>
      <c r="L3685" s="23"/>
      <c r="M3685" s="23"/>
      <c r="N3685" s="23"/>
      <c r="O3685" s="23"/>
      <c r="P3685" s="23"/>
      <c r="Q3685" s="23"/>
      <c r="R3685" s="23"/>
      <c r="S3685" s="23"/>
      <c r="T3685" s="23"/>
      <c r="U3685" s="23"/>
    </row>
    <row r="3686">
      <c r="A3686" s="20"/>
      <c r="B3686" s="20"/>
      <c r="C3686" s="30"/>
      <c r="D3686" s="30"/>
      <c r="E3686" s="30"/>
      <c r="F3686" s="22"/>
      <c r="G3686" s="23"/>
      <c r="H3686" s="23"/>
      <c r="I3686" s="23"/>
      <c r="J3686" s="23"/>
      <c r="K3686" s="23"/>
      <c r="L3686" s="23"/>
      <c r="M3686" s="23"/>
      <c r="N3686" s="23"/>
      <c r="O3686" s="23"/>
      <c r="P3686" s="23"/>
      <c r="Q3686" s="23"/>
      <c r="R3686" s="23"/>
      <c r="S3686" s="23"/>
      <c r="T3686" s="23"/>
      <c r="U3686" s="23"/>
    </row>
    <row r="3687">
      <c r="A3687" s="20"/>
      <c r="B3687" s="20"/>
      <c r="C3687" s="30"/>
      <c r="D3687" s="30"/>
      <c r="E3687" s="30"/>
      <c r="F3687" s="22"/>
      <c r="G3687" s="23"/>
      <c r="H3687" s="23"/>
      <c r="I3687" s="23"/>
      <c r="J3687" s="23"/>
      <c r="K3687" s="23"/>
      <c r="L3687" s="23"/>
      <c r="M3687" s="23"/>
      <c r="N3687" s="23"/>
      <c r="O3687" s="23"/>
      <c r="P3687" s="23"/>
      <c r="Q3687" s="23"/>
      <c r="R3687" s="23"/>
      <c r="S3687" s="23"/>
      <c r="T3687" s="23"/>
      <c r="U3687" s="23"/>
    </row>
    <row r="3688">
      <c r="A3688" s="20"/>
      <c r="B3688" s="20"/>
      <c r="C3688" s="30"/>
      <c r="D3688" s="30"/>
      <c r="E3688" s="30"/>
      <c r="F3688" s="22"/>
      <c r="G3688" s="23"/>
      <c r="H3688" s="23"/>
      <c r="I3688" s="23"/>
      <c r="J3688" s="23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</row>
    <row r="3689">
      <c r="A3689" s="20"/>
      <c r="B3689" s="20"/>
      <c r="C3689" s="30"/>
      <c r="D3689" s="30"/>
      <c r="E3689" s="30"/>
      <c r="F3689" s="22"/>
      <c r="G3689" s="23"/>
      <c r="H3689" s="23"/>
      <c r="I3689" s="23"/>
      <c r="J3689" s="23"/>
      <c r="K3689" s="23"/>
      <c r="L3689" s="23"/>
      <c r="M3689" s="23"/>
      <c r="N3689" s="23"/>
      <c r="O3689" s="23"/>
      <c r="P3689" s="23"/>
      <c r="Q3689" s="23"/>
      <c r="R3689" s="23"/>
      <c r="S3689" s="23"/>
      <c r="T3689" s="23"/>
      <c r="U3689" s="23"/>
    </row>
    <row r="3690">
      <c r="A3690" s="20"/>
      <c r="B3690" s="20"/>
      <c r="C3690" s="30"/>
      <c r="D3690" s="30"/>
      <c r="E3690" s="30"/>
      <c r="F3690" s="22"/>
      <c r="G3690" s="23"/>
      <c r="H3690" s="23"/>
      <c r="I3690" s="23"/>
      <c r="J3690" s="23"/>
      <c r="K3690" s="23"/>
      <c r="L3690" s="23"/>
      <c r="M3690" s="23"/>
      <c r="N3690" s="23"/>
      <c r="O3690" s="23"/>
      <c r="P3690" s="23"/>
      <c r="Q3690" s="23"/>
      <c r="R3690" s="23"/>
      <c r="S3690" s="23"/>
      <c r="T3690" s="23"/>
      <c r="U3690" s="23"/>
    </row>
    <row r="3691">
      <c r="A3691" s="20"/>
      <c r="B3691" s="20"/>
      <c r="C3691" s="30"/>
      <c r="D3691" s="30"/>
      <c r="E3691" s="30"/>
      <c r="F3691" s="22"/>
      <c r="G3691" s="23"/>
      <c r="H3691" s="23"/>
      <c r="I3691" s="23"/>
      <c r="J3691" s="23"/>
      <c r="K3691" s="23"/>
      <c r="L3691" s="23"/>
      <c r="M3691" s="23"/>
      <c r="N3691" s="23"/>
      <c r="O3691" s="23"/>
      <c r="P3691" s="23"/>
      <c r="Q3691" s="23"/>
      <c r="R3691" s="23"/>
      <c r="S3691" s="23"/>
      <c r="T3691" s="23"/>
      <c r="U3691" s="23"/>
    </row>
    <row r="3692">
      <c r="A3692" s="20"/>
      <c r="B3692" s="20"/>
      <c r="C3692" s="30"/>
      <c r="D3692" s="30"/>
      <c r="E3692" s="30"/>
      <c r="F3692" s="22"/>
      <c r="G3692" s="23"/>
      <c r="H3692" s="23"/>
      <c r="I3692" s="23"/>
      <c r="J3692" s="23"/>
      <c r="K3692" s="23"/>
      <c r="L3692" s="23"/>
      <c r="M3692" s="23"/>
      <c r="N3692" s="23"/>
      <c r="O3692" s="23"/>
      <c r="P3692" s="23"/>
      <c r="Q3692" s="23"/>
      <c r="R3692" s="23"/>
      <c r="S3692" s="23"/>
      <c r="T3692" s="23"/>
      <c r="U3692" s="23"/>
    </row>
    <row r="3693">
      <c r="A3693" s="20"/>
      <c r="B3693" s="20"/>
      <c r="C3693" s="30"/>
      <c r="D3693" s="30"/>
      <c r="E3693" s="30"/>
      <c r="F3693" s="22"/>
      <c r="G3693" s="23"/>
      <c r="H3693" s="23"/>
      <c r="I3693" s="23"/>
      <c r="J3693" s="23"/>
      <c r="K3693" s="23"/>
      <c r="L3693" s="23"/>
      <c r="M3693" s="23"/>
      <c r="N3693" s="23"/>
      <c r="O3693" s="23"/>
      <c r="P3693" s="23"/>
      <c r="Q3693" s="23"/>
      <c r="R3693" s="23"/>
      <c r="S3693" s="23"/>
      <c r="T3693" s="23"/>
      <c r="U3693" s="23"/>
    </row>
    <row r="3694">
      <c r="A3694" s="20"/>
      <c r="B3694" s="20"/>
      <c r="C3694" s="30"/>
      <c r="D3694" s="30"/>
      <c r="E3694" s="30"/>
      <c r="F3694" s="22"/>
      <c r="G3694" s="23"/>
      <c r="H3694" s="23"/>
      <c r="I3694" s="23"/>
      <c r="J3694" s="23"/>
      <c r="K3694" s="23"/>
      <c r="L3694" s="23"/>
      <c r="M3694" s="23"/>
      <c r="N3694" s="23"/>
      <c r="O3694" s="23"/>
      <c r="P3694" s="23"/>
      <c r="Q3694" s="23"/>
      <c r="R3694" s="23"/>
      <c r="S3694" s="23"/>
      <c r="T3694" s="23"/>
      <c r="U3694" s="23"/>
    </row>
    <row r="3695">
      <c r="A3695" s="20"/>
      <c r="B3695" s="20"/>
      <c r="C3695" s="30"/>
      <c r="D3695" s="30"/>
      <c r="E3695" s="30"/>
      <c r="F3695" s="22"/>
      <c r="G3695" s="23"/>
      <c r="H3695" s="23"/>
      <c r="I3695" s="23"/>
      <c r="J3695" s="23"/>
      <c r="K3695" s="23"/>
      <c r="L3695" s="23"/>
      <c r="M3695" s="23"/>
      <c r="N3695" s="23"/>
      <c r="O3695" s="23"/>
      <c r="P3695" s="23"/>
      <c r="Q3695" s="23"/>
      <c r="R3695" s="23"/>
      <c r="S3695" s="23"/>
      <c r="T3695" s="23"/>
      <c r="U3695" s="23"/>
    </row>
    <row r="3696">
      <c r="A3696" s="20"/>
      <c r="B3696" s="20"/>
      <c r="C3696" s="30"/>
      <c r="D3696" s="30"/>
      <c r="E3696" s="30"/>
      <c r="F3696" s="22"/>
      <c r="G3696" s="23"/>
      <c r="H3696" s="23"/>
      <c r="I3696" s="23"/>
      <c r="J3696" s="23"/>
      <c r="K3696" s="23"/>
      <c r="L3696" s="23"/>
      <c r="M3696" s="23"/>
      <c r="N3696" s="23"/>
      <c r="O3696" s="23"/>
      <c r="P3696" s="23"/>
      <c r="Q3696" s="23"/>
      <c r="R3696" s="23"/>
      <c r="S3696" s="23"/>
      <c r="T3696" s="23"/>
      <c r="U3696" s="23"/>
    </row>
    <row r="3697">
      <c r="A3697" s="20"/>
      <c r="B3697" s="20"/>
      <c r="C3697" s="30"/>
      <c r="D3697" s="30"/>
      <c r="E3697" s="30"/>
      <c r="F3697" s="22"/>
      <c r="G3697" s="23"/>
      <c r="H3697" s="23"/>
      <c r="I3697" s="23"/>
      <c r="J3697" s="23"/>
      <c r="K3697" s="23"/>
      <c r="L3697" s="23"/>
      <c r="M3697" s="23"/>
      <c r="N3697" s="23"/>
      <c r="O3697" s="23"/>
      <c r="P3697" s="23"/>
      <c r="Q3697" s="23"/>
      <c r="R3697" s="23"/>
      <c r="S3697" s="23"/>
      <c r="T3697" s="23"/>
      <c r="U3697" s="23"/>
    </row>
    <row r="3698">
      <c r="A3698" s="20"/>
      <c r="B3698" s="20"/>
      <c r="C3698" s="30"/>
      <c r="D3698" s="30"/>
      <c r="E3698" s="30"/>
      <c r="F3698" s="22"/>
      <c r="G3698" s="23"/>
      <c r="H3698" s="23"/>
      <c r="I3698" s="23"/>
      <c r="J3698" s="23"/>
      <c r="K3698" s="23"/>
      <c r="L3698" s="23"/>
      <c r="M3698" s="23"/>
      <c r="N3698" s="23"/>
      <c r="O3698" s="23"/>
      <c r="P3698" s="23"/>
      <c r="Q3698" s="23"/>
      <c r="R3698" s="23"/>
      <c r="S3698" s="23"/>
      <c r="T3698" s="23"/>
      <c r="U3698" s="23"/>
    </row>
    <row r="3699">
      <c r="A3699" s="20"/>
      <c r="B3699" s="20"/>
      <c r="C3699" s="30"/>
      <c r="D3699" s="30"/>
      <c r="E3699" s="30"/>
      <c r="F3699" s="22"/>
      <c r="G3699" s="23"/>
      <c r="H3699" s="23"/>
      <c r="I3699" s="23"/>
      <c r="J3699" s="23"/>
      <c r="K3699" s="23"/>
      <c r="L3699" s="23"/>
      <c r="M3699" s="23"/>
      <c r="N3699" s="23"/>
      <c r="O3699" s="23"/>
      <c r="P3699" s="23"/>
      <c r="Q3699" s="23"/>
      <c r="R3699" s="23"/>
      <c r="S3699" s="23"/>
      <c r="T3699" s="23"/>
      <c r="U3699" s="23"/>
    </row>
    <row r="3700">
      <c r="A3700" s="20"/>
      <c r="B3700" s="20"/>
      <c r="C3700" s="30"/>
      <c r="D3700" s="30"/>
      <c r="E3700" s="30"/>
      <c r="F3700" s="22"/>
      <c r="G3700" s="23"/>
      <c r="H3700" s="23"/>
      <c r="I3700" s="23"/>
      <c r="J3700" s="23"/>
      <c r="K3700" s="23"/>
      <c r="L3700" s="23"/>
      <c r="M3700" s="23"/>
      <c r="N3700" s="23"/>
      <c r="O3700" s="23"/>
      <c r="P3700" s="23"/>
      <c r="Q3700" s="23"/>
      <c r="R3700" s="23"/>
      <c r="S3700" s="23"/>
      <c r="T3700" s="23"/>
      <c r="U3700" s="23"/>
    </row>
    <row r="3701">
      <c r="A3701" s="20"/>
      <c r="B3701" s="20"/>
      <c r="C3701" s="30"/>
      <c r="D3701" s="30"/>
      <c r="E3701" s="30"/>
      <c r="F3701" s="22"/>
      <c r="G3701" s="23"/>
      <c r="H3701" s="23"/>
      <c r="I3701" s="23"/>
      <c r="J3701" s="23"/>
      <c r="K3701" s="23"/>
      <c r="L3701" s="23"/>
      <c r="M3701" s="23"/>
      <c r="N3701" s="23"/>
      <c r="O3701" s="23"/>
      <c r="P3701" s="23"/>
      <c r="Q3701" s="23"/>
      <c r="R3701" s="23"/>
      <c r="S3701" s="23"/>
      <c r="T3701" s="23"/>
      <c r="U3701" s="23"/>
    </row>
    <row r="3702">
      <c r="A3702" s="20"/>
      <c r="B3702" s="20"/>
      <c r="C3702" s="30"/>
      <c r="D3702" s="30"/>
      <c r="E3702" s="30"/>
      <c r="F3702" s="22"/>
      <c r="G3702" s="23"/>
      <c r="H3702" s="23"/>
      <c r="I3702" s="23"/>
      <c r="J3702" s="23"/>
      <c r="K3702" s="23"/>
      <c r="L3702" s="23"/>
      <c r="M3702" s="23"/>
      <c r="N3702" s="23"/>
      <c r="O3702" s="23"/>
      <c r="P3702" s="23"/>
      <c r="Q3702" s="23"/>
      <c r="R3702" s="23"/>
      <c r="S3702" s="23"/>
      <c r="T3702" s="23"/>
      <c r="U3702" s="23"/>
    </row>
    <row r="3703">
      <c r="A3703" s="20"/>
      <c r="B3703" s="20"/>
      <c r="C3703" s="30"/>
      <c r="D3703" s="30"/>
      <c r="E3703" s="30"/>
      <c r="F3703" s="22"/>
      <c r="G3703" s="23"/>
      <c r="H3703" s="23"/>
      <c r="I3703" s="23"/>
      <c r="J3703" s="23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</row>
    <row r="3704">
      <c r="A3704" s="20"/>
      <c r="B3704" s="20"/>
      <c r="C3704" s="30"/>
      <c r="D3704" s="30"/>
      <c r="E3704" s="30"/>
      <c r="F3704" s="22"/>
      <c r="G3704" s="23"/>
      <c r="H3704" s="23"/>
      <c r="I3704" s="23"/>
      <c r="J3704" s="23"/>
      <c r="K3704" s="23"/>
      <c r="L3704" s="23"/>
      <c r="M3704" s="23"/>
      <c r="N3704" s="23"/>
      <c r="O3704" s="23"/>
      <c r="P3704" s="23"/>
      <c r="Q3704" s="23"/>
      <c r="R3704" s="23"/>
      <c r="S3704" s="23"/>
      <c r="T3704" s="23"/>
      <c r="U3704" s="23"/>
    </row>
    <row r="3705">
      <c r="A3705" s="20"/>
      <c r="B3705" s="20"/>
      <c r="C3705" s="30"/>
      <c r="D3705" s="30"/>
      <c r="E3705" s="30"/>
      <c r="F3705" s="22"/>
      <c r="G3705" s="23"/>
      <c r="H3705" s="23"/>
      <c r="I3705" s="23"/>
      <c r="J3705" s="23"/>
      <c r="K3705" s="23"/>
      <c r="L3705" s="23"/>
      <c r="M3705" s="23"/>
      <c r="N3705" s="23"/>
      <c r="O3705" s="23"/>
      <c r="P3705" s="23"/>
      <c r="Q3705" s="23"/>
      <c r="R3705" s="23"/>
      <c r="S3705" s="23"/>
      <c r="T3705" s="23"/>
      <c r="U3705" s="23"/>
    </row>
    <row r="3706">
      <c r="A3706" s="20"/>
      <c r="B3706" s="20"/>
      <c r="C3706" s="30"/>
      <c r="D3706" s="30"/>
      <c r="E3706" s="30"/>
      <c r="F3706" s="22"/>
      <c r="G3706" s="23"/>
      <c r="H3706" s="23"/>
      <c r="I3706" s="23"/>
      <c r="J3706" s="23"/>
      <c r="K3706" s="23"/>
      <c r="L3706" s="23"/>
      <c r="M3706" s="23"/>
      <c r="N3706" s="23"/>
      <c r="O3706" s="23"/>
      <c r="P3706" s="23"/>
      <c r="Q3706" s="23"/>
      <c r="R3706" s="23"/>
      <c r="S3706" s="23"/>
      <c r="T3706" s="23"/>
      <c r="U3706" s="23"/>
    </row>
    <row r="3707">
      <c r="A3707" s="20"/>
      <c r="B3707" s="20"/>
      <c r="C3707" s="30"/>
      <c r="D3707" s="30"/>
      <c r="E3707" s="30"/>
      <c r="F3707" s="22"/>
      <c r="G3707" s="23"/>
      <c r="H3707" s="23"/>
      <c r="I3707" s="23"/>
      <c r="J3707" s="23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</row>
    <row r="3708">
      <c r="A3708" s="20"/>
      <c r="B3708" s="20"/>
      <c r="C3708" s="30"/>
      <c r="D3708" s="30"/>
      <c r="E3708" s="30"/>
      <c r="F3708" s="22"/>
      <c r="G3708" s="23"/>
      <c r="H3708" s="23"/>
      <c r="I3708" s="23"/>
      <c r="J3708" s="23"/>
      <c r="K3708" s="23"/>
      <c r="L3708" s="23"/>
      <c r="M3708" s="23"/>
      <c r="N3708" s="23"/>
      <c r="O3708" s="23"/>
      <c r="P3708" s="23"/>
      <c r="Q3708" s="23"/>
      <c r="R3708" s="23"/>
      <c r="S3708" s="23"/>
      <c r="T3708" s="23"/>
      <c r="U3708" s="23"/>
    </row>
    <row r="3709">
      <c r="A3709" s="20"/>
      <c r="B3709" s="20"/>
      <c r="C3709" s="30"/>
      <c r="D3709" s="30"/>
      <c r="E3709" s="30"/>
      <c r="F3709" s="22"/>
      <c r="G3709" s="23"/>
      <c r="H3709" s="23"/>
      <c r="I3709" s="23"/>
      <c r="J3709" s="23"/>
      <c r="K3709" s="23"/>
      <c r="L3709" s="23"/>
      <c r="M3709" s="23"/>
      <c r="N3709" s="23"/>
      <c r="O3709" s="23"/>
      <c r="P3709" s="23"/>
      <c r="Q3709" s="23"/>
      <c r="R3709" s="23"/>
      <c r="S3709" s="23"/>
      <c r="T3709" s="23"/>
      <c r="U3709" s="23"/>
    </row>
    <row r="3710">
      <c r="A3710" s="20"/>
      <c r="B3710" s="20"/>
      <c r="C3710" s="30"/>
      <c r="D3710" s="30"/>
      <c r="E3710" s="30"/>
      <c r="F3710" s="22"/>
      <c r="G3710" s="23"/>
      <c r="H3710" s="23"/>
      <c r="I3710" s="23"/>
      <c r="J3710" s="23"/>
      <c r="K3710" s="23"/>
      <c r="L3710" s="23"/>
      <c r="M3710" s="23"/>
      <c r="N3710" s="23"/>
      <c r="O3710" s="23"/>
      <c r="P3710" s="23"/>
      <c r="Q3710" s="23"/>
      <c r="R3710" s="23"/>
      <c r="S3710" s="23"/>
      <c r="T3710" s="23"/>
      <c r="U3710" s="23"/>
    </row>
    <row r="3711">
      <c r="A3711" s="20"/>
      <c r="B3711" s="20"/>
      <c r="C3711" s="30"/>
      <c r="D3711" s="30"/>
      <c r="E3711" s="30"/>
      <c r="F3711" s="22"/>
      <c r="G3711" s="23"/>
      <c r="H3711" s="23"/>
      <c r="I3711" s="23"/>
      <c r="J3711" s="23"/>
      <c r="K3711" s="23"/>
      <c r="L3711" s="23"/>
      <c r="M3711" s="23"/>
      <c r="N3711" s="23"/>
      <c r="O3711" s="23"/>
      <c r="P3711" s="23"/>
      <c r="Q3711" s="23"/>
      <c r="R3711" s="23"/>
      <c r="S3711" s="23"/>
      <c r="T3711" s="23"/>
      <c r="U3711" s="23"/>
    </row>
    <row r="3712">
      <c r="A3712" s="20"/>
      <c r="B3712" s="20"/>
      <c r="C3712" s="30"/>
      <c r="D3712" s="30"/>
      <c r="E3712" s="30"/>
      <c r="F3712" s="22"/>
      <c r="G3712" s="23"/>
      <c r="H3712" s="23"/>
      <c r="I3712" s="23"/>
      <c r="J3712" s="23"/>
      <c r="K3712" s="23"/>
      <c r="L3712" s="23"/>
      <c r="M3712" s="23"/>
      <c r="N3712" s="23"/>
      <c r="O3712" s="23"/>
      <c r="P3712" s="23"/>
      <c r="Q3712" s="23"/>
      <c r="R3712" s="23"/>
      <c r="S3712" s="23"/>
      <c r="T3712" s="23"/>
      <c r="U3712" s="23"/>
    </row>
    <row r="3713">
      <c r="A3713" s="20"/>
      <c r="B3713" s="20"/>
      <c r="C3713" s="30"/>
      <c r="D3713" s="30"/>
      <c r="E3713" s="30"/>
      <c r="F3713" s="22"/>
      <c r="G3713" s="23"/>
      <c r="H3713" s="23"/>
      <c r="I3713" s="23"/>
      <c r="J3713" s="23"/>
      <c r="K3713" s="23"/>
      <c r="L3713" s="23"/>
      <c r="M3713" s="23"/>
      <c r="N3713" s="23"/>
      <c r="O3713" s="23"/>
      <c r="P3713" s="23"/>
      <c r="Q3713" s="23"/>
      <c r="R3713" s="23"/>
      <c r="S3713" s="23"/>
      <c r="T3713" s="23"/>
      <c r="U3713" s="23"/>
    </row>
    <row r="3714">
      <c r="A3714" s="20"/>
      <c r="B3714" s="20"/>
      <c r="C3714" s="30"/>
      <c r="D3714" s="30"/>
      <c r="E3714" s="30"/>
      <c r="F3714" s="22"/>
      <c r="G3714" s="23"/>
      <c r="H3714" s="23"/>
      <c r="I3714" s="23"/>
      <c r="J3714" s="23"/>
      <c r="K3714" s="23"/>
      <c r="L3714" s="23"/>
      <c r="M3714" s="23"/>
      <c r="N3714" s="23"/>
      <c r="O3714" s="23"/>
      <c r="P3714" s="23"/>
      <c r="Q3714" s="23"/>
      <c r="R3714" s="23"/>
      <c r="S3714" s="23"/>
      <c r="T3714" s="23"/>
      <c r="U3714" s="23"/>
    </row>
    <row r="3715">
      <c r="A3715" s="20"/>
      <c r="B3715" s="20"/>
      <c r="C3715" s="30"/>
      <c r="D3715" s="30"/>
      <c r="E3715" s="30"/>
      <c r="F3715" s="22"/>
      <c r="G3715" s="23"/>
      <c r="H3715" s="23"/>
      <c r="I3715" s="23"/>
      <c r="J3715" s="23"/>
      <c r="K3715" s="23"/>
      <c r="L3715" s="23"/>
      <c r="M3715" s="23"/>
      <c r="N3715" s="23"/>
      <c r="O3715" s="23"/>
      <c r="P3715" s="23"/>
      <c r="Q3715" s="23"/>
      <c r="R3715" s="23"/>
      <c r="S3715" s="23"/>
      <c r="T3715" s="23"/>
      <c r="U3715" s="23"/>
    </row>
    <row r="3716">
      <c r="A3716" s="20"/>
      <c r="B3716" s="20"/>
      <c r="C3716" s="30"/>
      <c r="D3716" s="30"/>
      <c r="E3716" s="30"/>
      <c r="F3716" s="22"/>
      <c r="G3716" s="23"/>
      <c r="H3716" s="23"/>
      <c r="I3716" s="23"/>
      <c r="J3716" s="23"/>
      <c r="K3716" s="23"/>
      <c r="L3716" s="23"/>
      <c r="M3716" s="23"/>
      <c r="N3716" s="23"/>
      <c r="O3716" s="23"/>
      <c r="P3716" s="23"/>
      <c r="Q3716" s="23"/>
      <c r="R3716" s="23"/>
      <c r="S3716" s="23"/>
      <c r="T3716" s="23"/>
      <c r="U3716" s="23"/>
    </row>
    <row r="3717">
      <c r="A3717" s="20"/>
      <c r="B3717" s="20"/>
      <c r="C3717" s="30"/>
      <c r="D3717" s="30"/>
      <c r="E3717" s="30"/>
      <c r="F3717" s="22"/>
      <c r="G3717" s="23"/>
      <c r="H3717" s="23"/>
      <c r="I3717" s="23"/>
      <c r="J3717" s="23"/>
      <c r="K3717" s="23"/>
      <c r="L3717" s="23"/>
      <c r="M3717" s="23"/>
      <c r="N3717" s="23"/>
      <c r="O3717" s="23"/>
      <c r="P3717" s="23"/>
      <c r="Q3717" s="23"/>
      <c r="R3717" s="23"/>
      <c r="S3717" s="23"/>
      <c r="T3717" s="23"/>
      <c r="U3717" s="23"/>
    </row>
    <row r="3718">
      <c r="A3718" s="20"/>
      <c r="B3718" s="20"/>
      <c r="C3718" s="30"/>
      <c r="D3718" s="30"/>
      <c r="E3718" s="30"/>
      <c r="F3718" s="22"/>
      <c r="G3718" s="23"/>
      <c r="H3718" s="23"/>
      <c r="I3718" s="23"/>
      <c r="J3718" s="23"/>
      <c r="K3718" s="23"/>
      <c r="L3718" s="23"/>
      <c r="M3718" s="23"/>
      <c r="N3718" s="23"/>
      <c r="O3718" s="23"/>
      <c r="P3718" s="23"/>
      <c r="Q3718" s="23"/>
      <c r="R3718" s="23"/>
      <c r="S3718" s="23"/>
      <c r="T3718" s="23"/>
      <c r="U3718" s="23"/>
    </row>
    <row r="3719">
      <c r="A3719" s="20"/>
      <c r="B3719" s="20"/>
      <c r="C3719" s="30"/>
      <c r="D3719" s="30"/>
      <c r="E3719" s="30"/>
      <c r="F3719" s="22"/>
      <c r="G3719" s="23"/>
      <c r="H3719" s="23"/>
      <c r="I3719" s="23"/>
      <c r="J3719" s="23"/>
      <c r="K3719" s="23"/>
      <c r="L3719" s="23"/>
      <c r="M3719" s="23"/>
      <c r="N3719" s="23"/>
      <c r="O3719" s="23"/>
      <c r="P3719" s="23"/>
      <c r="Q3719" s="23"/>
      <c r="R3719" s="23"/>
      <c r="S3719" s="23"/>
      <c r="T3719" s="23"/>
      <c r="U3719" s="23"/>
    </row>
    <row r="3720">
      <c r="A3720" s="20"/>
      <c r="B3720" s="20"/>
      <c r="C3720" s="30"/>
      <c r="D3720" s="30"/>
      <c r="E3720" s="30"/>
      <c r="F3720" s="22"/>
      <c r="G3720" s="23"/>
      <c r="H3720" s="23"/>
      <c r="I3720" s="23"/>
      <c r="J3720" s="23"/>
      <c r="K3720" s="23"/>
      <c r="L3720" s="23"/>
      <c r="M3720" s="23"/>
      <c r="N3720" s="23"/>
      <c r="O3720" s="23"/>
      <c r="P3720" s="23"/>
      <c r="Q3720" s="23"/>
      <c r="R3720" s="23"/>
      <c r="S3720" s="23"/>
      <c r="T3720" s="23"/>
      <c r="U3720" s="23"/>
    </row>
    <row r="3721">
      <c r="A3721" s="20"/>
      <c r="B3721" s="20"/>
      <c r="C3721" s="30"/>
      <c r="D3721" s="30"/>
      <c r="E3721" s="30"/>
      <c r="F3721" s="22"/>
      <c r="G3721" s="23"/>
      <c r="H3721" s="23"/>
      <c r="I3721" s="23"/>
      <c r="J3721" s="23"/>
      <c r="K3721" s="23"/>
      <c r="L3721" s="23"/>
      <c r="M3721" s="23"/>
      <c r="N3721" s="23"/>
      <c r="O3721" s="23"/>
      <c r="P3721" s="23"/>
      <c r="Q3721" s="23"/>
      <c r="R3721" s="23"/>
      <c r="S3721" s="23"/>
      <c r="T3721" s="23"/>
      <c r="U3721" s="23"/>
    </row>
    <row r="3722">
      <c r="A3722" s="20"/>
      <c r="B3722" s="20"/>
      <c r="C3722" s="30"/>
      <c r="D3722" s="30"/>
      <c r="E3722" s="30"/>
      <c r="F3722" s="22"/>
      <c r="G3722" s="23"/>
      <c r="H3722" s="23"/>
      <c r="I3722" s="23"/>
      <c r="J3722" s="23"/>
      <c r="K3722" s="23"/>
      <c r="L3722" s="23"/>
      <c r="M3722" s="23"/>
      <c r="N3722" s="23"/>
      <c r="O3722" s="23"/>
      <c r="P3722" s="23"/>
      <c r="Q3722" s="23"/>
      <c r="R3722" s="23"/>
      <c r="S3722" s="23"/>
      <c r="T3722" s="23"/>
      <c r="U3722" s="23"/>
    </row>
    <row r="3723">
      <c r="A3723" s="20"/>
      <c r="B3723" s="20"/>
      <c r="C3723" s="30"/>
      <c r="D3723" s="30"/>
      <c r="E3723" s="30"/>
      <c r="F3723" s="22"/>
      <c r="G3723" s="23"/>
      <c r="H3723" s="23"/>
      <c r="I3723" s="23"/>
      <c r="J3723" s="23"/>
      <c r="K3723" s="23"/>
      <c r="L3723" s="23"/>
      <c r="M3723" s="23"/>
      <c r="N3723" s="23"/>
      <c r="O3723" s="23"/>
      <c r="P3723" s="23"/>
      <c r="Q3723" s="23"/>
      <c r="R3723" s="23"/>
      <c r="S3723" s="23"/>
      <c r="T3723" s="23"/>
      <c r="U3723" s="23"/>
    </row>
    <row r="3724">
      <c r="A3724" s="20"/>
      <c r="B3724" s="20"/>
      <c r="C3724" s="30"/>
      <c r="D3724" s="30"/>
      <c r="E3724" s="30"/>
      <c r="F3724" s="22"/>
      <c r="G3724" s="23"/>
      <c r="H3724" s="23"/>
      <c r="I3724" s="23"/>
      <c r="J3724" s="23"/>
      <c r="K3724" s="23"/>
      <c r="L3724" s="23"/>
      <c r="M3724" s="23"/>
      <c r="N3724" s="23"/>
      <c r="O3724" s="23"/>
      <c r="P3724" s="23"/>
      <c r="Q3724" s="23"/>
      <c r="R3724" s="23"/>
      <c r="S3724" s="23"/>
      <c r="T3724" s="23"/>
      <c r="U3724" s="23"/>
    </row>
    <row r="3725">
      <c r="A3725" s="20"/>
      <c r="B3725" s="20"/>
      <c r="C3725" s="30"/>
      <c r="D3725" s="30"/>
      <c r="E3725" s="30"/>
      <c r="F3725" s="22"/>
      <c r="G3725" s="23"/>
      <c r="H3725" s="23"/>
      <c r="I3725" s="23"/>
      <c r="J3725" s="23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</row>
    <row r="3726">
      <c r="A3726" s="20"/>
      <c r="B3726" s="20"/>
      <c r="C3726" s="30"/>
      <c r="D3726" s="30"/>
      <c r="E3726" s="30"/>
      <c r="F3726" s="22"/>
      <c r="G3726" s="23"/>
      <c r="H3726" s="23"/>
      <c r="I3726" s="23"/>
      <c r="J3726" s="23"/>
      <c r="K3726" s="23"/>
      <c r="L3726" s="23"/>
      <c r="M3726" s="23"/>
      <c r="N3726" s="23"/>
      <c r="O3726" s="23"/>
      <c r="P3726" s="23"/>
      <c r="Q3726" s="23"/>
      <c r="R3726" s="23"/>
      <c r="S3726" s="23"/>
      <c r="T3726" s="23"/>
      <c r="U3726" s="23"/>
    </row>
    <row r="3727">
      <c r="A3727" s="20"/>
      <c r="B3727" s="20"/>
      <c r="C3727" s="30"/>
      <c r="D3727" s="30"/>
      <c r="E3727" s="30"/>
      <c r="F3727" s="22"/>
      <c r="G3727" s="23"/>
      <c r="H3727" s="23"/>
      <c r="I3727" s="23"/>
      <c r="J3727" s="23"/>
      <c r="K3727" s="23"/>
      <c r="L3727" s="23"/>
      <c r="M3727" s="23"/>
      <c r="N3727" s="23"/>
      <c r="O3727" s="23"/>
      <c r="P3727" s="23"/>
      <c r="Q3727" s="23"/>
      <c r="R3727" s="23"/>
      <c r="S3727" s="23"/>
      <c r="T3727" s="23"/>
      <c r="U3727" s="23"/>
    </row>
    <row r="3728">
      <c r="A3728" s="20"/>
      <c r="B3728" s="20"/>
      <c r="C3728" s="30"/>
      <c r="D3728" s="30"/>
      <c r="E3728" s="30"/>
      <c r="F3728" s="22"/>
      <c r="G3728" s="23"/>
      <c r="H3728" s="23"/>
      <c r="I3728" s="23"/>
      <c r="J3728" s="23"/>
      <c r="K3728" s="23"/>
      <c r="L3728" s="23"/>
      <c r="M3728" s="23"/>
      <c r="N3728" s="23"/>
      <c r="O3728" s="23"/>
      <c r="P3728" s="23"/>
      <c r="Q3728" s="23"/>
      <c r="R3728" s="23"/>
      <c r="S3728" s="23"/>
      <c r="T3728" s="23"/>
      <c r="U3728" s="23"/>
    </row>
    <row r="3729">
      <c r="A3729" s="20"/>
      <c r="B3729" s="20"/>
      <c r="C3729" s="30"/>
      <c r="D3729" s="30"/>
      <c r="E3729" s="30"/>
      <c r="F3729" s="22"/>
      <c r="G3729" s="23"/>
      <c r="H3729" s="23"/>
      <c r="I3729" s="23"/>
      <c r="J3729" s="23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</row>
    <row r="3730">
      <c r="A3730" s="20"/>
      <c r="B3730" s="20"/>
      <c r="C3730" s="30"/>
      <c r="D3730" s="30"/>
      <c r="E3730" s="30"/>
      <c r="F3730" s="22"/>
      <c r="G3730" s="23"/>
      <c r="H3730" s="23"/>
      <c r="I3730" s="23"/>
      <c r="J3730" s="23"/>
      <c r="K3730" s="23"/>
      <c r="L3730" s="23"/>
      <c r="M3730" s="23"/>
      <c r="N3730" s="23"/>
      <c r="O3730" s="23"/>
      <c r="P3730" s="23"/>
      <c r="Q3730" s="23"/>
      <c r="R3730" s="23"/>
      <c r="S3730" s="23"/>
      <c r="T3730" s="23"/>
      <c r="U3730" s="23"/>
    </row>
    <row r="3731">
      <c r="A3731" s="20"/>
      <c r="B3731" s="20"/>
      <c r="C3731" s="30"/>
      <c r="D3731" s="30"/>
      <c r="E3731" s="30"/>
      <c r="F3731" s="22"/>
      <c r="G3731" s="23"/>
      <c r="H3731" s="23"/>
      <c r="I3731" s="23"/>
      <c r="J3731" s="23"/>
      <c r="K3731" s="23"/>
      <c r="L3731" s="23"/>
      <c r="M3731" s="23"/>
      <c r="N3731" s="23"/>
      <c r="O3731" s="23"/>
      <c r="P3731" s="23"/>
      <c r="Q3731" s="23"/>
      <c r="R3731" s="23"/>
      <c r="S3731" s="23"/>
      <c r="T3731" s="23"/>
      <c r="U3731" s="23"/>
    </row>
    <row r="3732">
      <c r="A3732" s="20"/>
      <c r="B3732" s="20"/>
      <c r="C3732" s="30"/>
      <c r="D3732" s="30"/>
      <c r="E3732" s="30"/>
      <c r="F3732" s="22"/>
      <c r="G3732" s="23"/>
      <c r="H3732" s="23"/>
      <c r="I3732" s="23"/>
      <c r="J3732" s="23"/>
      <c r="K3732" s="23"/>
      <c r="L3732" s="23"/>
      <c r="M3732" s="23"/>
      <c r="N3732" s="23"/>
      <c r="O3732" s="23"/>
      <c r="P3732" s="23"/>
      <c r="Q3732" s="23"/>
      <c r="R3732" s="23"/>
      <c r="S3732" s="23"/>
      <c r="T3732" s="23"/>
      <c r="U3732" s="23"/>
    </row>
    <row r="3733">
      <c r="A3733" s="20"/>
      <c r="B3733" s="20"/>
      <c r="C3733" s="30"/>
      <c r="D3733" s="30"/>
      <c r="E3733" s="30"/>
      <c r="F3733" s="22"/>
      <c r="G3733" s="23"/>
      <c r="H3733" s="23"/>
      <c r="I3733" s="23"/>
      <c r="J3733" s="23"/>
      <c r="K3733" s="23"/>
      <c r="L3733" s="23"/>
      <c r="M3733" s="23"/>
      <c r="N3733" s="23"/>
      <c r="O3733" s="23"/>
      <c r="P3733" s="23"/>
      <c r="Q3733" s="23"/>
      <c r="R3733" s="23"/>
      <c r="S3733" s="23"/>
      <c r="T3733" s="23"/>
      <c r="U3733" s="23"/>
    </row>
    <row r="3734">
      <c r="A3734" s="20"/>
      <c r="B3734" s="20"/>
      <c r="C3734" s="30"/>
      <c r="D3734" s="30"/>
      <c r="E3734" s="30"/>
      <c r="F3734" s="22"/>
      <c r="G3734" s="23"/>
      <c r="H3734" s="23"/>
      <c r="I3734" s="23"/>
      <c r="J3734" s="23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</row>
    <row r="3735">
      <c r="A3735" s="20"/>
      <c r="B3735" s="20"/>
      <c r="C3735" s="30"/>
      <c r="D3735" s="30"/>
      <c r="E3735" s="30"/>
      <c r="F3735" s="22"/>
      <c r="G3735" s="23"/>
      <c r="H3735" s="23"/>
      <c r="I3735" s="23"/>
      <c r="J3735" s="23"/>
      <c r="K3735" s="23"/>
      <c r="L3735" s="23"/>
      <c r="M3735" s="23"/>
      <c r="N3735" s="23"/>
      <c r="O3735" s="23"/>
      <c r="P3735" s="23"/>
      <c r="Q3735" s="23"/>
      <c r="R3735" s="23"/>
      <c r="S3735" s="23"/>
      <c r="T3735" s="23"/>
      <c r="U3735" s="23"/>
    </row>
    <row r="3736">
      <c r="A3736" s="20"/>
      <c r="B3736" s="20"/>
      <c r="C3736" s="30"/>
      <c r="D3736" s="30"/>
      <c r="E3736" s="30"/>
      <c r="F3736" s="22"/>
      <c r="G3736" s="23"/>
      <c r="H3736" s="23"/>
      <c r="I3736" s="23"/>
      <c r="J3736" s="23"/>
      <c r="K3736" s="23"/>
      <c r="L3736" s="23"/>
      <c r="M3736" s="23"/>
      <c r="N3736" s="23"/>
      <c r="O3736" s="23"/>
      <c r="P3736" s="23"/>
      <c r="Q3736" s="23"/>
      <c r="R3736" s="23"/>
      <c r="S3736" s="23"/>
      <c r="T3736" s="23"/>
      <c r="U3736" s="23"/>
    </row>
    <row r="3737">
      <c r="A3737" s="20"/>
      <c r="B3737" s="20"/>
      <c r="C3737" s="30"/>
      <c r="D3737" s="30"/>
      <c r="E3737" s="30"/>
      <c r="F3737" s="22"/>
      <c r="G3737" s="23"/>
      <c r="H3737" s="23"/>
      <c r="I3737" s="23"/>
      <c r="J3737" s="23"/>
      <c r="K3737" s="23"/>
      <c r="L3737" s="23"/>
      <c r="M3737" s="23"/>
      <c r="N3737" s="23"/>
      <c r="O3737" s="23"/>
      <c r="P3737" s="23"/>
      <c r="Q3737" s="23"/>
      <c r="R3737" s="23"/>
      <c r="S3737" s="23"/>
      <c r="T3737" s="23"/>
      <c r="U3737" s="23"/>
    </row>
    <row r="3738">
      <c r="A3738" s="20"/>
      <c r="B3738" s="20"/>
      <c r="C3738" s="30"/>
      <c r="D3738" s="30"/>
      <c r="E3738" s="30"/>
      <c r="F3738" s="22"/>
      <c r="G3738" s="23"/>
      <c r="H3738" s="23"/>
      <c r="I3738" s="23"/>
      <c r="J3738" s="23"/>
      <c r="K3738" s="23"/>
      <c r="L3738" s="23"/>
      <c r="M3738" s="23"/>
      <c r="N3738" s="23"/>
      <c r="O3738" s="23"/>
      <c r="P3738" s="23"/>
      <c r="Q3738" s="23"/>
      <c r="R3738" s="23"/>
      <c r="S3738" s="23"/>
      <c r="T3738" s="23"/>
      <c r="U3738" s="23"/>
    </row>
    <row r="3739">
      <c r="A3739" s="20"/>
      <c r="B3739" s="20"/>
      <c r="C3739" s="30"/>
      <c r="D3739" s="30"/>
      <c r="E3739" s="30"/>
      <c r="F3739" s="22"/>
      <c r="G3739" s="23"/>
      <c r="H3739" s="23"/>
      <c r="I3739" s="23"/>
      <c r="J3739" s="23"/>
      <c r="K3739" s="23"/>
      <c r="L3739" s="23"/>
      <c r="M3739" s="23"/>
      <c r="N3739" s="23"/>
      <c r="O3739" s="23"/>
      <c r="P3739" s="23"/>
      <c r="Q3739" s="23"/>
      <c r="R3739" s="23"/>
      <c r="S3739" s="23"/>
      <c r="T3739" s="23"/>
      <c r="U3739" s="23"/>
    </row>
    <row r="3740">
      <c r="A3740" s="20"/>
      <c r="B3740" s="20"/>
      <c r="C3740" s="30"/>
      <c r="D3740" s="30"/>
      <c r="E3740" s="30"/>
      <c r="F3740" s="22"/>
      <c r="G3740" s="23"/>
      <c r="H3740" s="23"/>
      <c r="I3740" s="23"/>
      <c r="J3740" s="23"/>
      <c r="K3740" s="23"/>
      <c r="L3740" s="23"/>
      <c r="M3740" s="23"/>
      <c r="N3740" s="23"/>
      <c r="O3740" s="23"/>
      <c r="P3740" s="23"/>
      <c r="Q3740" s="23"/>
      <c r="R3740" s="23"/>
      <c r="S3740" s="23"/>
      <c r="T3740" s="23"/>
      <c r="U3740" s="23"/>
    </row>
    <row r="3741">
      <c r="A3741" s="20"/>
      <c r="B3741" s="20"/>
      <c r="C3741" s="30"/>
      <c r="D3741" s="30"/>
      <c r="E3741" s="30"/>
      <c r="F3741" s="22"/>
      <c r="G3741" s="23"/>
      <c r="H3741" s="23"/>
      <c r="I3741" s="23"/>
      <c r="J3741" s="23"/>
      <c r="K3741" s="23"/>
      <c r="L3741" s="23"/>
      <c r="M3741" s="23"/>
      <c r="N3741" s="23"/>
      <c r="O3741" s="23"/>
      <c r="P3741" s="23"/>
      <c r="Q3741" s="23"/>
      <c r="R3741" s="23"/>
      <c r="S3741" s="23"/>
      <c r="T3741" s="23"/>
      <c r="U3741" s="23"/>
    </row>
    <row r="3742">
      <c r="A3742" s="20"/>
      <c r="B3742" s="20"/>
      <c r="C3742" s="30"/>
      <c r="D3742" s="30"/>
      <c r="E3742" s="30"/>
      <c r="F3742" s="22"/>
      <c r="G3742" s="23"/>
      <c r="H3742" s="23"/>
      <c r="I3742" s="23"/>
      <c r="J3742" s="23"/>
      <c r="K3742" s="23"/>
      <c r="L3742" s="23"/>
      <c r="M3742" s="23"/>
      <c r="N3742" s="23"/>
      <c r="O3742" s="23"/>
      <c r="P3742" s="23"/>
      <c r="Q3742" s="23"/>
      <c r="R3742" s="23"/>
      <c r="S3742" s="23"/>
      <c r="T3742" s="23"/>
      <c r="U3742" s="23"/>
    </row>
    <row r="3743">
      <c r="A3743" s="20"/>
      <c r="B3743" s="20"/>
      <c r="C3743" s="30"/>
      <c r="D3743" s="30"/>
      <c r="E3743" s="30"/>
      <c r="F3743" s="22"/>
      <c r="G3743" s="23"/>
      <c r="H3743" s="23"/>
      <c r="I3743" s="23"/>
      <c r="J3743" s="23"/>
      <c r="K3743" s="23"/>
      <c r="L3743" s="23"/>
      <c r="M3743" s="23"/>
      <c r="N3743" s="23"/>
      <c r="O3743" s="23"/>
      <c r="P3743" s="23"/>
      <c r="Q3743" s="23"/>
      <c r="R3743" s="23"/>
      <c r="S3743" s="23"/>
      <c r="T3743" s="23"/>
      <c r="U3743" s="23"/>
    </row>
    <row r="3744">
      <c r="A3744" s="20"/>
      <c r="B3744" s="20"/>
      <c r="C3744" s="30"/>
      <c r="D3744" s="30"/>
      <c r="E3744" s="30"/>
      <c r="F3744" s="22"/>
      <c r="G3744" s="23"/>
      <c r="H3744" s="23"/>
      <c r="I3744" s="23"/>
      <c r="J3744" s="23"/>
      <c r="K3744" s="23"/>
      <c r="L3744" s="23"/>
      <c r="M3744" s="23"/>
      <c r="N3744" s="23"/>
      <c r="O3744" s="23"/>
      <c r="P3744" s="23"/>
      <c r="Q3744" s="23"/>
      <c r="R3744" s="23"/>
      <c r="S3744" s="23"/>
      <c r="T3744" s="23"/>
      <c r="U3744" s="23"/>
    </row>
    <row r="3745">
      <c r="A3745" s="20"/>
      <c r="B3745" s="20"/>
      <c r="C3745" s="30"/>
      <c r="D3745" s="30"/>
      <c r="E3745" s="30"/>
      <c r="F3745" s="22"/>
      <c r="G3745" s="23"/>
      <c r="H3745" s="23"/>
      <c r="I3745" s="23"/>
      <c r="J3745" s="23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</row>
    <row r="3746">
      <c r="A3746" s="20"/>
      <c r="B3746" s="20"/>
      <c r="C3746" s="30"/>
      <c r="D3746" s="30"/>
      <c r="E3746" s="30"/>
      <c r="F3746" s="22"/>
      <c r="G3746" s="23"/>
      <c r="H3746" s="23"/>
      <c r="I3746" s="23"/>
      <c r="J3746" s="23"/>
      <c r="K3746" s="23"/>
      <c r="L3746" s="23"/>
      <c r="M3746" s="23"/>
      <c r="N3746" s="23"/>
      <c r="O3746" s="23"/>
      <c r="P3746" s="23"/>
      <c r="Q3746" s="23"/>
      <c r="R3746" s="23"/>
      <c r="S3746" s="23"/>
      <c r="T3746" s="23"/>
      <c r="U3746" s="23"/>
    </row>
    <row r="3747">
      <c r="A3747" s="20"/>
      <c r="B3747" s="20"/>
      <c r="C3747" s="30"/>
      <c r="D3747" s="30"/>
      <c r="E3747" s="30"/>
      <c r="F3747" s="22"/>
      <c r="G3747" s="23"/>
      <c r="H3747" s="23"/>
      <c r="I3747" s="23"/>
      <c r="J3747" s="23"/>
      <c r="K3747" s="23"/>
      <c r="L3747" s="23"/>
      <c r="M3747" s="23"/>
      <c r="N3747" s="23"/>
      <c r="O3747" s="23"/>
      <c r="P3747" s="23"/>
      <c r="Q3747" s="23"/>
      <c r="R3747" s="23"/>
      <c r="S3747" s="23"/>
      <c r="T3747" s="23"/>
      <c r="U3747" s="23"/>
    </row>
    <row r="3748">
      <c r="A3748" s="20"/>
      <c r="B3748" s="20"/>
      <c r="C3748" s="30"/>
      <c r="D3748" s="30"/>
      <c r="E3748" s="30"/>
      <c r="F3748" s="22"/>
      <c r="G3748" s="23"/>
      <c r="H3748" s="23"/>
      <c r="I3748" s="23"/>
      <c r="J3748" s="23"/>
      <c r="K3748" s="23"/>
      <c r="L3748" s="23"/>
      <c r="M3748" s="23"/>
      <c r="N3748" s="23"/>
      <c r="O3748" s="23"/>
      <c r="P3748" s="23"/>
      <c r="Q3748" s="23"/>
      <c r="R3748" s="23"/>
      <c r="S3748" s="23"/>
      <c r="T3748" s="23"/>
      <c r="U3748" s="23"/>
    </row>
    <row r="3749">
      <c r="A3749" s="20"/>
      <c r="B3749" s="20"/>
      <c r="C3749" s="30"/>
      <c r="D3749" s="30"/>
      <c r="E3749" s="30"/>
      <c r="F3749" s="22"/>
      <c r="G3749" s="23"/>
      <c r="H3749" s="23"/>
      <c r="I3749" s="23"/>
      <c r="J3749" s="23"/>
      <c r="K3749" s="23"/>
      <c r="L3749" s="23"/>
      <c r="M3749" s="23"/>
      <c r="N3749" s="23"/>
      <c r="O3749" s="23"/>
      <c r="P3749" s="23"/>
      <c r="Q3749" s="23"/>
      <c r="R3749" s="23"/>
      <c r="S3749" s="23"/>
      <c r="T3749" s="23"/>
      <c r="U3749" s="23"/>
    </row>
    <row r="3750">
      <c r="A3750" s="20"/>
      <c r="B3750" s="20"/>
      <c r="C3750" s="30"/>
      <c r="D3750" s="30"/>
      <c r="E3750" s="30"/>
      <c r="F3750" s="22"/>
      <c r="G3750" s="23"/>
      <c r="H3750" s="23"/>
      <c r="I3750" s="23"/>
      <c r="J3750" s="23"/>
      <c r="K3750" s="23"/>
      <c r="L3750" s="23"/>
      <c r="M3750" s="23"/>
      <c r="N3750" s="23"/>
      <c r="O3750" s="23"/>
      <c r="P3750" s="23"/>
      <c r="Q3750" s="23"/>
      <c r="R3750" s="23"/>
      <c r="S3750" s="23"/>
      <c r="T3750" s="23"/>
      <c r="U3750" s="23"/>
    </row>
    <row r="3751">
      <c r="A3751" s="20"/>
      <c r="B3751" s="20"/>
      <c r="C3751" s="30"/>
      <c r="D3751" s="30"/>
      <c r="E3751" s="30"/>
      <c r="F3751" s="22"/>
      <c r="G3751" s="23"/>
      <c r="H3751" s="23"/>
      <c r="I3751" s="23"/>
      <c r="J3751" s="23"/>
      <c r="K3751" s="23"/>
      <c r="L3751" s="23"/>
      <c r="M3751" s="23"/>
      <c r="N3751" s="23"/>
      <c r="O3751" s="23"/>
      <c r="P3751" s="23"/>
      <c r="Q3751" s="23"/>
      <c r="R3751" s="23"/>
      <c r="S3751" s="23"/>
      <c r="T3751" s="23"/>
      <c r="U3751" s="23"/>
    </row>
    <row r="3752">
      <c r="A3752" s="20"/>
      <c r="B3752" s="20"/>
      <c r="C3752" s="30"/>
      <c r="D3752" s="30"/>
      <c r="E3752" s="30"/>
      <c r="F3752" s="22"/>
      <c r="G3752" s="23"/>
      <c r="H3752" s="23"/>
      <c r="I3752" s="23"/>
      <c r="J3752" s="23"/>
      <c r="K3752" s="23"/>
      <c r="L3752" s="23"/>
      <c r="M3752" s="23"/>
      <c r="N3752" s="23"/>
      <c r="O3752" s="23"/>
      <c r="P3752" s="23"/>
      <c r="Q3752" s="23"/>
      <c r="R3752" s="23"/>
      <c r="S3752" s="23"/>
      <c r="T3752" s="23"/>
      <c r="U3752" s="23"/>
    </row>
    <row r="3753">
      <c r="A3753" s="20"/>
      <c r="B3753" s="20"/>
      <c r="C3753" s="30"/>
      <c r="D3753" s="30"/>
      <c r="E3753" s="30"/>
      <c r="F3753" s="22"/>
      <c r="G3753" s="23"/>
      <c r="H3753" s="23"/>
      <c r="I3753" s="23"/>
      <c r="J3753" s="23"/>
      <c r="K3753" s="23"/>
      <c r="L3753" s="23"/>
      <c r="M3753" s="23"/>
      <c r="N3753" s="23"/>
      <c r="O3753" s="23"/>
      <c r="P3753" s="23"/>
      <c r="Q3753" s="23"/>
      <c r="R3753" s="23"/>
      <c r="S3753" s="23"/>
      <c r="T3753" s="23"/>
      <c r="U3753" s="23"/>
    </row>
    <row r="3754">
      <c r="A3754" s="20"/>
      <c r="B3754" s="20"/>
      <c r="C3754" s="30"/>
      <c r="D3754" s="30"/>
      <c r="E3754" s="30"/>
      <c r="F3754" s="22"/>
      <c r="G3754" s="23"/>
      <c r="H3754" s="23"/>
      <c r="I3754" s="23"/>
      <c r="J3754" s="23"/>
      <c r="K3754" s="23"/>
      <c r="L3754" s="23"/>
      <c r="M3754" s="23"/>
      <c r="N3754" s="23"/>
      <c r="O3754" s="23"/>
      <c r="P3754" s="23"/>
      <c r="Q3754" s="23"/>
      <c r="R3754" s="23"/>
      <c r="S3754" s="23"/>
      <c r="T3754" s="23"/>
      <c r="U3754" s="23"/>
    </row>
    <row r="3755">
      <c r="A3755" s="20"/>
      <c r="B3755" s="20"/>
      <c r="C3755" s="30"/>
      <c r="D3755" s="30"/>
      <c r="E3755" s="30"/>
      <c r="F3755" s="22"/>
      <c r="G3755" s="23"/>
      <c r="H3755" s="23"/>
      <c r="I3755" s="23"/>
      <c r="J3755" s="23"/>
      <c r="K3755" s="23"/>
      <c r="L3755" s="23"/>
      <c r="M3755" s="23"/>
      <c r="N3755" s="23"/>
      <c r="O3755" s="23"/>
      <c r="P3755" s="23"/>
      <c r="Q3755" s="23"/>
      <c r="R3755" s="23"/>
      <c r="S3755" s="23"/>
      <c r="T3755" s="23"/>
      <c r="U3755" s="23"/>
    </row>
    <row r="3756">
      <c r="A3756" s="20"/>
      <c r="B3756" s="20"/>
      <c r="C3756" s="30"/>
      <c r="D3756" s="30"/>
      <c r="E3756" s="30"/>
      <c r="F3756" s="22"/>
      <c r="G3756" s="23"/>
      <c r="H3756" s="23"/>
      <c r="I3756" s="23"/>
      <c r="J3756" s="23"/>
      <c r="K3756" s="23"/>
      <c r="L3756" s="23"/>
      <c r="M3756" s="23"/>
      <c r="N3756" s="23"/>
      <c r="O3756" s="23"/>
      <c r="P3756" s="23"/>
      <c r="Q3756" s="23"/>
      <c r="R3756" s="23"/>
      <c r="S3756" s="23"/>
      <c r="T3756" s="23"/>
      <c r="U3756" s="23"/>
    </row>
    <row r="3757">
      <c r="A3757" s="20"/>
      <c r="B3757" s="20"/>
      <c r="C3757" s="30"/>
      <c r="D3757" s="30"/>
      <c r="E3757" s="30"/>
      <c r="F3757" s="22"/>
      <c r="G3757" s="23"/>
      <c r="H3757" s="23"/>
      <c r="I3757" s="23"/>
      <c r="J3757" s="23"/>
      <c r="K3757" s="23"/>
      <c r="L3757" s="23"/>
      <c r="M3757" s="23"/>
      <c r="N3757" s="23"/>
      <c r="O3757" s="23"/>
      <c r="P3757" s="23"/>
      <c r="Q3757" s="23"/>
      <c r="R3757" s="23"/>
      <c r="S3757" s="23"/>
      <c r="T3757" s="23"/>
      <c r="U3757" s="23"/>
    </row>
    <row r="3758">
      <c r="A3758" s="20"/>
      <c r="B3758" s="20"/>
      <c r="C3758" s="30"/>
      <c r="D3758" s="30"/>
      <c r="E3758" s="30"/>
      <c r="F3758" s="22"/>
      <c r="G3758" s="23"/>
      <c r="H3758" s="23"/>
      <c r="I3758" s="23"/>
      <c r="J3758" s="23"/>
      <c r="K3758" s="23"/>
      <c r="L3758" s="23"/>
      <c r="M3758" s="23"/>
      <c r="N3758" s="23"/>
      <c r="O3758" s="23"/>
      <c r="P3758" s="23"/>
      <c r="Q3758" s="23"/>
      <c r="R3758" s="23"/>
      <c r="S3758" s="23"/>
      <c r="T3758" s="23"/>
      <c r="U3758" s="23"/>
    </row>
    <row r="3759">
      <c r="A3759" s="20"/>
      <c r="B3759" s="20"/>
      <c r="C3759" s="30"/>
      <c r="D3759" s="30"/>
      <c r="E3759" s="30"/>
      <c r="F3759" s="22"/>
      <c r="G3759" s="23"/>
      <c r="H3759" s="23"/>
      <c r="I3759" s="23"/>
      <c r="J3759" s="23"/>
      <c r="K3759" s="23"/>
      <c r="L3759" s="23"/>
      <c r="M3759" s="23"/>
      <c r="N3759" s="23"/>
      <c r="O3759" s="23"/>
      <c r="P3759" s="23"/>
      <c r="Q3759" s="23"/>
      <c r="R3759" s="23"/>
      <c r="S3759" s="23"/>
      <c r="T3759" s="23"/>
      <c r="U3759" s="23"/>
    </row>
    <row r="3760">
      <c r="A3760" s="20"/>
      <c r="B3760" s="20"/>
      <c r="C3760" s="30"/>
      <c r="D3760" s="30"/>
      <c r="E3760" s="30"/>
      <c r="F3760" s="22"/>
      <c r="G3760" s="23"/>
      <c r="H3760" s="23"/>
      <c r="I3760" s="23"/>
      <c r="J3760" s="23"/>
      <c r="K3760" s="23"/>
      <c r="L3760" s="23"/>
      <c r="M3760" s="23"/>
      <c r="N3760" s="23"/>
      <c r="O3760" s="23"/>
      <c r="P3760" s="23"/>
      <c r="Q3760" s="23"/>
      <c r="R3760" s="23"/>
      <c r="S3760" s="23"/>
      <c r="T3760" s="23"/>
      <c r="U3760" s="23"/>
    </row>
    <row r="3761">
      <c r="A3761" s="20"/>
      <c r="B3761" s="20"/>
      <c r="C3761" s="30"/>
      <c r="D3761" s="30"/>
      <c r="E3761" s="30"/>
      <c r="F3761" s="22"/>
      <c r="G3761" s="23"/>
      <c r="H3761" s="23"/>
      <c r="I3761" s="23"/>
      <c r="J3761" s="23"/>
      <c r="K3761" s="23"/>
      <c r="L3761" s="23"/>
      <c r="M3761" s="23"/>
      <c r="N3761" s="23"/>
      <c r="O3761" s="23"/>
      <c r="P3761" s="23"/>
      <c r="Q3761" s="23"/>
      <c r="R3761" s="23"/>
      <c r="S3761" s="23"/>
      <c r="T3761" s="23"/>
      <c r="U3761" s="23"/>
    </row>
    <row r="3762">
      <c r="A3762" s="20"/>
      <c r="B3762" s="20"/>
      <c r="C3762" s="30"/>
      <c r="D3762" s="30"/>
      <c r="E3762" s="30"/>
      <c r="F3762" s="22"/>
      <c r="G3762" s="23"/>
      <c r="H3762" s="23"/>
      <c r="I3762" s="23"/>
      <c r="J3762" s="23"/>
      <c r="K3762" s="23"/>
      <c r="L3762" s="23"/>
      <c r="M3762" s="23"/>
      <c r="N3762" s="23"/>
      <c r="O3762" s="23"/>
      <c r="P3762" s="23"/>
      <c r="Q3762" s="23"/>
      <c r="R3762" s="23"/>
      <c r="S3762" s="23"/>
      <c r="T3762" s="23"/>
      <c r="U3762" s="23"/>
    </row>
    <row r="3763">
      <c r="A3763" s="20"/>
      <c r="B3763" s="20"/>
      <c r="C3763" s="30"/>
      <c r="D3763" s="30"/>
      <c r="E3763" s="30"/>
      <c r="F3763" s="22"/>
      <c r="G3763" s="23"/>
      <c r="H3763" s="23"/>
      <c r="I3763" s="23"/>
      <c r="J3763" s="23"/>
      <c r="K3763" s="23"/>
      <c r="L3763" s="23"/>
      <c r="M3763" s="23"/>
      <c r="N3763" s="23"/>
      <c r="O3763" s="23"/>
      <c r="P3763" s="23"/>
      <c r="Q3763" s="23"/>
      <c r="R3763" s="23"/>
      <c r="S3763" s="23"/>
      <c r="T3763" s="23"/>
      <c r="U3763" s="23"/>
    </row>
    <row r="3764">
      <c r="A3764" s="20"/>
      <c r="B3764" s="20"/>
      <c r="C3764" s="30"/>
      <c r="D3764" s="30"/>
      <c r="E3764" s="30"/>
      <c r="F3764" s="22"/>
      <c r="G3764" s="23"/>
      <c r="H3764" s="23"/>
      <c r="I3764" s="23"/>
      <c r="J3764" s="23"/>
      <c r="K3764" s="23"/>
      <c r="L3764" s="23"/>
      <c r="M3764" s="23"/>
      <c r="N3764" s="23"/>
      <c r="O3764" s="23"/>
      <c r="P3764" s="23"/>
      <c r="Q3764" s="23"/>
      <c r="R3764" s="23"/>
      <c r="S3764" s="23"/>
      <c r="T3764" s="23"/>
      <c r="U3764" s="23"/>
    </row>
    <row r="3765">
      <c r="A3765" s="20"/>
      <c r="B3765" s="20"/>
      <c r="C3765" s="30"/>
      <c r="D3765" s="30"/>
      <c r="E3765" s="30"/>
      <c r="F3765" s="22"/>
      <c r="G3765" s="23"/>
      <c r="H3765" s="23"/>
      <c r="I3765" s="23"/>
      <c r="J3765" s="23"/>
      <c r="K3765" s="23"/>
      <c r="L3765" s="23"/>
      <c r="M3765" s="23"/>
      <c r="N3765" s="23"/>
      <c r="O3765" s="23"/>
      <c r="P3765" s="23"/>
      <c r="Q3765" s="23"/>
      <c r="R3765" s="23"/>
      <c r="S3765" s="23"/>
      <c r="T3765" s="23"/>
      <c r="U3765" s="23"/>
    </row>
    <row r="3766">
      <c r="A3766" s="20"/>
      <c r="B3766" s="20"/>
      <c r="C3766" s="30"/>
      <c r="D3766" s="30"/>
      <c r="E3766" s="30"/>
      <c r="F3766" s="22"/>
      <c r="G3766" s="23"/>
      <c r="H3766" s="23"/>
      <c r="I3766" s="23"/>
      <c r="J3766" s="23"/>
      <c r="K3766" s="23"/>
      <c r="L3766" s="23"/>
      <c r="M3766" s="23"/>
      <c r="N3766" s="23"/>
      <c r="O3766" s="23"/>
      <c r="P3766" s="23"/>
      <c r="Q3766" s="23"/>
      <c r="R3766" s="23"/>
      <c r="S3766" s="23"/>
      <c r="T3766" s="23"/>
      <c r="U3766" s="23"/>
    </row>
    <row r="3767">
      <c r="A3767" s="20"/>
      <c r="B3767" s="20"/>
      <c r="C3767" s="30"/>
      <c r="D3767" s="30"/>
      <c r="E3767" s="30"/>
      <c r="F3767" s="22"/>
      <c r="G3767" s="23"/>
      <c r="H3767" s="23"/>
      <c r="I3767" s="23"/>
      <c r="J3767" s="23"/>
      <c r="K3767" s="23"/>
      <c r="L3767" s="23"/>
      <c r="M3767" s="23"/>
      <c r="N3767" s="23"/>
      <c r="O3767" s="23"/>
      <c r="P3767" s="23"/>
      <c r="Q3767" s="23"/>
      <c r="R3767" s="23"/>
      <c r="S3767" s="23"/>
      <c r="T3767" s="23"/>
      <c r="U3767" s="23"/>
    </row>
    <row r="3768">
      <c r="A3768" s="20"/>
      <c r="B3768" s="20"/>
      <c r="C3768" s="30"/>
      <c r="D3768" s="30"/>
      <c r="E3768" s="30"/>
      <c r="F3768" s="22"/>
      <c r="G3768" s="23"/>
      <c r="H3768" s="23"/>
      <c r="I3768" s="23"/>
      <c r="J3768" s="23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</row>
    <row r="3769">
      <c r="A3769" s="20"/>
      <c r="B3769" s="20"/>
      <c r="C3769" s="30"/>
      <c r="D3769" s="30"/>
      <c r="E3769" s="30"/>
      <c r="F3769" s="22"/>
      <c r="G3769" s="23"/>
      <c r="H3769" s="23"/>
      <c r="I3769" s="23"/>
      <c r="J3769" s="23"/>
      <c r="K3769" s="23"/>
      <c r="L3769" s="23"/>
      <c r="M3769" s="23"/>
      <c r="N3769" s="23"/>
      <c r="O3769" s="23"/>
      <c r="P3769" s="23"/>
      <c r="Q3769" s="23"/>
      <c r="R3769" s="23"/>
      <c r="S3769" s="23"/>
      <c r="T3769" s="23"/>
      <c r="U3769" s="23"/>
    </row>
    <row r="3770">
      <c r="A3770" s="20"/>
      <c r="B3770" s="20"/>
      <c r="C3770" s="30"/>
      <c r="D3770" s="30"/>
      <c r="E3770" s="30"/>
      <c r="F3770" s="22"/>
      <c r="G3770" s="23"/>
      <c r="H3770" s="23"/>
      <c r="I3770" s="23"/>
      <c r="J3770" s="23"/>
      <c r="K3770" s="23"/>
      <c r="L3770" s="23"/>
      <c r="M3770" s="23"/>
      <c r="N3770" s="23"/>
      <c r="O3770" s="23"/>
      <c r="P3770" s="23"/>
      <c r="Q3770" s="23"/>
      <c r="R3770" s="23"/>
      <c r="S3770" s="23"/>
      <c r="T3770" s="23"/>
      <c r="U3770" s="23"/>
    </row>
    <row r="3771">
      <c r="A3771" s="20"/>
      <c r="B3771" s="20"/>
      <c r="C3771" s="30"/>
      <c r="D3771" s="30"/>
      <c r="E3771" s="30"/>
      <c r="F3771" s="22"/>
      <c r="G3771" s="23"/>
      <c r="H3771" s="23"/>
      <c r="I3771" s="23"/>
      <c r="J3771" s="23"/>
      <c r="K3771" s="23"/>
      <c r="L3771" s="23"/>
      <c r="M3771" s="23"/>
      <c r="N3771" s="23"/>
      <c r="O3771" s="23"/>
      <c r="P3771" s="23"/>
      <c r="Q3771" s="23"/>
      <c r="R3771" s="23"/>
      <c r="S3771" s="23"/>
      <c r="T3771" s="23"/>
      <c r="U3771" s="23"/>
    </row>
    <row r="3772">
      <c r="A3772" s="20"/>
      <c r="B3772" s="20"/>
      <c r="C3772" s="30"/>
      <c r="D3772" s="30"/>
      <c r="E3772" s="30"/>
      <c r="F3772" s="22"/>
      <c r="G3772" s="23"/>
      <c r="H3772" s="23"/>
      <c r="I3772" s="23"/>
      <c r="J3772" s="23"/>
      <c r="K3772" s="23"/>
      <c r="L3772" s="23"/>
      <c r="M3772" s="23"/>
      <c r="N3772" s="23"/>
      <c r="O3772" s="23"/>
      <c r="P3772" s="23"/>
      <c r="Q3772" s="23"/>
      <c r="R3772" s="23"/>
      <c r="S3772" s="23"/>
      <c r="T3772" s="23"/>
      <c r="U3772" s="23"/>
    </row>
    <row r="3773">
      <c r="A3773" s="20"/>
      <c r="B3773" s="20"/>
      <c r="C3773" s="30"/>
      <c r="D3773" s="30"/>
      <c r="E3773" s="30"/>
      <c r="F3773" s="22"/>
      <c r="G3773" s="23"/>
      <c r="H3773" s="23"/>
      <c r="I3773" s="23"/>
      <c r="J3773" s="23"/>
      <c r="K3773" s="23"/>
      <c r="L3773" s="23"/>
      <c r="M3773" s="23"/>
      <c r="N3773" s="23"/>
      <c r="O3773" s="23"/>
      <c r="P3773" s="23"/>
      <c r="Q3773" s="23"/>
      <c r="R3773" s="23"/>
      <c r="S3773" s="23"/>
      <c r="T3773" s="23"/>
      <c r="U3773" s="23"/>
    </row>
    <row r="3774">
      <c r="A3774" s="20"/>
      <c r="B3774" s="20"/>
      <c r="C3774" s="30"/>
      <c r="D3774" s="30"/>
      <c r="E3774" s="30"/>
      <c r="F3774" s="22"/>
      <c r="G3774" s="23"/>
      <c r="H3774" s="23"/>
      <c r="I3774" s="23"/>
      <c r="J3774" s="23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</row>
    <row r="3775">
      <c r="A3775" s="20"/>
      <c r="B3775" s="20"/>
      <c r="C3775" s="30"/>
      <c r="D3775" s="30"/>
      <c r="E3775" s="30"/>
      <c r="F3775" s="22"/>
      <c r="G3775" s="23"/>
      <c r="H3775" s="23"/>
      <c r="I3775" s="23"/>
      <c r="J3775" s="23"/>
      <c r="K3775" s="23"/>
      <c r="L3775" s="23"/>
      <c r="M3775" s="23"/>
      <c r="N3775" s="23"/>
      <c r="O3775" s="23"/>
      <c r="P3775" s="23"/>
      <c r="Q3775" s="23"/>
      <c r="R3775" s="23"/>
      <c r="S3775" s="23"/>
      <c r="T3775" s="23"/>
      <c r="U3775" s="23"/>
    </row>
    <row r="3776">
      <c r="A3776" s="20"/>
      <c r="B3776" s="20"/>
      <c r="C3776" s="30"/>
      <c r="D3776" s="30"/>
      <c r="E3776" s="30"/>
      <c r="F3776" s="22"/>
      <c r="G3776" s="23"/>
      <c r="H3776" s="23"/>
      <c r="I3776" s="23"/>
      <c r="J3776" s="23"/>
      <c r="K3776" s="23"/>
      <c r="L3776" s="23"/>
      <c r="M3776" s="23"/>
      <c r="N3776" s="23"/>
      <c r="O3776" s="23"/>
      <c r="P3776" s="23"/>
      <c r="Q3776" s="23"/>
      <c r="R3776" s="23"/>
      <c r="S3776" s="23"/>
      <c r="T3776" s="23"/>
      <c r="U3776" s="23"/>
    </row>
    <row r="3777">
      <c r="A3777" s="20"/>
      <c r="B3777" s="20"/>
      <c r="C3777" s="30"/>
      <c r="D3777" s="30"/>
      <c r="E3777" s="30"/>
      <c r="F3777" s="22"/>
      <c r="G3777" s="23"/>
      <c r="H3777" s="23"/>
      <c r="I3777" s="23"/>
      <c r="J3777" s="23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</row>
    <row r="3778">
      <c r="A3778" s="20"/>
      <c r="B3778" s="20"/>
      <c r="C3778" s="30"/>
      <c r="D3778" s="30"/>
      <c r="E3778" s="30"/>
      <c r="F3778" s="22"/>
      <c r="G3778" s="23"/>
      <c r="H3778" s="23"/>
      <c r="I3778" s="23"/>
      <c r="J3778" s="23"/>
      <c r="K3778" s="23"/>
      <c r="L3778" s="23"/>
      <c r="M3778" s="23"/>
      <c r="N3778" s="23"/>
      <c r="O3778" s="23"/>
      <c r="P3778" s="23"/>
      <c r="Q3778" s="23"/>
      <c r="R3778" s="23"/>
      <c r="S3778" s="23"/>
      <c r="T3778" s="23"/>
      <c r="U3778" s="23"/>
    </row>
    <row r="3779">
      <c r="A3779" s="20"/>
      <c r="B3779" s="20"/>
      <c r="C3779" s="30"/>
      <c r="D3779" s="30"/>
      <c r="E3779" s="30"/>
      <c r="F3779" s="22"/>
      <c r="G3779" s="23"/>
      <c r="H3779" s="23"/>
      <c r="I3779" s="23"/>
      <c r="J3779" s="23"/>
      <c r="K3779" s="23"/>
      <c r="L3779" s="23"/>
      <c r="M3779" s="23"/>
      <c r="N3779" s="23"/>
      <c r="O3779" s="23"/>
      <c r="P3779" s="23"/>
      <c r="Q3779" s="23"/>
      <c r="R3779" s="23"/>
      <c r="S3779" s="23"/>
      <c r="T3779" s="23"/>
      <c r="U3779" s="23"/>
    </row>
    <row r="3780">
      <c r="A3780" s="20"/>
      <c r="B3780" s="20"/>
      <c r="C3780" s="30"/>
      <c r="D3780" s="30"/>
      <c r="E3780" s="30"/>
      <c r="F3780" s="22"/>
      <c r="G3780" s="23"/>
      <c r="H3780" s="23"/>
      <c r="I3780" s="23"/>
      <c r="J3780" s="23"/>
      <c r="K3780" s="23"/>
      <c r="L3780" s="23"/>
      <c r="M3780" s="23"/>
      <c r="N3780" s="23"/>
      <c r="O3780" s="23"/>
      <c r="P3780" s="23"/>
      <c r="Q3780" s="23"/>
      <c r="R3780" s="23"/>
      <c r="S3780" s="23"/>
      <c r="T3780" s="23"/>
      <c r="U3780" s="23"/>
    </row>
    <row r="3781">
      <c r="A3781" s="20"/>
      <c r="B3781" s="20"/>
      <c r="C3781" s="30"/>
      <c r="D3781" s="30"/>
      <c r="E3781" s="30"/>
      <c r="F3781" s="22"/>
      <c r="G3781" s="23"/>
      <c r="H3781" s="23"/>
      <c r="I3781" s="23"/>
      <c r="J3781" s="23"/>
      <c r="K3781" s="23"/>
      <c r="L3781" s="23"/>
      <c r="M3781" s="23"/>
      <c r="N3781" s="23"/>
      <c r="O3781" s="23"/>
      <c r="P3781" s="23"/>
      <c r="Q3781" s="23"/>
      <c r="R3781" s="23"/>
      <c r="S3781" s="23"/>
      <c r="T3781" s="23"/>
      <c r="U3781" s="23"/>
    </row>
    <row r="3782">
      <c r="A3782" s="20"/>
      <c r="B3782" s="20"/>
      <c r="C3782" s="30"/>
      <c r="D3782" s="30"/>
      <c r="E3782" s="30"/>
      <c r="F3782" s="22"/>
      <c r="G3782" s="23"/>
      <c r="H3782" s="23"/>
      <c r="I3782" s="23"/>
      <c r="J3782" s="23"/>
      <c r="K3782" s="23"/>
      <c r="L3782" s="23"/>
      <c r="M3782" s="23"/>
      <c r="N3782" s="23"/>
      <c r="O3782" s="23"/>
      <c r="P3782" s="23"/>
      <c r="Q3782" s="23"/>
      <c r="R3782" s="23"/>
      <c r="S3782" s="23"/>
      <c r="T3782" s="23"/>
      <c r="U3782" s="23"/>
    </row>
    <row r="3783">
      <c r="A3783" s="20"/>
      <c r="B3783" s="20"/>
      <c r="C3783" s="30"/>
      <c r="D3783" s="30"/>
      <c r="E3783" s="30"/>
      <c r="F3783" s="22"/>
      <c r="G3783" s="23"/>
      <c r="H3783" s="23"/>
      <c r="I3783" s="23"/>
      <c r="J3783" s="23"/>
      <c r="K3783" s="23"/>
      <c r="L3783" s="23"/>
      <c r="M3783" s="23"/>
      <c r="N3783" s="23"/>
      <c r="O3783" s="23"/>
      <c r="P3783" s="23"/>
      <c r="Q3783" s="23"/>
      <c r="R3783" s="23"/>
      <c r="S3783" s="23"/>
      <c r="T3783" s="23"/>
      <c r="U3783" s="23"/>
    </row>
    <row r="3784">
      <c r="A3784" s="20"/>
      <c r="B3784" s="20"/>
      <c r="C3784" s="30"/>
      <c r="D3784" s="30"/>
      <c r="E3784" s="30"/>
      <c r="F3784" s="22"/>
      <c r="G3784" s="23"/>
      <c r="H3784" s="23"/>
      <c r="I3784" s="23"/>
      <c r="J3784" s="23"/>
      <c r="K3784" s="23"/>
      <c r="L3784" s="23"/>
      <c r="M3784" s="23"/>
      <c r="N3784" s="23"/>
      <c r="O3784" s="23"/>
      <c r="P3784" s="23"/>
      <c r="Q3784" s="23"/>
      <c r="R3784" s="23"/>
      <c r="S3784" s="23"/>
      <c r="T3784" s="23"/>
      <c r="U3784" s="23"/>
    </row>
    <row r="3785">
      <c r="A3785" s="20"/>
      <c r="B3785" s="20"/>
      <c r="C3785" s="30"/>
      <c r="D3785" s="30"/>
      <c r="E3785" s="30"/>
      <c r="F3785" s="22"/>
      <c r="G3785" s="23"/>
      <c r="H3785" s="23"/>
      <c r="I3785" s="23"/>
      <c r="J3785" s="23"/>
      <c r="K3785" s="23"/>
      <c r="L3785" s="23"/>
      <c r="M3785" s="23"/>
      <c r="N3785" s="23"/>
      <c r="O3785" s="23"/>
      <c r="P3785" s="23"/>
      <c r="Q3785" s="23"/>
      <c r="R3785" s="23"/>
      <c r="S3785" s="23"/>
      <c r="T3785" s="23"/>
      <c r="U3785" s="23"/>
    </row>
    <row r="3786">
      <c r="A3786" s="20"/>
      <c r="B3786" s="20"/>
      <c r="C3786" s="30"/>
      <c r="D3786" s="30"/>
      <c r="E3786" s="30"/>
      <c r="F3786" s="22"/>
      <c r="G3786" s="23"/>
      <c r="H3786" s="23"/>
      <c r="I3786" s="23"/>
      <c r="J3786" s="23"/>
      <c r="K3786" s="23"/>
      <c r="L3786" s="23"/>
      <c r="M3786" s="23"/>
      <c r="N3786" s="23"/>
      <c r="O3786" s="23"/>
      <c r="P3786" s="23"/>
      <c r="Q3786" s="23"/>
      <c r="R3786" s="23"/>
      <c r="S3786" s="23"/>
      <c r="T3786" s="23"/>
      <c r="U3786" s="23"/>
    </row>
    <row r="3787">
      <c r="A3787" s="20"/>
      <c r="B3787" s="20"/>
      <c r="C3787" s="30"/>
      <c r="D3787" s="30"/>
      <c r="E3787" s="30"/>
      <c r="F3787" s="22"/>
      <c r="G3787" s="23"/>
      <c r="H3787" s="23"/>
      <c r="I3787" s="23"/>
      <c r="J3787" s="23"/>
      <c r="K3787" s="23"/>
      <c r="L3787" s="23"/>
      <c r="M3787" s="23"/>
      <c r="N3787" s="23"/>
      <c r="O3787" s="23"/>
      <c r="P3787" s="23"/>
      <c r="Q3787" s="23"/>
      <c r="R3787" s="23"/>
      <c r="S3787" s="23"/>
      <c r="T3787" s="23"/>
      <c r="U3787" s="23"/>
    </row>
    <row r="3788">
      <c r="A3788" s="20"/>
      <c r="B3788" s="20"/>
      <c r="C3788" s="30"/>
      <c r="D3788" s="30"/>
      <c r="E3788" s="30"/>
      <c r="F3788" s="22"/>
      <c r="G3788" s="23"/>
      <c r="H3788" s="23"/>
      <c r="I3788" s="23"/>
      <c r="J3788" s="23"/>
      <c r="K3788" s="23"/>
      <c r="L3788" s="23"/>
      <c r="M3788" s="23"/>
      <c r="N3788" s="23"/>
      <c r="O3788" s="23"/>
      <c r="P3788" s="23"/>
      <c r="Q3788" s="23"/>
      <c r="R3788" s="23"/>
      <c r="S3788" s="23"/>
      <c r="T3788" s="23"/>
      <c r="U3788" s="23"/>
    </row>
    <row r="3789">
      <c r="A3789" s="20"/>
      <c r="B3789" s="20"/>
      <c r="C3789" s="30"/>
      <c r="D3789" s="30"/>
      <c r="E3789" s="30"/>
      <c r="F3789" s="22"/>
      <c r="G3789" s="23"/>
      <c r="H3789" s="23"/>
      <c r="I3789" s="23"/>
      <c r="J3789" s="23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</row>
    <row r="3790">
      <c r="A3790" s="20"/>
      <c r="B3790" s="20"/>
      <c r="C3790" s="30"/>
      <c r="D3790" s="30"/>
      <c r="E3790" s="30"/>
      <c r="F3790" s="22"/>
      <c r="G3790" s="23"/>
      <c r="H3790" s="23"/>
      <c r="I3790" s="23"/>
      <c r="J3790" s="23"/>
      <c r="K3790" s="23"/>
      <c r="L3790" s="23"/>
      <c r="M3790" s="23"/>
      <c r="N3790" s="23"/>
      <c r="O3790" s="23"/>
      <c r="P3790" s="23"/>
      <c r="Q3790" s="23"/>
      <c r="R3790" s="23"/>
      <c r="S3790" s="23"/>
      <c r="T3790" s="23"/>
      <c r="U3790" s="23"/>
    </row>
    <row r="3791">
      <c r="A3791" s="20"/>
      <c r="B3791" s="20"/>
      <c r="C3791" s="30"/>
      <c r="D3791" s="30"/>
      <c r="E3791" s="30"/>
      <c r="F3791" s="22"/>
      <c r="G3791" s="23"/>
      <c r="H3791" s="23"/>
      <c r="I3791" s="23"/>
      <c r="J3791" s="23"/>
      <c r="K3791" s="23"/>
      <c r="L3791" s="23"/>
      <c r="M3791" s="23"/>
      <c r="N3791" s="23"/>
      <c r="O3791" s="23"/>
      <c r="P3791" s="23"/>
      <c r="Q3791" s="23"/>
      <c r="R3791" s="23"/>
      <c r="S3791" s="23"/>
      <c r="T3791" s="23"/>
      <c r="U3791" s="23"/>
    </row>
    <row r="3792">
      <c r="A3792" s="20"/>
      <c r="B3792" s="20"/>
      <c r="C3792" s="30"/>
      <c r="D3792" s="30"/>
      <c r="E3792" s="30"/>
      <c r="F3792" s="22"/>
      <c r="G3792" s="23"/>
      <c r="H3792" s="23"/>
      <c r="I3792" s="23"/>
      <c r="J3792" s="23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</row>
    <row r="3793">
      <c r="A3793" s="20"/>
      <c r="B3793" s="20"/>
      <c r="C3793" s="30"/>
      <c r="D3793" s="30"/>
      <c r="E3793" s="30"/>
      <c r="F3793" s="22"/>
      <c r="G3793" s="23"/>
      <c r="H3793" s="23"/>
      <c r="I3793" s="23"/>
      <c r="J3793" s="23"/>
      <c r="K3793" s="23"/>
      <c r="L3793" s="23"/>
      <c r="M3793" s="23"/>
      <c r="N3793" s="23"/>
      <c r="O3793" s="23"/>
      <c r="P3793" s="23"/>
      <c r="Q3793" s="23"/>
      <c r="R3793" s="23"/>
      <c r="S3793" s="23"/>
      <c r="T3793" s="23"/>
      <c r="U3793" s="23"/>
    </row>
    <row r="3794">
      <c r="A3794" s="20"/>
      <c r="B3794" s="20"/>
      <c r="C3794" s="30"/>
      <c r="D3794" s="30"/>
      <c r="E3794" s="30"/>
      <c r="F3794" s="22"/>
      <c r="G3794" s="23"/>
      <c r="H3794" s="23"/>
      <c r="I3794" s="23"/>
      <c r="J3794" s="23"/>
      <c r="K3794" s="23"/>
      <c r="L3794" s="23"/>
      <c r="M3794" s="23"/>
      <c r="N3794" s="23"/>
      <c r="O3794" s="23"/>
      <c r="P3794" s="23"/>
      <c r="Q3794" s="23"/>
      <c r="R3794" s="23"/>
      <c r="S3794" s="23"/>
      <c r="T3794" s="23"/>
      <c r="U3794" s="23"/>
    </row>
    <row r="3795">
      <c r="A3795" s="20"/>
      <c r="B3795" s="20"/>
      <c r="C3795" s="30"/>
      <c r="D3795" s="30"/>
      <c r="E3795" s="30"/>
      <c r="F3795" s="22"/>
      <c r="G3795" s="23"/>
      <c r="H3795" s="23"/>
      <c r="I3795" s="23"/>
      <c r="J3795" s="23"/>
      <c r="K3795" s="23"/>
      <c r="L3795" s="23"/>
      <c r="M3795" s="23"/>
      <c r="N3795" s="23"/>
      <c r="O3795" s="23"/>
      <c r="P3795" s="23"/>
      <c r="Q3795" s="23"/>
      <c r="R3795" s="23"/>
      <c r="S3795" s="23"/>
      <c r="T3795" s="23"/>
      <c r="U3795" s="23"/>
    </row>
    <row r="3796">
      <c r="A3796" s="20"/>
      <c r="B3796" s="20"/>
      <c r="C3796" s="30"/>
      <c r="D3796" s="30"/>
      <c r="E3796" s="30"/>
      <c r="F3796" s="22"/>
      <c r="G3796" s="23"/>
      <c r="H3796" s="23"/>
      <c r="I3796" s="23"/>
      <c r="J3796" s="23"/>
      <c r="K3796" s="23"/>
      <c r="L3796" s="23"/>
      <c r="M3796" s="23"/>
      <c r="N3796" s="23"/>
      <c r="O3796" s="23"/>
      <c r="P3796" s="23"/>
      <c r="Q3796" s="23"/>
      <c r="R3796" s="23"/>
      <c r="S3796" s="23"/>
      <c r="T3796" s="23"/>
      <c r="U3796" s="23"/>
    </row>
    <row r="3797">
      <c r="A3797" s="20"/>
      <c r="B3797" s="20"/>
      <c r="C3797" s="30"/>
      <c r="D3797" s="30"/>
      <c r="E3797" s="30"/>
      <c r="F3797" s="22"/>
      <c r="G3797" s="23"/>
      <c r="H3797" s="23"/>
      <c r="I3797" s="23"/>
      <c r="J3797" s="23"/>
      <c r="K3797" s="23"/>
      <c r="L3797" s="23"/>
      <c r="M3797" s="23"/>
      <c r="N3797" s="23"/>
      <c r="O3797" s="23"/>
      <c r="P3797" s="23"/>
      <c r="Q3797" s="23"/>
      <c r="R3797" s="23"/>
      <c r="S3797" s="23"/>
      <c r="T3797" s="23"/>
      <c r="U3797" s="23"/>
    </row>
    <row r="3798">
      <c r="A3798" s="20"/>
      <c r="B3798" s="20"/>
      <c r="C3798" s="30"/>
      <c r="D3798" s="30"/>
      <c r="E3798" s="30"/>
      <c r="F3798" s="22"/>
      <c r="G3798" s="23"/>
      <c r="H3798" s="23"/>
      <c r="I3798" s="23"/>
      <c r="J3798" s="23"/>
      <c r="K3798" s="23"/>
      <c r="L3798" s="23"/>
      <c r="M3798" s="23"/>
      <c r="N3798" s="23"/>
      <c r="O3798" s="23"/>
      <c r="P3798" s="23"/>
      <c r="Q3798" s="23"/>
      <c r="R3798" s="23"/>
      <c r="S3798" s="23"/>
      <c r="T3798" s="23"/>
      <c r="U3798" s="23"/>
    </row>
    <row r="3799">
      <c r="A3799" s="20"/>
      <c r="B3799" s="20"/>
      <c r="C3799" s="30"/>
      <c r="D3799" s="30"/>
      <c r="E3799" s="30"/>
      <c r="F3799" s="22"/>
      <c r="G3799" s="23"/>
      <c r="H3799" s="23"/>
      <c r="I3799" s="23"/>
      <c r="J3799" s="23"/>
      <c r="K3799" s="23"/>
      <c r="L3799" s="23"/>
      <c r="M3799" s="23"/>
      <c r="N3799" s="23"/>
      <c r="O3799" s="23"/>
      <c r="P3799" s="23"/>
      <c r="Q3799" s="23"/>
      <c r="R3799" s="23"/>
      <c r="S3799" s="23"/>
      <c r="T3799" s="23"/>
      <c r="U3799" s="23"/>
    </row>
    <row r="3800">
      <c r="A3800" s="20"/>
      <c r="B3800" s="20"/>
      <c r="C3800" s="30"/>
      <c r="D3800" s="30"/>
      <c r="E3800" s="30"/>
      <c r="F3800" s="22"/>
      <c r="G3800" s="23"/>
      <c r="H3800" s="23"/>
      <c r="I3800" s="23"/>
      <c r="J3800" s="23"/>
      <c r="K3800" s="23"/>
      <c r="L3800" s="23"/>
      <c r="M3800" s="23"/>
      <c r="N3800" s="23"/>
      <c r="O3800" s="23"/>
      <c r="P3800" s="23"/>
      <c r="Q3800" s="23"/>
      <c r="R3800" s="23"/>
      <c r="S3800" s="23"/>
      <c r="T3800" s="23"/>
      <c r="U3800" s="23"/>
    </row>
    <row r="3801">
      <c r="A3801" s="20"/>
      <c r="B3801" s="20"/>
      <c r="C3801" s="30"/>
      <c r="D3801" s="30"/>
      <c r="E3801" s="30"/>
      <c r="F3801" s="22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</row>
    <row r="3802">
      <c r="A3802" s="20"/>
      <c r="B3802" s="20"/>
      <c r="C3802" s="30"/>
      <c r="D3802" s="30"/>
      <c r="E3802" s="30"/>
      <c r="F3802" s="22"/>
      <c r="G3802" s="23"/>
      <c r="H3802" s="23"/>
      <c r="I3802" s="23"/>
      <c r="J3802" s="23"/>
      <c r="K3802" s="23"/>
      <c r="L3802" s="23"/>
      <c r="M3802" s="23"/>
      <c r="N3802" s="23"/>
      <c r="O3802" s="23"/>
      <c r="P3802" s="23"/>
      <c r="Q3802" s="23"/>
      <c r="R3802" s="23"/>
      <c r="S3802" s="23"/>
      <c r="T3802" s="23"/>
      <c r="U3802" s="23"/>
    </row>
    <row r="3803">
      <c r="A3803" s="20"/>
      <c r="B3803" s="20"/>
      <c r="C3803" s="30"/>
      <c r="D3803" s="30"/>
      <c r="E3803" s="30"/>
      <c r="F3803" s="22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</row>
    <row r="3804">
      <c r="A3804" s="20"/>
      <c r="B3804" s="20"/>
      <c r="C3804" s="30"/>
      <c r="D3804" s="30"/>
      <c r="E3804" s="30"/>
      <c r="F3804" s="22"/>
      <c r="G3804" s="23"/>
      <c r="H3804" s="23"/>
      <c r="I3804" s="23"/>
      <c r="J3804" s="23"/>
      <c r="K3804" s="23"/>
      <c r="L3804" s="23"/>
      <c r="M3804" s="23"/>
      <c r="N3804" s="23"/>
      <c r="O3804" s="23"/>
      <c r="P3804" s="23"/>
      <c r="Q3804" s="23"/>
      <c r="R3804" s="23"/>
      <c r="S3804" s="23"/>
      <c r="T3804" s="23"/>
      <c r="U3804" s="23"/>
    </row>
    <row r="3805">
      <c r="A3805" s="20"/>
      <c r="B3805" s="20"/>
      <c r="C3805" s="30"/>
      <c r="D3805" s="30"/>
      <c r="E3805" s="30"/>
      <c r="F3805" s="22"/>
      <c r="G3805" s="23"/>
      <c r="H3805" s="23"/>
      <c r="I3805" s="23"/>
      <c r="J3805" s="23"/>
      <c r="K3805" s="23"/>
      <c r="L3805" s="23"/>
      <c r="M3805" s="23"/>
      <c r="N3805" s="23"/>
      <c r="O3805" s="23"/>
      <c r="P3805" s="23"/>
      <c r="Q3805" s="23"/>
      <c r="R3805" s="23"/>
      <c r="S3805" s="23"/>
      <c r="T3805" s="23"/>
      <c r="U3805" s="23"/>
    </row>
    <row r="3806">
      <c r="A3806" s="20"/>
      <c r="B3806" s="20"/>
      <c r="C3806" s="30"/>
      <c r="D3806" s="30"/>
      <c r="E3806" s="30"/>
      <c r="F3806" s="22"/>
      <c r="G3806" s="23"/>
      <c r="H3806" s="23"/>
      <c r="I3806" s="23"/>
      <c r="J3806" s="23"/>
      <c r="K3806" s="23"/>
      <c r="L3806" s="23"/>
      <c r="M3806" s="23"/>
      <c r="N3806" s="23"/>
      <c r="O3806" s="23"/>
      <c r="P3806" s="23"/>
      <c r="Q3806" s="23"/>
      <c r="R3806" s="23"/>
      <c r="S3806" s="23"/>
      <c r="T3806" s="23"/>
      <c r="U3806" s="23"/>
    </row>
    <row r="3807">
      <c r="A3807" s="20"/>
      <c r="B3807" s="20"/>
      <c r="C3807" s="30"/>
      <c r="D3807" s="30"/>
      <c r="E3807" s="30"/>
      <c r="F3807" s="22"/>
      <c r="G3807" s="23"/>
      <c r="H3807" s="23"/>
      <c r="I3807" s="23"/>
      <c r="J3807" s="23"/>
      <c r="K3807" s="23"/>
      <c r="L3807" s="23"/>
      <c r="M3807" s="23"/>
      <c r="N3807" s="23"/>
      <c r="O3807" s="23"/>
      <c r="P3807" s="23"/>
      <c r="Q3807" s="23"/>
      <c r="R3807" s="23"/>
      <c r="S3807" s="23"/>
      <c r="T3807" s="23"/>
      <c r="U3807" s="23"/>
    </row>
    <row r="3808">
      <c r="A3808" s="20"/>
      <c r="B3808" s="20"/>
      <c r="C3808" s="30"/>
      <c r="D3808" s="30"/>
      <c r="E3808" s="30"/>
      <c r="F3808" s="22"/>
      <c r="G3808" s="23"/>
      <c r="H3808" s="23"/>
      <c r="I3808" s="23"/>
      <c r="J3808" s="23"/>
      <c r="K3808" s="23"/>
      <c r="L3808" s="23"/>
      <c r="M3808" s="23"/>
      <c r="N3808" s="23"/>
      <c r="O3808" s="23"/>
      <c r="P3808" s="23"/>
      <c r="Q3808" s="23"/>
      <c r="R3808" s="23"/>
      <c r="S3808" s="23"/>
      <c r="T3808" s="23"/>
      <c r="U3808" s="23"/>
    </row>
    <row r="3809">
      <c r="A3809" s="20"/>
      <c r="B3809" s="20"/>
      <c r="C3809" s="30"/>
      <c r="D3809" s="30"/>
      <c r="E3809" s="30"/>
      <c r="F3809" s="22"/>
      <c r="G3809" s="23"/>
      <c r="H3809" s="23"/>
      <c r="I3809" s="23"/>
      <c r="J3809" s="23"/>
      <c r="K3809" s="23"/>
      <c r="L3809" s="23"/>
      <c r="M3809" s="23"/>
      <c r="N3809" s="23"/>
      <c r="O3809" s="23"/>
      <c r="P3809" s="23"/>
      <c r="Q3809" s="23"/>
      <c r="R3809" s="23"/>
      <c r="S3809" s="23"/>
      <c r="T3809" s="23"/>
      <c r="U3809" s="23"/>
    </row>
    <row r="3810">
      <c r="A3810" s="20"/>
      <c r="B3810" s="20"/>
      <c r="C3810" s="30"/>
      <c r="D3810" s="30"/>
      <c r="E3810" s="30"/>
      <c r="F3810" s="22"/>
      <c r="G3810" s="23"/>
      <c r="H3810" s="23"/>
      <c r="I3810" s="23"/>
      <c r="J3810" s="23"/>
      <c r="K3810" s="23"/>
      <c r="L3810" s="23"/>
      <c r="M3810" s="23"/>
      <c r="N3810" s="23"/>
      <c r="O3810" s="23"/>
      <c r="P3810" s="23"/>
      <c r="Q3810" s="23"/>
      <c r="R3810" s="23"/>
      <c r="S3810" s="23"/>
      <c r="T3810" s="23"/>
      <c r="U3810" s="23"/>
    </row>
    <row r="3811">
      <c r="A3811" s="20"/>
      <c r="B3811" s="20"/>
      <c r="C3811" s="30"/>
      <c r="D3811" s="30"/>
      <c r="E3811" s="30"/>
      <c r="F3811" s="22"/>
      <c r="G3811" s="23"/>
      <c r="H3811" s="23"/>
      <c r="I3811" s="23"/>
      <c r="J3811" s="23"/>
      <c r="K3811" s="23"/>
      <c r="L3811" s="23"/>
      <c r="M3811" s="23"/>
      <c r="N3811" s="23"/>
      <c r="O3811" s="23"/>
      <c r="P3811" s="23"/>
      <c r="Q3811" s="23"/>
      <c r="R3811" s="23"/>
      <c r="S3811" s="23"/>
      <c r="T3811" s="23"/>
      <c r="U3811" s="23"/>
    </row>
    <row r="3812">
      <c r="A3812" s="20"/>
      <c r="B3812" s="20"/>
      <c r="C3812" s="30"/>
      <c r="D3812" s="30"/>
      <c r="E3812" s="30"/>
      <c r="F3812" s="22"/>
      <c r="G3812" s="23"/>
      <c r="H3812" s="23"/>
      <c r="I3812" s="23"/>
      <c r="J3812" s="23"/>
      <c r="K3812" s="23"/>
      <c r="L3812" s="23"/>
      <c r="M3812" s="23"/>
      <c r="N3812" s="23"/>
      <c r="O3812" s="23"/>
      <c r="P3812" s="23"/>
      <c r="Q3812" s="23"/>
      <c r="R3812" s="23"/>
      <c r="S3812" s="23"/>
      <c r="T3812" s="23"/>
      <c r="U3812" s="23"/>
    </row>
    <row r="3813">
      <c r="A3813" s="20"/>
      <c r="B3813" s="20"/>
      <c r="C3813" s="30"/>
      <c r="D3813" s="30"/>
      <c r="E3813" s="30"/>
      <c r="F3813" s="22"/>
      <c r="G3813" s="23"/>
      <c r="H3813" s="23"/>
      <c r="I3813" s="23"/>
      <c r="J3813" s="23"/>
      <c r="K3813" s="23"/>
      <c r="L3813" s="23"/>
      <c r="M3813" s="23"/>
      <c r="N3813" s="23"/>
      <c r="O3813" s="23"/>
      <c r="P3813" s="23"/>
      <c r="Q3813" s="23"/>
      <c r="R3813" s="23"/>
      <c r="S3813" s="23"/>
      <c r="T3813" s="23"/>
      <c r="U3813" s="23"/>
    </row>
    <row r="3814">
      <c r="A3814" s="20"/>
      <c r="B3814" s="20"/>
      <c r="C3814" s="30"/>
      <c r="D3814" s="30"/>
      <c r="E3814" s="30"/>
      <c r="F3814" s="22"/>
      <c r="G3814" s="23"/>
      <c r="H3814" s="23"/>
      <c r="I3814" s="23"/>
      <c r="J3814" s="23"/>
      <c r="K3814" s="23"/>
      <c r="L3814" s="23"/>
      <c r="M3814" s="23"/>
      <c r="N3814" s="23"/>
      <c r="O3814" s="23"/>
      <c r="P3814" s="23"/>
      <c r="Q3814" s="23"/>
      <c r="R3814" s="23"/>
      <c r="S3814" s="23"/>
      <c r="T3814" s="23"/>
      <c r="U3814" s="23"/>
    </row>
    <row r="3815">
      <c r="A3815" s="20"/>
      <c r="B3815" s="20"/>
      <c r="C3815" s="30"/>
      <c r="D3815" s="30"/>
      <c r="E3815" s="30"/>
      <c r="F3815" s="22"/>
      <c r="G3815" s="23"/>
      <c r="H3815" s="23"/>
      <c r="I3815" s="23"/>
      <c r="J3815" s="23"/>
      <c r="K3815" s="23"/>
      <c r="L3815" s="23"/>
      <c r="M3815" s="23"/>
      <c r="N3815" s="23"/>
      <c r="O3815" s="23"/>
      <c r="P3815" s="23"/>
      <c r="Q3815" s="23"/>
      <c r="R3815" s="23"/>
      <c r="S3815" s="23"/>
      <c r="T3815" s="23"/>
      <c r="U3815" s="23"/>
    </row>
    <row r="3816">
      <c r="A3816" s="20"/>
      <c r="B3816" s="20"/>
      <c r="C3816" s="30"/>
      <c r="D3816" s="30"/>
      <c r="E3816" s="30"/>
      <c r="F3816" s="22"/>
      <c r="G3816" s="23"/>
      <c r="H3816" s="23"/>
      <c r="I3816" s="23"/>
      <c r="J3816" s="23"/>
      <c r="K3816" s="23"/>
      <c r="L3816" s="23"/>
      <c r="M3816" s="23"/>
      <c r="N3816" s="23"/>
      <c r="O3816" s="23"/>
      <c r="P3816" s="23"/>
      <c r="Q3816" s="23"/>
      <c r="R3816" s="23"/>
      <c r="S3816" s="23"/>
      <c r="T3816" s="23"/>
      <c r="U3816" s="23"/>
    </row>
    <row r="3817">
      <c r="A3817" s="20"/>
      <c r="B3817" s="20"/>
      <c r="C3817" s="30"/>
      <c r="D3817" s="30"/>
      <c r="E3817" s="30"/>
      <c r="F3817" s="22"/>
      <c r="G3817" s="23"/>
      <c r="H3817" s="23"/>
      <c r="I3817" s="23"/>
      <c r="J3817" s="23"/>
      <c r="K3817" s="23"/>
      <c r="L3817" s="23"/>
      <c r="M3817" s="23"/>
      <c r="N3817" s="23"/>
      <c r="O3817" s="23"/>
      <c r="P3817" s="23"/>
      <c r="Q3817" s="23"/>
      <c r="R3817" s="23"/>
      <c r="S3817" s="23"/>
      <c r="T3817" s="23"/>
      <c r="U3817" s="23"/>
    </row>
    <row r="3818">
      <c r="A3818" s="20"/>
      <c r="B3818" s="20"/>
      <c r="C3818" s="30"/>
      <c r="D3818" s="30"/>
      <c r="E3818" s="30"/>
      <c r="F3818" s="22"/>
      <c r="G3818" s="23"/>
      <c r="H3818" s="23"/>
      <c r="I3818" s="23"/>
      <c r="J3818" s="23"/>
      <c r="K3818" s="23"/>
      <c r="L3818" s="23"/>
      <c r="M3818" s="23"/>
      <c r="N3818" s="23"/>
      <c r="O3818" s="23"/>
      <c r="P3818" s="23"/>
      <c r="Q3818" s="23"/>
      <c r="R3818" s="23"/>
      <c r="S3818" s="23"/>
      <c r="T3818" s="23"/>
      <c r="U3818" s="23"/>
    </row>
    <row r="3819">
      <c r="A3819" s="20"/>
      <c r="B3819" s="20"/>
      <c r="C3819" s="30"/>
      <c r="D3819" s="30"/>
      <c r="E3819" s="30"/>
      <c r="F3819" s="22"/>
      <c r="G3819" s="23"/>
      <c r="H3819" s="23"/>
      <c r="I3819" s="23"/>
      <c r="J3819" s="23"/>
      <c r="K3819" s="23"/>
      <c r="L3819" s="23"/>
      <c r="M3819" s="23"/>
      <c r="N3819" s="23"/>
      <c r="O3819" s="23"/>
      <c r="P3819" s="23"/>
      <c r="Q3819" s="23"/>
      <c r="R3819" s="23"/>
      <c r="S3819" s="23"/>
      <c r="T3819" s="23"/>
      <c r="U3819" s="23"/>
    </row>
    <row r="3820">
      <c r="A3820" s="20"/>
      <c r="B3820" s="20"/>
      <c r="C3820" s="30"/>
      <c r="D3820" s="30"/>
      <c r="E3820" s="30"/>
      <c r="F3820" s="22"/>
      <c r="G3820" s="23"/>
      <c r="H3820" s="23"/>
      <c r="I3820" s="23"/>
      <c r="J3820" s="23"/>
      <c r="K3820" s="23"/>
      <c r="L3820" s="23"/>
      <c r="M3820" s="23"/>
      <c r="N3820" s="23"/>
      <c r="O3820" s="23"/>
      <c r="P3820" s="23"/>
      <c r="Q3820" s="23"/>
      <c r="R3820" s="23"/>
      <c r="S3820" s="23"/>
      <c r="T3820" s="23"/>
      <c r="U3820" s="23"/>
    </row>
    <row r="3821">
      <c r="A3821" s="20"/>
      <c r="B3821" s="20"/>
      <c r="C3821" s="30"/>
      <c r="D3821" s="30"/>
      <c r="E3821" s="30"/>
      <c r="F3821" s="22"/>
      <c r="G3821" s="23"/>
      <c r="H3821" s="23"/>
      <c r="I3821" s="23"/>
      <c r="J3821" s="23"/>
      <c r="K3821" s="23"/>
      <c r="L3821" s="23"/>
      <c r="M3821" s="23"/>
      <c r="N3821" s="23"/>
      <c r="O3821" s="23"/>
      <c r="P3821" s="23"/>
      <c r="Q3821" s="23"/>
      <c r="R3821" s="23"/>
      <c r="S3821" s="23"/>
      <c r="T3821" s="23"/>
      <c r="U3821" s="23"/>
    </row>
    <row r="3822">
      <c r="A3822" s="20"/>
      <c r="B3822" s="20"/>
      <c r="C3822" s="30"/>
      <c r="D3822" s="30"/>
      <c r="E3822" s="30"/>
      <c r="F3822" s="22"/>
      <c r="G3822" s="23"/>
      <c r="H3822" s="23"/>
      <c r="I3822" s="23"/>
      <c r="J3822" s="23"/>
      <c r="K3822" s="23"/>
      <c r="L3822" s="23"/>
      <c r="M3822" s="23"/>
      <c r="N3822" s="23"/>
      <c r="O3822" s="23"/>
      <c r="P3822" s="23"/>
      <c r="Q3822" s="23"/>
      <c r="R3822" s="23"/>
      <c r="S3822" s="23"/>
      <c r="T3822" s="23"/>
      <c r="U3822" s="23"/>
    </row>
    <row r="3823">
      <c r="A3823" s="20"/>
      <c r="B3823" s="20"/>
      <c r="C3823" s="30"/>
      <c r="D3823" s="30"/>
      <c r="E3823" s="30"/>
      <c r="F3823" s="22"/>
      <c r="G3823" s="23"/>
      <c r="H3823" s="23"/>
      <c r="I3823" s="23"/>
      <c r="J3823" s="23"/>
      <c r="K3823" s="23"/>
      <c r="L3823" s="23"/>
      <c r="M3823" s="23"/>
      <c r="N3823" s="23"/>
      <c r="O3823" s="23"/>
      <c r="P3823" s="23"/>
      <c r="Q3823" s="23"/>
      <c r="R3823" s="23"/>
      <c r="S3823" s="23"/>
      <c r="T3823" s="23"/>
      <c r="U3823" s="23"/>
    </row>
    <row r="3824">
      <c r="A3824" s="20"/>
      <c r="B3824" s="20"/>
      <c r="C3824" s="30"/>
      <c r="D3824" s="30"/>
      <c r="E3824" s="30"/>
      <c r="F3824" s="22"/>
      <c r="G3824" s="23"/>
      <c r="H3824" s="23"/>
      <c r="I3824" s="23"/>
      <c r="J3824" s="23"/>
      <c r="K3824" s="23"/>
      <c r="L3824" s="23"/>
      <c r="M3824" s="23"/>
      <c r="N3824" s="23"/>
      <c r="O3824" s="23"/>
      <c r="P3824" s="23"/>
      <c r="Q3824" s="23"/>
      <c r="R3824" s="23"/>
      <c r="S3824" s="23"/>
      <c r="T3824" s="23"/>
      <c r="U3824" s="23"/>
    </row>
    <row r="3825">
      <c r="A3825" s="20"/>
      <c r="B3825" s="20"/>
      <c r="C3825" s="30"/>
      <c r="D3825" s="30"/>
      <c r="E3825" s="30"/>
      <c r="F3825" s="22"/>
      <c r="G3825" s="23"/>
      <c r="H3825" s="23"/>
      <c r="I3825" s="23"/>
      <c r="J3825" s="23"/>
      <c r="K3825" s="23"/>
      <c r="L3825" s="23"/>
      <c r="M3825" s="23"/>
      <c r="N3825" s="23"/>
      <c r="O3825" s="23"/>
      <c r="P3825" s="23"/>
      <c r="Q3825" s="23"/>
      <c r="R3825" s="23"/>
      <c r="S3825" s="23"/>
      <c r="T3825" s="23"/>
      <c r="U3825" s="23"/>
    </row>
    <row r="3826">
      <c r="A3826" s="20"/>
      <c r="B3826" s="20"/>
      <c r="C3826" s="30"/>
      <c r="D3826" s="30"/>
      <c r="E3826" s="30"/>
      <c r="F3826" s="22"/>
      <c r="G3826" s="23"/>
      <c r="H3826" s="23"/>
      <c r="I3826" s="23"/>
      <c r="J3826" s="23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</row>
    <row r="3827">
      <c r="A3827" s="20"/>
      <c r="B3827" s="20"/>
      <c r="C3827" s="30"/>
      <c r="D3827" s="30"/>
      <c r="E3827" s="30"/>
      <c r="F3827" s="22"/>
      <c r="G3827" s="23"/>
      <c r="H3827" s="23"/>
      <c r="I3827" s="23"/>
      <c r="J3827" s="23"/>
      <c r="K3827" s="23"/>
      <c r="L3827" s="23"/>
      <c r="M3827" s="23"/>
      <c r="N3827" s="23"/>
      <c r="O3827" s="23"/>
      <c r="P3827" s="23"/>
      <c r="Q3827" s="23"/>
      <c r="R3827" s="23"/>
      <c r="S3827" s="23"/>
      <c r="T3827" s="23"/>
      <c r="U3827" s="23"/>
    </row>
    <row r="3828">
      <c r="A3828" s="20"/>
      <c r="B3828" s="20"/>
      <c r="C3828" s="30"/>
      <c r="D3828" s="30"/>
      <c r="E3828" s="30"/>
      <c r="F3828" s="22"/>
      <c r="G3828" s="23"/>
      <c r="H3828" s="23"/>
      <c r="I3828" s="23"/>
      <c r="J3828" s="23"/>
      <c r="K3828" s="23"/>
      <c r="L3828" s="23"/>
      <c r="M3828" s="23"/>
      <c r="N3828" s="23"/>
      <c r="O3828" s="23"/>
      <c r="P3828" s="23"/>
      <c r="Q3828" s="23"/>
      <c r="R3828" s="23"/>
      <c r="S3828" s="23"/>
      <c r="T3828" s="23"/>
      <c r="U3828" s="23"/>
    </row>
    <row r="3829">
      <c r="A3829" s="20"/>
      <c r="B3829" s="20"/>
      <c r="C3829" s="30"/>
      <c r="D3829" s="30"/>
      <c r="E3829" s="30"/>
      <c r="F3829" s="22"/>
      <c r="G3829" s="23"/>
      <c r="H3829" s="23"/>
      <c r="I3829" s="23"/>
      <c r="J3829" s="23"/>
      <c r="K3829" s="23"/>
      <c r="L3829" s="23"/>
      <c r="M3829" s="23"/>
      <c r="N3829" s="23"/>
      <c r="O3829" s="23"/>
      <c r="P3829" s="23"/>
      <c r="Q3829" s="23"/>
      <c r="R3829" s="23"/>
      <c r="S3829" s="23"/>
      <c r="T3829" s="23"/>
      <c r="U3829" s="23"/>
    </row>
    <row r="3830">
      <c r="A3830" s="20"/>
      <c r="B3830" s="20"/>
      <c r="C3830" s="30"/>
      <c r="D3830" s="30"/>
      <c r="E3830" s="30"/>
      <c r="F3830" s="22"/>
      <c r="G3830" s="23"/>
      <c r="H3830" s="23"/>
      <c r="I3830" s="23"/>
      <c r="J3830" s="23"/>
      <c r="K3830" s="23"/>
      <c r="L3830" s="23"/>
      <c r="M3830" s="23"/>
      <c r="N3830" s="23"/>
      <c r="O3830" s="23"/>
      <c r="P3830" s="23"/>
      <c r="Q3830" s="23"/>
      <c r="R3830" s="23"/>
      <c r="S3830" s="23"/>
      <c r="T3830" s="23"/>
      <c r="U3830" s="23"/>
    </row>
    <row r="3831">
      <c r="A3831" s="20"/>
      <c r="B3831" s="20"/>
      <c r="C3831" s="30"/>
      <c r="D3831" s="30"/>
      <c r="E3831" s="30"/>
      <c r="F3831" s="22"/>
      <c r="G3831" s="23"/>
      <c r="H3831" s="23"/>
      <c r="I3831" s="23"/>
      <c r="J3831" s="23"/>
      <c r="K3831" s="23"/>
      <c r="L3831" s="23"/>
      <c r="M3831" s="23"/>
      <c r="N3831" s="23"/>
      <c r="O3831" s="23"/>
      <c r="P3831" s="23"/>
      <c r="Q3831" s="23"/>
      <c r="R3831" s="23"/>
      <c r="S3831" s="23"/>
      <c r="T3831" s="23"/>
      <c r="U3831" s="23"/>
    </row>
    <row r="3832">
      <c r="A3832" s="20"/>
      <c r="B3832" s="20"/>
      <c r="C3832" s="30"/>
      <c r="D3832" s="30"/>
      <c r="E3832" s="30"/>
      <c r="F3832" s="22"/>
      <c r="G3832" s="23"/>
      <c r="H3832" s="23"/>
      <c r="I3832" s="23"/>
      <c r="J3832" s="23"/>
      <c r="K3832" s="23"/>
      <c r="L3832" s="23"/>
      <c r="M3832" s="23"/>
      <c r="N3832" s="23"/>
      <c r="O3832" s="23"/>
      <c r="P3832" s="23"/>
      <c r="Q3832" s="23"/>
      <c r="R3832" s="23"/>
      <c r="S3832" s="23"/>
      <c r="T3832" s="23"/>
      <c r="U3832" s="23"/>
    </row>
    <row r="3833">
      <c r="A3833" s="20"/>
      <c r="B3833" s="20"/>
      <c r="C3833" s="30"/>
      <c r="D3833" s="30"/>
      <c r="E3833" s="30"/>
      <c r="F3833" s="22"/>
      <c r="G3833" s="23"/>
      <c r="H3833" s="23"/>
      <c r="I3833" s="23"/>
      <c r="J3833" s="23"/>
      <c r="K3833" s="23"/>
      <c r="L3833" s="23"/>
      <c r="M3833" s="23"/>
      <c r="N3833" s="23"/>
      <c r="O3833" s="23"/>
      <c r="P3833" s="23"/>
      <c r="Q3833" s="23"/>
      <c r="R3833" s="23"/>
      <c r="S3833" s="23"/>
      <c r="T3833" s="23"/>
      <c r="U3833" s="23"/>
    </row>
    <row r="3834">
      <c r="A3834" s="20"/>
      <c r="B3834" s="20"/>
      <c r="C3834" s="30"/>
      <c r="D3834" s="30"/>
      <c r="E3834" s="30"/>
      <c r="F3834" s="22"/>
      <c r="G3834" s="23"/>
      <c r="H3834" s="23"/>
      <c r="I3834" s="23"/>
      <c r="J3834" s="23"/>
      <c r="K3834" s="23"/>
      <c r="L3834" s="23"/>
      <c r="M3834" s="23"/>
      <c r="N3834" s="23"/>
      <c r="O3834" s="23"/>
      <c r="P3834" s="23"/>
      <c r="Q3834" s="23"/>
      <c r="R3834" s="23"/>
      <c r="S3834" s="23"/>
      <c r="T3834" s="23"/>
      <c r="U3834" s="23"/>
    </row>
    <row r="3835">
      <c r="A3835" s="20"/>
      <c r="B3835" s="20"/>
      <c r="C3835" s="30"/>
      <c r="D3835" s="30"/>
      <c r="E3835" s="30"/>
      <c r="F3835" s="22"/>
      <c r="G3835" s="23"/>
      <c r="H3835" s="23"/>
      <c r="I3835" s="23"/>
      <c r="J3835" s="23"/>
      <c r="K3835" s="23"/>
      <c r="L3835" s="23"/>
      <c r="M3835" s="23"/>
      <c r="N3835" s="23"/>
      <c r="O3835" s="23"/>
      <c r="P3835" s="23"/>
      <c r="Q3835" s="23"/>
      <c r="R3835" s="23"/>
      <c r="S3835" s="23"/>
      <c r="T3835" s="23"/>
      <c r="U3835" s="23"/>
    </row>
    <row r="3836">
      <c r="A3836" s="20"/>
      <c r="B3836" s="20"/>
      <c r="C3836" s="30"/>
      <c r="D3836" s="30"/>
      <c r="E3836" s="30"/>
      <c r="F3836" s="22"/>
      <c r="G3836" s="23"/>
      <c r="H3836" s="23"/>
      <c r="I3836" s="23"/>
      <c r="J3836" s="23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</row>
    <row r="3837">
      <c r="A3837" s="20"/>
      <c r="B3837" s="20"/>
      <c r="C3837" s="30"/>
      <c r="D3837" s="30"/>
      <c r="E3837" s="30"/>
      <c r="F3837" s="22"/>
      <c r="G3837" s="23"/>
      <c r="H3837" s="23"/>
      <c r="I3837" s="23"/>
      <c r="J3837" s="23"/>
      <c r="K3837" s="23"/>
      <c r="L3837" s="23"/>
      <c r="M3837" s="23"/>
      <c r="N3837" s="23"/>
      <c r="O3837" s="23"/>
      <c r="P3837" s="23"/>
      <c r="Q3837" s="23"/>
      <c r="R3837" s="23"/>
      <c r="S3837" s="23"/>
      <c r="T3837" s="23"/>
      <c r="U3837" s="23"/>
    </row>
    <row r="3838">
      <c r="A3838" s="20"/>
      <c r="B3838" s="20"/>
      <c r="C3838" s="30"/>
      <c r="D3838" s="30"/>
      <c r="E3838" s="30"/>
      <c r="F3838" s="22"/>
      <c r="G3838" s="23"/>
      <c r="H3838" s="23"/>
      <c r="I3838" s="23"/>
      <c r="J3838" s="23"/>
      <c r="K3838" s="23"/>
      <c r="L3838" s="23"/>
      <c r="M3838" s="23"/>
      <c r="N3838" s="23"/>
      <c r="O3838" s="23"/>
      <c r="P3838" s="23"/>
      <c r="Q3838" s="23"/>
      <c r="R3838" s="23"/>
      <c r="S3838" s="23"/>
      <c r="T3838" s="23"/>
      <c r="U3838" s="23"/>
    </row>
    <row r="3839">
      <c r="A3839" s="20"/>
      <c r="B3839" s="20"/>
      <c r="C3839" s="30"/>
      <c r="D3839" s="30"/>
      <c r="E3839" s="30"/>
      <c r="F3839" s="22"/>
      <c r="G3839" s="23"/>
      <c r="H3839" s="23"/>
      <c r="I3839" s="23"/>
      <c r="J3839" s="23"/>
      <c r="K3839" s="23"/>
      <c r="L3839" s="23"/>
      <c r="M3839" s="23"/>
      <c r="N3839" s="23"/>
      <c r="O3839" s="23"/>
      <c r="P3839" s="23"/>
      <c r="Q3839" s="23"/>
      <c r="R3839" s="23"/>
      <c r="S3839" s="23"/>
      <c r="T3839" s="23"/>
      <c r="U3839" s="23"/>
    </row>
    <row r="3840">
      <c r="A3840" s="20"/>
      <c r="B3840" s="20"/>
      <c r="C3840" s="30"/>
      <c r="D3840" s="30"/>
      <c r="E3840" s="30"/>
      <c r="F3840" s="22"/>
      <c r="G3840" s="23"/>
      <c r="H3840" s="23"/>
      <c r="I3840" s="23"/>
      <c r="J3840" s="23"/>
      <c r="K3840" s="23"/>
      <c r="L3840" s="23"/>
      <c r="M3840" s="23"/>
      <c r="N3840" s="23"/>
      <c r="O3840" s="23"/>
      <c r="P3840" s="23"/>
      <c r="Q3840" s="23"/>
      <c r="R3840" s="23"/>
      <c r="S3840" s="23"/>
      <c r="T3840" s="23"/>
      <c r="U3840" s="23"/>
    </row>
    <row r="3841">
      <c r="A3841" s="20"/>
      <c r="B3841" s="20"/>
      <c r="C3841" s="30"/>
      <c r="D3841" s="30"/>
      <c r="E3841" s="30"/>
      <c r="F3841" s="22"/>
      <c r="G3841" s="23"/>
      <c r="H3841" s="23"/>
      <c r="I3841" s="23"/>
      <c r="J3841" s="23"/>
      <c r="K3841" s="23"/>
      <c r="L3841" s="23"/>
      <c r="M3841" s="23"/>
      <c r="N3841" s="23"/>
      <c r="O3841" s="23"/>
      <c r="P3841" s="23"/>
      <c r="Q3841" s="23"/>
      <c r="R3841" s="23"/>
      <c r="S3841" s="23"/>
      <c r="T3841" s="23"/>
      <c r="U3841" s="23"/>
    </row>
    <row r="3842">
      <c r="A3842" s="20"/>
      <c r="B3842" s="20"/>
      <c r="C3842" s="30"/>
      <c r="D3842" s="30"/>
      <c r="E3842" s="30"/>
      <c r="F3842" s="22"/>
      <c r="G3842" s="23"/>
      <c r="H3842" s="23"/>
      <c r="I3842" s="23"/>
      <c r="J3842" s="23"/>
      <c r="K3842" s="23"/>
      <c r="L3842" s="23"/>
      <c r="M3842" s="23"/>
      <c r="N3842" s="23"/>
      <c r="O3842" s="23"/>
      <c r="P3842" s="23"/>
      <c r="Q3842" s="23"/>
      <c r="R3842" s="23"/>
      <c r="S3842" s="23"/>
      <c r="T3842" s="23"/>
      <c r="U3842" s="23"/>
    </row>
    <row r="3843">
      <c r="A3843" s="20"/>
      <c r="B3843" s="20"/>
      <c r="C3843" s="30"/>
      <c r="D3843" s="30"/>
      <c r="E3843" s="30"/>
      <c r="F3843" s="22"/>
      <c r="G3843" s="23"/>
      <c r="H3843" s="23"/>
      <c r="I3843" s="23"/>
      <c r="J3843" s="23"/>
      <c r="K3843" s="23"/>
      <c r="L3843" s="23"/>
      <c r="M3843" s="23"/>
      <c r="N3843" s="23"/>
      <c r="O3843" s="23"/>
      <c r="P3843" s="23"/>
      <c r="Q3843" s="23"/>
      <c r="R3843" s="23"/>
      <c r="S3843" s="23"/>
      <c r="T3843" s="23"/>
      <c r="U3843" s="23"/>
    </row>
    <row r="3844">
      <c r="A3844" s="20"/>
      <c r="B3844" s="20"/>
      <c r="C3844" s="30"/>
      <c r="D3844" s="30"/>
      <c r="E3844" s="30"/>
      <c r="F3844" s="22"/>
      <c r="G3844" s="23"/>
      <c r="H3844" s="23"/>
      <c r="I3844" s="23"/>
      <c r="J3844" s="23"/>
      <c r="K3844" s="23"/>
      <c r="L3844" s="23"/>
      <c r="M3844" s="23"/>
      <c r="N3844" s="23"/>
      <c r="O3844" s="23"/>
      <c r="P3844" s="23"/>
      <c r="Q3844" s="23"/>
      <c r="R3844" s="23"/>
      <c r="S3844" s="23"/>
      <c r="T3844" s="23"/>
      <c r="U3844" s="23"/>
    </row>
    <row r="3845">
      <c r="A3845" s="20"/>
      <c r="B3845" s="20"/>
      <c r="C3845" s="30"/>
      <c r="D3845" s="30"/>
      <c r="E3845" s="30"/>
      <c r="F3845" s="22"/>
      <c r="G3845" s="23"/>
      <c r="H3845" s="23"/>
      <c r="I3845" s="23"/>
      <c r="J3845" s="23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</row>
    <row r="3846">
      <c r="A3846" s="20"/>
      <c r="B3846" s="20"/>
      <c r="C3846" s="30"/>
      <c r="D3846" s="30"/>
      <c r="E3846" s="30"/>
      <c r="F3846" s="22"/>
      <c r="G3846" s="23"/>
      <c r="H3846" s="23"/>
      <c r="I3846" s="23"/>
      <c r="J3846" s="23"/>
      <c r="K3846" s="23"/>
      <c r="L3846" s="23"/>
      <c r="M3846" s="23"/>
      <c r="N3846" s="23"/>
      <c r="O3846" s="23"/>
      <c r="P3846" s="23"/>
      <c r="Q3846" s="23"/>
      <c r="R3846" s="23"/>
      <c r="S3846" s="23"/>
      <c r="T3846" s="23"/>
      <c r="U3846" s="23"/>
    </row>
    <row r="3847">
      <c r="A3847" s="20"/>
      <c r="B3847" s="20"/>
      <c r="C3847" s="30"/>
      <c r="D3847" s="30"/>
      <c r="E3847" s="30"/>
      <c r="F3847" s="22"/>
      <c r="G3847" s="23"/>
      <c r="H3847" s="23"/>
      <c r="I3847" s="23"/>
      <c r="J3847" s="23"/>
      <c r="K3847" s="23"/>
      <c r="L3847" s="23"/>
      <c r="M3847" s="23"/>
      <c r="N3847" s="23"/>
      <c r="O3847" s="23"/>
      <c r="P3847" s="23"/>
      <c r="Q3847" s="23"/>
      <c r="R3847" s="23"/>
      <c r="S3847" s="23"/>
      <c r="T3847" s="23"/>
      <c r="U3847" s="23"/>
    </row>
    <row r="3848">
      <c r="A3848" s="20"/>
      <c r="B3848" s="20"/>
      <c r="C3848" s="30"/>
      <c r="D3848" s="30"/>
      <c r="E3848" s="30"/>
      <c r="F3848" s="22"/>
      <c r="G3848" s="23"/>
      <c r="H3848" s="23"/>
      <c r="I3848" s="23"/>
      <c r="J3848" s="23"/>
      <c r="K3848" s="23"/>
      <c r="L3848" s="23"/>
      <c r="M3848" s="23"/>
      <c r="N3848" s="23"/>
      <c r="O3848" s="23"/>
      <c r="P3848" s="23"/>
      <c r="Q3848" s="23"/>
      <c r="R3848" s="23"/>
      <c r="S3848" s="23"/>
      <c r="T3848" s="23"/>
      <c r="U3848" s="23"/>
    </row>
    <row r="3849">
      <c r="A3849" s="20"/>
      <c r="B3849" s="20"/>
      <c r="C3849" s="30"/>
      <c r="D3849" s="30"/>
      <c r="E3849" s="30"/>
      <c r="F3849" s="22"/>
      <c r="G3849" s="23"/>
      <c r="H3849" s="23"/>
      <c r="I3849" s="23"/>
      <c r="J3849" s="23"/>
      <c r="K3849" s="23"/>
      <c r="L3849" s="23"/>
      <c r="M3849" s="23"/>
      <c r="N3849" s="23"/>
      <c r="O3849" s="23"/>
      <c r="P3849" s="23"/>
      <c r="Q3849" s="23"/>
      <c r="R3849" s="23"/>
      <c r="S3849" s="23"/>
      <c r="T3849" s="23"/>
      <c r="U3849" s="23"/>
    </row>
    <row r="3850">
      <c r="A3850" s="20"/>
      <c r="B3850" s="20"/>
      <c r="C3850" s="30"/>
      <c r="D3850" s="30"/>
      <c r="E3850" s="30"/>
      <c r="F3850" s="22"/>
      <c r="G3850" s="23"/>
      <c r="H3850" s="23"/>
      <c r="I3850" s="23"/>
      <c r="J3850" s="23"/>
      <c r="K3850" s="23"/>
      <c r="L3850" s="23"/>
      <c r="M3850" s="23"/>
      <c r="N3850" s="23"/>
      <c r="O3850" s="23"/>
      <c r="P3850" s="23"/>
      <c r="Q3850" s="23"/>
      <c r="R3850" s="23"/>
      <c r="S3850" s="23"/>
      <c r="T3850" s="23"/>
      <c r="U3850" s="23"/>
    </row>
    <row r="3851">
      <c r="A3851" s="20"/>
      <c r="B3851" s="20"/>
      <c r="C3851" s="30"/>
      <c r="D3851" s="30"/>
      <c r="E3851" s="30"/>
      <c r="F3851" s="22"/>
      <c r="G3851" s="23"/>
      <c r="H3851" s="23"/>
      <c r="I3851" s="23"/>
      <c r="J3851" s="23"/>
      <c r="K3851" s="23"/>
      <c r="L3851" s="23"/>
      <c r="M3851" s="23"/>
      <c r="N3851" s="23"/>
      <c r="O3851" s="23"/>
      <c r="P3851" s="23"/>
      <c r="Q3851" s="23"/>
      <c r="R3851" s="23"/>
      <c r="S3851" s="23"/>
      <c r="T3851" s="23"/>
      <c r="U3851" s="23"/>
    </row>
    <row r="3852">
      <c r="A3852" s="20"/>
      <c r="B3852" s="20"/>
      <c r="C3852" s="30"/>
      <c r="D3852" s="30"/>
      <c r="E3852" s="30"/>
      <c r="F3852" s="22"/>
      <c r="G3852" s="23"/>
      <c r="H3852" s="23"/>
      <c r="I3852" s="23"/>
      <c r="J3852" s="23"/>
      <c r="K3852" s="23"/>
      <c r="L3852" s="23"/>
      <c r="M3852" s="23"/>
      <c r="N3852" s="23"/>
      <c r="O3852" s="23"/>
      <c r="P3852" s="23"/>
      <c r="Q3852" s="23"/>
      <c r="R3852" s="23"/>
      <c r="S3852" s="23"/>
      <c r="T3852" s="23"/>
      <c r="U3852" s="23"/>
    </row>
    <row r="3853">
      <c r="A3853" s="20"/>
      <c r="B3853" s="20"/>
      <c r="C3853" s="30"/>
      <c r="D3853" s="30"/>
      <c r="E3853" s="30"/>
      <c r="F3853" s="22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</row>
    <row r="3854">
      <c r="A3854" s="20"/>
      <c r="B3854" s="20"/>
      <c r="C3854" s="30"/>
      <c r="D3854" s="30"/>
      <c r="E3854" s="30"/>
      <c r="F3854" s="22"/>
      <c r="G3854" s="23"/>
      <c r="H3854" s="23"/>
      <c r="I3854" s="23"/>
      <c r="J3854" s="23"/>
      <c r="K3854" s="23"/>
      <c r="L3854" s="23"/>
      <c r="M3854" s="23"/>
      <c r="N3854" s="23"/>
      <c r="O3854" s="23"/>
      <c r="P3854" s="23"/>
      <c r="Q3854" s="23"/>
      <c r="R3854" s="23"/>
      <c r="S3854" s="23"/>
      <c r="T3854" s="23"/>
      <c r="U3854" s="23"/>
    </row>
    <row r="3855">
      <c r="A3855" s="20"/>
      <c r="B3855" s="20"/>
      <c r="C3855" s="30"/>
      <c r="D3855" s="30"/>
      <c r="E3855" s="30"/>
      <c r="F3855" s="22"/>
      <c r="G3855" s="23"/>
      <c r="H3855" s="23"/>
      <c r="I3855" s="23"/>
      <c r="J3855" s="23"/>
      <c r="K3855" s="23"/>
      <c r="L3855" s="23"/>
      <c r="M3855" s="23"/>
      <c r="N3855" s="23"/>
      <c r="O3855" s="23"/>
      <c r="P3855" s="23"/>
      <c r="Q3855" s="23"/>
      <c r="R3855" s="23"/>
      <c r="S3855" s="23"/>
      <c r="T3855" s="23"/>
      <c r="U3855" s="23"/>
    </row>
    <row r="3856">
      <c r="A3856" s="20"/>
      <c r="B3856" s="20"/>
      <c r="C3856" s="30"/>
      <c r="D3856" s="30"/>
      <c r="E3856" s="30"/>
      <c r="F3856" s="22"/>
      <c r="G3856" s="23"/>
      <c r="H3856" s="23"/>
      <c r="I3856" s="23"/>
      <c r="J3856" s="23"/>
      <c r="K3856" s="23"/>
      <c r="L3856" s="23"/>
      <c r="M3856" s="23"/>
      <c r="N3856" s="23"/>
      <c r="O3856" s="23"/>
      <c r="P3856" s="23"/>
      <c r="Q3856" s="23"/>
      <c r="R3856" s="23"/>
      <c r="S3856" s="23"/>
      <c r="T3856" s="23"/>
      <c r="U3856" s="23"/>
    </row>
    <row r="3857">
      <c r="A3857" s="20"/>
      <c r="B3857" s="20"/>
      <c r="C3857" s="30"/>
      <c r="D3857" s="30"/>
      <c r="E3857" s="30"/>
      <c r="F3857" s="22"/>
      <c r="G3857" s="23"/>
      <c r="H3857" s="23"/>
      <c r="I3857" s="23"/>
      <c r="J3857" s="23"/>
      <c r="K3857" s="23"/>
      <c r="L3857" s="23"/>
      <c r="M3857" s="23"/>
      <c r="N3857" s="23"/>
      <c r="O3857" s="23"/>
      <c r="P3857" s="23"/>
      <c r="Q3857" s="23"/>
      <c r="R3857" s="23"/>
      <c r="S3857" s="23"/>
      <c r="T3857" s="23"/>
      <c r="U3857" s="23"/>
    </row>
    <row r="3858">
      <c r="A3858" s="20"/>
      <c r="B3858" s="20"/>
      <c r="C3858" s="30"/>
      <c r="D3858" s="30"/>
      <c r="E3858" s="30"/>
      <c r="F3858" s="22"/>
      <c r="G3858" s="23"/>
      <c r="H3858" s="23"/>
      <c r="I3858" s="23"/>
      <c r="J3858" s="23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</row>
    <row r="3859">
      <c r="A3859" s="20"/>
      <c r="B3859" s="20"/>
      <c r="C3859" s="30"/>
      <c r="D3859" s="30"/>
      <c r="E3859" s="30"/>
      <c r="F3859" s="22"/>
      <c r="G3859" s="23"/>
      <c r="H3859" s="23"/>
      <c r="I3859" s="23"/>
      <c r="J3859" s="23"/>
      <c r="K3859" s="23"/>
      <c r="L3859" s="23"/>
      <c r="M3859" s="23"/>
      <c r="N3859" s="23"/>
      <c r="O3859" s="23"/>
      <c r="P3859" s="23"/>
      <c r="Q3859" s="23"/>
      <c r="R3859" s="23"/>
      <c r="S3859" s="23"/>
      <c r="T3859" s="23"/>
      <c r="U3859" s="23"/>
    </row>
    <row r="3860">
      <c r="A3860" s="20"/>
      <c r="B3860" s="20"/>
      <c r="C3860" s="30"/>
      <c r="D3860" s="30"/>
      <c r="E3860" s="30"/>
      <c r="F3860" s="22"/>
      <c r="G3860" s="23"/>
      <c r="H3860" s="23"/>
      <c r="I3860" s="23"/>
      <c r="J3860" s="23"/>
      <c r="K3860" s="23"/>
      <c r="L3860" s="23"/>
      <c r="M3860" s="23"/>
      <c r="N3860" s="23"/>
      <c r="O3860" s="23"/>
      <c r="P3860" s="23"/>
      <c r="Q3860" s="23"/>
      <c r="R3860" s="23"/>
      <c r="S3860" s="23"/>
      <c r="T3860" s="23"/>
      <c r="U3860" s="23"/>
    </row>
    <row r="3861">
      <c r="A3861" s="20"/>
      <c r="B3861" s="20"/>
      <c r="C3861" s="30"/>
      <c r="D3861" s="30"/>
      <c r="E3861" s="30"/>
      <c r="F3861" s="22"/>
      <c r="G3861" s="23"/>
      <c r="H3861" s="23"/>
      <c r="I3861" s="23"/>
      <c r="J3861" s="23"/>
      <c r="K3861" s="23"/>
      <c r="L3861" s="23"/>
      <c r="M3861" s="23"/>
      <c r="N3861" s="23"/>
      <c r="O3861" s="23"/>
      <c r="P3861" s="23"/>
      <c r="Q3861" s="23"/>
      <c r="R3861" s="23"/>
      <c r="S3861" s="23"/>
      <c r="T3861" s="23"/>
      <c r="U3861" s="23"/>
    </row>
    <row r="3862">
      <c r="A3862" s="20"/>
      <c r="B3862" s="20"/>
      <c r="C3862" s="30"/>
      <c r="D3862" s="30"/>
      <c r="E3862" s="30"/>
      <c r="F3862" s="22"/>
      <c r="G3862" s="23"/>
      <c r="H3862" s="23"/>
      <c r="I3862" s="23"/>
      <c r="J3862" s="23"/>
      <c r="K3862" s="23"/>
      <c r="L3862" s="23"/>
      <c r="M3862" s="23"/>
      <c r="N3862" s="23"/>
      <c r="O3862" s="23"/>
      <c r="P3862" s="23"/>
      <c r="Q3862" s="23"/>
      <c r="R3862" s="23"/>
      <c r="S3862" s="23"/>
      <c r="T3862" s="23"/>
      <c r="U3862" s="23"/>
    </row>
    <row r="3863">
      <c r="A3863" s="20"/>
      <c r="B3863" s="20"/>
      <c r="C3863" s="30"/>
      <c r="D3863" s="30"/>
      <c r="E3863" s="30"/>
      <c r="F3863" s="22"/>
      <c r="G3863" s="23"/>
      <c r="H3863" s="23"/>
      <c r="I3863" s="23"/>
      <c r="J3863" s="23"/>
      <c r="K3863" s="23"/>
      <c r="L3863" s="23"/>
      <c r="M3863" s="23"/>
      <c r="N3863" s="23"/>
      <c r="O3863" s="23"/>
      <c r="P3863" s="23"/>
      <c r="Q3863" s="23"/>
      <c r="R3863" s="23"/>
      <c r="S3863" s="23"/>
      <c r="T3863" s="23"/>
      <c r="U3863" s="23"/>
    </row>
    <row r="3864">
      <c r="A3864" s="20"/>
      <c r="B3864" s="20"/>
      <c r="C3864" s="30"/>
      <c r="D3864" s="30"/>
      <c r="E3864" s="30"/>
      <c r="F3864" s="22"/>
      <c r="G3864" s="23"/>
      <c r="H3864" s="23"/>
      <c r="I3864" s="23"/>
      <c r="J3864" s="23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</row>
    <row r="3865">
      <c r="A3865" s="20"/>
      <c r="B3865" s="20"/>
      <c r="C3865" s="30"/>
      <c r="D3865" s="30"/>
      <c r="E3865" s="30"/>
      <c r="F3865" s="22"/>
      <c r="G3865" s="23"/>
      <c r="H3865" s="23"/>
      <c r="I3865" s="23"/>
      <c r="J3865" s="23"/>
      <c r="K3865" s="23"/>
      <c r="L3865" s="23"/>
      <c r="M3865" s="23"/>
      <c r="N3865" s="23"/>
      <c r="O3865" s="23"/>
      <c r="P3865" s="23"/>
      <c r="Q3865" s="23"/>
      <c r="R3865" s="23"/>
      <c r="S3865" s="23"/>
      <c r="T3865" s="23"/>
      <c r="U3865" s="23"/>
    </row>
    <row r="3866">
      <c r="A3866" s="20"/>
      <c r="B3866" s="20"/>
      <c r="C3866" s="30"/>
      <c r="D3866" s="30"/>
      <c r="E3866" s="30"/>
      <c r="F3866" s="22"/>
      <c r="G3866" s="23"/>
      <c r="H3866" s="23"/>
      <c r="I3866" s="23"/>
      <c r="J3866" s="23"/>
      <c r="K3866" s="23"/>
      <c r="L3866" s="23"/>
      <c r="M3866" s="23"/>
      <c r="N3866" s="23"/>
      <c r="O3866" s="23"/>
      <c r="P3866" s="23"/>
      <c r="Q3866" s="23"/>
      <c r="R3866" s="23"/>
      <c r="S3866" s="23"/>
      <c r="T3866" s="23"/>
      <c r="U3866" s="23"/>
    </row>
    <row r="3867">
      <c r="A3867" s="20"/>
      <c r="B3867" s="20"/>
      <c r="C3867" s="30"/>
      <c r="D3867" s="30"/>
      <c r="E3867" s="30"/>
      <c r="F3867" s="22"/>
      <c r="G3867" s="23"/>
      <c r="H3867" s="23"/>
      <c r="I3867" s="23"/>
      <c r="J3867" s="23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</row>
    <row r="3868">
      <c r="A3868" s="20"/>
      <c r="B3868" s="20"/>
      <c r="C3868" s="30"/>
      <c r="D3868" s="30"/>
      <c r="E3868" s="30"/>
      <c r="F3868" s="22"/>
      <c r="G3868" s="23"/>
      <c r="H3868" s="23"/>
      <c r="I3868" s="23"/>
      <c r="J3868" s="23"/>
      <c r="K3868" s="23"/>
      <c r="L3868" s="23"/>
      <c r="M3868" s="23"/>
      <c r="N3868" s="23"/>
      <c r="O3868" s="23"/>
      <c r="P3868" s="23"/>
      <c r="Q3868" s="23"/>
      <c r="R3868" s="23"/>
      <c r="S3868" s="23"/>
      <c r="T3868" s="23"/>
      <c r="U3868" s="23"/>
    </row>
    <row r="3869">
      <c r="A3869" s="20"/>
      <c r="B3869" s="20"/>
      <c r="C3869" s="30"/>
      <c r="D3869" s="30"/>
      <c r="E3869" s="30"/>
      <c r="F3869" s="22"/>
      <c r="G3869" s="23"/>
      <c r="H3869" s="23"/>
      <c r="I3869" s="23"/>
      <c r="J3869" s="23"/>
      <c r="K3869" s="23"/>
      <c r="L3869" s="23"/>
      <c r="M3869" s="23"/>
      <c r="N3869" s="23"/>
      <c r="O3869" s="23"/>
      <c r="P3869" s="23"/>
      <c r="Q3869" s="23"/>
      <c r="R3869" s="23"/>
      <c r="S3869" s="23"/>
      <c r="T3869" s="23"/>
      <c r="U3869" s="23"/>
    </row>
    <row r="3870">
      <c r="A3870" s="20"/>
      <c r="B3870" s="20"/>
      <c r="C3870" s="30"/>
      <c r="D3870" s="30"/>
      <c r="E3870" s="30"/>
      <c r="F3870" s="22"/>
      <c r="G3870" s="23"/>
      <c r="H3870" s="23"/>
      <c r="I3870" s="23"/>
      <c r="J3870" s="23"/>
      <c r="K3870" s="23"/>
      <c r="L3870" s="23"/>
      <c r="M3870" s="23"/>
      <c r="N3870" s="23"/>
      <c r="O3870" s="23"/>
      <c r="P3870" s="23"/>
      <c r="Q3870" s="23"/>
      <c r="R3870" s="23"/>
      <c r="S3870" s="23"/>
      <c r="T3870" s="23"/>
      <c r="U3870" s="23"/>
    </row>
    <row r="3871">
      <c r="A3871" s="20"/>
      <c r="B3871" s="20"/>
      <c r="C3871" s="30"/>
      <c r="D3871" s="30"/>
      <c r="E3871" s="30"/>
      <c r="F3871" s="22"/>
      <c r="G3871" s="23"/>
      <c r="H3871" s="23"/>
      <c r="I3871" s="23"/>
      <c r="J3871" s="23"/>
      <c r="K3871" s="23"/>
      <c r="L3871" s="23"/>
      <c r="M3871" s="23"/>
      <c r="N3871" s="23"/>
      <c r="O3871" s="23"/>
      <c r="P3871" s="23"/>
      <c r="Q3871" s="23"/>
      <c r="R3871" s="23"/>
      <c r="S3871" s="23"/>
      <c r="T3871" s="23"/>
      <c r="U3871" s="23"/>
    </row>
    <row r="3872">
      <c r="A3872" s="20"/>
      <c r="B3872" s="20"/>
      <c r="C3872" s="30"/>
      <c r="D3872" s="30"/>
      <c r="E3872" s="30"/>
      <c r="F3872" s="22"/>
      <c r="G3872" s="23"/>
      <c r="H3872" s="23"/>
      <c r="I3872" s="23"/>
      <c r="J3872" s="23"/>
      <c r="K3872" s="23"/>
      <c r="L3872" s="23"/>
      <c r="M3872" s="23"/>
      <c r="N3872" s="23"/>
      <c r="O3872" s="23"/>
      <c r="P3872" s="23"/>
      <c r="Q3872" s="23"/>
      <c r="R3872" s="23"/>
      <c r="S3872" s="23"/>
      <c r="T3872" s="23"/>
      <c r="U3872" s="23"/>
    </row>
    <row r="3873">
      <c r="A3873" s="20"/>
      <c r="B3873" s="20"/>
      <c r="C3873" s="30"/>
      <c r="D3873" s="30"/>
      <c r="E3873" s="30"/>
      <c r="F3873" s="22"/>
      <c r="G3873" s="23"/>
      <c r="H3873" s="23"/>
      <c r="I3873" s="23"/>
      <c r="J3873" s="23"/>
      <c r="K3873" s="23"/>
      <c r="L3873" s="23"/>
      <c r="M3873" s="23"/>
      <c r="N3873" s="23"/>
      <c r="O3873" s="23"/>
      <c r="P3873" s="23"/>
      <c r="Q3873" s="23"/>
      <c r="R3873" s="23"/>
      <c r="S3873" s="23"/>
      <c r="T3873" s="23"/>
      <c r="U3873" s="23"/>
    </row>
    <row r="3874">
      <c r="A3874" s="20"/>
      <c r="B3874" s="20"/>
      <c r="C3874" s="30"/>
      <c r="D3874" s="30"/>
      <c r="E3874" s="30"/>
      <c r="F3874" s="22"/>
      <c r="G3874" s="23"/>
      <c r="H3874" s="23"/>
      <c r="I3874" s="23"/>
      <c r="J3874" s="23"/>
      <c r="K3874" s="23"/>
      <c r="L3874" s="23"/>
      <c r="M3874" s="23"/>
      <c r="N3874" s="23"/>
      <c r="O3874" s="23"/>
      <c r="P3874" s="23"/>
      <c r="Q3874" s="23"/>
      <c r="R3874" s="23"/>
      <c r="S3874" s="23"/>
      <c r="T3874" s="23"/>
      <c r="U3874" s="23"/>
    </row>
    <row r="3875">
      <c r="A3875" s="20"/>
      <c r="B3875" s="20"/>
      <c r="C3875" s="30"/>
      <c r="D3875" s="30"/>
      <c r="E3875" s="30"/>
      <c r="F3875" s="22"/>
      <c r="G3875" s="23"/>
      <c r="H3875" s="23"/>
      <c r="I3875" s="23"/>
      <c r="J3875" s="23"/>
      <c r="K3875" s="23"/>
      <c r="L3875" s="23"/>
      <c r="M3875" s="23"/>
      <c r="N3875" s="23"/>
      <c r="O3875" s="23"/>
      <c r="P3875" s="23"/>
      <c r="Q3875" s="23"/>
      <c r="R3875" s="23"/>
      <c r="S3875" s="23"/>
      <c r="T3875" s="23"/>
      <c r="U3875" s="23"/>
    </row>
    <row r="3876">
      <c r="A3876" s="20"/>
      <c r="B3876" s="20"/>
      <c r="C3876" s="30"/>
      <c r="D3876" s="30"/>
      <c r="E3876" s="30"/>
      <c r="F3876" s="22"/>
      <c r="G3876" s="23"/>
      <c r="H3876" s="23"/>
      <c r="I3876" s="23"/>
      <c r="J3876" s="23"/>
      <c r="K3876" s="23"/>
      <c r="L3876" s="23"/>
      <c r="M3876" s="23"/>
      <c r="N3876" s="23"/>
      <c r="O3876" s="23"/>
      <c r="P3876" s="23"/>
      <c r="Q3876" s="23"/>
      <c r="R3876" s="23"/>
      <c r="S3876" s="23"/>
      <c r="T3876" s="23"/>
      <c r="U3876" s="23"/>
    </row>
    <row r="3877">
      <c r="A3877" s="20"/>
      <c r="B3877" s="20"/>
      <c r="C3877" s="30"/>
      <c r="D3877" s="30"/>
      <c r="E3877" s="30"/>
      <c r="F3877" s="22"/>
      <c r="G3877" s="23"/>
      <c r="H3877" s="23"/>
      <c r="I3877" s="23"/>
      <c r="J3877" s="23"/>
      <c r="K3877" s="23"/>
      <c r="L3877" s="23"/>
      <c r="M3877" s="23"/>
      <c r="N3877" s="23"/>
      <c r="O3877" s="23"/>
      <c r="P3877" s="23"/>
      <c r="Q3877" s="23"/>
      <c r="R3877" s="23"/>
      <c r="S3877" s="23"/>
      <c r="T3877" s="23"/>
      <c r="U3877" s="23"/>
    </row>
    <row r="3878">
      <c r="A3878" s="20"/>
      <c r="B3878" s="20"/>
      <c r="C3878" s="30"/>
      <c r="D3878" s="30"/>
      <c r="E3878" s="30"/>
      <c r="F3878" s="22"/>
      <c r="G3878" s="23"/>
      <c r="H3878" s="23"/>
      <c r="I3878" s="23"/>
      <c r="J3878" s="23"/>
      <c r="K3878" s="23"/>
      <c r="L3878" s="23"/>
      <c r="M3878" s="23"/>
      <c r="N3878" s="23"/>
      <c r="O3878" s="23"/>
      <c r="P3878" s="23"/>
      <c r="Q3878" s="23"/>
      <c r="R3878" s="23"/>
      <c r="S3878" s="23"/>
      <c r="T3878" s="23"/>
      <c r="U3878" s="23"/>
    </row>
    <row r="3879">
      <c r="A3879" s="20"/>
      <c r="B3879" s="20"/>
      <c r="C3879" s="30"/>
      <c r="D3879" s="30"/>
      <c r="E3879" s="30"/>
      <c r="F3879" s="22"/>
      <c r="G3879" s="23"/>
      <c r="H3879" s="23"/>
      <c r="I3879" s="23"/>
      <c r="J3879" s="23"/>
      <c r="K3879" s="23"/>
      <c r="L3879" s="23"/>
      <c r="M3879" s="23"/>
      <c r="N3879" s="23"/>
      <c r="O3879" s="23"/>
      <c r="P3879" s="23"/>
      <c r="Q3879" s="23"/>
      <c r="R3879" s="23"/>
      <c r="S3879" s="23"/>
      <c r="T3879" s="23"/>
      <c r="U3879" s="23"/>
    </row>
    <row r="3880">
      <c r="A3880" s="20"/>
      <c r="B3880" s="20"/>
      <c r="C3880" s="30"/>
      <c r="D3880" s="30"/>
      <c r="E3880" s="30"/>
      <c r="F3880" s="22"/>
      <c r="G3880" s="23"/>
      <c r="H3880" s="23"/>
      <c r="I3880" s="23"/>
      <c r="J3880" s="23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</row>
    <row r="3881">
      <c r="A3881" s="20"/>
      <c r="B3881" s="20"/>
      <c r="C3881" s="30"/>
      <c r="D3881" s="30"/>
      <c r="E3881" s="30"/>
      <c r="F3881" s="22"/>
      <c r="G3881" s="23"/>
      <c r="H3881" s="23"/>
      <c r="I3881" s="23"/>
      <c r="J3881" s="23"/>
      <c r="K3881" s="23"/>
      <c r="L3881" s="23"/>
      <c r="M3881" s="23"/>
      <c r="N3881" s="23"/>
      <c r="O3881" s="23"/>
      <c r="P3881" s="23"/>
      <c r="Q3881" s="23"/>
      <c r="R3881" s="23"/>
      <c r="S3881" s="23"/>
      <c r="T3881" s="23"/>
      <c r="U3881" s="23"/>
    </row>
    <row r="3882">
      <c r="A3882" s="20"/>
      <c r="B3882" s="20"/>
      <c r="C3882" s="30"/>
      <c r="D3882" s="30"/>
      <c r="E3882" s="30"/>
      <c r="F3882" s="22"/>
      <c r="G3882" s="23"/>
      <c r="H3882" s="23"/>
      <c r="I3882" s="23"/>
      <c r="J3882" s="23"/>
      <c r="K3882" s="23"/>
      <c r="L3882" s="23"/>
      <c r="M3882" s="23"/>
      <c r="N3882" s="23"/>
      <c r="O3882" s="23"/>
      <c r="P3882" s="23"/>
      <c r="Q3882" s="23"/>
      <c r="R3882" s="23"/>
      <c r="S3882" s="23"/>
      <c r="T3882" s="23"/>
      <c r="U3882" s="23"/>
    </row>
    <row r="3883">
      <c r="A3883" s="20"/>
      <c r="B3883" s="20"/>
      <c r="C3883" s="30"/>
      <c r="D3883" s="30"/>
      <c r="E3883" s="30"/>
      <c r="F3883" s="22"/>
      <c r="G3883" s="23"/>
      <c r="H3883" s="23"/>
      <c r="I3883" s="23"/>
      <c r="J3883" s="23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</row>
    <row r="3884">
      <c r="A3884" s="20"/>
      <c r="B3884" s="20"/>
      <c r="C3884" s="30"/>
      <c r="D3884" s="30"/>
      <c r="E3884" s="30"/>
      <c r="F3884" s="22"/>
      <c r="G3884" s="23"/>
      <c r="H3884" s="23"/>
      <c r="I3884" s="23"/>
      <c r="J3884" s="23"/>
      <c r="K3884" s="23"/>
      <c r="L3884" s="23"/>
      <c r="M3884" s="23"/>
      <c r="N3884" s="23"/>
      <c r="O3884" s="23"/>
      <c r="P3884" s="23"/>
      <c r="Q3884" s="23"/>
      <c r="R3884" s="23"/>
      <c r="S3884" s="23"/>
      <c r="T3884" s="23"/>
      <c r="U3884" s="23"/>
    </row>
    <row r="3885">
      <c r="A3885" s="20"/>
      <c r="B3885" s="20"/>
      <c r="C3885" s="30"/>
      <c r="D3885" s="30"/>
      <c r="E3885" s="30"/>
      <c r="F3885" s="22"/>
      <c r="G3885" s="23"/>
      <c r="H3885" s="23"/>
      <c r="I3885" s="23"/>
      <c r="J3885" s="23"/>
      <c r="K3885" s="23"/>
      <c r="L3885" s="23"/>
      <c r="M3885" s="23"/>
      <c r="N3885" s="23"/>
      <c r="O3885" s="23"/>
      <c r="P3885" s="23"/>
      <c r="Q3885" s="23"/>
      <c r="R3885" s="23"/>
      <c r="S3885" s="23"/>
      <c r="T3885" s="23"/>
      <c r="U3885" s="23"/>
    </row>
    <row r="3886">
      <c r="A3886" s="20"/>
      <c r="B3886" s="20"/>
      <c r="C3886" s="30"/>
      <c r="D3886" s="30"/>
      <c r="E3886" s="30"/>
      <c r="F3886" s="22"/>
      <c r="G3886" s="23"/>
      <c r="H3886" s="23"/>
      <c r="I3886" s="23"/>
      <c r="J3886" s="23"/>
      <c r="K3886" s="23"/>
      <c r="L3886" s="23"/>
      <c r="M3886" s="23"/>
      <c r="N3886" s="23"/>
      <c r="O3886" s="23"/>
      <c r="P3886" s="23"/>
      <c r="Q3886" s="23"/>
      <c r="R3886" s="23"/>
      <c r="S3886" s="23"/>
      <c r="T3886" s="23"/>
      <c r="U3886" s="23"/>
    </row>
    <row r="3887">
      <c r="A3887" s="20"/>
      <c r="B3887" s="20"/>
      <c r="C3887" s="30"/>
      <c r="D3887" s="30"/>
      <c r="E3887" s="30"/>
      <c r="F3887" s="22"/>
      <c r="G3887" s="23"/>
      <c r="H3887" s="23"/>
      <c r="I3887" s="23"/>
      <c r="J3887" s="23"/>
      <c r="K3887" s="23"/>
      <c r="L3887" s="23"/>
      <c r="M3887" s="23"/>
      <c r="N3887" s="23"/>
      <c r="O3887" s="23"/>
      <c r="P3887" s="23"/>
      <c r="Q3887" s="23"/>
      <c r="R3887" s="23"/>
      <c r="S3887" s="23"/>
      <c r="T3887" s="23"/>
      <c r="U3887" s="23"/>
    </row>
    <row r="3888">
      <c r="A3888" s="20"/>
      <c r="B3888" s="20"/>
      <c r="C3888" s="30"/>
      <c r="D3888" s="30"/>
      <c r="E3888" s="30"/>
      <c r="F3888" s="22"/>
      <c r="G3888" s="23"/>
      <c r="H3888" s="23"/>
      <c r="I3888" s="23"/>
      <c r="J3888" s="23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</row>
    <row r="3889">
      <c r="A3889" s="20"/>
      <c r="B3889" s="20"/>
      <c r="C3889" s="30"/>
      <c r="D3889" s="30"/>
      <c r="E3889" s="30"/>
      <c r="F3889" s="22"/>
      <c r="G3889" s="23"/>
      <c r="H3889" s="23"/>
      <c r="I3889" s="23"/>
      <c r="J3889" s="23"/>
      <c r="K3889" s="23"/>
      <c r="L3889" s="23"/>
      <c r="M3889" s="23"/>
      <c r="N3889" s="23"/>
      <c r="O3889" s="23"/>
      <c r="P3889" s="23"/>
      <c r="Q3889" s="23"/>
      <c r="R3889" s="23"/>
      <c r="S3889" s="23"/>
      <c r="T3889" s="23"/>
      <c r="U3889" s="23"/>
    </row>
    <row r="3890">
      <c r="A3890" s="20"/>
      <c r="B3890" s="20"/>
      <c r="C3890" s="30"/>
      <c r="D3890" s="30"/>
      <c r="E3890" s="30"/>
      <c r="F3890" s="22"/>
      <c r="G3890" s="23"/>
      <c r="H3890" s="23"/>
      <c r="I3890" s="23"/>
      <c r="J3890" s="23"/>
      <c r="K3890" s="23"/>
      <c r="L3890" s="23"/>
      <c r="M3890" s="23"/>
      <c r="N3890" s="23"/>
      <c r="O3890" s="23"/>
      <c r="P3890" s="23"/>
      <c r="Q3890" s="23"/>
      <c r="R3890" s="23"/>
      <c r="S3890" s="23"/>
      <c r="T3890" s="23"/>
      <c r="U3890" s="23"/>
    </row>
    <row r="3891">
      <c r="A3891" s="20"/>
      <c r="B3891" s="20"/>
      <c r="C3891" s="30"/>
      <c r="D3891" s="30"/>
      <c r="E3891" s="30"/>
      <c r="F3891" s="22"/>
      <c r="G3891" s="23"/>
      <c r="H3891" s="23"/>
      <c r="I3891" s="23"/>
      <c r="J3891" s="23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</row>
    <row r="3892">
      <c r="A3892" s="20"/>
      <c r="B3892" s="20"/>
      <c r="C3892" s="30"/>
      <c r="D3892" s="30"/>
      <c r="E3892" s="30"/>
      <c r="F3892" s="22"/>
      <c r="G3892" s="23"/>
      <c r="H3892" s="23"/>
      <c r="I3892" s="23"/>
      <c r="J3892" s="23"/>
      <c r="K3892" s="23"/>
      <c r="L3892" s="23"/>
      <c r="M3892" s="23"/>
      <c r="N3892" s="23"/>
      <c r="O3892" s="23"/>
      <c r="P3892" s="23"/>
      <c r="Q3892" s="23"/>
      <c r="R3892" s="23"/>
      <c r="S3892" s="23"/>
      <c r="T3892" s="23"/>
      <c r="U3892" s="23"/>
    </row>
    <row r="3893">
      <c r="A3893" s="20"/>
      <c r="B3893" s="20"/>
      <c r="C3893" s="30"/>
      <c r="D3893" s="30"/>
      <c r="E3893" s="30"/>
      <c r="F3893" s="22"/>
      <c r="G3893" s="23"/>
      <c r="H3893" s="23"/>
      <c r="I3893" s="23"/>
      <c r="J3893" s="23"/>
      <c r="K3893" s="23"/>
      <c r="L3893" s="23"/>
      <c r="M3893" s="23"/>
      <c r="N3893" s="23"/>
      <c r="O3893" s="23"/>
      <c r="P3893" s="23"/>
      <c r="Q3893" s="23"/>
      <c r="R3893" s="23"/>
      <c r="S3893" s="23"/>
      <c r="T3893" s="23"/>
      <c r="U3893" s="23"/>
    </row>
    <row r="3894">
      <c r="A3894" s="20"/>
      <c r="B3894" s="20"/>
      <c r="C3894" s="30"/>
      <c r="D3894" s="30"/>
      <c r="E3894" s="30"/>
      <c r="F3894" s="22"/>
      <c r="G3894" s="23"/>
      <c r="H3894" s="23"/>
      <c r="I3894" s="23"/>
      <c r="J3894" s="23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</row>
    <row r="3895">
      <c r="A3895" s="20"/>
      <c r="B3895" s="20"/>
      <c r="C3895" s="30"/>
      <c r="D3895" s="30"/>
      <c r="E3895" s="30"/>
      <c r="F3895" s="22"/>
      <c r="G3895" s="23"/>
      <c r="H3895" s="23"/>
      <c r="I3895" s="23"/>
      <c r="J3895" s="23"/>
      <c r="K3895" s="23"/>
      <c r="L3895" s="23"/>
      <c r="M3895" s="23"/>
      <c r="N3895" s="23"/>
      <c r="O3895" s="23"/>
      <c r="P3895" s="23"/>
      <c r="Q3895" s="23"/>
      <c r="R3895" s="23"/>
      <c r="S3895" s="23"/>
      <c r="T3895" s="23"/>
      <c r="U3895" s="23"/>
    </row>
    <row r="3896">
      <c r="A3896" s="20"/>
      <c r="B3896" s="20"/>
      <c r="C3896" s="30"/>
      <c r="D3896" s="30"/>
      <c r="E3896" s="30"/>
      <c r="F3896" s="22"/>
      <c r="G3896" s="23"/>
      <c r="H3896" s="23"/>
      <c r="I3896" s="23"/>
      <c r="J3896" s="23"/>
      <c r="K3896" s="23"/>
      <c r="L3896" s="23"/>
      <c r="M3896" s="23"/>
      <c r="N3896" s="23"/>
      <c r="O3896" s="23"/>
      <c r="P3896" s="23"/>
      <c r="Q3896" s="23"/>
      <c r="R3896" s="23"/>
      <c r="S3896" s="23"/>
      <c r="T3896" s="23"/>
      <c r="U3896" s="23"/>
    </row>
    <row r="3897">
      <c r="A3897" s="20"/>
      <c r="B3897" s="20"/>
      <c r="C3897" s="30"/>
      <c r="D3897" s="30"/>
      <c r="E3897" s="30"/>
      <c r="F3897" s="22"/>
      <c r="G3897" s="23"/>
      <c r="H3897" s="23"/>
      <c r="I3897" s="23"/>
      <c r="J3897" s="23"/>
      <c r="K3897" s="23"/>
      <c r="L3897" s="23"/>
      <c r="M3897" s="23"/>
      <c r="N3897" s="23"/>
      <c r="O3897" s="23"/>
      <c r="P3897" s="23"/>
      <c r="Q3897" s="23"/>
      <c r="R3897" s="23"/>
      <c r="S3897" s="23"/>
      <c r="T3897" s="23"/>
      <c r="U3897" s="23"/>
    </row>
    <row r="3898">
      <c r="A3898" s="20"/>
      <c r="B3898" s="20"/>
      <c r="C3898" s="30"/>
      <c r="D3898" s="30"/>
      <c r="E3898" s="30"/>
      <c r="F3898" s="22"/>
      <c r="G3898" s="23"/>
      <c r="H3898" s="23"/>
      <c r="I3898" s="23"/>
      <c r="J3898" s="23"/>
      <c r="K3898" s="23"/>
      <c r="L3898" s="23"/>
      <c r="M3898" s="23"/>
      <c r="N3898" s="23"/>
      <c r="O3898" s="23"/>
      <c r="P3898" s="23"/>
      <c r="Q3898" s="23"/>
      <c r="R3898" s="23"/>
      <c r="S3898" s="23"/>
      <c r="T3898" s="23"/>
      <c r="U3898" s="23"/>
    </row>
    <row r="3899">
      <c r="A3899" s="20"/>
      <c r="B3899" s="20"/>
      <c r="C3899" s="30"/>
      <c r="D3899" s="30"/>
      <c r="E3899" s="30"/>
      <c r="F3899" s="22"/>
      <c r="G3899" s="23"/>
      <c r="H3899" s="23"/>
      <c r="I3899" s="23"/>
      <c r="J3899" s="23"/>
      <c r="K3899" s="23"/>
      <c r="L3899" s="23"/>
      <c r="M3899" s="23"/>
      <c r="N3899" s="23"/>
      <c r="O3899" s="23"/>
      <c r="P3899" s="23"/>
      <c r="Q3899" s="23"/>
      <c r="R3899" s="23"/>
      <c r="S3899" s="23"/>
      <c r="T3899" s="23"/>
      <c r="U3899" s="23"/>
    </row>
    <row r="3900">
      <c r="A3900" s="20"/>
      <c r="B3900" s="20"/>
      <c r="C3900" s="30"/>
      <c r="D3900" s="30"/>
      <c r="E3900" s="30"/>
      <c r="F3900" s="22"/>
      <c r="G3900" s="23"/>
      <c r="H3900" s="23"/>
      <c r="I3900" s="23"/>
      <c r="J3900" s="23"/>
      <c r="K3900" s="23"/>
      <c r="L3900" s="23"/>
      <c r="M3900" s="23"/>
      <c r="N3900" s="23"/>
      <c r="O3900" s="23"/>
      <c r="P3900" s="23"/>
      <c r="Q3900" s="23"/>
      <c r="R3900" s="23"/>
      <c r="S3900" s="23"/>
      <c r="T3900" s="23"/>
      <c r="U3900" s="23"/>
    </row>
    <row r="3901">
      <c r="A3901" s="20"/>
      <c r="B3901" s="20"/>
      <c r="C3901" s="30"/>
      <c r="D3901" s="30"/>
      <c r="E3901" s="30"/>
      <c r="F3901" s="22"/>
      <c r="G3901" s="23"/>
      <c r="H3901" s="23"/>
      <c r="I3901" s="23"/>
      <c r="J3901" s="23"/>
      <c r="K3901" s="23"/>
      <c r="L3901" s="23"/>
      <c r="M3901" s="23"/>
      <c r="N3901" s="23"/>
      <c r="O3901" s="23"/>
      <c r="P3901" s="23"/>
      <c r="Q3901" s="23"/>
      <c r="R3901" s="23"/>
      <c r="S3901" s="23"/>
      <c r="T3901" s="23"/>
      <c r="U3901" s="23"/>
    </row>
    <row r="3902">
      <c r="A3902" s="20"/>
      <c r="B3902" s="20"/>
      <c r="C3902" s="30"/>
      <c r="D3902" s="30"/>
      <c r="E3902" s="30"/>
      <c r="F3902" s="22"/>
      <c r="G3902" s="23"/>
      <c r="H3902" s="23"/>
      <c r="I3902" s="23"/>
      <c r="J3902" s="23"/>
      <c r="K3902" s="23"/>
      <c r="L3902" s="23"/>
      <c r="M3902" s="23"/>
      <c r="N3902" s="23"/>
      <c r="O3902" s="23"/>
      <c r="P3902" s="23"/>
      <c r="Q3902" s="23"/>
      <c r="R3902" s="23"/>
      <c r="S3902" s="23"/>
      <c r="T3902" s="23"/>
      <c r="U3902" s="23"/>
    </row>
    <row r="3903">
      <c r="A3903" s="20"/>
      <c r="B3903" s="20"/>
      <c r="C3903" s="30"/>
      <c r="D3903" s="30"/>
      <c r="E3903" s="30"/>
      <c r="F3903" s="22"/>
      <c r="G3903" s="23"/>
      <c r="H3903" s="23"/>
      <c r="I3903" s="23"/>
      <c r="J3903" s="23"/>
      <c r="K3903" s="23"/>
      <c r="L3903" s="23"/>
      <c r="M3903" s="23"/>
      <c r="N3903" s="23"/>
      <c r="O3903" s="23"/>
      <c r="P3903" s="23"/>
      <c r="Q3903" s="23"/>
      <c r="R3903" s="23"/>
      <c r="S3903" s="23"/>
      <c r="T3903" s="23"/>
      <c r="U3903" s="23"/>
    </row>
    <row r="3904">
      <c r="A3904" s="20"/>
      <c r="B3904" s="20"/>
      <c r="C3904" s="30"/>
      <c r="D3904" s="30"/>
      <c r="E3904" s="30"/>
      <c r="F3904" s="22"/>
      <c r="G3904" s="23"/>
      <c r="H3904" s="23"/>
      <c r="I3904" s="23"/>
      <c r="J3904" s="23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</row>
    <row r="3905">
      <c r="A3905" s="20"/>
      <c r="B3905" s="20"/>
      <c r="C3905" s="30"/>
      <c r="D3905" s="30"/>
      <c r="E3905" s="30"/>
      <c r="F3905" s="22"/>
      <c r="G3905" s="23"/>
      <c r="H3905" s="23"/>
      <c r="I3905" s="23"/>
      <c r="J3905" s="23"/>
      <c r="K3905" s="23"/>
      <c r="L3905" s="23"/>
      <c r="M3905" s="23"/>
      <c r="N3905" s="23"/>
      <c r="O3905" s="23"/>
      <c r="P3905" s="23"/>
      <c r="Q3905" s="23"/>
      <c r="R3905" s="23"/>
      <c r="S3905" s="23"/>
      <c r="T3905" s="23"/>
      <c r="U3905" s="23"/>
    </row>
    <row r="3906">
      <c r="A3906" s="20"/>
      <c r="B3906" s="20"/>
      <c r="C3906" s="30"/>
      <c r="D3906" s="30"/>
      <c r="E3906" s="30"/>
      <c r="F3906" s="22"/>
      <c r="G3906" s="23"/>
      <c r="H3906" s="23"/>
      <c r="I3906" s="23"/>
      <c r="J3906" s="23"/>
      <c r="K3906" s="23"/>
      <c r="L3906" s="23"/>
      <c r="M3906" s="23"/>
      <c r="N3906" s="23"/>
      <c r="O3906" s="23"/>
      <c r="P3906" s="23"/>
      <c r="Q3906" s="23"/>
      <c r="R3906" s="23"/>
      <c r="S3906" s="23"/>
      <c r="T3906" s="23"/>
      <c r="U3906" s="23"/>
    </row>
    <row r="3907">
      <c r="A3907" s="20"/>
      <c r="B3907" s="20"/>
      <c r="C3907" s="30"/>
      <c r="D3907" s="30"/>
      <c r="E3907" s="30"/>
      <c r="F3907" s="22"/>
      <c r="G3907" s="23"/>
      <c r="H3907" s="23"/>
      <c r="I3907" s="23"/>
      <c r="J3907" s="23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</row>
    <row r="3908">
      <c r="A3908" s="20"/>
      <c r="B3908" s="20"/>
      <c r="C3908" s="30"/>
      <c r="D3908" s="30"/>
      <c r="E3908" s="30"/>
      <c r="F3908" s="22"/>
      <c r="G3908" s="23"/>
      <c r="H3908" s="23"/>
      <c r="I3908" s="23"/>
      <c r="J3908" s="23"/>
      <c r="K3908" s="23"/>
      <c r="L3908" s="23"/>
      <c r="M3908" s="23"/>
      <c r="N3908" s="23"/>
      <c r="O3908" s="23"/>
      <c r="P3908" s="23"/>
      <c r="Q3908" s="23"/>
      <c r="R3908" s="23"/>
      <c r="S3908" s="23"/>
      <c r="T3908" s="23"/>
      <c r="U3908" s="23"/>
    </row>
    <row r="3909">
      <c r="A3909" s="20"/>
      <c r="B3909" s="20"/>
      <c r="C3909" s="30"/>
      <c r="D3909" s="30"/>
      <c r="E3909" s="30"/>
      <c r="F3909" s="22"/>
      <c r="G3909" s="23"/>
      <c r="H3909" s="23"/>
      <c r="I3909" s="23"/>
      <c r="J3909" s="23"/>
      <c r="K3909" s="23"/>
      <c r="L3909" s="23"/>
      <c r="M3909" s="23"/>
      <c r="N3909" s="23"/>
      <c r="O3909" s="23"/>
      <c r="P3909" s="23"/>
      <c r="Q3909" s="23"/>
      <c r="R3909" s="23"/>
      <c r="S3909" s="23"/>
      <c r="T3909" s="23"/>
      <c r="U3909" s="23"/>
    </row>
    <row r="3910">
      <c r="A3910" s="20"/>
      <c r="B3910" s="20"/>
      <c r="C3910" s="30"/>
      <c r="D3910" s="30"/>
      <c r="E3910" s="30"/>
      <c r="F3910" s="22"/>
      <c r="G3910" s="23"/>
      <c r="H3910" s="23"/>
      <c r="I3910" s="23"/>
      <c r="J3910" s="23"/>
      <c r="K3910" s="23"/>
      <c r="L3910" s="23"/>
      <c r="M3910" s="23"/>
      <c r="N3910" s="23"/>
      <c r="O3910" s="23"/>
      <c r="P3910" s="23"/>
      <c r="Q3910" s="23"/>
      <c r="R3910" s="23"/>
      <c r="S3910" s="23"/>
      <c r="T3910" s="23"/>
      <c r="U3910" s="23"/>
    </row>
    <row r="3911">
      <c r="A3911" s="20"/>
      <c r="B3911" s="20"/>
      <c r="C3911" s="30"/>
      <c r="D3911" s="30"/>
      <c r="E3911" s="30"/>
      <c r="F3911" s="22"/>
      <c r="G3911" s="23"/>
      <c r="H3911" s="23"/>
      <c r="I3911" s="23"/>
      <c r="J3911" s="23"/>
      <c r="K3911" s="23"/>
      <c r="L3911" s="23"/>
      <c r="M3911" s="23"/>
      <c r="N3911" s="23"/>
      <c r="O3911" s="23"/>
      <c r="P3911" s="23"/>
      <c r="Q3911" s="23"/>
      <c r="R3911" s="23"/>
      <c r="S3911" s="23"/>
      <c r="T3911" s="23"/>
      <c r="U3911" s="23"/>
    </row>
    <row r="3912">
      <c r="A3912" s="20"/>
      <c r="B3912" s="20"/>
      <c r="C3912" s="30"/>
      <c r="D3912" s="30"/>
      <c r="E3912" s="30"/>
      <c r="F3912" s="22"/>
      <c r="G3912" s="23"/>
      <c r="H3912" s="23"/>
      <c r="I3912" s="23"/>
      <c r="J3912" s="23"/>
      <c r="K3912" s="23"/>
      <c r="L3912" s="23"/>
      <c r="M3912" s="23"/>
      <c r="N3912" s="23"/>
      <c r="O3912" s="23"/>
      <c r="P3912" s="23"/>
      <c r="Q3912" s="23"/>
      <c r="R3912" s="23"/>
      <c r="S3912" s="23"/>
      <c r="T3912" s="23"/>
      <c r="U3912" s="23"/>
    </row>
    <row r="3913">
      <c r="A3913" s="20"/>
      <c r="B3913" s="20"/>
      <c r="C3913" s="30"/>
      <c r="D3913" s="30"/>
      <c r="E3913" s="30"/>
      <c r="F3913" s="22"/>
      <c r="G3913" s="23"/>
      <c r="H3913" s="23"/>
      <c r="I3913" s="23"/>
      <c r="J3913" s="23"/>
      <c r="K3913" s="23"/>
      <c r="L3913" s="23"/>
      <c r="M3913" s="23"/>
      <c r="N3913" s="23"/>
      <c r="O3913" s="23"/>
      <c r="P3913" s="23"/>
      <c r="Q3913" s="23"/>
      <c r="R3913" s="23"/>
      <c r="S3913" s="23"/>
      <c r="T3913" s="23"/>
      <c r="U3913" s="23"/>
    </row>
    <row r="3914">
      <c r="A3914" s="20"/>
      <c r="B3914" s="20"/>
      <c r="C3914" s="30"/>
      <c r="D3914" s="30"/>
      <c r="E3914" s="30"/>
      <c r="F3914" s="22"/>
      <c r="G3914" s="23"/>
      <c r="H3914" s="23"/>
      <c r="I3914" s="23"/>
      <c r="J3914" s="23"/>
      <c r="K3914" s="23"/>
      <c r="L3914" s="23"/>
      <c r="M3914" s="23"/>
      <c r="N3914" s="23"/>
      <c r="O3914" s="23"/>
      <c r="P3914" s="23"/>
      <c r="Q3914" s="23"/>
      <c r="R3914" s="23"/>
      <c r="S3914" s="23"/>
      <c r="T3914" s="23"/>
      <c r="U3914" s="23"/>
    </row>
    <row r="3915">
      <c r="A3915" s="20"/>
      <c r="B3915" s="20"/>
      <c r="C3915" s="30"/>
      <c r="D3915" s="30"/>
      <c r="E3915" s="30"/>
      <c r="F3915" s="22"/>
      <c r="G3915" s="23"/>
      <c r="H3915" s="23"/>
      <c r="I3915" s="23"/>
      <c r="J3915" s="23"/>
      <c r="K3915" s="23"/>
      <c r="L3915" s="23"/>
      <c r="M3915" s="23"/>
      <c r="N3915" s="23"/>
      <c r="O3915" s="23"/>
      <c r="P3915" s="23"/>
      <c r="Q3915" s="23"/>
      <c r="R3915" s="23"/>
      <c r="S3915" s="23"/>
      <c r="T3915" s="23"/>
      <c r="U3915" s="23"/>
    </row>
    <row r="3916">
      <c r="A3916" s="20"/>
      <c r="B3916" s="20"/>
      <c r="C3916" s="30"/>
      <c r="D3916" s="30"/>
      <c r="E3916" s="30"/>
      <c r="F3916" s="22"/>
      <c r="G3916" s="23"/>
      <c r="H3916" s="23"/>
      <c r="I3916" s="23"/>
      <c r="J3916" s="23"/>
      <c r="K3916" s="23"/>
      <c r="L3916" s="23"/>
      <c r="M3916" s="23"/>
      <c r="N3916" s="23"/>
      <c r="O3916" s="23"/>
      <c r="P3916" s="23"/>
      <c r="Q3916" s="23"/>
      <c r="R3916" s="23"/>
      <c r="S3916" s="23"/>
      <c r="T3916" s="23"/>
      <c r="U3916" s="23"/>
    </row>
    <row r="3917">
      <c r="A3917" s="20"/>
      <c r="B3917" s="20"/>
      <c r="C3917" s="30"/>
      <c r="D3917" s="30"/>
      <c r="E3917" s="30"/>
      <c r="F3917" s="22"/>
      <c r="G3917" s="23"/>
      <c r="H3917" s="23"/>
      <c r="I3917" s="23"/>
      <c r="J3917" s="23"/>
      <c r="K3917" s="23"/>
      <c r="L3917" s="23"/>
      <c r="M3917" s="23"/>
      <c r="N3917" s="23"/>
      <c r="O3917" s="23"/>
      <c r="P3917" s="23"/>
      <c r="Q3917" s="23"/>
      <c r="R3917" s="23"/>
      <c r="S3917" s="23"/>
      <c r="T3917" s="23"/>
      <c r="U3917" s="23"/>
    </row>
    <row r="3918">
      <c r="A3918" s="20"/>
      <c r="B3918" s="20"/>
      <c r="C3918" s="30"/>
      <c r="D3918" s="30"/>
      <c r="E3918" s="30"/>
      <c r="F3918" s="22"/>
      <c r="G3918" s="23"/>
      <c r="H3918" s="23"/>
      <c r="I3918" s="23"/>
      <c r="J3918" s="23"/>
      <c r="K3918" s="23"/>
      <c r="L3918" s="23"/>
      <c r="M3918" s="23"/>
      <c r="N3918" s="23"/>
      <c r="O3918" s="23"/>
      <c r="P3918" s="23"/>
      <c r="Q3918" s="23"/>
      <c r="R3918" s="23"/>
      <c r="S3918" s="23"/>
      <c r="T3918" s="23"/>
      <c r="U3918" s="23"/>
    </row>
    <row r="3919">
      <c r="A3919" s="20"/>
      <c r="B3919" s="20"/>
      <c r="C3919" s="30"/>
      <c r="D3919" s="30"/>
      <c r="E3919" s="30"/>
      <c r="F3919" s="22"/>
      <c r="G3919" s="23"/>
      <c r="H3919" s="23"/>
      <c r="I3919" s="23"/>
      <c r="J3919" s="23"/>
      <c r="K3919" s="23"/>
      <c r="L3919" s="23"/>
      <c r="M3919" s="23"/>
      <c r="N3919" s="23"/>
      <c r="O3919" s="23"/>
      <c r="P3919" s="23"/>
      <c r="Q3919" s="23"/>
      <c r="R3919" s="23"/>
      <c r="S3919" s="23"/>
      <c r="T3919" s="23"/>
      <c r="U3919" s="23"/>
    </row>
    <row r="3920">
      <c r="A3920" s="20"/>
      <c r="B3920" s="20"/>
      <c r="C3920" s="30"/>
      <c r="D3920" s="30"/>
      <c r="E3920" s="30"/>
      <c r="F3920" s="22"/>
      <c r="G3920" s="23"/>
      <c r="H3920" s="23"/>
      <c r="I3920" s="23"/>
      <c r="J3920" s="23"/>
      <c r="K3920" s="23"/>
      <c r="L3920" s="23"/>
      <c r="M3920" s="23"/>
      <c r="N3920" s="23"/>
      <c r="O3920" s="23"/>
      <c r="P3920" s="23"/>
      <c r="Q3920" s="23"/>
      <c r="R3920" s="23"/>
      <c r="S3920" s="23"/>
      <c r="T3920" s="23"/>
      <c r="U3920" s="23"/>
    </row>
    <row r="3921">
      <c r="A3921" s="20"/>
      <c r="B3921" s="20"/>
      <c r="C3921" s="30"/>
      <c r="D3921" s="30"/>
      <c r="E3921" s="30"/>
      <c r="F3921" s="22"/>
      <c r="G3921" s="23"/>
      <c r="H3921" s="23"/>
      <c r="I3921" s="23"/>
      <c r="J3921" s="23"/>
      <c r="K3921" s="23"/>
      <c r="L3921" s="23"/>
      <c r="M3921" s="23"/>
      <c r="N3921" s="23"/>
      <c r="O3921" s="23"/>
      <c r="P3921" s="23"/>
      <c r="Q3921" s="23"/>
      <c r="R3921" s="23"/>
      <c r="S3921" s="23"/>
      <c r="T3921" s="23"/>
      <c r="U3921" s="23"/>
    </row>
    <row r="3922">
      <c r="A3922" s="20"/>
      <c r="B3922" s="20"/>
      <c r="C3922" s="30"/>
      <c r="D3922" s="30"/>
      <c r="E3922" s="30"/>
      <c r="F3922" s="22"/>
      <c r="G3922" s="23"/>
      <c r="H3922" s="23"/>
      <c r="I3922" s="23"/>
      <c r="J3922" s="23"/>
      <c r="K3922" s="23"/>
      <c r="L3922" s="23"/>
      <c r="M3922" s="23"/>
      <c r="N3922" s="23"/>
      <c r="O3922" s="23"/>
      <c r="P3922" s="23"/>
      <c r="Q3922" s="23"/>
      <c r="R3922" s="23"/>
      <c r="S3922" s="23"/>
      <c r="T3922" s="23"/>
      <c r="U3922" s="23"/>
    </row>
    <row r="3923">
      <c r="A3923" s="20"/>
      <c r="B3923" s="20"/>
      <c r="C3923" s="30"/>
      <c r="D3923" s="30"/>
      <c r="E3923" s="30"/>
      <c r="F3923" s="22"/>
      <c r="G3923" s="23"/>
      <c r="H3923" s="23"/>
      <c r="I3923" s="23"/>
      <c r="J3923" s="23"/>
      <c r="K3923" s="23"/>
      <c r="L3923" s="23"/>
      <c r="M3923" s="23"/>
      <c r="N3923" s="23"/>
      <c r="O3923" s="23"/>
      <c r="P3923" s="23"/>
      <c r="Q3923" s="23"/>
      <c r="R3923" s="23"/>
      <c r="S3923" s="23"/>
      <c r="T3923" s="23"/>
      <c r="U3923" s="23"/>
    </row>
    <row r="3924">
      <c r="A3924" s="20"/>
      <c r="B3924" s="20"/>
      <c r="C3924" s="30"/>
      <c r="D3924" s="30"/>
      <c r="E3924" s="30"/>
      <c r="F3924" s="22"/>
      <c r="G3924" s="23"/>
      <c r="H3924" s="23"/>
      <c r="I3924" s="23"/>
      <c r="J3924" s="23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</row>
    <row r="3925">
      <c r="A3925" s="20"/>
      <c r="B3925" s="20"/>
      <c r="C3925" s="30"/>
      <c r="D3925" s="30"/>
      <c r="E3925" s="30"/>
      <c r="F3925" s="22"/>
      <c r="G3925" s="23"/>
      <c r="H3925" s="23"/>
      <c r="I3925" s="23"/>
      <c r="J3925" s="23"/>
      <c r="K3925" s="23"/>
      <c r="L3925" s="23"/>
      <c r="M3925" s="23"/>
      <c r="N3925" s="23"/>
      <c r="O3925" s="23"/>
      <c r="P3925" s="23"/>
      <c r="Q3925" s="23"/>
      <c r="R3925" s="23"/>
      <c r="S3925" s="23"/>
      <c r="T3925" s="23"/>
      <c r="U3925" s="23"/>
    </row>
    <row r="3926">
      <c r="A3926" s="20"/>
      <c r="B3926" s="20"/>
      <c r="C3926" s="30"/>
      <c r="D3926" s="30"/>
      <c r="E3926" s="30"/>
      <c r="F3926" s="22"/>
      <c r="G3926" s="23"/>
      <c r="H3926" s="23"/>
      <c r="I3926" s="23"/>
      <c r="J3926" s="23"/>
      <c r="K3926" s="23"/>
      <c r="L3926" s="23"/>
      <c r="M3926" s="23"/>
      <c r="N3926" s="23"/>
      <c r="O3926" s="23"/>
      <c r="P3926" s="23"/>
      <c r="Q3926" s="23"/>
      <c r="R3926" s="23"/>
      <c r="S3926" s="23"/>
      <c r="T3926" s="23"/>
      <c r="U3926" s="23"/>
    </row>
    <row r="3927">
      <c r="A3927" s="20"/>
      <c r="B3927" s="20"/>
      <c r="C3927" s="30"/>
      <c r="D3927" s="30"/>
      <c r="E3927" s="30"/>
      <c r="F3927" s="22"/>
      <c r="G3927" s="23"/>
      <c r="H3927" s="23"/>
      <c r="I3927" s="23"/>
      <c r="J3927" s="23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</row>
    <row r="3928">
      <c r="A3928" s="20"/>
      <c r="B3928" s="20"/>
      <c r="C3928" s="30"/>
      <c r="D3928" s="30"/>
      <c r="E3928" s="30"/>
      <c r="F3928" s="22"/>
      <c r="G3928" s="23"/>
      <c r="H3928" s="23"/>
      <c r="I3928" s="23"/>
      <c r="J3928" s="23"/>
      <c r="K3928" s="23"/>
      <c r="L3928" s="23"/>
      <c r="M3928" s="23"/>
      <c r="N3928" s="23"/>
      <c r="O3928" s="23"/>
      <c r="P3928" s="23"/>
      <c r="Q3928" s="23"/>
      <c r="R3928" s="23"/>
      <c r="S3928" s="23"/>
      <c r="T3928" s="23"/>
      <c r="U3928" s="23"/>
    </row>
    <row r="3929">
      <c r="A3929" s="20"/>
      <c r="B3929" s="20"/>
      <c r="C3929" s="30"/>
      <c r="D3929" s="30"/>
      <c r="E3929" s="30"/>
      <c r="F3929" s="22"/>
      <c r="G3929" s="23"/>
      <c r="H3929" s="23"/>
      <c r="I3929" s="23"/>
      <c r="J3929" s="23"/>
      <c r="K3929" s="23"/>
      <c r="L3929" s="23"/>
      <c r="M3929" s="23"/>
      <c r="N3929" s="23"/>
      <c r="O3929" s="23"/>
      <c r="P3929" s="23"/>
      <c r="Q3929" s="23"/>
      <c r="R3929" s="23"/>
      <c r="S3929" s="23"/>
      <c r="T3929" s="23"/>
      <c r="U3929" s="23"/>
    </row>
    <row r="3930">
      <c r="A3930" s="20"/>
      <c r="B3930" s="20"/>
      <c r="C3930" s="30"/>
      <c r="D3930" s="30"/>
      <c r="E3930" s="30"/>
      <c r="F3930" s="22"/>
      <c r="G3930" s="23"/>
      <c r="H3930" s="23"/>
      <c r="I3930" s="23"/>
      <c r="J3930" s="23"/>
      <c r="K3930" s="23"/>
      <c r="L3930" s="23"/>
      <c r="M3930" s="23"/>
      <c r="N3930" s="23"/>
      <c r="O3930" s="23"/>
      <c r="P3930" s="23"/>
      <c r="Q3930" s="23"/>
      <c r="R3930" s="23"/>
      <c r="S3930" s="23"/>
      <c r="T3930" s="23"/>
      <c r="U3930" s="23"/>
    </row>
    <row r="3931">
      <c r="A3931" s="20"/>
      <c r="B3931" s="20"/>
      <c r="C3931" s="30"/>
      <c r="D3931" s="30"/>
      <c r="E3931" s="30"/>
      <c r="F3931" s="22"/>
      <c r="G3931" s="23"/>
      <c r="H3931" s="23"/>
      <c r="I3931" s="23"/>
      <c r="J3931" s="23"/>
      <c r="K3931" s="23"/>
      <c r="L3931" s="23"/>
      <c r="M3931" s="23"/>
      <c r="N3931" s="23"/>
      <c r="O3931" s="23"/>
      <c r="P3931" s="23"/>
      <c r="Q3931" s="23"/>
      <c r="R3931" s="23"/>
      <c r="S3931" s="23"/>
      <c r="T3931" s="23"/>
      <c r="U3931" s="23"/>
    </row>
    <row r="3932">
      <c r="A3932" s="20"/>
      <c r="B3932" s="20"/>
      <c r="C3932" s="30"/>
      <c r="D3932" s="30"/>
      <c r="E3932" s="30"/>
      <c r="F3932" s="22"/>
      <c r="G3932" s="23"/>
      <c r="H3932" s="23"/>
      <c r="I3932" s="23"/>
      <c r="J3932" s="23"/>
      <c r="K3932" s="23"/>
      <c r="L3932" s="23"/>
      <c r="M3932" s="23"/>
      <c r="N3932" s="23"/>
      <c r="O3932" s="23"/>
      <c r="P3932" s="23"/>
      <c r="Q3932" s="23"/>
      <c r="R3932" s="23"/>
      <c r="S3932" s="23"/>
      <c r="T3932" s="23"/>
      <c r="U3932" s="23"/>
    </row>
    <row r="3933">
      <c r="A3933" s="20"/>
      <c r="B3933" s="20"/>
      <c r="C3933" s="30"/>
      <c r="D3933" s="30"/>
      <c r="E3933" s="30"/>
      <c r="F3933" s="22"/>
      <c r="G3933" s="23"/>
      <c r="H3933" s="23"/>
      <c r="I3933" s="23"/>
      <c r="J3933" s="23"/>
      <c r="K3933" s="23"/>
      <c r="L3933" s="23"/>
      <c r="M3933" s="23"/>
      <c r="N3933" s="23"/>
      <c r="O3933" s="23"/>
      <c r="P3933" s="23"/>
      <c r="Q3933" s="23"/>
      <c r="R3933" s="23"/>
      <c r="S3933" s="23"/>
      <c r="T3933" s="23"/>
      <c r="U3933" s="23"/>
    </row>
    <row r="3934">
      <c r="A3934" s="20"/>
      <c r="B3934" s="20"/>
      <c r="C3934" s="30"/>
      <c r="D3934" s="30"/>
      <c r="E3934" s="30"/>
      <c r="F3934" s="22"/>
      <c r="G3934" s="23"/>
      <c r="H3934" s="23"/>
      <c r="I3934" s="23"/>
      <c r="J3934" s="23"/>
      <c r="K3934" s="23"/>
      <c r="L3934" s="23"/>
      <c r="M3934" s="23"/>
      <c r="N3934" s="23"/>
      <c r="O3934" s="23"/>
      <c r="P3934" s="23"/>
      <c r="Q3934" s="23"/>
      <c r="R3934" s="23"/>
      <c r="S3934" s="23"/>
      <c r="T3934" s="23"/>
      <c r="U3934" s="23"/>
    </row>
    <row r="3935">
      <c r="A3935" s="20"/>
      <c r="B3935" s="20"/>
      <c r="C3935" s="30"/>
      <c r="D3935" s="30"/>
      <c r="E3935" s="30"/>
      <c r="F3935" s="22"/>
      <c r="G3935" s="23"/>
      <c r="H3935" s="23"/>
      <c r="I3935" s="23"/>
      <c r="J3935" s="23"/>
      <c r="K3935" s="23"/>
      <c r="L3935" s="23"/>
      <c r="M3935" s="23"/>
      <c r="N3935" s="23"/>
      <c r="O3935" s="23"/>
      <c r="P3935" s="23"/>
      <c r="Q3935" s="23"/>
      <c r="R3935" s="23"/>
      <c r="S3935" s="23"/>
      <c r="T3935" s="23"/>
      <c r="U3935" s="23"/>
    </row>
    <row r="3936">
      <c r="A3936" s="20"/>
      <c r="B3936" s="20"/>
      <c r="C3936" s="30"/>
      <c r="D3936" s="30"/>
      <c r="E3936" s="30"/>
      <c r="F3936" s="22"/>
      <c r="G3936" s="23"/>
      <c r="H3936" s="23"/>
      <c r="I3936" s="23"/>
      <c r="J3936" s="23"/>
      <c r="K3936" s="23"/>
      <c r="L3936" s="23"/>
      <c r="M3936" s="23"/>
      <c r="N3936" s="23"/>
      <c r="O3936" s="23"/>
      <c r="P3936" s="23"/>
      <c r="Q3936" s="23"/>
      <c r="R3936" s="23"/>
      <c r="S3936" s="23"/>
      <c r="T3936" s="23"/>
      <c r="U3936" s="23"/>
    </row>
    <row r="3937">
      <c r="A3937" s="20"/>
      <c r="B3937" s="20"/>
      <c r="C3937" s="30"/>
      <c r="D3937" s="30"/>
      <c r="E3937" s="30"/>
      <c r="F3937" s="22"/>
      <c r="G3937" s="23"/>
      <c r="H3937" s="23"/>
      <c r="I3937" s="23"/>
      <c r="J3937" s="23"/>
      <c r="K3937" s="23"/>
      <c r="L3937" s="23"/>
      <c r="M3937" s="23"/>
      <c r="N3937" s="23"/>
      <c r="O3937" s="23"/>
      <c r="P3937" s="23"/>
      <c r="Q3937" s="23"/>
      <c r="R3937" s="23"/>
      <c r="S3937" s="23"/>
      <c r="T3937" s="23"/>
      <c r="U3937" s="23"/>
    </row>
    <row r="3938">
      <c r="A3938" s="20"/>
      <c r="B3938" s="20"/>
      <c r="C3938" s="30"/>
      <c r="D3938" s="30"/>
      <c r="E3938" s="30"/>
      <c r="F3938" s="22"/>
      <c r="G3938" s="23"/>
      <c r="H3938" s="23"/>
      <c r="I3938" s="23"/>
      <c r="J3938" s="23"/>
      <c r="K3938" s="23"/>
      <c r="L3938" s="23"/>
      <c r="M3938" s="23"/>
      <c r="N3938" s="23"/>
      <c r="O3938" s="23"/>
      <c r="P3938" s="23"/>
      <c r="Q3938" s="23"/>
      <c r="R3938" s="23"/>
      <c r="S3938" s="23"/>
      <c r="T3938" s="23"/>
      <c r="U3938" s="23"/>
    </row>
    <row r="3939">
      <c r="A3939" s="20"/>
      <c r="B3939" s="20"/>
      <c r="C3939" s="30"/>
      <c r="D3939" s="30"/>
      <c r="E3939" s="30"/>
      <c r="F3939" s="22"/>
      <c r="G3939" s="23"/>
      <c r="H3939" s="23"/>
      <c r="I3939" s="23"/>
      <c r="J3939" s="23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</row>
    <row r="3940">
      <c r="A3940" s="20"/>
      <c r="B3940" s="20"/>
      <c r="C3940" s="30"/>
      <c r="D3940" s="30"/>
      <c r="E3940" s="30"/>
      <c r="F3940" s="22"/>
      <c r="G3940" s="23"/>
      <c r="H3940" s="23"/>
      <c r="I3940" s="23"/>
      <c r="J3940" s="23"/>
      <c r="K3940" s="23"/>
      <c r="L3940" s="23"/>
      <c r="M3940" s="23"/>
      <c r="N3940" s="23"/>
      <c r="O3940" s="23"/>
      <c r="P3940" s="23"/>
      <c r="Q3940" s="23"/>
      <c r="R3940" s="23"/>
      <c r="S3940" s="23"/>
      <c r="T3940" s="23"/>
      <c r="U3940" s="23"/>
    </row>
    <row r="3941">
      <c r="A3941" s="20"/>
      <c r="B3941" s="20"/>
      <c r="C3941" s="30"/>
      <c r="D3941" s="30"/>
      <c r="E3941" s="30"/>
      <c r="F3941" s="22"/>
      <c r="G3941" s="23"/>
      <c r="H3941" s="23"/>
      <c r="I3941" s="23"/>
      <c r="J3941" s="23"/>
      <c r="K3941" s="23"/>
      <c r="L3941" s="23"/>
      <c r="M3941" s="23"/>
      <c r="N3941" s="23"/>
      <c r="O3941" s="23"/>
      <c r="P3941" s="23"/>
      <c r="Q3941" s="23"/>
      <c r="R3941" s="23"/>
      <c r="S3941" s="23"/>
      <c r="T3941" s="23"/>
      <c r="U3941" s="23"/>
    </row>
    <row r="3942">
      <c r="A3942" s="20"/>
      <c r="B3942" s="20"/>
      <c r="C3942" s="30"/>
      <c r="D3942" s="30"/>
      <c r="E3942" s="30"/>
      <c r="F3942" s="22"/>
      <c r="G3942" s="23"/>
      <c r="H3942" s="23"/>
      <c r="I3942" s="23"/>
      <c r="J3942" s="23"/>
      <c r="K3942" s="23"/>
      <c r="L3942" s="23"/>
      <c r="M3942" s="23"/>
      <c r="N3942" s="23"/>
      <c r="O3942" s="23"/>
      <c r="P3942" s="23"/>
      <c r="Q3942" s="23"/>
      <c r="R3942" s="23"/>
      <c r="S3942" s="23"/>
      <c r="T3942" s="23"/>
      <c r="U3942" s="23"/>
    </row>
    <row r="3943">
      <c r="A3943" s="20"/>
      <c r="B3943" s="20"/>
      <c r="C3943" s="30"/>
      <c r="D3943" s="30"/>
      <c r="E3943" s="30"/>
      <c r="F3943" s="22"/>
      <c r="G3943" s="23"/>
      <c r="H3943" s="23"/>
      <c r="I3943" s="23"/>
      <c r="J3943" s="23"/>
      <c r="K3943" s="23"/>
      <c r="L3943" s="23"/>
      <c r="M3943" s="23"/>
      <c r="N3943" s="23"/>
      <c r="O3943" s="23"/>
      <c r="P3943" s="23"/>
      <c r="Q3943" s="23"/>
      <c r="R3943" s="23"/>
      <c r="S3943" s="23"/>
      <c r="T3943" s="23"/>
      <c r="U3943" s="23"/>
    </row>
    <row r="3944">
      <c r="A3944" s="20"/>
      <c r="B3944" s="20"/>
      <c r="C3944" s="30"/>
      <c r="D3944" s="30"/>
      <c r="E3944" s="30"/>
      <c r="F3944" s="22"/>
      <c r="G3944" s="23"/>
      <c r="H3944" s="23"/>
      <c r="I3944" s="23"/>
      <c r="J3944" s="23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</row>
    <row r="3945">
      <c r="A3945" s="20"/>
      <c r="B3945" s="20"/>
      <c r="C3945" s="30"/>
      <c r="D3945" s="30"/>
      <c r="E3945" s="30"/>
      <c r="F3945" s="22"/>
      <c r="G3945" s="23"/>
      <c r="H3945" s="23"/>
      <c r="I3945" s="23"/>
      <c r="J3945" s="23"/>
      <c r="K3945" s="23"/>
      <c r="L3945" s="23"/>
      <c r="M3945" s="23"/>
      <c r="N3945" s="23"/>
      <c r="O3945" s="23"/>
      <c r="P3945" s="23"/>
      <c r="Q3945" s="23"/>
      <c r="R3945" s="23"/>
      <c r="S3945" s="23"/>
      <c r="T3945" s="23"/>
      <c r="U3945" s="23"/>
    </row>
    <row r="3946">
      <c r="A3946" s="20"/>
      <c r="B3946" s="20"/>
      <c r="C3946" s="30"/>
      <c r="D3946" s="30"/>
      <c r="E3946" s="30"/>
      <c r="F3946" s="22"/>
      <c r="G3946" s="23"/>
      <c r="H3946" s="23"/>
      <c r="I3946" s="23"/>
      <c r="J3946" s="23"/>
      <c r="K3946" s="23"/>
      <c r="L3946" s="23"/>
      <c r="M3946" s="23"/>
      <c r="N3946" s="23"/>
      <c r="O3946" s="23"/>
      <c r="P3946" s="23"/>
      <c r="Q3946" s="23"/>
      <c r="R3946" s="23"/>
      <c r="S3946" s="23"/>
      <c r="T3946" s="23"/>
      <c r="U3946" s="23"/>
    </row>
    <row r="3947">
      <c r="A3947" s="20"/>
      <c r="B3947" s="20"/>
      <c r="C3947" s="30"/>
      <c r="D3947" s="30"/>
      <c r="E3947" s="30"/>
      <c r="F3947" s="22"/>
      <c r="G3947" s="23"/>
      <c r="H3947" s="23"/>
      <c r="I3947" s="23"/>
      <c r="J3947" s="23"/>
      <c r="K3947" s="23"/>
      <c r="L3947" s="23"/>
      <c r="M3947" s="23"/>
      <c r="N3947" s="23"/>
      <c r="O3947" s="23"/>
      <c r="P3947" s="23"/>
      <c r="Q3947" s="23"/>
      <c r="R3947" s="23"/>
      <c r="S3947" s="23"/>
      <c r="T3947" s="23"/>
      <c r="U3947" s="23"/>
    </row>
    <row r="3948">
      <c r="A3948" s="20"/>
      <c r="B3948" s="20"/>
      <c r="C3948" s="30"/>
      <c r="D3948" s="30"/>
      <c r="E3948" s="30"/>
      <c r="F3948" s="22"/>
      <c r="G3948" s="23"/>
      <c r="H3948" s="23"/>
      <c r="I3948" s="23"/>
      <c r="J3948" s="23"/>
      <c r="K3948" s="23"/>
      <c r="L3948" s="23"/>
      <c r="M3948" s="23"/>
      <c r="N3948" s="23"/>
      <c r="O3948" s="23"/>
      <c r="P3948" s="23"/>
      <c r="Q3948" s="23"/>
      <c r="R3948" s="23"/>
      <c r="S3948" s="23"/>
      <c r="T3948" s="23"/>
      <c r="U3948" s="23"/>
    </row>
    <row r="3949">
      <c r="A3949" s="20"/>
      <c r="B3949" s="20"/>
      <c r="C3949" s="30"/>
      <c r="D3949" s="30"/>
      <c r="E3949" s="30"/>
      <c r="F3949" s="22"/>
      <c r="G3949" s="23"/>
      <c r="H3949" s="23"/>
      <c r="I3949" s="23"/>
      <c r="J3949" s="23"/>
      <c r="K3949" s="23"/>
      <c r="L3949" s="23"/>
      <c r="M3949" s="23"/>
      <c r="N3949" s="23"/>
      <c r="O3949" s="23"/>
      <c r="P3949" s="23"/>
      <c r="Q3949" s="23"/>
      <c r="R3949" s="23"/>
      <c r="S3949" s="23"/>
      <c r="T3949" s="23"/>
      <c r="U3949" s="23"/>
    </row>
    <row r="3950">
      <c r="A3950" s="20"/>
      <c r="B3950" s="20"/>
      <c r="C3950" s="30"/>
      <c r="D3950" s="30"/>
      <c r="E3950" s="30"/>
      <c r="F3950" s="22"/>
      <c r="G3950" s="23"/>
      <c r="H3950" s="23"/>
      <c r="I3950" s="23"/>
      <c r="J3950" s="23"/>
      <c r="K3950" s="23"/>
      <c r="L3950" s="23"/>
      <c r="M3950" s="23"/>
      <c r="N3950" s="23"/>
      <c r="O3950" s="23"/>
      <c r="P3950" s="23"/>
      <c r="Q3950" s="23"/>
      <c r="R3950" s="23"/>
      <c r="S3950" s="23"/>
      <c r="T3950" s="23"/>
      <c r="U3950" s="23"/>
    </row>
    <row r="3951">
      <c r="A3951" s="20"/>
      <c r="B3951" s="20"/>
      <c r="C3951" s="30"/>
      <c r="D3951" s="30"/>
      <c r="E3951" s="30"/>
      <c r="F3951" s="22"/>
      <c r="G3951" s="23"/>
      <c r="H3951" s="23"/>
      <c r="I3951" s="23"/>
      <c r="J3951" s="23"/>
      <c r="K3951" s="23"/>
      <c r="L3951" s="23"/>
      <c r="M3951" s="23"/>
      <c r="N3951" s="23"/>
      <c r="O3951" s="23"/>
      <c r="P3951" s="23"/>
      <c r="Q3951" s="23"/>
      <c r="R3951" s="23"/>
      <c r="S3951" s="23"/>
      <c r="T3951" s="23"/>
      <c r="U3951" s="23"/>
    </row>
    <row r="3952">
      <c r="A3952" s="20"/>
      <c r="B3952" s="20"/>
      <c r="C3952" s="30"/>
      <c r="D3952" s="30"/>
      <c r="E3952" s="30"/>
      <c r="F3952" s="22"/>
      <c r="G3952" s="23"/>
      <c r="H3952" s="23"/>
      <c r="I3952" s="23"/>
      <c r="J3952" s="23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</row>
    <row r="3953">
      <c r="A3953" s="20"/>
      <c r="B3953" s="20"/>
      <c r="C3953" s="30"/>
      <c r="D3953" s="30"/>
      <c r="E3953" s="30"/>
      <c r="F3953" s="22"/>
      <c r="G3953" s="23"/>
      <c r="H3953" s="23"/>
      <c r="I3953" s="23"/>
      <c r="J3953" s="23"/>
      <c r="K3953" s="23"/>
      <c r="L3953" s="23"/>
      <c r="M3953" s="23"/>
      <c r="N3953" s="23"/>
      <c r="O3953" s="23"/>
      <c r="P3953" s="23"/>
      <c r="Q3953" s="23"/>
      <c r="R3953" s="23"/>
      <c r="S3953" s="23"/>
      <c r="T3953" s="23"/>
      <c r="U3953" s="23"/>
    </row>
    <row r="3954">
      <c r="A3954" s="20"/>
      <c r="B3954" s="20"/>
      <c r="C3954" s="30"/>
      <c r="D3954" s="30"/>
      <c r="E3954" s="30"/>
      <c r="F3954" s="22"/>
      <c r="G3954" s="23"/>
      <c r="H3954" s="23"/>
      <c r="I3954" s="23"/>
      <c r="J3954" s="23"/>
      <c r="K3954" s="23"/>
      <c r="L3954" s="23"/>
      <c r="M3954" s="23"/>
      <c r="N3954" s="23"/>
      <c r="O3954" s="23"/>
      <c r="P3954" s="23"/>
      <c r="Q3954" s="23"/>
      <c r="R3954" s="23"/>
      <c r="S3954" s="23"/>
      <c r="T3954" s="23"/>
      <c r="U3954" s="23"/>
    </row>
    <row r="3955">
      <c r="A3955" s="20"/>
      <c r="B3955" s="20"/>
      <c r="C3955" s="30"/>
      <c r="D3955" s="30"/>
      <c r="E3955" s="30"/>
      <c r="F3955" s="22"/>
      <c r="G3955" s="23"/>
      <c r="H3955" s="23"/>
      <c r="I3955" s="23"/>
      <c r="J3955" s="23"/>
      <c r="K3955" s="23"/>
      <c r="L3955" s="23"/>
      <c r="M3955" s="23"/>
      <c r="N3955" s="23"/>
      <c r="O3955" s="23"/>
      <c r="P3955" s="23"/>
      <c r="Q3955" s="23"/>
      <c r="R3955" s="23"/>
      <c r="S3955" s="23"/>
      <c r="T3955" s="23"/>
      <c r="U3955" s="23"/>
    </row>
    <row r="3956">
      <c r="A3956" s="20"/>
      <c r="B3956" s="20"/>
      <c r="C3956" s="30"/>
      <c r="D3956" s="30"/>
      <c r="E3956" s="30"/>
      <c r="F3956" s="22"/>
      <c r="G3956" s="23"/>
      <c r="H3956" s="23"/>
      <c r="I3956" s="23"/>
      <c r="J3956" s="23"/>
      <c r="K3956" s="23"/>
      <c r="L3956" s="23"/>
      <c r="M3956" s="23"/>
      <c r="N3956" s="23"/>
      <c r="O3956" s="23"/>
      <c r="P3956" s="23"/>
      <c r="Q3956" s="23"/>
      <c r="R3956" s="23"/>
      <c r="S3956" s="23"/>
      <c r="T3956" s="23"/>
      <c r="U3956" s="23"/>
    </row>
    <row r="3957">
      <c r="A3957" s="20"/>
      <c r="B3957" s="20"/>
      <c r="C3957" s="30"/>
      <c r="D3957" s="30"/>
      <c r="E3957" s="30"/>
      <c r="F3957" s="22"/>
      <c r="G3957" s="23"/>
      <c r="H3957" s="23"/>
      <c r="I3957" s="23"/>
      <c r="J3957" s="23"/>
      <c r="K3957" s="23"/>
      <c r="L3957" s="23"/>
      <c r="M3957" s="23"/>
      <c r="N3957" s="23"/>
      <c r="O3957" s="23"/>
      <c r="P3957" s="23"/>
      <c r="Q3957" s="23"/>
      <c r="R3957" s="23"/>
      <c r="S3957" s="23"/>
      <c r="T3957" s="23"/>
      <c r="U3957" s="23"/>
    </row>
    <row r="3958">
      <c r="A3958" s="20"/>
      <c r="B3958" s="20"/>
      <c r="C3958" s="30"/>
      <c r="D3958" s="30"/>
      <c r="E3958" s="30"/>
      <c r="F3958" s="22"/>
      <c r="G3958" s="23"/>
      <c r="H3958" s="23"/>
      <c r="I3958" s="23"/>
      <c r="J3958" s="23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</row>
    <row r="3959">
      <c r="A3959" s="20"/>
      <c r="B3959" s="20"/>
      <c r="C3959" s="30"/>
      <c r="D3959" s="30"/>
      <c r="E3959" s="30"/>
      <c r="F3959" s="22"/>
      <c r="G3959" s="23"/>
      <c r="H3959" s="23"/>
      <c r="I3959" s="23"/>
      <c r="J3959" s="23"/>
      <c r="K3959" s="23"/>
      <c r="L3959" s="23"/>
      <c r="M3959" s="23"/>
      <c r="N3959" s="23"/>
      <c r="O3959" s="23"/>
      <c r="P3959" s="23"/>
      <c r="Q3959" s="23"/>
      <c r="R3959" s="23"/>
      <c r="S3959" s="23"/>
      <c r="T3959" s="23"/>
      <c r="U3959" s="23"/>
    </row>
    <row r="3960">
      <c r="A3960" s="20"/>
      <c r="B3960" s="20"/>
      <c r="C3960" s="30"/>
      <c r="D3960" s="30"/>
      <c r="E3960" s="30"/>
      <c r="F3960" s="22"/>
      <c r="G3960" s="23"/>
      <c r="H3960" s="23"/>
      <c r="I3960" s="23"/>
      <c r="J3960" s="23"/>
      <c r="K3960" s="23"/>
      <c r="L3960" s="23"/>
      <c r="M3960" s="23"/>
      <c r="N3960" s="23"/>
      <c r="O3960" s="23"/>
      <c r="P3960" s="23"/>
      <c r="Q3960" s="23"/>
      <c r="R3960" s="23"/>
      <c r="S3960" s="23"/>
      <c r="T3960" s="23"/>
      <c r="U3960" s="23"/>
    </row>
    <row r="3961">
      <c r="A3961" s="20"/>
      <c r="B3961" s="20"/>
      <c r="C3961" s="30"/>
      <c r="D3961" s="30"/>
      <c r="E3961" s="30"/>
      <c r="F3961" s="22"/>
      <c r="G3961" s="23"/>
      <c r="H3961" s="23"/>
      <c r="I3961" s="23"/>
      <c r="J3961" s="23"/>
      <c r="K3961" s="23"/>
      <c r="L3961" s="23"/>
      <c r="M3961" s="23"/>
      <c r="N3961" s="23"/>
      <c r="O3961" s="23"/>
      <c r="P3961" s="23"/>
      <c r="Q3961" s="23"/>
      <c r="R3961" s="23"/>
      <c r="S3961" s="23"/>
      <c r="T3961" s="23"/>
      <c r="U3961" s="23"/>
    </row>
    <row r="3962">
      <c r="A3962" s="20"/>
      <c r="B3962" s="20"/>
      <c r="C3962" s="30"/>
      <c r="D3962" s="30"/>
      <c r="E3962" s="30"/>
      <c r="F3962" s="22"/>
      <c r="G3962" s="23"/>
      <c r="H3962" s="23"/>
      <c r="I3962" s="23"/>
      <c r="J3962" s="23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</row>
    <row r="3963">
      <c r="A3963" s="20"/>
      <c r="B3963" s="20"/>
      <c r="C3963" s="30"/>
      <c r="D3963" s="30"/>
      <c r="E3963" s="30"/>
      <c r="F3963" s="22"/>
      <c r="G3963" s="23"/>
      <c r="H3963" s="23"/>
      <c r="I3963" s="23"/>
      <c r="J3963" s="23"/>
      <c r="K3963" s="23"/>
      <c r="L3963" s="23"/>
      <c r="M3963" s="23"/>
      <c r="N3963" s="23"/>
      <c r="O3963" s="23"/>
      <c r="P3963" s="23"/>
      <c r="Q3963" s="23"/>
      <c r="R3963" s="23"/>
      <c r="S3963" s="23"/>
      <c r="T3963" s="23"/>
      <c r="U3963" s="23"/>
    </row>
    <row r="3964">
      <c r="A3964" s="20"/>
      <c r="B3964" s="20"/>
      <c r="C3964" s="30"/>
      <c r="D3964" s="30"/>
      <c r="E3964" s="30"/>
      <c r="F3964" s="22"/>
      <c r="G3964" s="23"/>
      <c r="H3964" s="23"/>
      <c r="I3964" s="23"/>
      <c r="J3964" s="23"/>
      <c r="K3964" s="23"/>
      <c r="L3964" s="23"/>
      <c r="M3964" s="23"/>
      <c r="N3964" s="23"/>
      <c r="O3964" s="23"/>
      <c r="P3964" s="23"/>
      <c r="Q3964" s="23"/>
      <c r="R3964" s="23"/>
      <c r="S3964" s="23"/>
      <c r="T3964" s="23"/>
      <c r="U3964" s="23"/>
    </row>
    <row r="3965">
      <c r="A3965" s="20"/>
      <c r="B3965" s="20"/>
      <c r="C3965" s="30"/>
      <c r="D3965" s="30"/>
      <c r="E3965" s="30"/>
      <c r="F3965" s="22"/>
      <c r="G3965" s="23"/>
      <c r="H3965" s="23"/>
      <c r="I3965" s="23"/>
      <c r="J3965" s="23"/>
      <c r="K3965" s="23"/>
      <c r="L3965" s="23"/>
      <c r="M3965" s="23"/>
      <c r="N3965" s="23"/>
      <c r="O3965" s="23"/>
      <c r="P3965" s="23"/>
      <c r="Q3965" s="23"/>
      <c r="R3965" s="23"/>
      <c r="S3965" s="23"/>
      <c r="T3965" s="23"/>
      <c r="U3965" s="23"/>
    </row>
    <row r="3966">
      <c r="A3966" s="20"/>
      <c r="B3966" s="20"/>
      <c r="C3966" s="30"/>
      <c r="D3966" s="30"/>
      <c r="E3966" s="30"/>
      <c r="F3966" s="22"/>
      <c r="G3966" s="23"/>
      <c r="H3966" s="23"/>
      <c r="I3966" s="23"/>
      <c r="J3966" s="23"/>
      <c r="K3966" s="23"/>
      <c r="L3966" s="23"/>
      <c r="M3966" s="23"/>
      <c r="N3966" s="23"/>
      <c r="O3966" s="23"/>
      <c r="P3966" s="23"/>
      <c r="Q3966" s="23"/>
      <c r="R3966" s="23"/>
      <c r="S3966" s="23"/>
      <c r="T3966" s="23"/>
      <c r="U3966" s="23"/>
    </row>
    <row r="3967">
      <c r="A3967" s="20"/>
      <c r="B3967" s="20"/>
      <c r="C3967" s="30"/>
      <c r="D3967" s="30"/>
      <c r="E3967" s="30"/>
      <c r="F3967" s="22"/>
      <c r="G3967" s="23"/>
      <c r="H3967" s="23"/>
      <c r="I3967" s="23"/>
      <c r="J3967" s="23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</row>
    <row r="3968">
      <c r="A3968" s="20"/>
      <c r="B3968" s="20"/>
      <c r="C3968" s="30"/>
      <c r="D3968" s="30"/>
      <c r="E3968" s="30"/>
      <c r="F3968" s="22"/>
      <c r="G3968" s="23"/>
      <c r="H3968" s="23"/>
      <c r="I3968" s="23"/>
      <c r="J3968" s="23"/>
      <c r="K3968" s="23"/>
      <c r="L3968" s="23"/>
      <c r="M3968" s="23"/>
      <c r="N3968" s="23"/>
      <c r="O3968" s="23"/>
      <c r="P3968" s="23"/>
      <c r="Q3968" s="23"/>
      <c r="R3968" s="23"/>
      <c r="S3968" s="23"/>
      <c r="T3968" s="23"/>
      <c r="U3968" s="23"/>
    </row>
    <row r="3969">
      <c r="A3969" s="20"/>
      <c r="B3969" s="20"/>
      <c r="C3969" s="30"/>
      <c r="D3969" s="30"/>
      <c r="E3969" s="30"/>
      <c r="F3969" s="22"/>
      <c r="G3969" s="23"/>
      <c r="H3969" s="23"/>
      <c r="I3969" s="23"/>
      <c r="J3969" s="23"/>
      <c r="K3969" s="23"/>
      <c r="L3969" s="23"/>
      <c r="M3969" s="23"/>
      <c r="N3969" s="23"/>
      <c r="O3969" s="23"/>
      <c r="P3969" s="23"/>
      <c r="Q3969" s="23"/>
      <c r="R3969" s="23"/>
      <c r="S3969" s="23"/>
      <c r="T3969" s="23"/>
      <c r="U3969" s="23"/>
    </row>
    <row r="3970">
      <c r="A3970" s="20"/>
      <c r="B3970" s="20"/>
      <c r="C3970" s="30"/>
      <c r="D3970" s="30"/>
      <c r="E3970" s="30"/>
      <c r="F3970" s="22"/>
      <c r="G3970" s="23"/>
      <c r="H3970" s="23"/>
      <c r="I3970" s="23"/>
      <c r="J3970" s="23"/>
      <c r="K3970" s="23"/>
      <c r="L3970" s="23"/>
      <c r="M3970" s="23"/>
      <c r="N3970" s="23"/>
      <c r="O3970" s="23"/>
      <c r="P3970" s="23"/>
      <c r="Q3970" s="23"/>
      <c r="R3970" s="23"/>
      <c r="S3970" s="23"/>
      <c r="T3970" s="23"/>
      <c r="U3970" s="23"/>
    </row>
    <row r="3971">
      <c r="A3971" s="20"/>
      <c r="B3971" s="20"/>
      <c r="C3971" s="30"/>
      <c r="D3971" s="30"/>
      <c r="E3971" s="30"/>
      <c r="F3971" s="22"/>
      <c r="G3971" s="23"/>
      <c r="H3971" s="23"/>
      <c r="I3971" s="23"/>
      <c r="J3971" s="23"/>
      <c r="K3971" s="23"/>
      <c r="L3971" s="23"/>
      <c r="M3971" s="23"/>
      <c r="N3971" s="23"/>
      <c r="O3971" s="23"/>
      <c r="P3971" s="23"/>
      <c r="Q3971" s="23"/>
      <c r="R3971" s="23"/>
      <c r="S3971" s="23"/>
      <c r="T3971" s="23"/>
      <c r="U3971" s="23"/>
    </row>
    <row r="3972">
      <c r="A3972" s="20"/>
      <c r="B3972" s="20"/>
      <c r="C3972" s="30"/>
      <c r="D3972" s="30"/>
      <c r="E3972" s="30"/>
      <c r="F3972" s="22"/>
      <c r="G3972" s="23"/>
      <c r="H3972" s="23"/>
      <c r="I3972" s="23"/>
      <c r="J3972" s="23"/>
      <c r="K3972" s="23"/>
      <c r="L3972" s="23"/>
      <c r="M3972" s="23"/>
      <c r="N3972" s="23"/>
      <c r="O3972" s="23"/>
      <c r="P3972" s="23"/>
      <c r="Q3972" s="23"/>
      <c r="R3972" s="23"/>
      <c r="S3972" s="23"/>
      <c r="T3972" s="23"/>
      <c r="U3972" s="23"/>
    </row>
    <row r="3973">
      <c r="A3973" s="20"/>
      <c r="B3973" s="20"/>
      <c r="C3973" s="30"/>
      <c r="D3973" s="30"/>
      <c r="E3973" s="30"/>
      <c r="F3973" s="22"/>
      <c r="G3973" s="23"/>
      <c r="H3973" s="23"/>
      <c r="I3973" s="23"/>
      <c r="J3973" s="23"/>
      <c r="K3973" s="23"/>
      <c r="L3973" s="23"/>
      <c r="M3973" s="23"/>
      <c r="N3973" s="23"/>
      <c r="O3973" s="23"/>
      <c r="P3973" s="23"/>
      <c r="Q3973" s="23"/>
      <c r="R3973" s="23"/>
      <c r="S3973" s="23"/>
      <c r="T3973" s="23"/>
      <c r="U3973" s="23"/>
    </row>
    <row r="3974">
      <c r="A3974" s="20"/>
      <c r="B3974" s="20"/>
      <c r="C3974" s="30"/>
      <c r="D3974" s="30"/>
      <c r="E3974" s="30"/>
      <c r="F3974" s="22"/>
      <c r="G3974" s="23"/>
      <c r="H3974" s="23"/>
      <c r="I3974" s="23"/>
      <c r="J3974" s="23"/>
      <c r="K3974" s="23"/>
      <c r="L3974" s="23"/>
      <c r="M3974" s="23"/>
      <c r="N3974" s="23"/>
      <c r="O3974" s="23"/>
      <c r="P3974" s="23"/>
      <c r="Q3974" s="23"/>
      <c r="R3974" s="23"/>
      <c r="S3974" s="23"/>
      <c r="T3974" s="23"/>
      <c r="U3974" s="23"/>
    </row>
    <row r="3975">
      <c r="A3975" s="20"/>
      <c r="B3975" s="20"/>
      <c r="C3975" s="30"/>
      <c r="D3975" s="30"/>
      <c r="E3975" s="30"/>
      <c r="F3975" s="22"/>
      <c r="G3975" s="23"/>
      <c r="H3975" s="23"/>
      <c r="I3975" s="23"/>
      <c r="J3975" s="23"/>
      <c r="K3975" s="23"/>
      <c r="L3975" s="23"/>
      <c r="M3975" s="23"/>
      <c r="N3975" s="23"/>
      <c r="O3975" s="23"/>
      <c r="P3975" s="23"/>
      <c r="Q3975" s="23"/>
      <c r="R3975" s="23"/>
      <c r="S3975" s="23"/>
      <c r="T3975" s="23"/>
      <c r="U3975" s="23"/>
    </row>
    <row r="3976">
      <c r="A3976" s="20"/>
      <c r="B3976" s="20"/>
      <c r="C3976" s="30"/>
      <c r="D3976" s="30"/>
      <c r="E3976" s="30"/>
      <c r="F3976" s="22"/>
      <c r="G3976" s="23"/>
      <c r="H3976" s="23"/>
      <c r="I3976" s="23"/>
      <c r="J3976" s="23"/>
      <c r="K3976" s="23"/>
      <c r="L3976" s="23"/>
      <c r="M3976" s="23"/>
      <c r="N3976" s="23"/>
      <c r="O3976" s="23"/>
      <c r="P3976" s="23"/>
      <c r="Q3976" s="23"/>
      <c r="R3976" s="23"/>
      <c r="S3976" s="23"/>
      <c r="T3976" s="23"/>
      <c r="U3976" s="23"/>
    </row>
    <row r="3977">
      <c r="A3977" s="20"/>
      <c r="B3977" s="20"/>
      <c r="C3977" s="30"/>
      <c r="D3977" s="30"/>
      <c r="E3977" s="30"/>
      <c r="F3977" s="22"/>
      <c r="G3977" s="23"/>
      <c r="H3977" s="23"/>
      <c r="I3977" s="23"/>
      <c r="J3977" s="23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</row>
    <row r="3978">
      <c r="A3978" s="20"/>
      <c r="B3978" s="20"/>
      <c r="C3978" s="30"/>
      <c r="D3978" s="30"/>
      <c r="E3978" s="30"/>
      <c r="F3978" s="22"/>
      <c r="G3978" s="23"/>
      <c r="H3978" s="23"/>
      <c r="I3978" s="23"/>
      <c r="J3978" s="23"/>
      <c r="K3978" s="23"/>
      <c r="L3978" s="23"/>
      <c r="M3978" s="23"/>
      <c r="N3978" s="23"/>
      <c r="O3978" s="23"/>
      <c r="P3978" s="23"/>
      <c r="Q3978" s="23"/>
      <c r="R3978" s="23"/>
      <c r="S3978" s="23"/>
      <c r="T3978" s="23"/>
      <c r="U3978" s="23"/>
    </row>
    <row r="3979">
      <c r="A3979" s="20"/>
      <c r="B3979" s="20"/>
      <c r="C3979" s="30"/>
      <c r="D3979" s="30"/>
      <c r="E3979" s="30"/>
      <c r="F3979" s="22"/>
      <c r="G3979" s="23"/>
      <c r="H3979" s="23"/>
      <c r="I3979" s="23"/>
      <c r="J3979" s="23"/>
      <c r="K3979" s="23"/>
      <c r="L3979" s="23"/>
      <c r="M3979" s="23"/>
      <c r="N3979" s="23"/>
      <c r="O3979" s="23"/>
      <c r="P3979" s="23"/>
      <c r="Q3979" s="23"/>
      <c r="R3979" s="23"/>
      <c r="S3979" s="23"/>
      <c r="T3979" s="23"/>
      <c r="U3979" s="23"/>
    </row>
    <row r="3980">
      <c r="A3980" s="20"/>
      <c r="B3980" s="20"/>
      <c r="C3980" s="30"/>
      <c r="D3980" s="30"/>
      <c r="E3980" s="30"/>
      <c r="F3980" s="22"/>
      <c r="G3980" s="23"/>
      <c r="H3980" s="23"/>
      <c r="I3980" s="23"/>
      <c r="J3980" s="23"/>
      <c r="K3980" s="23"/>
      <c r="L3980" s="23"/>
      <c r="M3980" s="23"/>
      <c r="N3980" s="23"/>
      <c r="O3980" s="23"/>
      <c r="P3980" s="23"/>
      <c r="Q3980" s="23"/>
      <c r="R3980" s="23"/>
      <c r="S3980" s="23"/>
      <c r="T3980" s="23"/>
      <c r="U3980" s="23"/>
    </row>
    <row r="3981">
      <c r="A3981" s="20"/>
      <c r="B3981" s="20"/>
      <c r="C3981" s="30"/>
      <c r="D3981" s="30"/>
      <c r="E3981" s="30"/>
      <c r="F3981" s="22"/>
      <c r="G3981" s="23"/>
      <c r="H3981" s="23"/>
      <c r="I3981" s="23"/>
      <c r="J3981" s="23"/>
      <c r="K3981" s="23"/>
      <c r="L3981" s="23"/>
      <c r="M3981" s="23"/>
      <c r="N3981" s="23"/>
      <c r="O3981" s="23"/>
      <c r="P3981" s="23"/>
      <c r="Q3981" s="23"/>
      <c r="R3981" s="23"/>
      <c r="S3981" s="23"/>
      <c r="T3981" s="23"/>
      <c r="U3981" s="23"/>
    </row>
    <row r="3982">
      <c r="A3982" s="20"/>
      <c r="B3982" s="20"/>
      <c r="C3982" s="30"/>
      <c r="D3982" s="30"/>
      <c r="E3982" s="30"/>
      <c r="F3982" s="22"/>
      <c r="G3982" s="23"/>
      <c r="H3982" s="23"/>
      <c r="I3982" s="23"/>
      <c r="J3982" s="23"/>
      <c r="K3982" s="23"/>
      <c r="L3982" s="23"/>
      <c r="M3982" s="23"/>
      <c r="N3982" s="23"/>
      <c r="O3982" s="23"/>
      <c r="P3982" s="23"/>
      <c r="Q3982" s="23"/>
      <c r="R3982" s="23"/>
      <c r="S3982" s="23"/>
      <c r="T3982" s="23"/>
      <c r="U3982" s="23"/>
    </row>
    <row r="3983">
      <c r="A3983" s="20"/>
      <c r="B3983" s="20"/>
      <c r="C3983" s="30"/>
      <c r="D3983" s="30"/>
      <c r="E3983" s="30"/>
      <c r="F3983" s="22"/>
      <c r="G3983" s="23"/>
      <c r="H3983" s="23"/>
      <c r="I3983" s="23"/>
      <c r="J3983" s="23"/>
      <c r="K3983" s="23"/>
      <c r="L3983" s="23"/>
      <c r="M3983" s="23"/>
      <c r="N3983" s="23"/>
      <c r="O3983" s="23"/>
      <c r="P3983" s="23"/>
      <c r="Q3983" s="23"/>
      <c r="R3983" s="23"/>
      <c r="S3983" s="23"/>
      <c r="T3983" s="23"/>
      <c r="U3983" s="23"/>
    </row>
    <row r="3984">
      <c r="A3984" s="20"/>
      <c r="B3984" s="20"/>
      <c r="C3984" s="30"/>
      <c r="D3984" s="30"/>
      <c r="E3984" s="30"/>
      <c r="F3984" s="22"/>
      <c r="G3984" s="23"/>
      <c r="H3984" s="23"/>
      <c r="I3984" s="23"/>
      <c r="J3984" s="23"/>
      <c r="K3984" s="23"/>
      <c r="L3984" s="23"/>
      <c r="M3984" s="23"/>
      <c r="N3984" s="23"/>
      <c r="O3984" s="23"/>
      <c r="P3984" s="23"/>
      <c r="Q3984" s="23"/>
      <c r="R3984" s="23"/>
      <c r="S3984" s="23"/>
      <c r="T3984" s="23"/>
      <c r="U3984" s="23"/>
    </row>
    <row r="3985">
      <c r="A3985" s="20"/>
      <c r="B3985" s="20"/>
      <c r="C3985" s="30"/>
      <c r="D3985" s="30"/>
      <c r="E3985" s="30"/>
      <c r="F3985" s="22"/>
      <c r="G3985" s="23"/>
      <c r="H3985" s="23"/>
      <c r="I3985" s="23"/>
      <c r="J3985" s="23"/>
      <c r="K3985" s="23"/>
      <c r="L3985" s="23"/>
      <c r="M3985" s="23"/>
      <c r="N3985" s="23"/>
      <c r="O3985" s="23"/>
      <c r="P3985" s="23"/>
      <c r="Q3985" s="23"/>
      <c r="R3985" s="23"/>
      <c r="S3985" s="23"/>
      <c r="T3985" s="23"/>
      <c r="U3985" s="23"/>
    </row>
    <row r="3986">
      <c r="A3986" s="20"/>
      <c r="B3986" s="20"/>
      <c r="C3986" s="30"/>
      <c r="D3986" s="30"/>
      <c r="E3986" s="30"/>
      <c r="F3986" s="22"/>
      <c r="G3986" s="23"/>
      <c r="H3986" s="23"/>
      <c r="I3986" s="23"/>
      <c r="J3986" s="23"/>
      <c r="K3986" s="23"/>
      <c r="L3986" s="23"/>
      <c r="M3986" s="23"/>
      <c r="N3986" s="23"/>
      <c r="O3986" s="23"/>
      <c r="P3986" s="23"/>
      <c r="Q3986" s="23"/>
      <c r="R3986" s="23"/>
      <c r="S3986" s="23"/>
      <c r="T3986" s="23"/>
      <c r="U3986" s="23"/>
    </row>
    <row r="3987">
      <c r="A3987" s="20"/>
      <c r="B3987" s="20"/>
      <c r="C3987" s="30"/>
      <c r="D3987" s="30"/>
      <c r="E3987" s="30"/>
      <c r="F3987" s="22"/>
      <c r="G3987" s="23"/>
      <c r="H3987" s="23"/>
      <c r="I3987" s="23"/>
      <c r="J3987" s="23"/>
      <c r="K3987" s="23"/>
      <c r="L3987" s="23"/>
      <c r="M3987" s="23"/>
      <c r="N3987" s="23"/>
      <c r="O3987" s="23"/>
      <c r="P3987" s="23"/>
      <c r="Q3987" s="23"/>
      <c r="R3987" s="23"/>
      <c r="S3987" s="23"/>
      <c r="T3987" s="23"/>
      <c r="U3987" s="23"/>
    </row>
    <row r="3988">
      <c r="A3988" s="20"/>
      <c r="B3988" s="20"/>
      <c r="C3988" s="30"/>
      <c r="D3988" s="30"/>
      <c r="E3988" s="30"/>
      <c r="F3988" s="22"/>
      <c r="G3988" s="23"/>
      <c r="H3988" s="23"/>
      <c r="I3988" s="23"/>
      <c r="J3988" s="23"/>
      <c r="K3988" s="23"/>
      <c r="L3988" s="23"/>
      <c r="M3988" s="23"/>
      <c r="N3988" s="23"/>
      <c r="O3988" s="23"/>
      <c r="P3988" s="23"/>
      <c r="Q3988" s="23"/>
      <c r="R3988" s="23"/>
      <c r="S3988" s="23"/>
      <c r="T3988" s="23"/>
      <c r="U3988" s="23"/>
    </row>
    <row r="3989">
      <c r="A3989" s="20"/>
      <c r="B3989" s="20"/>
      <c r="C3989" s="30"/>
      <c r="D3989" s="30"/>
      <c r="E3989" s="30"/>
      <c r="F3989" s="22"/>
      <c r="G3989" s="23"/>
      <c r="H3989" s="23"/>
      <c r="I3989" s="23"/>
      <c r="J3989" s="23"/>
      <c r="K3989" s="23"/>
      <c r="L3989" s="23"/>
      <c r="M3989" s="23"/>
      <c r="N3989" s="23"/>
      <c r="O3989" s="23"/>
      <c r="P3989" s="23"/>
      <c r="Q3989" s="23"/>
      <c r="R3989" s="23"/>
      <c r="S3989" s="23"/>
      <c r="T3989" s="23"/>
      <c r="U3989" s="23"/>
    </row>
    <row r="3990">
      <c r="A3990" s="20"/>
      <c r="B3990" s="20"/>
      <c r="C3990" s="30"/>
      <c r="D3990" s="30"/>
      <c r="E3990" s="30"/>
      <c r="F3990" s="22"/>
      <c r="G3990" s="23"/>
      <c r="H3990" s="23"/>
      <c r="I3990" s="23"/>
      <c r="J3990" s="23"/>
      <c r="K3990" s="23"/>
      <c r="L3990" s="23"/>
      <c r="M3990" s="23"/>
      <c r="N3990" s="23"/>
      <c r="O3990" s="23"/>
      <c r="P3990" s="23"/>
      <c r="Q3990" s="23"/>
      <c r="R3990" s="23"/>
      <c r="S3990" s="23"/>
      <c r="T3990" s="23"/>
      <c r="U3990" s="23"/>
    </row>
    <row r="3991">
      <c r="A3991" s="20"/>
      <c r="B3991" s="20"/>
      <c r="C3991" s="30"/>
      <c r="D3991" s="30"/>
      <c r="E3991" s="30"/>
      <c r="F3991" s="22"/>
      <c r="G3991" s="23"/>
      <c r="H3991" s="23"/>
      <c r="I3991" s="23"/>
      <c r="J3991" s="23"/>
      <c r="K3991" s="23"/>
      <c r="L3991" s="23"/>
      <c r="M3991" s="23"/>
      <c r="N3991" s="23"/>
      <c r="O3991" s="23"/>
      <c r="P3991" s="23"/>
      <c r="Q3991" s="23"/>
      <c r="R3991" s="23"/>
      <c r="S3991" s="23"/>
      <c r="T3991" s="23"/>
      <c r="U3991" s="23"/>
    </row>
    <row r="3992">
      <c r="A3992" s="20"/>
      <c r="B3992" s="20"/>
      <c r="C3992" s="30"/>
      <c r="D3992" s="30"/>
      <c r="E3992" s="30"/>
      <c r="F3992" s="22"/>
      <c r="G3992" s="23"/>
      <c r="H3992" s="23"/>
      <c r="I3992" s="23"/>
      <c r="J3992" s="23"/>
      <c r="K3992" s="23"/>
      <c r="L3992" s="23"/>
      <c r="M3992" s="23"/>
      <c r="N3992" s="23"/>
      <c r="O3992" s="23"/>
      <c r="P3992" s="23"/>
      <c r="Q3992" s="23"/>
      <c r="R3992" s="23"/>
      <c r="S3992" s="23"/>
      <c r="T3992" s="23"/>
      <c r="U3992" s="23"/>
    </row>
    <row r="3993">
      <c r="A3993" s="20"/>
      <c r="B3993" s="20"/>
      <c r="C3993" s="30"/>
      <c r="D3993" s="30"/>
      <c r="E3993" s="30"/>
      <c r="F3993" s="22"/>
      <c r="G3993" s="23"/>
      <c r="H3993" s="23"/>
      <c r="I3993" s="23"/>
      <c r="J3993" s="23"/>
      <c r="K3993" s="23"/>
      <c r="L3993" s="23"/>
      <c r="M3993" s="23"/>
      <c r="N3993" s="23"/>
      <c r="O3993" s="23"/>
      <c r="P3993" s="23"/>
      <c r="Q3993" s="23"/>
      <c r="R3993" s="23"/>
      <c r="S3993" s="23"/>
      <c r="T3993" s="23"/>
      <c r="U3993" s="23"/>
    </row>
    <row r="3994">
      <c r="A3994" s="20"/>
      <c r="B3994" s="20"/>
      <c r="C3994" s="30"/>
      <c r="D3994" s="30"/>
      <c r="E3994" s="30"/>
      <c r="F3994" s="22"/>
      <c r="G3994" s="23"/>
      <c r="H3994" s="23"/>
      <c r="I3994" s="23"/>
      <c r="J3994" s="23"/>
      <c r="K3994" s="23"/>
      <c r="L3994" s="23"/>
      <c r="M3994" s="23"/>
      <c r="N3994" s="23"/>
      <c r="O3994" s="23"/>
      <c r="P3994" s="23"/>
      <c r="Q3994" s="23"/>
      <c r="R3994" s="23"/>
      <c r="S3994" s="23"/>
      <c r="T3994" s="23"/>
      <c r="U3994" s="23"/>
    </row>
    <row r="3995">
      <c r="A3995" s="20"/>
      <c r="B3995" s="20"/>
      <c r="C3995" s="30"/>
      <c r="D3995" s="30"/>
      <c r="E3995" s="30"/>
      <c r="F3995" s="22"/>
      <c r="G3995" s="23"/>
      <c r="H3995" s="23"/>
      <c r="I3995" s="23"/>
      <c r="J3995" s="23"/>
      <c r="K3995" s="23"/>
      <c r="L3995" s="23"/>
      <c r="M3995" s="23"/>
      <c r="N3995" s="23"/>
      <c r="O3995" s="23"/>
      <c r="P3995" s="23"/>
      <c r="Q3995" s="23"/>
      <c r="R3995" s="23"/>
      <c r="S3995" s="23"/>
      <c r="T3995" s="23"/>
      <c r="U3995" s="23"/>
    </row>
    <row r="3996">
      <c r="A3996" s="20"/>
      <c r="B3996" s="20"/>
      <c r="C3996" s="30"/>
      <c r="D3996" s="30"/>
      <c r="E3996" s="30"/>
      <c r="F3996" s="22"/>
      <c r="G3996" s="23"/>
      <c r="H3996" s="23"/>
      <c r="I3996" s="23"/>
      <c r="J3996" s="23"/>
      <c r="K3996" s="23"/>
      <c r="L3996" s="23"/>
      <c r="M3996" s="23"/>
      <c r="N3996" s="23"/>
      <c r="O3996" s="23"/>
      <c r="P3996" s="23"/>
      <c r="Q3996" s="23"/>
      <c r="R3996" s="23"/>
      <c r="S3996" s="23"/>
      <c r="T3996" s="23"/>
      <c r="U3996" s="23"/>
    </row>
    <row r="3997">
      <c r="A3997" s="20"/>
      <c r="B3997" s="20"/>
      <c r="C3997" s="30"/>
      <c r="D3997" s="30"/>
      <c r="E3997" s="30"/>
      <c r="F3997" s="22"/>
      <c r="G3997" s="23"/>
      <c r="H3997" s="23"/>
      <c r="I3997" s="23"/>
      <c r="J3997" s="23"/>
      <c r="K3997" s="23"/>
      <c r="L3997" s="23"/>
      <c r="M3997" s="23"/>
      <c r="N3997" s="23"/>
      <c r="O3997" s="23"/>
      <c r="P3997" s="23"/>
      <c r="Q3997" s="23"/>
      <c r="R3997" s="23"/>
      <c r="S3997" s="23"/>
      <c r="T3997" s="23"/>
      <c r="U3997" s="23"/>
    </row>
    <row r="3998">
      <c r="A3998" s="20"/>
      <c r="B3998" s="20"/>
      <c r="C3998" s="30"/>
      <c r="D3998" s="30"/>
      <c r="E3998" s="30"/>
      <c r="F3998" s="22"/>
      <c r="G3998" s="23"/>
      <c r="H3998" s="23"/>
      <c r="I3998" s="23"/>
      <c r="J3998" s="23"/>
      <c r="K3998" s="23"/>
      <c r="L3998" s="23"/>
      <c r="M3998" s="23"/>
      <c r="N3998" s="23"/>
      <c r="O3998" s="23"/>
      <c r="P3998" s="23"/>
      <c r="Q3998" s="23"/>
      <c r="R3998" s="23"/>
      <c r="S3998" s="23"/>
      <c r="T3998" s="23"/>
      <c r="U3998" s="23"/>
    </row>
    <row r="3999">
      <c r="A3999" s="20"/>
      <c r="B3999" s="20"/>
      <c r="C3999" s="30"/>
      <c r="D3999" s="30"/>
      <c r="E3999" s="30"/>
      <c r="F3999" s="22"/>
      <c r="G3999" s="23"/>
      <c r="H3999" s="23"/>
      <c r="I3999" s="23"/>
      <c r="J3999" s="23"/>
      <c r="K3999" s="23"/>
      <c r="L3999" s="23"/>
      <c r="M3999" s="23"/>
      <c r="N3999" s="23"/>
      <c r="O3999" s="23"/>
      <c r="P3999" s="23"/>
      <c r="Q3999" s="23"/>
      <c r="R3999" s="23"/>
      <c r="S3999" s="23"/>
      <c r="T3999" s="23"/>
      <c r="U3999" s="23"/>
    </row>
    <row r="4000">
      <c r="A4000" s="20"/>
      <c r="B4000" s="20"/>
      <c r="C4000" s="30"/>
      <c r="D4000" s="30"/>
      <c r="E4000" s="30"/>
      <c r="F4000" s="22"/>
      <c r="G4000" s="23"/>
      <c r="H4000" s="23"/>
      <c r="I4000" s="23"/>
      <c r="J4000" s="23"/>
      <c r="K4000" s="23"/>
      <c r="L4000" s="23"/>
      <c r="M4000" s="23"/>
      <c r="N4000" s="23"/>
      <c r="O4000" s="23"/>
      <c r="P4000" s="23"/>
      <c r="Q4000" s="23"/>
      <c r="R4000" s="23"/>
      <c r="S4000" s="23"/>
      <c r="T4000" s="23"/>
      <c r="U4000" s="23"/>
    </row>
    <row r="4001">
      <c r="A4001" s="20"/>
      <c r="B4001" s="20"/>
      <c r="C4001" s="30"/>
      <c r="D4001" s="30"/>
      <c r="E4001" s="30"/>
      <c r="F4001" s="22"/>
      <c r="G4001" s="23"/>
      <c r="H4001" s="23"/>
      <c r="I4001" s="23"/>
      <c r="J4001" s="23"/>
      <c r="K4001" s="23"/>
      <c r="L4001" s="23"/>
      <c r="M4001" s="23"/>
      <c r="N4001" s="23"/>
      <c r="O4001" s="23"/>
      <c r="P4001" s="23"/>
      <c r="Q4001" s="23"/>
      <c r="R4001" s="23"/>
      <c r="S4001" s="23"/>
      <c r="T4001" s="23"/>
      <c r="U4001" s="23"/>
    </row>
    <row r="4002">
      <c r="A4002" s="20"/>
      <c r="B4002" s="20"/>
      <c r="C4002" s="30"/>
      <c r="D4002" s="30"/>
      <c r="E4002" s="30"/>
      <c r="F4002" s="22"/>
      <c r="G4002" s="23"/>
      <c r="H4002" s="23"/>
      <c r="I4002" s="23"/>
      <c r="J4002" s="23"/>
      <c r="K4002" s="23"/>
      <c r="L4002" s="23"/>
      <c r="M4002" s="23"/>
      <c r="N4002" s="23"/>
      <c r="O4002" s="23"/>
      <c r="P4002" s="23"/>
      <c r="Q4002" s="23"/>
      <c r="R4002" s="23"/>
      <c r="S4002" s="23"/>
      <c r="T4002" s="23"/>
      <c r="U4002" s="23"/>
    </row>
    <row r="4003">
      <c r="A4003" s="20"/>
      <c r="B4003" s="20"/>
      <c r="C4003" s="30"/>
      <c r="D4003" s="30"/>
      <c r="E4003" s="30"/>
      <c r="F4003" s="22"/>
      <c r="G4003" s="23"/>
      <c r="H4003" s="23"/>
      <c r="I4003" s="23"/>
      <c r="J4003" s="23"/>
      <c r="K4003" s="23"/>
      <c r="L4003" s="23"/>
      <c r="M4003" s="23"/>
      <c r="N4003" s="23"/>
      <c r="O4003" s="23"/>
      <c r="P4003" s="23"/>
      <c r="Q4003" s="23"/>
      <c r="R4003" s="23"/>
      <c r="S4003" s="23"/>
      <c r="T4003" s="23"/>
      <c r="U4003" s="23"/>
    </row>
    <row r="4004">
      <c r="A4004" s="20"/>
      <c r="B4004" s="20"/>
      <c r="C4004" s="30"/>
      <c r="D4004" s="30"/>
      <c r="E4004" s="30"/>
      <c r="F4004" s="22"/>
      <c r="G4004" s="23"/>
      <c r="H4004" s="23"/>
      <c r="I4004" s="23"/>
      <c r="J4004" s="23"/>
      <c r="K4004" s="23"/>
      <c r="L4004" s="23"/>
      <c r="M4004" s="23"/>
      <c r="N4004" s="23"/>
      <c r="O4004" s="23"/>
      <c r="P4004" s="23"/>
      <c r="Q4004" s="23"/>
      <c r="R4004" s="23"/>
      <c r="S4004" s="23"/>
      <c r="T4004" s="23"/>
      <c r="U4004" s="23"/>
    </row>
    <row r="4005">
      <c r="A4005" s="20"/>
      <c r="B4005" s="20"/>
      <c r="C4005" s="30"/>
      <c r="D4005" s="30"/>
      <c r="E4005" s="30"/>
      <c r="F4005" s="22"/>
      <c r="G4005" s="23"/>
      <c r="H4005" s="23"/>
      <c r="I4005" s="23"/>
      <c r="J4005" s="23"/>
      <c r="K4005" s="23"/>
      <c r="L4005" s="23"/>
      <c r="M4005" s="23"/>
      <c r="N4005" s="23"/>
      <c r="O4005" s="23"/>
      <c r="P4005" s="23"/>
      <c r="Q4005" s="23"/>
      <c r="R4005" s="23"/>
      <c r="S4005" s="23"/>
      <c r="T4005" s="23"/>
      <c r="U4005" s="23"/>
    </row>
    <row r="4006">
      <c r="A4006" s="20"/>
      <c r="B4006" s="20"/>
      <c r="C4006" s="30"/>
      <c r="D4006" s="30"/>
      <c r="E4006" s="30"/>
      <c r="F4006" s="22"/>
      <c r="G4006" s="23"/>
      <c r="H4006" s="23"/>
      <c r="I4006" s="23"/>
      <c r="J4006" s="23"/>
      <c r="K4006" s="23"/>
      <c r="L4006" s="23"/>
      <c r="M4006" s="23"/>
      <c r="N4006" s="23"/>
      <c r="O4006" s="23"/>
      <c r="P4006" s="23"/>
      <c r="Q4006" s="23"/>
      <c r="R4006" s="23"/>
      <c r="S4006" s="23"/>
      <c r="T4006" s="23"/>
      <c r="U4006" s="23"/>
    </row>
    <row r="4007">
      <c r="A4007" s="20"/>
      <c r="B4007" s="20"/>
      <c r="C4007" s="30"/>
      <c r="D4007" s="30"/>
      <c r="E4007" s="30"/>
      <c r="F4007" s="22"/>
      <c r="G4007" s="23"/>
      <c r="H4007" s="23"/>
      <c r="I4007" s="23"/>
      <c r="J4007" s="23"/>
      <c r="K4007" s="23"/>
      <c r="L4007" s="23"/>
      <c r="M4007" s="23"/>
      <c r="N4007" s="23"/>
      <c r="O4007" s="23"/>
      <c r="P4007" s="23"/>
      <c r="Q4007" s="23"/>
      <c r="R4007" s="23"/>
      <c r="S4007" s="23"/>
      <c r="T4007" s="23"/>
      <c r="U4007" s="23"/>
    </row>
    <row r="4008">
      <c r="A4008" s="20"/>
      <c r="B4008" s="20"/>
      <c r="C4008" s="30"/>
      <c r="D4008" s="30"/>
      <c r="E4008" s="30"/>
      <c r="F4008" s="22"/>
      <c r="G4008" s="23"/>
      <c r="H4008" s="23"/>
      <c r="I4008" s="23"/>
      <c r="J4008" s="23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</row>
    <row r="4009">
      <c r="A4009" s="20"/>
      <c r="B4009" s="20"/>
      <c r="C4009" s="30"/>
      <c r="D4009" s="30"/>
      <c r="E4009" s="30"/>
      <c r="F4009" s="22"/>
      <c r="G4009" s="23"/>
      <c r="H4009" s="23"/>
      <c r="I4009" s="23"/>
      <c r="J4009" s="23"/>
      <c r="K4009" s="23"/>
      <c r="L4009" s="23"/>
      <c r="M4009" s="23"/>
      <c r="N4009" s="23"/>
      <c r="O4009" s="23"/>
      <c r="P4009" s="23"/>
      <c r="Q4009" s="23"/>
      <c r="R4009" s="23"/>
      <c r="S4009" s="23"/>
      <c r="T4009" s="23"/>
      <c r="U4009" s="23"/>
    </row>
    <row r="4010">
      <c r="A4010" s="20"/>
      <c r="B4010" s="20"/>
      <c r="C4010" s="30"/>
      <c r="D4010" s="30"/>
      <c r="E4010" s="30"/>
      <c r="F4010" s="22"/>
      <c r="G4010" s="23"/>
      <c r="H4010" s="23"/>
      <c r="I4010" s="23"/>
      <c r="J4010" s="23"/>
      <c r="K4010" s="23"/>
      <c r="L4010" s="23"/>
      <c r="M4010" s="23"/>
      <c r="N4010" s="23"/>
      <c r="O4010" s="23"/>
      <c r="P4010" s="23"/>
      <c r="Q4010" s="23"/>
      <c r="R4010" s="23"/>
      <c r="S4010" s="23"/>
      <c r="T4010" s="23"/>
      <c r="U4010" s="23"/>
    </row>
    <row r="4011">
      <c r="A4011" s="20"/>
      <c r="B4011" s="20"/>
      <c r="C4011" s="30"/>
      <c r="D4011" s="30"/>
      <c r="E4011" s="30"/>
      <c r="F4011" s="22"/>
      <c r="G4011" s="23"/>
      <c r="H4011" s="23"/>
      <c r="I4011" s="23"/>
      <c r="J4011" s="23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</row>
    <row r="4012">
      <c r="A4012" s="20"/>
      <c r="B4012" s="20"/>
      <c r="C4012" s="30"/>
      <c r="D4012" s="30"/>
      <c r="E4012" s="30"/>
      <c r="F4012" s="22"/>
      <c r="G4012" s="23"/>
      <c r="H4012" s="23"/>
      <c r="I4012" s="23"/>
      <c r="J4012" s="23"/>
      <c r="K4012" s="23"/>
      <c r="L4012" s="23"/>
      <c r="M4012" s="23"/>
      <c r="N4012" s="23"/>
      <c r="O4012" s="23"/>
      <c r="P4012" s="23"/>
      <c r="Q4012" s="23"/>
      <c r="R4012" s="23"/>
      <c r="S4012" s="23"/>
      <c r="T4012" s="23"/>
      <c r="U4012" s="23"/>
    </row>
    <row r="4013">
      <c r="A4013" s="20"/>
      <c r="B4013" s="20"/>
      <c r="C4013" s="30"/>
      <c r="D4013" s="30"/>
      <c r="E4013" s="30"/>
      <c r="F4013" s="22"/>
      <c r="G4013" s="23"/>
      <c r="H4013" s="23"/>
      <c r="I4013" s="23"/>
      <c r="J4013" s="23"/>
      <c r="K4013" s="23"/>
      <c r="L4013" s="23"/>
      <c r="M4013" s="23"/>
      <c r="N4013" s="23"/>
      <c r="O4013" s="23"/>
      <c r="P4013" s="23"/>
      <c r="Q4013" s="23"/>
      <c r="R4013" s="23"/>
      <c r="S4013" s="23"/>
      <c r="T4013" s="23"/>
      <c r="U4013" s="23"/>
    </row>
    <row r="4014">
      <c r="A4014" s="20"/>
      <c r="B4014" s="20"/>
      <c r="C4014" s="30"/>
      <c r="D4014" s="30"/>
      <c r="E4014" s="30"/>
      <c r="F4014" s="22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</row>
    <row r="4015">
      <c r="A4015" s="20"/>
      <c r="B4015" s="20"/>
      <c r="C4015" s="30"/>
      <c r="D4015" s="30"/>
      <c r="E4015" s="30"/>
      <c r="F4015" s="22"/>
      <c r="G4015" s="23"/>
      <c r="H4015" s="23"/>
      <c r="I4015" s="23"/>
      <c r="J4015" s="23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</row>
    <row r="4016">
      <c r="A4016" s="20"/>
      <c r="B4016" s="20"/>
      <c r="C4016" s="30"/>
      <c r="D4016" s="30"/>
      <c r="E4016" s="30"/>
      <c r="F4016" s="22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</row>
    <row r="4017">
      <c r="A4017" s="20"/>
      <c r="B4017" s="20"/>
      <c r="C4017" s="30"/>
      <c r="D4017" s="30"/>
      <c r="E4017" s="30"/>
      <c r="F4017" s="22"/>
      <c r="G4017" s="23"/>
      <c r="H4017" s="23"/>
      <c r="I4017" s="23"/>
      <c r="J4017" s="23"/>
      <c r="K4017" s="23"/>
      <c r="L4017" s="23"/>
      <c r="M4017" s="23"/>
      <c r="N4017" s="23"/>
      <c r="O4017" s="23"/>
      <c r="P4017" s="23"/>
      <c r="Q4017" s="23"/>
      <c r="R4017" s="23"/>
      <c r="S4017" s="23"/>
      <c r="T4017" s="23"/>
      <c r="U4017" s="23"/>
    </row>
    <row r="4018">
      <c r="A4018" s="20"/>
      <c r="B4018" s="20"/>
      <c r="C4018" s="30"/>
      <c r="D4018" s="30"/>
      <c r="E4018" s="30"/>
      <c r="F4018" s="22"/>
      <c r="G4018" s="23"/>
      <c r="H4018" s="23"/>
      <c r="I4018" s="23"/>
      <c r="J4018" s="23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</row>
    <row r="4019">
      <c r="A4019" s="20"/>
      <c r="B4019" s="20"/>
      <c r="C4019" s="30"/>
      <c r="D4019" s="30"/>
      <c r="E4019" s="30"/>
      <c r="F4019" s="22"/>
      <c r="G4019" s="23"/>
      <c r="H4019" s="23"/>
      <c r="I4019" s="23"/>
      <c r="J4019" s="23"/>
      <c r="K4019" s="23"/>
      <c r="L4019" s="23"/>
      <c r="M4019" s="23"/>
      <c r="N4019" s="23"/>
      <c r="O4019" s="23"/>
      <c r="P4019" s="23"/>
      <c r="Q4019" s="23"/>
      <c r="R4019" s="23"/>
      <c r="S4019" s="23"/>
      <c r="T4019" s="23"/>
      <c r="U4019" s="23"/>
    </row>
    <row r="4020">
      <c r="A4020" s="20"/>
      <c r="B4020" s="20"/>
      <c r="C4020" s="30"/>
      <c r="D4020" s="30"/>
      <c r="E4020" s="30"/>
      <c r="F4020" s="22"/>
      <c r="G4020" s="23"/>
      <c r="H4020" s="23"/>
      <c r="I4020" s="23"/>
      <c r="J4020" s="23"/>
      <c r="K4020" s="23"/>
      <c r="L4020" s="23"/>
      <c r="M4020" s="23"/>
      <c r="N4020" s="23"/>
      <c r="O4020" s="23"/>
      <c r="P4020" s="23"/>
      <c r="Q4020" s="23"/>
      <c r="R4020" s="23"/>
      <c r="S4020" s="23"/>
      <c r="T4020" s="23"/>
      <c r="U4020" s="23"/>
    </row>
    <row r="4021">
      <c r="A4021" s="20"/>
      <c r="B4021" s="20"/>
      <c r="C4021" s="30"/>
      <c r="D4021" s="30"/>
      <c r="E4021" s="30"/>
      <c r="F4021" s="22"/>
      <c r="G4021" s="23"/>
      <c r="H4021" s="23"/>
      <c r="I4021" s="23"/>
      <c r="J4021" s="23"/>
      <c r="K4021" s="23"/>
      <c r="L4021" s="23"/>
      <c r="M4021" s="23"/>
      <c r="N4021" s="23"/>
      <c r="O4021" s="23"/>
      <c r="P4021" s="23"/>
      <c r="Q4021" s="23"/>
      <c r="R4021" s="23"/>
      <c r="S4021" s="23"/>
      <c r="T4021" s="23"/>
      <c r="U4021" s="23"/>
    </row>
    <row r="4022">
      <c r="A4022" s="20"/>
      <c r="B4022" s="20"/>
      <c r="C4022" s="30"/>
      <c r="D4022" s="30"/>
      <c r="E4022" s="30"/>
      <c r="F4022" s="22"/>
      <c r="G4022" s="23"/>
      <c r="H4022" s="23"/>
      <c r="I4022" s="23"/>
      <c r="J4022" s="23"/>
      <c r="K4022" s="23"/>
      <c r="L4022" s="23"/>
      <c r="M4022" s="23"/>
      <c r="N4022" s="23"/>
      <c r="O4022" s="23"/>
      <c r="P4022" s="23"/>
      <c r="Q4022" s="23"/>
      <c r="R4022" s="23"/>
      <c r="S4022" s="23"/>
      <c r="T4022" s="23"/>
      <c r="U4022" s="23"/>
    </row>
    <row r="4023">
      <c r="A4023" s="20"/>
      <c r="B4023" s="20"/>
      <c r="C4023" s="30"/>
      <c r="D4023" s="30"/>
      <c r="E4023" s="30"/>
      <c r="F4023" s="22"/>
      <c r="G4023" s="23"/>
      <c r="H4023" s="23"/>
      <c r="I4023" s="23"/>
      <c r="J4023" s="23"/>
      <c r="K4023" s="23"/>
      <c r="L4023" s="23"/>
      <c r="M4023" s="23"/>
      <c r="N4023" s="23"/>
      <c r="O4023" s="23"/>
      <c r="P4023" s="23"/>
      <c r="Q4023" s="23"/>
      <c r="R4023" s="23"/>
      <c r="S4023" s="23"/>
      <c r="T4023" s="23"/>
      <c r="U4023" s="23"/>
    </row>
    <row r="4024">
      <c r="A4024" s="20"/>
      <c r="B4024" s="20"/>
      <c r="C4024" s="30"/>
      <c r="D4024" s="30"/>
      <c r="E4024" s="30"/>
      <c r="F4024" s="22"/>
      <c r="G4024" s="23"/>
      <c r="H4024" s="23"/>
      <c r="I4024" s="23"/>
      <c r="J4024" s="23"/>
      <c r="K4024" s="23"/>
      <c r="L4024" s="23"/>
      <c r="M4024" s="23"/>
      <c r="N4024" s="23"/>
      <c r="O4024" s="23"/>
      <c r="P4024" s="23"/>
      <c r="Q4024" s="23"/>
      <c r="R4024" s="23"/>
      <c r="S4024" s="23"/>
      <c r="T4024" s="23"/>
      <c r="U4024" s="23"/>
    </row>
    <row r="4025">
      <c r="A4025" s="20"/>
      <c r="B4025" s="20"/>
      <c r="C4025" s="30"/>
      <c r="D4025" s="30"/>
      <c r="E4025" s="30"/>
      <c r="F4025" s="22"/>
      <c r="G4025" s="23"/>
      <c r="H4025" s="23"/>
      <c r="I4025" s="23"/>
      <c r="J4025" s="23"/>
      <c r="K4025" s="23"/>
      <c r="L4025" s="23"/>
      <c r="M4025" s="23"/>
      <c r="N4025" s="23"/>
      <c r="O4025" s="23"/>
      <c r="P4025" s="23"/>
      <c r="Q4025" s="23"/>
      <c r="R4025" s="23"/>
      <c r="S4025" s="23"/>
      <c r="T4025" s="23"/>
      <c r="U4025" s="23"/>
    </row>
    <row r="4026">
      <c r="A4026" s="20"/>
      <c r="B4026" s="20"/>
      <c r="C4026" s="30"/>
      <c r="D4026" s="30"/>
      <c r="E4026" s="30"/>
      <c r="F4026" s="22"/>
      <c r="G4026" s="23"/>
      <c r="H4026" s="23"/>
      <c r="I4026" s="23"/>
      <c r="J4026" s="23"/>
      <c r="K4026" s="23"/>
      <c r="L4026" s="23"/>
      <c r="M4026" s="23"/>
      <c r="N4026" s="23"/>
      <c r="O4026" s="23"/>
      <c r="P4026" s="23"/>
      <c r="Q4026" s="23"/>
      <c r="R4026" s="23"/>
      <c r="S4026" s="23"/>
      <c r="T4026" s="23"/>
      <c r="U4026" s="23"/>
    </row>
    <row r="4027">
      <c r="A4027" s="20"/>
      <c r="B4027" s="20"/>
      <c r="C4027" s="30"/>
      <c r="D4027" s="30"/>
      <c r="E4027" s="30"/>
      <c r="F4027" s="22"/>
      <c r="G4027" s="23"/>
      <c r="H4027" s="23"/>
      <c r="I4027" s="23"/>
      <c r="J4027" s="23"/>
      <c r="K4027" s="23"/>
      <c r="L4027" s="23"/>
      <c r="M4027" s="23"/>
      <c r="N4027" s="23"/>
      <c r="O4027" s="23"/>
      <c r="P4027" s="23"/>
      <c r="Q4027" s="23"/>
      <c r="R4027" s="23"/>
      <c r="S4027" s="23"/>
      <c r="T4027" s="23"/>
      <c r="U4027" s="23"/>
    </row>
    <row r="4028">
      <c r="A4028" s="20"/>
      <c r="B4028" s="20"/>
      <c r="C4028" s="30"/>
      <c r="D4028" s="30"/>
      <c r="E4028" s="30"/>
      <c r="F4028" s="22"/>
      <c r="G4028" s="23"/>
      <c r="H4028" s="23"/>
      <c r="I4028" s="23"/>
      <c r="J4028" s="23"/>
      <c r="K4028" s="23"/>
      <c r="L4028" s="23"/>
      <c r="M4028" s="23"/>
      <c r="N4028" s="23"/>
      <c r="O4028" s="23"/>
      <c r="P4028" s="23"/>
      <c r="Q4028" s="23"/>
      <c r="R4028" s="23"/>
      <c r="S4028" s="23"/>
      <c r="T4028" s="23"/>
      <c r="U4028" s="23"/>
    </row>
    <row r="4029">
      <c r="A4029" s="20"/>
      <c r="B4029" s="20"/>
      <c r="C4029" s="30"/>
      <c r="D4029" s="30"/>
      <c r="E4029" s="30"/>
      <c r="F4029" s="22"/>
      <c r="G4029" s="23"/>
      <c r="H4029" s="23"/>
      <c r="I4029" s="23"/>
      <c r="J4029" s="23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</row>
    <row r="4030">
      <c r="A4030" s="20"/>
      <c r="B4030" s="20"/>
      <c r="C4030" s="30"/>
      <c r="D4030" s="30"/>
      <c r="E4030" s="30"/>
      <c r="F4030" s="22"/>
      <c r="G4030" s="23"/>
      <c r="H4030" s="23"/>
      <c r="I4030" s="23"/>
      <c r="J4030" s="23"/>
      <c r="K4030" s="23"/>
      <c r="L4030" s="23"/>
      <c r="M4030" s="23"/>
      <c r="N4030" s="23"/>
      <c r="O4030" s="23"/>
      <c r="P4030" s="23"/>
      <c r="Q4030" s="23"/>
      <c r="R4030" s="23"/>
      <c r="S4030" s="23"/>
      <c r="T4030" s="23"/>
      <c r="U4030" s="23"/>
    </row>
    <row r="4031">
      <c r="A4031" s="20"/>
      <c r="B4031" s="20"/>
      <c r="C4031" s="30"/>
      <c r="D4031" s="30"/>
      <c r="E4031" s="30"/>
      <c r="F4031" s="22"/>
      <c r="G4031" s="23"/>
      <c r="H4031" s="23"/>
      <c r="I4031" s="23"/>
      <c r="J4031" s="23"/>
      <c r="K4031" s="23"/>
      <c r="L4031" s="23"/>
      <c r="M4031" s="23"/>
      <c r="N4031" s="23"/>
      <c r="O4031" s="23"/>
      <c r="P4031" s="23"/>
      <c r="Q4031" s="23"/>
      <c r="R4031" s="23"/>
      <c r="S4031" s="23"/>
      <c r="T4031" s="23"/>
      <c r="U4031" s="23"/>
    </row>
    <row r="4032">
      <c r="A4032" s="20"/>
      <c r="B4032" s="20"/>
      <c r="C4032" s="30"/>
      <c r="D4032" s="30"/>
      <c r="E4032" s="30"/>
      <c r="F4032" s="22"/>
      <c r="G4032" s="23"/>
      <c r="H4032" s="23"/>
      <c r="I4032" s="23"/>
      <c r="J4032" s="23"/>
      <c r="K4032" s="23"/>
      <c r="L4032" s="23"/>
      <c r="M4032" s="23"/>
      <c r="N4032" s="23"/>
      <c r="O4032" s="23"/>
      <c r="P4032" s="23"/>
      <c r="Q4032" s="23"/>
      <c r="R4032" s="23"/>
      <c r="S4032" s="23"/>
      <c r="T4032" s="23"/>
      <c r="U4032" s="23"/>
    </row>
    <row r="4033">
      <c r="A4033" s="20"/>
      <c r="B4033" s="20"/>
      <c r="C4033" s="30"/>
      <c r="D4033" s="30"/>
      <c r="E4033" s="30"/>
      <c r="F4033" s="22"/>
      <c r="G4033" s="23"/>
      <c r="H4033" s="23"/>
      <c r="I4033" s="23"/>
      <c r="J4033" s="23"/>
      <c r="K4033" s="23"/>
      <c r="L4033" s="23"/>
      <c r="M4033" s="23"/>
      <c r="N4033" s="23"/>
      <c r="O4033" s="23"/>
      <c r="P4033" s="23"/>
      <c r="Q4033" s="23"/>
      <c r="R4033" s="23"/>
      <c r="S4033" s="23"/>
      <c r="T4033" s="23"/>
      <c r="U4033" s="23"/>
    </row>
    <row r="4034">
      <c r="A4034" s="20"/>
      <c r="B4034" s="20"/>
      <c r="C4034" s="30"/>
      <c r="D4034" s="30"/>
      <c r="E4034" s="30"/>
      <c r="F4034" s="22"/>
      <c r="G4034" s="23"/>
      <c r="H4034" s="23"/>
      <c r="I4034" s="23"/>
      <c r="J4034" s="23"/>
      <c r="K4034" s="23"/>
      <c r="L4034" s="23"/>
      <c r="M4034" s="23"/>
      <c r="N4034" s="23"/>
      <c r="O4034" s="23"/>
      <c r="P4034" s="23"/>
      <c r="Q4034" s="23"/>
      <c r="R4034" s="23"/>
      <c r="S4034" s="23"/>
      <c r="T4034" s="23"/>
      <c r="U4034" s="23"/>
    </row>
    <row r="4035">
      <c r="A4035" s="20"/>
      <c r="B4035" s="20"/>
      <c r="C4035" s="30"/>
      <c r="D4035" s="30"/>
      <c r="E4035" s="30"/>
      <c r="F4035" s="22"/>
      <c r="G4035" s="23"/>
      <c r="H4035" s="23"/>
      <c r="I4035" s="23"/>
      <c r="J4035" s="23"/>
      <c r="K4035" s="23"/>
      <c r="L4035" s="23"/>
      <c r="M4035" s="23"/>
      <c r="N4035" s="23"/>
      <c r="O4035" s="23"/>
      <c r="P4035" s="23"/>
      <c r="Q4035" s="23"/>
      <c r="R4035" s="23"/>
      <c r="S4035" s="23"/>
      <c r="T4035" s="23"/>
      <c r="U4035" s="23"/>
    </row>
    <row r="4036">
      <c r="A4036" s="20"/>
      <c r="B4036" s="20"/>
      <c r="C4036" s="30"/>
      <c r="D4036" s="30"/>
      <c r="E4036" s="30"/>
      <c r="F4036" s="22"/>
      <c r="G4036" s="23"/>
      <c r="H4036" s="23"/>
      <c r="I4036" s="23"/>
      <c r="J4036" s="23"/>
      <c r="K4036" s="23"/>
      <c r="L4036" s="23"/>
      <c r="M4036" s="23"/>
      <c r="N4036" s="23"/>
      <c r="O4036" s="23"/>
      <c r="P4036" s="23"/>
      <c r="Q4036" s="23"/>
      <c r="R4036" s="23"/>
      <c r="S4036" s="23"/>
      <c r="T4036" s="23"/>
      <c r="U4036" s="23"/>
    </row>
    <row r="4037">
      <c r="A4037" s="20"/>
      <c r="B4037" s="20"/>
      <c r="C4037" s="30"/>
      <c r="D4037" s="30"/>
      <c r="E4037" s="30"/>
      <c r="F4037" s="22"/>
      <c r="G4037" s="23"/>
      <c r="H4037" s="23"/>
      <c r="I4037" s="23"/>
      <c r="J4037" s="23"/>
      <c r="K4037" s="23"/>
      <c r="L4037" s="23"/>
      <c r="M4037" s="23"/>
      <c r="N4037" s="23"/>
      <c r="O4037" s="23"/>
      <c r="P4037" s="23"/>
      <c r="Q4037" s="23"/>
      <c r="R4037" s="23"/>
      <c r="S4037" s="23"/>
      <c r="T4037" s="23"/>
      <c r="U4037" s="23"/>
    </row>
    <row r="4038">
      <c r="A4038" s="20"/>
      <c r="B4038" s="20"/>
      <c r="C4038" s="30"/>
      <c r="D4038" s="30"/>
      <c r="E4038" s="30"/>
      <c r="F4038" s="22"/>
      <c r="G4038" s="23"/>
      <c r="H4038" s="23"/>
      <c r="I4038" s="23"/>
      <c r="J4038" s="23"/>
      <c r="K4038" s="23"/>
      <c r="L4038" s="23"/>
      <c r="M4038" s="23"/>
      <c r="N4038" s="23"/>
      <c r="O4038" s="23"/>
      <c r="P4038" s="23"/>
      <c r="Q4038" s="23"/>
      <c r="R4038" s="23"/>
      <c r="S4038" s="23"/>
      <c r="T4038" s="23"/>
      <c r="U4038" s="23"/>
    </row>
    <row r="4039">
      <c r="A4039" s="20"/>
      <c r="B4039" s="20"/>
      <c r="C4039" s="30"/>
      <c r="D4039" s="30"/>
      <c r="E4039" s="30"/>
      <c r="F4039" s="22"/>
      <c r="G4039" s="23"/>
      <c r="H4039" s="23"/>
      <c r="I4039" s="23"/>
      <c r="J4039" s="23"/>
      <c r="K4039" s="23"/>
      <c r="L4039" s="23"/>
      <c r="M4039" s="23"/>
      <c r="N4039" s="23"/>
      <c r="O4039" s="23"/>
      <c r="P4039" s="23"/>
      <c r="Q4039" s="23"/>
      <c r="R4039" s="23"/>
      <c r="S4039" s="23"/>
      <c r="T4039" s="23"/>
      <c r="U4039" s="23"/>
    </row>
    <row r="4040">
      <c r="A4040" s="20"/>
      <c r="B4040" s="20"/>
      <c r="C4040" s="30"/>
      <c r="D4040" s="30"/>
      <c r="E4040" s="30"/>
      <c r="F4040" s="22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</row>
    <row r="4041">
      <c r="A4041" s="20"/>
      <c r="B4041" s="20"/>
      <c r="C4041" s="30"/>
      <c r="D4041" s="30"/>
      <c r="E4041" s="30"/>
      <c r="F4041" s="22"/>
      <c r="G4041" s="23"/>
      <c r="H4041" s="23"/>
      <c r="I4041" s="23"/>
      <c r="J4041" s="23"/>
      <c r="K4041" s="23"/>
      <c r="L4041" s="23"/>
      <c r="M4041" s="23"/>
      <c r="N4041" s="23"/>
      <c r="O4041" s="23"/>
      <c r="P4041" s="23"/>
      <c r="Q4041" s="23"/>
      <c r="R4041" s="23"/>
      <c r="S4041" s="23"/>
      <c r="T4041" s="23"/>
      <c r="U4041" s="23"/>
    </row>
    <row r="4042">
      <c r="A4042" s="20"/>
      <c r="B4042" s="20"/>
      <c r="C4042" s="30"/>
      <c r="D4042" s="30"/>
      <c r="E4042" s="30"/>
      <c r="F4042" s="22"/>
      <c r="G4042" s="23"/>
      <c r="H4042" s="23"/>
      <c r="I4042" s="23"/>
      <c r="J4042" s="23"/>
      <c r="K4042" s="23"/>
      <c r="L4042" s="23"/>
      <c r="M4042" s="23"/>
      <c r="N4042" s="23"/>
      <c r="O4042" s="23"/>
      <c r="P4042" s="23"/>
      <c r="Q4042" s="23"/>
      <c r="R4042" s="23"/>
      <c r="S4042" s="23"/>
      <c r="T4042" s="23"/>
      <c r="U4042" s="23"/>
    </row>
    <row r="4043">
      <c r="A4043" s="20"/>
      <c r="B4043" s="20"/>
      <c r="C4043" s="30"/>
      <c r="D4043" s="30"/>
      <c r="E4043" s="30"/>
      <c r="F4043" s="22"/>
      <c r="G4043" s="23"/>
      <c r="H4043" s="23"/>
      <c r="I4043" s="23"/>
      <c r="J4043" s="23"/>
      <c r="K4043" s="23"/>
      <c r="L4043" s="23"/>
      <c r="M4043" s="23"/>
      <c r="N4043" s="23"/>
      <c r="O4043" s="23"/>
      <c r="P4043" s="23"/>
      <c r="Q4043" s="23"/>
      <c r="R4043" s="23"/>
      <c r="S4043" s="23"/>
      <c r="T4043" s="23"/>
      <c r="U4043" s="23"/>
    </row>
    <row r="4044">
      <c r="A4044" s="20"/>
      <c r="B4044" s="20"/>
      <c r="C4044" s="30"/>
      <c r="D4044" s="30"/>
      <c r="E4044" s="30"/>
      <c r="F4044" s="22"/>
      <c r="G4044" s="23"/>
      <c r="H4044" s="23"/>
      <c r="I4044" s="23"/>
      <c r="J4044" s="23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</row>
    <row r="4045">
      <c r="A4045" s="20"/>
      <c r="B4045" s="20"/>
      <c r="C4045" s="30"/>
      <c r="D4045" s="30"/>
      <c r="E4045" s="30"/>
      <c r="F4045" s="22"/>
      <c r="G4045" s="23"/>
      <c r="H4045" s="23"/>
      <c r="I4045" s="23"/>
      <c r="J4045" s="23"/>
      <c r="K4045" s="23"/>
      <c r="L4045" s="23"/>
      <c r="M4045" s="23"/>
      <c r="N4045" s="23"/>
      <c r="O4045" s="23"/>
      <c r="P4045" s="23"/>
      <c r="Q4045" s="23"/>
      <c r="R4045" s="23"/>
      <c r="S4045" s="23"/>
      <c r="T4045" s="23"/>
      <c r="U4045" s="23"/>
    </row>
    <row r="4046">
      <c r="A4046" s="20"/>
      <c r="B4046" s="20"/>
      <c r="C4046" s="30"/>
      <c r="D4046" s="30"/>
      <c r="E4046" s="30"/>
      <c r="F4046" s="22"/>
      <c r="G4046" s="23"/>
      <c r="H4046" s="23"/>
      <c r="I4046" s="23"/>
      <c r="J4046" s="23"/>
      <c r="K4046" s="23"/>
      <c r="L4046" s="23"/>
      <c r="M4046" s="23"/>
      <c r="N4046" s="23"/>
      <c r="O4046" s="23"/>
      <c r="P4046" s="23"/>
      <c r="Q4046" s="23"/>
      <c r="R4046" s="23"/>
      <c r="S4046" s="23"/>
      <c r="T4046" s="23"/>
      <c r="U4046" s="23"/>
    </row>
    <row r="4047">
      <c r="A4047" s="20"/>
      <c r="B4047" s="20"/>
      <c r="C4047" s="30"/>
      <c r="D4047" s="30"/>
      <c r="E4047" s="30"/>
      <c r="F4047" s="22"/>
      <c r="G4047" s="23"/>
      <c r="H4047" s="23"/>
      <c r="I4047" s="23"/>
      <c r="J4047" s="23"/>
      <c r="K4047" s="23"/>
      <c r="L4047" s="23"/>
      <c r="M4047" s="23"/>
      <c r="N4047" s="23"/>
      <c r="O4047" s="23"/>
      <c r="P4047" s="23"/>
      <c r="Q4047" s="23"/>
      <c r="R4047" s="23"/>
      <c r="S4047" s="23"/>
      <c r="T4047" s="23"/>
      <c r="U4047" s="23"/>
    </row>
    <row r="4048">
      <c r="A4048" s="20"/>
      <c r="B4048" s="20"/>
      <c r="C4048" s="30"/>
      <c r="D4048" s="30"/>
      <c r="E4048" s="30"/>
      <c r="F4048" s="22"/>
      <c r="G4048" s="23"/>
      <c r="H4048" s="23"/>
      <c r="I4048" s="23"/>
      <c r="J4048" s="23"/>
      <c r="K4048" s="23"/>
      <c r="L4048" s="23"/>
      <c r="M4048" s="23"/>
      <c r="N4048" s="23"/>
      <c r="O4048" s="23"/>
      <c r="P4048" s="23"/>
      <c r="Q4048" s="23"/>
      <c r="R4048" s="23"/>
      <c r="S4048" s="23"/>
      <c r="T4048" s="23"/>
      <c r="U4048" s="23"/>
    </row>
    <row r="4049">
      <c r="A4049" s="20"/>
      <c r="B4049" s="20"/>
      <c r="C4049" s="30"/>
      <c r="D4049" s="30"/>
      <c r="E4049" s="30"/>
      <c r="F4049" s="22"/>
      <c r="G4049" s="23"/>
      <c r="H4049" s="23"/>
      <c r="I4049" s="23"/>
      <c r="J4049" s="23"/>
      <c r="K4049" s="23"/>
      <c r="L4049" s="23"/>
      <c r="M4049" s="23"/>
      <c r="N4049" s="23"/>
      <c r="O4049" s="23"/>
      <c r="P4049" s="23"/>
      <c r="Q4049" s="23"/>
      <c r="R4049" s="23"/>
      <c r="S4049" s="23"/>
      <c r="T4049" s="23"/>
      <c r="U4049" s="23"/>
    </row>
    <row r="4050">
      <c r="A4050" s="20"/>
      <c r="B4050" s="20"/>
      <c r="C4050" s="30"/>
      <c r="D4050" s="30"/>
      <c r="E4050" s="30"/>
      <c r="F4050" s="22"/>
      <c r="G4050" s="23"/>
      <c r="H4050" s="23"/>
      <c r="I4050" s="23"/>
      <c r="J4050" s="23"/>
      <c r="K4050" s="23"/>
      <c r="L4050" s="23"/>
      <c r="M4050" s="23"/>
      <c r="N4050" s="23"/>
      <c r="O4050" s="23"/>
      <c r="P4050" s="23"/>
      <c r="Q4050" s="23"/>
      <c r="R4050" s="23"/>
      <c r="S4050" s="23"/>
      <c r="T4050" s="23"/>
      <c r="U4050" s="23"/>
    </row>
    <row r="4051">
      <c r="A4051" s="20"/>
      <c r="B4051" s="20"/>
      <c r="C4051" s="30"/>
      <c r="D4051" s="30"/>
      <c r="E4051" s="30"/>
      <c r="F4051" s="22"/>
      <c r="G4051" s="23"/>
      <c r="H4051" s="23"/>
      <c r="I4051" s="23"/>
      <c r="J4051" s="23"/>
      <c r="K4051" s="23"/>
      <c r="L4051" s="23"/>
      <c r="M4051" s="23"/>
      <c r="N4051" s="23"/>
      <c r="O4051" s="23"/>
      <c r="P4051" s="23"/>
      <c r="Q4051" s="23"/>
      <c r="R4051" s="23"/>
      <c r="S4051" s="23"/>
      <c r="T4051" s="23"/>
      <c r="U4051" s="23"/>
    </row>
    <row r="4052">
      <c r="A4052" s="20"/>
      <c r="B4052" s="20"/>
      <c r="C4052" s="30"/>
      <c r="D4052" s="30"/>
      <c r="E4052" s="30"/>
      <c r="F4052" s="22"/>
      <c r="G4052" s="23"/>
      <c r="H4052" s="23"/>
      <c r="I4052" s="23"/>
      <c r="J4052" s="23"/>
      <c r="K4052" s="23"/>
      <c r="L4052" s="23"/>
      <c r="M4052" s="23"/>
      <c r="N4052" s="23"/>
      <c r="O4052" s="23"/>
      <c r="P4052" s="23"/>
      <c r="Q4052" s="23"/>
      <c r="R4052" s="23"/>
      <c r="S4052" s="23"/>
      <c r="T4052" s="23"/>
      <c r="U4052" s="23"/>
    </row>
    <row r="4053">
      <c r="A4053" s="20"/>
      <c r="B4053" s="20"/>
      <c r="C4053" s="30"/>
      <c r="D4053" s="30"/>
      <c r="E4053" s="30"/>
      <c r="F4053" s="22"/>
      <c r="G4053" s="23"/>
      <c r="H4053" s="23"/>
      <c r="I4053" s="23"/>
      <c r="J4053" s="23"/>
      <c r="K4053" s="23"/>
      <c r="L4053" s="23"/>
      <c r="M4053" s="23"/>
      <c r="N4053" s="23"/>
      <c r="O4053" s="23"/>
      <c r="P4053" s="23"/>
      <c r="Q4053" s="23"/>
      <c r="R4053" s="23"/>
      <c r="S4053" s="23"/>
      <c r="T4053" s="23"/>
      <c r="U4053" s="23"/>
    </row>
    <row r="4054">
      <c r="A4054" s="20"/>
      <c r="B4054" s="20"/>
      <c r="C4054" s="30"/>
      <c r="D4054" s="30"/>
      <c r="E4054" s="30"/>
      <c r="F4054" s="22"/>
      <c r="G4054" s="23"/>
      <c r="H4054" s="23"/>
      <c r="I4054" s="23"/>
      <c r="J4054" s="23"/>
      <c r="K4054" s="23"/>
      <c r="L4054" s="23"/>
      <c r="M4054" s="23"/>
      <c r="N4054" s="23"/>
      <c r="O4054" s="23"/>
      <c r="P4054" s="23"/>
      <c r="Q4054" s="23"/>
      <c r="R4054" s="23"/>
      <c r="S4054" s="23"/>
      <c r="T4054" s="23"/>
      <c r="U4054" s="23"/>
    </row>
    <row r="4055">
      <c r="A4055" s="20"/>
      <c r="B4055" s="20"/>
      <c r="C4055" s="30"/>
      <c r="D4055" s="30"/>
      <c r="E4055" s="30"/>
      <c r="F4055" s="22"/>
      <c r="G4055" s="23"/>
      <c r="H4055" s="23"/>
      <c r="I4055" s="23"/>
      <c r="J4055" s="23"/>
      <c r="K4055" s="23"/>
      <c r="L4055" s="23"/>
      <c r="M4055" s="23"/>
      <c r="N4055" s="23"/>
      <c r="O4055" s="23"/>
      <c r="P4055" s="23"/>
      <c r="Q4055" s="23"/>
      <c r="R4055" s="23"/>
      <c r="S4055" s="23"/>
      <c r="T4055" s="23"/>
      <c r="U4055" s="23"/>
    </row>
    <row r="4056">
      <c r="A4056" s="20"/>
      <c r="B4056" s="20"/>
      <c r="C4056" s="30"/>
      <c r="D4056" s="30"/>
      <c r="E4056" s="30"/>
      <c r="F4056" s="22"/>
      <c r="G4056" s="23"/>
      <c r="H4056" s="23"/>
      <c r="I4056" s="23"/>
      <c r="J4056" s="23"/>
      <c r="K4056" s="23"/>
      <c r="L4056" s="23"/>
      <c r="M4056" s="23"/>
      <c r="N4056" s="23"/>
      <c r="O4056" s="23"/>
      <c r="P4056" s="23"/>
      <c r="Q4056" s="23"/>
      <c r="R4056" s="23"/>
      <c r="S4056" s="23"/>
      <c r="T4056" s="23"/>
      <c r="U4056" s="23"/>
    </row>
    <row r="4057">
      <c r="A4057" s="20"/>
      <c r="B4057" s="20"/>
      <c r="C4057" s="30"/>
      <c r="D4057" s="30"/>
      <c r="E4057" s="30"/>
      <c r="F4057" s="22"/>
      <c r="G4057" s="23"/>
      <c r="H4057" s="23"/>
      <c r="I4057" s="23"/>
      <c r="J4057" s="23"/>
      <c r="K4057" s="23"/>
      <c r="L4057" s="23"/>
      <c r="M4057" s="23"/>
      <c r="N4057" s="23"/>
      <c r="O4057" s="23"/>
      <c r="P4057" s="23"/>
      <c r="Q4057" s="23"/>
      <c r="R4057" s="23"/>
      <c r="S4057" s="23"/>
      <c r="T4057" s="23"/>
      <c r="U4057" s="23"/>
    </row>
    <row r="4058">
      <c r="A4058" s="20"/>
      <c r="B4058" s="20"/>
      <c r="C4058" s="30"/>
      <c r="D4058" s="30"/>
      <c r="E4058" s="30"/>
      <c r="F4058" s="22"/>
      <c r="G4058" s="23"/>
      <c r="H4058" s="23"/>
      <c r="I4058" s="23"/>
      <c r="J4058" s="23"/>
      <c r="K4058" s="23"/>
      <c r="L4058" s="23"/>
      <c r="M4058" s="23"/>
      <c r="N4058" s="23"/>
      <c r="O4058" s="23"/>
      <c r="P4058" s="23"/>
      <c r="Q4058" s="23"/>
      <c r="R4058" s="23"/>
      <c r="S4058" s="23"/>
      <c r="T4058" s="23"/>
      <c r="U4058" s="23"/>
    </row>
    <row r="4059">
      <c r="A4059" s="20"/>
      <c r="B4059" s="20"/>
      <c r="C4059" s="30"/>
      <c r="D4059" s="30"/>
      <c r="E4059" s="30"/>
      <c r="F4059" s="22"/>
      <c r="G4059" s="23"/>
      <c r="H4059" s="23"/>
      <c r="I4059" s="23"/>
      <c r="J4059" s="23"/>
      <c r="K4059" s="23"/>
      <c r="L4059" s="23"/>
      <c r="M4059" s="23"/>
      <c r="N4059" s="23"/>
      <c r="O4059" s="23"/>
      <c r="P4059" s="23"/>
      <c r="Q4059" s="23"/>
      <c r="R4059" s="23"/>
      <c r="S4059" s="23"/>
      <c r="T4059" s="23"/>
      <c r="U4059" s="23"/>
    </row>
    <row r="4060">
      <c r="A4060" s="20"/>
      <c r="B4060" s="20"/>
      <c r="C4060" s="30"/>
      <c r="D4060" s="30"/>
      <c r="E4060" s="30"/>
      <c r="F4060" s="22"/>
      <c r="G4060" s="23"/>
      <c r="H4060" s="23"/>
      <c r="I4060" s="23"/>
      <c r="J4060" s="23"/>
      <c r="K4060" s="23"/>
      <c r="L4060" s="23"/>
      <c r="M4060" s="23"/>
      <c r="N4060" s="23"/>
      <c r="O4060" s="23"/>
      <c r="P4060" s="23"/>
      <c r="Q4060" s="23"/>
      <c r="R4060" s="23"/>
      <c r="S4060" s="23"/>
      <c r="T4060" s="23"/>
      <c r="U4060" s="23"/>
    </row>
    <row r="4061">
      <c r="A4061" s="20"/>
      <c r="B4061" s="20"/>
      <c r="C4061" s="30"/>
      <c r="D4061" s="30"/>
      <c r="E4061" s="30"/>
      <c r="F4061" s="22"/>
      <c r="G4061" s="23"/>
      <c r="H4061" s="23"/>
      <c r="I4061" s="23"/>
      <c r="J4061" s="23"/>
      <c r="K4061" s="23"/>
      <c r="L4061" s="23"/>
      <c r="M4061" s="23"/>
      <c r="N4061" s="23"/>
      <c r="O4061" s="23"/>
      <c r="P4061" s="23"/>
      <c r="Q4061" s="23"/>
      <c r="R4061" s="23"/>
      <c r="S4061" s="23"/>
      <c r="T4061" s="23"/>
      <c r="U4061" s="23"/>
    </row>
    <row r="4062">
      <c r="A4062" s="20"/>
      <c r="B4062" s="20"/>
      <c r="C4062" s="30"/>
      <c r="D4062" s="30"/>
      <c r="E4062" s="30"/>
      <c r="F4062" s="22"/>
      <c r="G4062" s="23"/>
      <c r="H4062" s="23"/>
      <c r="I4062" s="23"/>
      <c r="J4062" s="23"/>
      <c r="K4062" s="23"/>
      <c r="L4062" s="23"/>
      <c r="M4062" s="23"/>
      <c r="N4062" s="23"/>
      <c r="O4062" s="23"/>
      <c r="P4062" s="23"/>
      <c r="Q4062" s="23"/>
      <c r="R4062" s="23"/>
      <c r="S4062" s="23"/>
      <c r="T4062" s="23"/>
      <c r="U4062" s="23"/>
    </row>
    <row r="4063">
      <c r="A4063" s="20"/>
      <c r="B4063" s="20"/>
      <c r="C4063" s="30"/>
      <c r="D4063" s="30"/>
      <c r="E4063" s="30"/>
      <c r="F4063" s="22"/>
      <c r="G4063" s="23"/>
      <c r="H4063" s="23"/>
      <c r="I4063" s="23"/>
      <c r="J4063" s="23"/>
      <c r="K4063" s="23"/>
      <c r="L4063" s="23"/>
      <c r="M4063" s="23"/>
      <c r="N4063" s="23"/>
      <c r="O4063" s="23"/>
      <c r="P4063" s="23"/>
      <c r="Q4063" s="23"/>
      <c r="R4063" s="23"/>
      <c r="S4063" s="23"/>
      <c r="T4063" s="23"/>
      <c r="U4063" s="23"/>
    </row>
    <row r="4064">
      <c r="A4064" s="20"/>
      <c r="B4064" s="20"/>
      <c r="C4064" s="30"/>
      <c r="D4064" s="30"/>
      <c r="E4064" s="30"/>
      <c r="F4064" s="22"/>
      <c r="G4064" s="23"/>
      <c r="H4064" s="23"/>
      <c r="I4064" s="23"/>
      <c r="J4064" s="23"/>
      <c r="K4064" s="23"/>
      <c r="L4064" s="23"/>
      <c r="M4064" s="23"/>
      <c r="N4064" s="23"/>
      <c r="O4064" s="23"/>
      <c r="P4064" s="23"/>
      <c r="Q4064" s="23"/>
      <c r="R4064" s="23"/>
      <c r="S4064" s="23"/>
      <c r="T4064" s="23"/>
      <c r="U4064" s="23"/>
    </row>
    <row r="4065">
      <c r="A4065" s="20"/>
      <c r="B4065" s="20"/>
      <c r="C4065" s="30"/>
      <c r="D4065" s="30"/>
      <c r="E4065" s="30"/>
      <c r="F4065" s="22"/>
      <c r="G4065" s="23"/>
      <c r="H4065" s="23"/>
      <c r="I4065" s="23"/>
      <c r="J4065" s="23"/>
      <c r="K4065" s="23"/>
      <c r="L4065" s="23"/>
      <c r="M4065" s="23"/>
      <c r="N4065" s="23"/>
      <c r="O4065" s="23"/>
      <c r="P4065" s="23"/>
      <c r="Q4065" s="23"/>
      <c r="R4065" s="23"/>
      <c r="S4065" s="23"/>
      <c r="T4065" s="23"/>
      <c r="U4065" s="23"/>
    </row>
    <row r="4066">
      <c r="A4066" s="20"/>
      <c r="B4066" s="20"/>
      <c r="C4066" s="30"/>
      <c r="D4066" s="30"/>
      <c r="E4066" s="30"/>
      <c r="F4066" s="22"/>
      <c r="G4066" s="23"/>
      <c r="H4066" s="23"/>
      <c r="I4066" s="23"/>
      <c r="J4066" s="23"/>
      <c r="K4066" s="23"/>
      <c r="L4066" s="23"/>
      <c r="M4066" s="23"/>
      <c r="N4066" s="23"/>
      <c r="O4066" s="23"/>
      <c r="P4066" s="23"/>
      <c r="Q4066" s="23"/>
      <c r="R4066" s="23"/>
      <c r="S4066" s="23"/>
      <c r="T4066" s="23"/>
      <c r="U4066" s="23"/>
    </row>
    <row r="4067">
      <c r="A4067" s="20"/>
      <c r="B4067" s="20"/>
      <c r="C4067" s="30"/>
      <c r="D4067" s="30"/>
      <c r="E4067" s="30"/>
      <c r="F4067" s="22"/>
      <c r="G4067" s="23"/>
      <c r="H4067" s="23"/>
      <c r="I4067" s="23"/>
      <c r="J4067" s="23"/>
      <c r="K4067" s="23"/>
      <c r="L4067" s="23"/>
      <c r="M4067" s="23"/>
      <c r="N4067" s="23"/>
      <c r="O4067" s="23"/>
      <c r="P4067" s="23"/>
      <c r="Q4067" s="23"/>
      <c r="R4067" s="23"/>
      <c r="S4067" s="23"/>
      <c r="T4067" s="23"/>
      <c r="U4067" s="23"/>
    </row>
    <row r="4068">
      <c r="A4068" s="20"/>
      <c r="B4068" s="20"/>
      <c r="C4068" s="30"/>
      <c r="D4068" s="30"/>
      <c r="E4068" s="30"/>
      <c r="F4068" s="22"/>
      <c r="G4068" s="23"/>
      <c r="H4068" s="23"/>
      <c r="I4068" s="23"/>
      <c r="J4068" s="23"/>
      <c r="K4068" s="23"/>
      <c r="L4068" s="23"/>
      <c r="M4068" s="23"/>
      <c r="N4068" s="23"/>
      <c r="O4068" s="23"/>
      <c r="P4068" s="23"/>
      <c r="Q4068" s="23"/>
      <c r="R4068" s="23"/>
      <c r="S4068" s="23"/>
      <c r="T4068" s="23"/>
      <c r="U4068" s="23"/>
    </row>
    <row r="4069">
      <c r="A4069" s="20"/>
      <c r="B4069" s="20"/>
      <c r="C4069" s="30"/>
      <c r="D4069" s="30"/>
      <c r="E4069" s="30"/>
      <c r="F4069" s="22"/>
      <c r="G4069" s="23"/>
      <c r="H4069" s="23"/>
      <c r="I4069" s="23"/>
      <c r="J4069" s="23"/>
      <c r="K4069" s="23"/>
      <c r="L4069" s="23"/>
      <c r="M4069" s="23"/>
      <c r="N4069" s="23"/>
      <c r="O4069" s="23"/>
      <c r="P4069" s="23"/>
      <c r="Q4069" s="23"/>
      <c r="R4069" s="23"/>
      <c r="S4069" s="23"/>
      <c r="T4069" s="23"/>
      <c r="U4069" s="23"/>
    </row>
    <row r="4070">
      <c r="A4070" s="20"/>
      <c r="B4070" s="20"/>
      <c r="C4070" s="30"/>
      <c r="D4070" s="30"/>
      <c r="E4070" s="30"/>
      <c r="F4070" s="22"/>
      <c r="G4070" s="23"/>
      <c r="H4070" s="23"/>
      <c r="I4070" s="23"/>
      <c r="J4070" s="23"/>
      <c r="K4070" s="23"/>
      <c r="L4070" s="23"/>
      <c r="M4070" s="23"/>
      <c r="N4070" s="23"/>
      <c r="O4070" s="23"/>
      <c r="P4070" s="23"/>
      <c r="Q4070" s="23"/>
      <c r="R4070" s="23"/>
      <c r="S4070" s="23"/>
      <c r="T4070" s="23"/>
      <c r="U4070" s="23"/>
    </row>
    <row r="4071">
      <c r="A4071" s="20"/>
      <c r="B4071" s="20"/>
      <c r="C4071" s="30"/>
      <c r="D4071" s="30"/>
      <c r="E4071" s="30"/>
      <c r="F4071" s="22"/>
      <c r="G4071" s="23"/>
      <c r="H4071" s="23"/>
      <c r="I4071" s="23"/>
      <c r="J4071" s="23"/>
      <c r="K4071" s="23"/>
      <c r="L4071" s="23"/>
      <c r="M4071" s="23"/>
      <c r="N4071" s="23"/>
      <c r="O4071" s="23"/>
      <c r="P4071" s="23"/>
      <c r="Q4071" s="23"/>
      <c r="R4071" s="23"/>
      <c r="S4071" s="23"/>
      <c r="T4071" s="23"/>
      <c r="U4071" s="23"/>
    </row>
    <row r="4072">
      <c r="A4072" s="20"/>
      <c r="B4072" s="20"/>
      <c r="C4072" s="30"/>
      <c r="D4072" s="30"/>
      <c r="E4072" s="30"/>
      <c r="F4072" s="22"/>
      <c r="G4072" s="23"/>
      <c r="H4072" s="23"/>
      <c r="I4072" s="23"/>
      <c r="J4072" s="23"/>
      <c r="K4072" s="23"/>
      <c r="L4072" s="23"/>
      <c r="M4072" s="23"/>
      <c r="N4072" s="23"/>
      <c r="O4072" s="23"/>
      <c r="P4072" s="23"/>
      <c r="Q4072" s="23"/>
      <c r="R4072" s="23"/>
      <c r="S4072" s="23"/>
      <c r="T4072" s="23"/>
      <c r="U4072" s="23"/>
    </row>
    <row r="4073">
      <c r="A4073" s="20"/>
      <c r="B4073" s="20"/>
      <c r="C4073" s="30"/>
      <c r="D4073" s="30"/>
      <c r="E4073" s="30"/>
      <c r="F4073" s="22"/>
      <c r="G4073" s="23"/>
      <c r="H4073" s="23"/>
      <c r="I4073" s="23"/>
      <c r="J4073" s="23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</row>
    <row r="4074">
      <c r="A4074" s="20"/>
      <c r="B4074" s="20"/>
      <c r="C4074" s="30"/>
      <c r="D4074" s="30"/>
      <c r="E4074" s="30"/>
      <c r="F4074" s="22"/>
      <c r="G4074" s="23"/>
      <c r="H4074" s="23"/>
      <c r="I4074" s="23"/>
      <c r="J4074" s="23"/>
      <c r="K4074" s="23"/>
      <c r="L4074" s="23"/>
      <c r="M4074" s="23"/>
      <c r="N4074" s="23"/>
      <c r="O4074" s="23"/>
      <c r="P4074" s="23"/>
      <c r="Q4074" s="23"/>
      <c r="R4074" s="23"/>
      <c r="S4074" s="23"/>
      <c r="T4074" s="23"/>
      <c r="U4074" s="23"/>
    </row>
    <row r="4075">
      <c r="A4075" s="20"/>
      <c r="B4075" s="20"/>
      <c r="C4075" s="30"/>
      <c r="D4075" s="30"/>
      <c r="E4075" s="30"/>
      <c r="F4075" s="22"/>
      <c r="G4075" s="23"/>
      <c r="H4075" s="23"/>
      <c r="I4075" s="23"/>
      <c r="J4075" s="23"/>
      <c r="K4075" s="23"/>
      <c r="L4075" s="23"/>
      <c r="M4075" s="23"/>
      <c r="N4075" s="23"/>
      <c r="O4075" s="23"/>
      <c r="P4075" s="23"/>
      <c r="Q4075" s="23"/>
      <c r="R4075" s="23"/>
      <c r="S4075" s="23"/>
      <c r="T4075" s="23"/>
      <c r="U4075" s="23"/>
    </row>
    <row r="4076">
      <c r="A4076" s="20"/>
      <c r="B4076" s="20"/>
      <c r="C4076" s="30"/>
      <c r="D4076" s="30"/>
      <c r="E4076" s="30"/>
      <c r="F4076" s="22"/>
      <c r="G4076" s="23"/>
      <c r="H4076" s="23"/>
      <c r="I4076" s="23"/>
      <c r="J4076" s="23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</row>
    <row r="4077">
      <c r="A4077" s="20"/>
      <c r="B4077" s="20"/>
      <c r="C4077" s="30"/>
      <c r="D4077" s="30"/>
      <c r="E4077" s="30"/>
      <c r="F4077" s="22"/>
      <c r="G4077" s="23"/>
      <c r="H4077" s="23"/>
      <c r="I4077" s="23"/>
      <c r="J4077" s="23"/>
      <c r="K4077" s="23"/>
      <c r="L4077" s="23"/>
      <c r="M4077" s="23"/>
      <c r="N4077" s="23"/>
      <c r="O4077" s="23"/>
      <c r="P4077" s="23"/>
      <c r="Q4077" s="23"/>
      <c r="R4077" s="23"/>
      <c r="S4077" s="23"/>
      <c r="T4077" s="23"/>
      <c r="U4077" s="23"/>
    </row>
    <row r="4078">
      <c r="A4078" s="20"/>
      <c r="B4078" s="20"/>
      <c r="C4078" s="30"/>
      <c r="D4078" s="30"/>
      <c r="E4078" s="30"/>
      <c r="F4078" s="22"/>
      <c r="G4078" s="23"/>
      <c r="H4078" s="23"/>
      <c r="I4078" s="23"/>
      <c r="J4078" s="23"/>
      <c r="K4078" s="23"/>
      <c r="L4078" s="23"/>
      <c r="M4078" s="23"/>
      <c r="N4078" s="23"/>
      <c r="O4078" s="23"/>
      <c r="P4078" s="23"/>
      <c r="Q4078" s="23"/>
      <c r="R4078" s="23"/>
      <c r="S4078" s="23"/>
      <c r="T4078" s="23"/>
      <c r="U4078" s="23"/>
    </row>
    <row r="4079">
      <c r="A4079" s="20"/>
      <c r="B4079" s="20"/>
      <c r="C4079" s="30"/>
      <c r="D4079" s="30"/>
      <c r="E4079" s="30"/>
      <c r="F4079" s="22"/>
      <c r="G4079" s="23"/>
      <c r="H4079" s="23"/>
      <c r="I4079" s="23"/>
      <c r="J4079" s="23"/>
      <c r="K4079" s="23"/>
      <c r="L4079" s="23"/>
      <c r="M4079" s="23"/>
      <c r="N4079" s="23"/>
      <c r="O4079" s="23"/>
      <c r="P4079" s="23"/>
      <c r="Q4079" s="23"/>
      <c r="R4079" s="23"/>
      <c r="S4079" s="23"/>
      <c r="T4079" s="23"/>
      <c r="U4079" s="23"/>
    </row>
    <row r="4080">
      <c r="A4080" s="20"/>
      <c r="B4080" s="20"/>
      <c r="C4080" s="30"/>
      <c r="D4080" s="30"/>
      <c r="E4080" s="30"/>
      <c r="F4080" s="22"/>
      <c r="G4080" s="23"/>
      <c r="H4080" s="23"/>
      <c r="I4080" s="23"/>
      <c r="J4080" s="23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</row>
    <row r="4081">
      <c r="A4081" s="20"/>
      <c r="B4081" s="20"/>
      <c r="C4081" s="30"/>
      <c r="D4081" s="30"/>
      <c r="E4081" s="30"/>
      <c r="F4081" s="22"/>
      <c r="G4081" s="23"/>
      <c r="H4081" s="23"/>
      <c r="I4081" s="23"/>
      <c r="J4081" s="23"/>
      <c r="K4081" s="23"/>
      <c r="L4081" s="23"/>
      <c r="M4081" s="23"/>
      <c r="N4081" s="23"/>
      <c r="O4081" s="23"/>
      <c r="P4081" s="23"/>
      <c r="Q4081" s="23"/>
      <c r="R4081" s="23"/>
      <c r="S4081" s="23"/>
      <c r="T4081" s="23"/>
      <c r="U4081" s="23"/>
    </row>
    <row r="4082">
      <c r="A4082" s="20"/>
      <c r="B4082" s="20"/>
      <c r="C4082" s="30"/>
      <c r="D4082" s="30"/>
      <c r="E4082" s="30"/>
      <c r="F4082" s="22"/>
      <c r="G4082" s="23"/>
      <c r="H4082" s="23"/>
      <c r="I4082" s="23"/>
      <c r="J4082" s="23"/>
      <c r="K4082" s="23"/>
      <c r="L4082" s="23"/>
      <c r="M4082" s="23"/>
      <c r="N4082" s="23"/>
      <c r="O4082" s="23"/>
      <c r="P4082" s="23"/>
      <c r="Q4082" s="23"/>
      <c r="R4082" s="23"/>
      <c r="S4082" s="23"/>
      <c r="T4082" s="23"/>
      <c r="U4082" s="23"/>
    </row>
    <row r="4083">
      <c r="A4083" s="20"/>
      <c r="B4083" s="20"/>
      <c r="C4083" s="30"/>
      <c r="D4083" s="30"/>
      <c r="E4083" s="30"/>
      <c r="F4083" s="22"/>
      <c r="G4083" s="23"/>
      <c r="H4083" s="23"/>
      <c r="I4083" s="23"/>
      <c r="J4083" s="23"/>
      <c r="K4083" s="23"/>
      <c r="L4083" s="23"/>
      <c r="M4083" s="23"/>
      <c r="N4083" s="23"/>
      <c r="O4083" s="23"/>
      <c r="P4083" s="23"/>
      <c r="Q4083" s="23"/>
      <c r="R4083" s="23"/>
      <c r="S4083" s="23"/>
      <c r="T4083" s="23"/>
      <c r="U4083" s="23"/>
    </row>
    <row r="4084">
      <c r="A4084" s="20"/>
      <c r="B4084" s="20"/>
      <c r="C4084" s="30"/>
      <c r="D4084" s="30"/>
      <c r="E4084" s="30"/>
      <c r="F4084" s="22"/>
      <c r="G4084" s="23"/>
      <c r="H4084" s="23"/>
      <c r="I4084" s="23"/>
      <c r="J4084" s="23"/>
      <c r="K4084" s="23"/>
      <c r="L4084" s="23"/>
      <c r="M4084" s="23"/>
      <c r="N4084" s="23"/>
      <c r="O4084" s="23"/>
      <c r="P4084" s="23"/>
      <c r="Q4084" s="23"/>
      <c r="R4084" s="23"/>
      <c r="S4084" s="23"/>
      <c r="T4084" s="23"/>
      <c r="U4084" s="23"/>
    </row>
    <row r="4085">
      <c r="A4085" s="20"/>
      <c r="B4085" s="20"/>
      <c r="C4085" s="30"/>
      <c r="D4085" s="30"/>
      <c r="E4085" s="30"/>
      <c r="F4085" s="22"/>
      <c r="G4085" s="23"/>
      <c r="H4085" s="23"/>
      <c r="I4085" s="23"/>
      <c r="J4085" s="23"/>
      <c r="K4085" s="23"/>
      <c r="L4085" s="23"/>
      <c r="M4085" s="23"/>
      <c r="N4085" s="23"/>
      <c r="O4085" s="23"/>
      <c r="P4085" s="23"/>
      <c r="Q4085" s="23"/>
      <c r="R4085" s="23"/>
      <c r="S4085" s="23"/>
      <c r="T4085" s="23"/>
      <c r="U4085" s="23"/>
    </row>
    <row r="4086">
      <c r="A4086" s="20"/>
      <c r="B4086" s="20"/>
      <c r="C4086" s="30"/>
      <c r="D4086" s="30"/>
      <c r="E4086" s="30"/>
      <c r="F4086" s="22"/>
      <c r="G4086" s="23"/>
      <c r="H4086" s="23"/>
      <c r="I4086" s="23"/>
      <c r="J4086" s="23"/>
      <c r="K4086" s="23"/>
      <c r="L4086" s="23"/>
      <c r="M4086" s="23"/>
      <c r="N4086" s="23"/>
      <c r="O4086" s="23"/>
      <c r="P4086" s="23"/>
      <c r="Q4086" s="23"/>
      <c r="R4086" s="23"/>
      <c r="S4086" s="23"/>
      <c r="T4086" s="23"/>
      <c r="U4086" s="23"/>
    </row>
    <row r="4087">
      <c r="A4087" s="20"/>
      <c r="B4087" s="20"/>
      <c r="C4087" s="30"/>
      <c r="D4087" s="30"/>
      <c r="E4087" s="30"/>
      <c r="F4087" s="22"/>
      <c r="G4087" s="23"/>
      <c r="H4087" s="23"/>
      <c r="I4087" s="23"/>
      <c r="J4087" s="23"/>
      <c r="K4087" s="23"/>
      <c r="L4087" s="23"/>
      <c r="M4087" s="23"/>
      <c r="N4087" s="23"/>
      <c r="O4087" s="23"/>
      <c r="P4087" s="23"/>
      <c r="Q4087" s="23"/>
      <c r="R4087" s="23"/>
      <c r="S4087" s="23"/>
      <c r="T4087" s="23"/>
      <c r="U4087" s="23"/>
    </row>
    <row r="4088">
      <c r="A4088" s="20"/>
      <c r="B4088" s="20"/>
      <c r="C4088" s="30"/>
      <c r="D4088" s="30"/>
      <c r="E4088" s="30"/>
      <c r="F4088" s="22"/>
      <c r="G4088" s="23"/>
      <c r="H4088" s="23"/>
      <c r="I4088" s="23"/>
      <c r="J4088" s="23"/>
      <c r="K4088" s="23"/>
      <c r="L4088" s="23"/>
      <c r="M4088" s="23"/>
      <c r="N4088" s="23"/>
      <c r="O4088" s="23"/>
      <c r="P4088" s="23"/>
      <c r="Q4088" s="23"/>
      <c r="R4088" s="23"/>
      <c r="S4088" s="23"/>
      <c r="T4088" s="23"/>
      <c r="U4088" s="23"/>
    </row>
    <row r="4089">
      <c r="A4089" s="20"/>
      <c r="B4089" s="20"/>
      <c r="C4089" s="30"/>
      <c r="D4089" s="30"/>
      <c r="E4089" s="30"/>
      <c r="F4089" s="22"/>
      <c r="G4089" s="23"/>
      <c r="H4089" s="23"/>
      <c r="I4089" s="23"/>
      <c r="J4089" s="23"/>
      <c r="K4089" s="23"/>
      <c r="L4089" s="23"/>
      <c r="M4089" s="23"/>
      <c r="N4089" s="23"/>
      <c r="O4089" s="23"/>
      <c r="P4089" s="23"/>
      <c r="Q4089" s="23"/>
      <c r="R4089" s="23"/>
      <c r="S4089" s="23"/>
      <c r="T4089" s="23"/>
      <c r="U4089" s="23"/>
    </row>
    <row r="4090">
      <c r="A4090" s="20"/>
      <c r="B4090" s="20"/>
      <c r="C4090" s="30"/>
      <c r="D4090" s="30"/>
      <c r="E4090" s="30"/>
      <c r="F4090" s="22"/>
      <c r="G4090" s="23"/>
      <c r="H4090" s="23"/>
      <c r="I4090" s="23"/>
      <c r="J4090" s="23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</row>
    <row r="4091">
      <c r="A4091" s="20"/>
      <c r="B4091" s="20"/>
      <c r="C4091" s="30"/>
      <c r="D4091" s="30"/>
      <c r="E4091" s="30"/>
      <c r="F4091" s="22"/>
      <c r="G4091" s="23"/>
      <c r="H4091" s="23"/>
      <c r="I4091" s="23"/>
      <c r="J4091" s="23"/>
      <c r="K4091" s="23"/>
      <c r="L4091" s="23"/>
      <c r="M4091" s="23"/>
      <c r="N4091" s="23"/>
      <c r="O4091" s="23"/>
      <c r="P4091" s="23"/>
      <c r="Q4091" s="23"/>
      <c r="R4091" s="23"/>
      <c r="S4091" s="23"/>
      <c r="T4091" s="23"/>
      <c r="U4091" s="23"/>
    </row>
    <row r="4092">
      <c r="A4092" s="20"/>
      <c r="B4092" s="20"/>
      <c r="C4092" s="30"/>
      <c r="D4092" s="30"/>
      <c r="E4092" s="30"/>
      <c r="F4092" s="22"/>
      <c r="G4092" s="23"/>
      <c r="H4092" s="23"/>
      <c r="I4092" s="23"/>
      <c r="J4092" s="23"/>
      <c r="K4092" s="23"/>
      <c r="L4092" s="23"/>
      <c r="M4092" s="23"/>
      <c r="N4092" s="23"/>
      <c r="O4092" s="23"/>
      <c r="P4092" s="23"/>
      <c r="Q4092" s="23"/>
      <c r="R4092" s="23"/>
      <c r="S4092" s="23"/>
      <c r="T4092" s="23"/>
      <c r="U4092" s="23"/>
    </row>
    <row r="4093">
      <c r="A4093" s="20"/>
      <c r="B4093" s="20"/>
      <c r="C4093" s="30"/>
      <c r="D4093" s="30"/>
      <c r="E4093" s="30"/>
      <c r="F4093" s="22"/>
      <c r="G4093" s="23"/>
      <c r="H4093" s="23"/>
      <c r="I4093" s="23"/>
      <c r="J4093" s="23"/>
      <c r="K4093" s="23"/>
      <c r="L4093" s="23"/>
      <c r="M4093" s="23"/>
      <c r="N4093" s="23"/>
      <c r="O4093" s="23"/>
      <c r="P4093" s="23"/>
      <c r="Q4093" s="23"/>
      <c r="R4093" s="23"/>
      <c r="S4093" s="23"/>
      <c r="T4093" s="23"/>
      <c r="U4093" s="23"/>
    </row>
    <row r="4094">
      <c r="A4094" s="20"/>
      <c r="B4094" s="20"/>
      <c r="C4094" s="30"/>
      <c r="D4094" s="30"/>
      <c r="E4094" s="30"/>
      <c r="F4094" s="22"/>
      <c r="G4094" s="23"/>
      <c r="H4094" s="23"/>
      <c r="I4094" s="23"/>
      <c r="J4094" s="23"/>
      <c r="K4094" s="23"/>
      <c r="L4094" s="23"/>
      <c r="M4094" s="23"/>
      <c r="N4094" s="23"/>
      <c r="O4094" s="23"/>
      <c r="P4094" s="23"/>
      <c r="Q4094" s="23"/>
      <c r="R4094" s="23"/>
      <c r="S4094" s="23"/>
      <c r="T4094" s="23"/>
      <c r="U4094" s="23"/>
    </row>
    <row r="4095">
      <c r="A4095" s="20"/>
      <c r="B4095" s="20"/>
      <c r="C4095" s="30"/>
      <c r="D4095" s="30"/>
      <c r="E4095" s="30"/>
      <c r="F4095" s="22"/>
      <c r="G4095" s="23"/>
      <c r="H4095" s="23"/>
      <c r="I4095" s="23"/>
      <c r="J4095" s="23"/>
      <c r="K4095" s="23"/>
      <c r="L4095" s="23"/>
      <c r="M4095" s="23"/>
      <c r="N4095" s="23"/>
      <c r="O4095" s="23"/>
      <c r="P4095" s="23"/>
      <c r="Q4095" s="23"/>
      <c r="R4095" s="23"/>
      <c r="S4095" s="23"/>
      <c r="T4095" s="23"/>
      <c r="U4095" s="23"/>
    </row>
    <row r="4096">
      <c r="A4096" s="20"/>
      <c r="B4096" s="20"/>
      <c r="C4096" s="30"/>
      <c r="D4096" s="30"/>
      <c r="E4096" s="30"/>
      <c r="F4096" s="22"/>
      <c r="G4096" s="23"/>
      <c r="H4096" s="23"/>
      <c r="I4096" s="23"/>
      <c r="J4096" s="23"/>
      <c r="K4096" s="23"/>
      <c r="L4096" s="23"/>
      <c r="M4096" s="23"/>
      <c r="N4096" s="23"/>
      <c r="O4096" s="23"/>
      <c r="P4096" s="23"/>
      <c r="Q4096" s="23"/>
      <c r="R4096" s="23"/>
      <c r="S4096" s="23"/>
      <c r="T4096" s="23"/>
      <c r="U4096" s="23"/>
    </row>
    <row r="4097">
      <c r="A4097" s="20"/>
      <c r="B4097" s="20"/>
      <c r="C4097" s="30"/>
      <c r="D4097" s="30"/>
      <c r="E4097" s="30"/>
      <c r="F4097" s="22"/>
      <c r="G4097" s="23"/>
      <c r="H4097" s="23"/>
      <c r="I4097" s="23"/>
      <c r="J4097" s="23"/>
      <c r="K4097" s="23"/>
      <c r="L4097" s="23"/>
      <c r="M4097" s="23"/>
      <c r="N4097" s="23"/>
      <c r="O4097" s="23"/>
      <c r="P4097" s="23"/>
      <c r="Q4097" s="23"/>
      <c r="R4097" s="23"/>
      <c r="S4097" s="23"/>
      <c r="T4097" s="23"/>
      <c r="U4097" s="23"/>
    </row>
    <row r="4098">
      <c r="A4098" s="20"/>
      <c r="B4098" s="20"/>
      <c r="C4098" s="30"/>
      <c r="D4098" s="30"/>
      <c r="E4098" s="30"/>
      <c r="F4098" s="22"/>
      <c r="G4098" s="23"/>
      <c r="H4098" s="23"/>
      <c r="I4098" s="23"/>
      <c r="J4098" s="23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</row>
    <row r="4099">
      <c r="A4099" s="20"/>
      <c r="B4099" s="20"/>
      <c r="C4099" s="30"/>
      <c r="D4099" s="30"/>
      <c r="E4099" s="30"/>
      <c r="F4099" s="22"/>
      <c r="G4099" s="23"/>
      <c r="H4099" s="23"/>
      <c r="I4099" s="23"/>
      <c r="J4099" s="23"/>
      <c r="K4099" s="23"/>
      <c r="L4099" s="23"/>
      <c r="M4099" s="23"/>
      <c r="N4099" s="23"/>
      <c r="O4099" s="23"/>
      <c r="P4099" s="23"/>
      <c r="Q4099" s="23"/>
      <c r="R4099" s="23"/>
      <c r="S4099" s="23"/>
      <c r="T4099" s="23"/>
      <c r="U4099" s="23"/>
    </row>
    <row r="4100">
      <c r="A4100" s="20"/>
      <c r="B4100" s="20"/>
      <c r="C4100" s="30"/>
      <c r="D4100" s="30"/>
      <c r="E4100" s="30"/>
      <c r="F4100" s="22"/>
      <c r="G4100" s="23"/>
      <c r="H4100" s="23"/>
      <c r="I4100" s="23"/>
      <c r="J4100" s="23"/>
      <c r="K4100" s="23"/>
      <c r="L4100" s="23"/>
      <c r="M4100" s="23"/>
      <c r="N4100" s="23"/>
      <c r="O4100" s="23"/>
      <c r="P4100" s="23"/>
      <c r="Q4100" s="23"/>
      <c r="R4100" s="23"/>
      <c r="S4100" s="23"/>
      <c r="T4100" s="23"/>
      <c r="U4100" s="23"/>
    </row>
    <row r="4101">
      <c r="A4101" s="20"/>
      <c r="B4101" s="20"/>
      <c r="C4101" s="30"/>
      <c r="D4101" s="30"/>
      <c r="E4101" s="30"/>
      <c r="F4101" s="22"/>
      <c r="G4101" s="23"/>
      <c r="H4101" s="23"/>
      <c r="I4101" s="23"/>
      <c r="J4101" s="23"/>
      <c r="K4101" s="23"/>
      <c r="L4101" s="23"/>
      <c r="M4101" s="23"/>
      <c r="N4101" s="23"/>
      <c r="O4101" s="23"/>
      <c r="P4101" s="23"/>
      <c r="Q4101" s="23"/>
      <c r="R4101" s="23"/>
      <c r="S4101" s="23"/>
      <c r="T4101" s="23"/>
      <c r="U4101" s="23"/>
    </row>
    <row r="4102">
      <c r="A4102" s="20"/>
      <c r="B4102" s="20"/>
      <c r="C4102" s="30"/>
      <c r="D4102" s="30"/>
      <c r="E4102" s="30"/>
      <c r="F4102" s="22"/>
      <c r="G4102" s="23"/>
      <c r="H4102" s="23"/>
      <c r="I4102" s="23"/>
      <c r="J4102" s="23"/>
      <c r="K4102" s="23"/>
      <c r="L4102" s="23"/>
      <c r="M4102" s="23"/>
      <c r="N4102" s="23"/>
      <c r="O4102" s="23"/>
      <c r="P4102" s="23"/>
      <c r="Q4102" s="23"/>
      <c r="R4102" s="23"/>
      <c r="S4102" s="23"/>
      <c r="T4102" s="23"/>
      <c r="U4102" s="23"/>
    </row>
    <row r="4103">
      <c r="A4103" s="20"/>
      <c r="B4103" s="20"/>
      <c r="C4103" s="30"/>
      <c r="D4103" s="30"/>
      <c r="E4103" s="30"/>
      <c r="F4103" s="22"/>
      <c r="G4103" s="23"/>
      <c r="H4103" s="23"/>
      <c r="I4103" s="23"/>
      <c r="J4103" s="23"/>
      <c r="K4103" s="23"/>
      <c r="L4103" s="23"/>
      <c r="M4103" s="23"/>
      <c r="N4103" s="23"/>
      <c r="O4103" s="23"/>
      <c r="P4103" s="23"/>
      <c r="Q4103" s="23"/>
      <c r="R4103" s="23"/>
      <c r="S4103" s="23"/>
      <c r="T4103" s="23"/>
      <c r="U4103" s="23"/>
    </row>
    <row r="4104">
      <c r="A4104" s="20"/>
      <c r="B4104" s="20"/>
      <c r="C4104" s="30"/>
      <c r="D4104" s="30"/>
      <c r="E4104" s="30"/>
      <c r="F4104" s="22"/>
      <c r="G4104" s="23"/>
      <c r="H4104" s="23"/>
      <c r="I4104" s="23"/>
      <c r="J4104" s="23"/>
      <c r="K4104" s="23"/>
      <c r="L4104" s="23"/>
      <c r="M4104" s="23"/>
      <c r="N4104" s="23"/>
      <c r="O4104" s="23"/>
      <c r="P4104" s="23"/>
      <c r="Q4104" s="23"/>
      <c r="R4104" s="23"/>
      <c r="S4104" s="23"/>
      <c r="T4104" s="23"/>
      <c r="U4104" s="23"/>
    </row>
    <row r="4105">
      <c r="A4105" s="20"/>
      <c r="B4105" s="20"/>
      <c r="C4105" s="30"/>
      <c r="D4105" s="30"/>
      <c r="E4105" s="30"/>
      <c r="F4105" s="22"/>
      <c r="G4105" s="23"/>
      <c r="H4105" s="23"/>
      <c r="I4105" s="23"/>
      <c r="J4105" s="23"/>
      <c r="K4105" s="23"/>
      <c r="L4105" s="23"/>
      <c r="M4105" s="23"/>
      <c r="N4105" s="23"/>
      <c r="O4105" s="23"/>
      <c r="P4105" s="23"/>
      <c r="Q4105" s="23"/>
      <c r="R4105" s="23"/>
      <c r="S4105" s="23"/>
      <c r="T4105" s="23"/>
      <c r="U4105" s="23"/>
    </row>
    <row r="4106">
      <c r="A4106" s="20"/>
      <c r="B4106" s="20"/>
      <c r="C4106" s="30"/>
      <c r="D4106" s="30"/>
      <c r="E4106" s="30"/>
      <c r="F4106" s="22"/>
      <c r="G4106" s="23"/>
      <c r="H4106" s="23"/>
      <c r="I4106" s="23"/>
      <c r="J4106" s="23"/>
      <c r="K4106" s="23"/>
      <c r="L4106" s="23"/>
      <c r="M4106" s="23"/>
      <c r="N4106" s="23"/>
      <c r="O4106" s="23"/>
      <c r="P4106" s="23"/>
      <c r="Q4106" s="23"/>
      <c r="R4106" s="23"/>
      <c r="S4106" s="23"/>
      <c r="T4106" s="23"/>
      <c r="U4106" s="23"/>
    </row>
    <row r="4107">
      <c r="A4107" s="20"/>
      <c r="B4107" s="20"/>
      <c r="C4107" s="30"/>
      <c r="D4107" s="30"/>
      <c r="E4107" s="30"/>
      <c r="F4107" s="22"/>
      <c r="G4107" s="23"/>
      <c r="H4107" s="23"/>
      <c r="I4107" s="23"/>
      <c r="J4107" s="23"/>
      <c r="K4107" s="23"/>
      <c r="L4107" s="23"/>
      <c r="M4107" s="23"/>
      <c r="N4107" s="23"/>
      <c r="O4107" s="23"/>
      <c r="P4107" s="23"/>
      <c r="Q4107" s="23"/>
      <c r="R4107" s="23"/>
      <c r="S4107" s="23"/>
      <c r="T4107" s="23"/>
      <c r="U4107" s="23"/>
    </row>
    <row r="4108">
      <c r="A4108" s="20"/>
      <c r="B4108" s="20"/>
      <c r="C4108" s="30"/>
      <c r="D4108" s="30"/>
      <c r="E4108" s="30"/>
      <c r="F4108" s="22"/>
      <c r="G4108" s="23"/>
      <c r="H4108" s="23"/>
      <c r="I4108" s="23"/>
      <c r="J4108" s="23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</row>
    <row r="4109">
      <c r="A4109" s="20"/>
      <c r="B4109" s="20"/>
      <c r="C4109" s="30"/>
      <c r="D4109" s="30"/>
      <c r="E4109" s="30"/>
      <c r="F4109" s="22"/>
      <c r="G4109" s="23"/>
      <c r="H4109" s="23"/>
      <c r="I4109" s="23"/>
      <c r="J4109" s="23"/>
      <c r="K4109" s="23"/>
      <c r="L4109" s="23"/>
      <c r="M4109" s="23"/>
      <c r="N4109" s="23"/>
      <c r="O4109" s="23"/>
      <c r="P4109" s="23"/>
      <c r="Q4109" s="23"/>
      <c r="R4109" s="23"/>
      <c r="S4109" s="23"/>
      <c r="T4109" s="23"/>
      <c r="U4109" s="23"/>
    </row>
    <row r="4110">
      <c r="A4110" s="20"/>
      <c r="B4110" s="20"/>
      <c r="C4110" s="30"/>
      <c r="D4110" s="30"/>
      <c r="E4110" s="30"/>
      <c r="F4110" s="22"/>
      <c r="G4110" s="23"/>
      <c r="H4110" s="23"/>
      <c r="I4110" s="23"/>
      <c r="J4110" s="23"/>
      <c r="K4110" s="23"/>
      <c r="L4110" s="23"/>
      <c r="M4110" s="23"/>
      <c r="N4110" s="23"/>
      <c r="O4110" s="23"/>
      <c r="P4110" s="23"/>
      <c r="Q4110" s="23"/>
      <c r="R4110" s="23"/>
      <c r="S4110" s="23"/>
      <c r="T4110" s="23"/>
      <c r="U4110" s="23"/>
    </row>
    <row r="4111">
      <c r="A4111" s="20"/>
      <c r="B4111" s="20"/>
      <c r="C4111" s="30"/>
      <c r="D4111" s="30"/>
      <c r="E4111" s="30"/>
      <c r="F4111" s="22"/>
      <c r="G4111" s="23"/>
      <c r="H4111" s="23"/>
      <c r="I4111" s="23"/>
      <c r="J4111" s="23"/>
      <c r="K4111" s="23"/>
      <c r="L4111" s="23"/>
      <c r="M4111" s="23"/>
      <c r="N4111" s="23"/>
      <c r="O4111" s="23"/>
      <c r="P4111" s="23"/>
      <c r="Q4111" s="23"/>
      <c r="R4111" s="23"/>
      <c r="S4111" s="23"/>
      <c r="T4111" s="23"/>
      <c r="U4111" s="23"/>
    </row>
    <row r="4112">
      <c r="A4112" s="20"/>
      <c r="B4112" s="20"/>
      <c r="C4112" s="30"/>
      <c r="D4112" s="30"/>
      <c r="E4112" s="30"/>
      <c r="F4112" s="22"/>
      <c r="G4112" s="23"/>
      <c r="H4112" s="23"/>
      <c r="I4112" s="23"/>
      <c r="J4112" s="23"/>
      <c r="K4112" s="23"/>
      <c r="L4112" s="23"/>
      <c r="M4112" s="23"/>
      <c r="N4112" s="23"/>
      <c r="O4112" s="23"/>
      <c r="P4112" s="23"/>
      <c r="Q4112" s="23"/>
      <c r="R4112" s="23"/>
      <c r="S4112" s="23"/>
      <c r="T4112" s="23"/>
      <c r="U4112" s="23"/>
    </row>
    <row r="4113">
      <c r="A4113" s="20"/>
      <c r="B4113" s="20"/>
      <c r="C4113" s="30"/>
      <c r="D4113" s="30"/>
      <c r="E4113" s="30"/>
      <c r="F4113" s="22"/>
      <c r="G4113" s="23"/>
      <c r="H4113" s="23"/>
      <c r="I4113" s="23"/>
      <c r="J4113" s="23"/>
      <c r="K4113" s="23"/>
      <c r="L4113" s="23"/>
      <c r="M4113" s="23"/>
      <c r="N4113" s="23"/>
      <c r="O4113" s="23"/>
      <c r="P4113" s="23"/>
      <c r="Q4113" s="23"/>
      <c r="R4113" s="23"/>
      <c r="S4113" s="23"/>
      <c r="T4113" s="23"/>
      <c r="U4113" s="23"/>
    </row>
    <row r="4114">
      <c r="A4114" s="20"/>
      <c r="B4114" s="20"/>
      <c r="C4114" s="30"/>
      <c r="D4114" s="30"/>
      <c r="E4114" s="30"/>
      <c r="F4114" s="22"/>
      <c r="G4114" s="23"/>
      <c r="H4114" s="23"/>
      <c r="I4114" s="23"/>
      <c r="J4114" s="23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</row>
    <row r="4115">
      <c r="A4115" s="20"/>
      <c r="B4115" s="20"/>
      <c r="C4115" s="30"/>
      <c r="D4115" s="30"/>
      <c r="E4115" s="30"/>
      <c r="F4115" s="22"/>
      <c r="G4115" s="23"/>
      <c r="H4115" s="23"/>
      <c r="I4115" s="23"/>
      <c r="J4115" s="23"/>
      <c r="K4115" s="23"/>
      <c r="L4115" s="23"/>
      <c r="M4115" s="23"/>
      <c r="N4115" s="23"/>
      <c r="O4115" s="23"/>
      <c r="P4115" s="23"/>
      <c r="Q4115" s="23"/>
      <c r="R4115" s="23"/>
      <c r="S4115" s="23"/>
      <c r="T4115" s="23"/>
      <c r="U4115" s="23"/>
    </row>
    <row r="4116">
      <c r="A4116" s="20"/>
      <c r="B4116" s="20"/>
      <c r="C4116" s="30"/>
      <c r="D4116" s="30"/>
      <c r="E4116" s="30"/>
      <c r="F4116" s="22"/>
      <c r="G4116" s="23"/>
      <c r="H4116" s="23"/>
      <c r="I4116" s="23"/>
      <c r="J4116" s="23"/>
      <c r="K4116" s="23"/>
      <c r="L4116" s="23"/>
      <c r="M4116" s="23"/>
      <c r="N4116" s="23"/>
      <c r="O4116" s="23"/>
      <c r="P4116" s="23"/>
      <c r="Q4116" s="23"/>
      <c r="R4116" s="23"/>
      <c r="S4116" s="23"/>
      <c r="T4116" s="23"/>
      <c r="U4116" s="23"/>
    </row>
    <row r="4117">
      <c r="A4117" s="20"/>
      <c r="B4117" s="20"/>
      <c r="C4117" s="30"/>
      <c r="D4117" s="30"/>
      <c r="E4117" s="30"/>
      <c r="F4117" s="22"/>
      <c r="G4117" s="23"/>
      <c r="H4117" s="23"/>
      <c r="I4117" s="23"/>
      <c r="J4117" s="23"/>
      <c r="K4117" s="23"/>
      <c r="L4117" s="23"/>
      <c r="M4117" s="23"/>
      <c r="N4117" s="23"/>
      <c r="O4117" s="23"/>
      <c r="P4117" s="23"/>
      <c r="Q4117" s="23"/>
      <c r="R4117" s="23"/>
      <c r="S4117" s="23"/>
      <c r="T4117" s="23"/>
      <c r="U4117" s="23"/>
    </row>
    <row r="4118">
      <c r="A4118" s="20"/>
      <c r="B4118" s="20"/>
      <c r="C4118" s="30"/>
      <c r="D4118" s="30"/>
      <c r="E4118" s="30"/>
      <c r="F4118" s="22"/>
      <c r="G4118" s="23"/>
      <c r="H4118" s="23"/>
      <c r="I4118" s="23"/>
      <c r="J4118" s="23"/>
      <c r="K4118" s="23"/>
      <c r="L4118" s="23"/>
      <c r="M4118" s="23"/>
      <c r="N4118" s="23"/>
      <c r="O4118" s="23"/>
      <c r="P4118" s="23"/>
      <c r="Q4118" s="23"/>
      <c r="R4118" s="23"/>
      <c r="S4118" s="23"/>
      <c r="T4118" s="23"/>
      <c r="U4118" s="23"/>
    </row>
    <row r="4119">
      <c r="A4119" s="20"/>
      <c r="B4119" s="20"/>
      <c r="C4119" s="30"/>
      <c r="D4119" s="30"/>
      <c r="E4119" s="30"/>
      <c r="F4119" s="22"/>
      <c r="G4119" s="23"/>
      <c r="H4119" s="23"/>
      <c r="I4119" s="23"/>
      <c r="J4119" s="23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</row>
    <row r="4120">
      <c r="A4120" s="20"/>
      <c r="B4120" s="20"/>
      <c r="C4120" s="30"/>
      <c r="D4120" s="30"/>
      <c r="E4120" s="30"/>
      <c r="F4120" s="22"/>
      <c r="G4120" s="23"/>
      <c r="H4120" s="23"/>
      <c r="I4120" s="23"/>
      <c r="J4120" s="23"/>
      <c r="K4120" s="23"/>
      <c r="L4120" s="23"/>
      <c r="M4120" s="23"/>
      <c r="N4120" s="23"/>
      <c r="O4120" s="23"/>
      <c r="P4120" s="23"/>
      <c r="Q4120" s="23"/>
      <c r="R4120" s="23"/>
      <c r="S4120" s="23"/>
      <c r="T4120" s="23"/>
      <c r="U4120" s="23"/>
    </row>
    <row r="4121">
      <c r="A4121" s="20"/>
      <c r="B4121" s="20"/>
      <c r="C4121" s="30"/>
      <c r="D4121" s="30"/>
      <c r="E4121" s="30"/>
      <c r="F4121" s="22"/>
      <c r="G4121" s="23"/>
      <c r="H4121" s="23"/>
      <c r="I4121" s="23"/>
      <c r="J4121" s="23"/>
      <c r="K4121" s="23"/>
      <c r="L4121" s="23"/>
      <c r="M4121" s="23"/>
      <c r="N4121" s="23"/>
      <c r="O4121" s="23"/>
      <c r="P4121" s="23"/>
      <c r="Q4121" s="23"/>
      <c r="R4121" s="23"/>
      <c r="S4121" s="23"/>
      <c r="T4121" s="23"/>
      <c r="U4121" s="23"/>
    </row>
    <row r="4122">
      <c r="A4122" s="20"/>
      <c r="B4122" s="20"/>
      <c r="C4122" s="30"/>
      <c r="D4122" s="30"/>
      <c r="E4122" s="30"/>
      <c r="F4122" s="22"/>
      <c r="G4122" s="23"/>
      <c r="H4122" s="23"/>
      <c r="I4122" s="23"/>
      <c r="J4122" s="23"/>
      <c r="K4122" s="23"/>
      <c r="L4122" s="23"/>
      <c r="M4122" s="23"/>
      <c r="N4122" s="23"/>
      <c r="O4122" s="23"/>
      <c r="P4122" s="23"/>
      <c r="Q4122" s="23"/>
      <c r="R4122" s="23"/>
      <c r="S4122" s="23"/>
      <c r="T4122" s="23"/>
      <c r="U4122" s="23"/>
    </row>
    <row r="4123">
      <c r="A4123" s="20"/>
      <c r="B4123" s="20"/>
      <c r="C4123" s="30"/>
      <c r="D4123" s="30"/>
      <c r="E4123" s="30"/>
      <c r="F4123" s="22"/>
      <c r="G4123" s="23"/>
      <c r="H4123" s="23"/>
      <c r="I4123" s="23"/>
      <c r="J4123" s="23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</row>
    <row r="4124">
      <c r="A4124" s="20"/>
      <c r="B4124" s="20"/>
      <c r="C4124" s="30"/>
      <c r="D4124" s="30"/>
      <c r="E4124" s="30"/>
      <c r="F4124" s="22"/>
      <c r="G4124" s="23"/>
      <c r="H4124" s="23"/>
      <c r="I4124" s="23"/>
      <c r="J4124" s="23"/>
      <c r="K4124" s="23"/>
      <c r="L4124" s="23"/>
      <c r="M4124" s="23"/>
      <c r="N4124" s="23"/>
      <c r="O4124" s="23"/>
      <c r="P4124" s="23"/>
      <c r="Q4124" s="23"/>
      <c r="R4124" s="23"/>
      <c r="S4124" s="23"/>
      <c r="T4124" s="23"/>
      <c r="U4124" s="23"/>
    </row>
    <row r="4125">
      <c r="A4125" s="20"/>
      <c r="B4125" s="20"/>
      <c r="C4125" s="30"/>
      <c r="D4125" s="30"/>
      <c r="E4125" s="30"/>
      <c r="F4125" s="22"/>
      <c r="G4125" s="23"/>
      <c r="H4125" s="23"/>
      <c r="I4125" s="23"/>
      <c r="J4125" s="23"/>
      <c r="K4125" s="23"/>
      <c r="L4125" s="23"/>
      <c r="M4125" s="23"/>
      <c r="N4125" s="23"/>
      <c r="O4125" s="23"/>
      <c r="P4125" s="23"/>
      <c r="Q4125" s="23"/>
      <c r="R4125" s="23"/>
      <c r="S4125" s="23"/>
      <c r="T4125" s="23"/>
      <c r="U4125" s="23"/>
    </row>
    <row r="4126">
      <c r="A4126" s="20"/>
      <c r="B4126" s="20"/>
      <c r="C4126" s="30"/>
      <c r="D4126" s="30"/>
      <c r="E4126" s="30"/>
      <c r="F4126" s="22"/>
      <c r="G4126" s="23"/>
      <c r="H4126" s="23"/>
      <c r="I4126" s="23"/>
      <c r="J4126" s="23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</row>
    <row r="4127">
      <c r="A4127" s="20"/>
      <c r="B4127" s="20"/>
      <c r="C4127" s="30"/>
      <c r="D4127" s="30"/>
      <c r="E4127" s="30"/>
      <c r="F4127" s="22"/>
      <c r="G4127" s="23"/>
      <c r="H4127" s="23"/>
      <c r="I4127" s="23"/>
      <c r="J4127" s="23"/>
      <c r="K4127" s="23"/>
      <c r="L4127" s="23"/>
      <c r="M4127" s="23"/>
      <c r="N4127" s="23"/>
      <c r="O4127" s="23"/>
      <c r="P4127" s="23"/>
      <c r="Q4127" s="23"/>
      <c r="R4127" s="23"/>
      <c r="S4127" s="23"/>
      <c r="T4127" s="23"/>
      <c r="U4127" s="23"/>
    </row>
    <row r="4128">
      <c r="A4128" s="20"/>
      <c r="B4128" s="20"/>
      <c r="C4128" s="30"/>
      <c r="D4128" s="30"/>
      <c r="E4128" s="30"/>
      <c r="F4128" s="22"/>
      <c r="G4128" s="23"/>
      <c r="H4128" s="23"/>
      <c r="I4128" s="23"/>
      <c r="J4128" s="23"/>
      <c r="K4128" s="23"/>
      <c r="L4128" s="23"/>
      <c r="M4128" s="23"/>
      <c r="N4128" s="23"/>
      <c r="O4128" s="23"/>
      <c r="P4128" s="23"/>
      <c r="Q4128" s="23"/>
      <c r="R4128" s="23"/>
      <c r="S4128" s="23"/>
      <c r="T4128" s="23"/>
      <c r="U4128" s="23"/>
    </row>
    <row r="4129">
      <c r="A4129" s="20"/>
      <c r="B4129" s="20"/>
      <c r="C4129" s="30"/>
      <c r="D4129" s="30"/>
      <c r="E4129" s="30"/>
      <c r="F4129" s="22"/>
      <c r="G4129" s="23"/>
      <c r="H4129" s="23"/>
      <c r="I4129" s="23"/>
      <c r="J4129" s="23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</row>
    <row r="4130">
      <c r="A4130" s="20"/>
      <c r="B4130" s="20"/>
      <c r="C4130" s="30"/>
      <c r="D4130" s="30"/>
      <c r="E4130" s="30"/>
      <c r="F4130" s="22"/>
      <c r="G4130" s="23"/>
      <c r="H4130" s="23"/>
      <c r="I4130" s="23"/>
      <c r="J4130" s="23"/>
      <c r="K4130" s="23"/>
      <c r="L4130" s="23"/>
      <c r="M4130" s="23"/>
      <c r="N4130" s="23"/>
      <c r="O4130" s="23"/>
      <c r="P4130" s="23"/>
      <c r="Q4130" s="23"/>
      <c r="R4130" s="23"/>
      <c r="S4130" s="23"/>
      <c r="T4130" s="23"/>
      <c r="U4130" s="23"/>
    </row>
    <row r="4131">
      <c r="A4131" s="20"/>
      <c r="B4131" s="20"/>
      <c r="C4131" s="30"/>
      <c r="D4131" s="30"/>
      <c r="E4131" s="30"/>
      <c r="F4131" s="22"/>
      <c r="G4131" s="23"/>
      <c r="H4131" s="23"/>
      <c r="I4131" s="23"/>
      <c r="J4131" s="23"/>
      <c r="K4131" s="23"/>
      <c r="L4131" s="23"/>
      <c r="M4131" s="23"/>
      <c r="N4131" s="23"/>
      <c r="O4131" s="23"/>
      <c r="P4131" s="23"/>
      <c r="Q4131" s="23"/>
      <c r="R4131" s="23"/>
      <c r="S4131" s="23"/>
      <c r="T4131" s="23"/>
      <c r="U4131" s="23"/>
    </row>
    <row r="4132">
      <c r="A4132" s="20"/>
      <c r="B4132" s="20"/>
      <c r="C4132" s="30"/>
      <c r="D4132" s="30"/>
      <c r="E4132" s="30"/>
      <c r="F4132" s="22"/>
      <c r="G4132" s="23"/>
      <c r="H4132" s="23"/>
      <c r="I4132" s="23"/>
      <c r="J4132" s="23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</row>
    <row r="4133">
      <c r="A4133" s="20"/>
      <c r="B4133" s="20"/>
      <c r="C4133" s="30"/>
      <c r="D4133" s="30"/>
      <c r="E4133" s="30"/>
      <c r="F4133" s="22"/>
      <c r="G4133" s="23"/>
      <c r="H4133" s="23"/>
      <c r="I4133" s="23"/>
      <c r="J4133" s="23"/>
      <c r="K4133" s="23"/>
      <c r="L4133" s="23"/>
      <c r="M4133" s="23"/>
      <c r="N4133" s="23"/>
      <c r="O4133" s="23"/>
      <c r="P4133" s="23"/>
      <c r="Q4133" s="23"/>
      <c r="R4133" s="23"/>
      <c r="S4133" s="23"/>
      <c r="T4133" s="23"/>
      <c r="U4133" s="23"/>
    </row>
    <row r="4134">
      <c r="A4134" s="20"/>
      <c r="B4134" s="20"/>
      <c r="C4134" s="30"/>
      <c r="D4134" s="30"/>
      <c r="E4134" s="30"/>
      <c r="F4134" s="22"/>
      <c r="G4134" s="23"/>
      <c r="H4134" s="23"/>
      <c r="I4134" s="23"/>
      <c r="J4134" s="23"/>
      <c r="K4134" s="23"/>
      <c r="L4134" s="23"/>
      <c r="M4134" s="23"/>
      <c r="N4134" s="23"/>
      <c r="O4134" s="23"/>
      <c r="P4134" s="23"/>
      <c r="Q4134" s="23"/>
      <c r="R4134" s="23"/>
      <c r="S4134" s="23"/>
      <c r="T4134" s="23"/>
      <c r="U4134" s="23"/>
    </row>
    <row r="4135">
      <c r="A4135" s="20"/>
      <c r="B4135" s="20"/>
      <c r="C4135" s="30"/>
      <c r="D4135" s="30"/>
      <c r="E4135" s="30"/>
      <c r="F4135" s="22"/>
      <c r="G4135" s="23"/>
      <c r="H4135" s="23"/>
      <c r="I4135" s="23"/>
      <c r="J4135" s="23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</row>
    <row r="4136">
      <c r="A4136" s="20"/>
      <c r="B4136" s="20"/>
      <c r="C4136" s="30"/>
      <c r="D4136" s="30"/>
      <c r="E4136" s="30"/>
      <c r="F4136" s="22"/>
      <c r="G4136" s="23"/>
      <c r="H4136" s="23"/>
      <c r="I4136" s="23"/>
      <c r="J4136" s="23"/>
      <c r="K4136" s="23"/>
      <c r="L4136" s="23"/>
      <c r="M4136" s="23"/>
      <c r="N4136" s="23"/>
      <c r="O4136" s="23"/>
      <c r="P4136" s="23"/>
      <c r="Q4136" s="23"/>
      <c r="R4136" s="23"/>
      <c r="S4136" s="23"/>
      <c r="T4136" s="23"/>
      <c r="U4136" s="23"/>
    </row>
    <row r="4137">
      <c r="A4137" s="20"/>
      <c r="B4137" s="20"/>
      <c r="C4137" s="30"/>
      <c r="D4137" s="30"/>
      <c r="E4137" s="30"/>
      <c r="F4137" s="22"/>
      <c r="G4137" s="23"/>
      <c r="H4137" s="23"/>
      <c r="I4137" s="23"/>
      <c r="J4137" s="23"/>
      <c r="K4137" s="23"/>
      <c r="L4137" s="23"/>
      <c r="M4137" s="23"/>
      <c r="N4137" s="23"/>
      <c r="O4137" s="23"/>
      <c r="P4137" s="23"/>
      <c r="Q4137" s="23"/>
      <c r="R4137" s="23"/>
      <c r="S4137" s="23"/>
      <c r="T4137" s="23"/>
      <c r="U4137" s="23"/>
    </row>
    <row r="4138">
      <c r="A4138" s="20"/>
      <c r="B4138" s="20"/>
      <c r="C4138" s="30"/>
      <c r="D4138" s="30"/>
      <c r="E4138" s="30"/>
      <c r="F4138" s="22"/>
      <c r="G4138" s="23"/>
      <c r="H4138" s="23"/>
      <c r="I4138" s="23"/>
      <c r="J4138" s="23"/>
      <c r="K4138" s="23"/>
      <c r="L4138" s="23"/>
      <c r="M4138" s="23"/>
      <c r="N4138" s="23"/>
      <c r="O4138" s="23"/>
      <c r="P4138" s="23"/>
      <c r="Q4138" s="23"/>
      <c r="R4138" s="23"/>
      <c r="S4138" s="23"/>
      <c r="T4138" s="23"/>
      <c r="U4138" s="23"/>
    </row>
    <row r="4139">
      <c r="A4139" s="20"/>
      <c r="B4139" s="20"/>
      <c r="C4139" s="30"/>
      <c r="D4139" s="30"/>
      <c r="E4139" s="30"/>
      <c r="F4139" s="22"/>
      <c r="G4139" s="23"/>
      <c r="H4139" s="23"/>
      <c r="I4139" s="23"/>
      <c r="J4139" s="23"/>
      <c r="K4139" s="23"/>
      <c r="L4139" s="23"/>
      <c r="M4139" s="23"/>
      <c r="N4139" s="23"/>
      <c r="O4139" s="23"/>
      <c r="P4139" s="23"/>
      <c r="Q4139" s="23"/>
      <c r="R4139" s="23"/>
      <c r="S4139" s="23"/>
      <c r="T4139" s="23"/>
      <c r="U4139" s="23"/>
    </row>
    <row r="4140">
      <c r="A4140" s="20"/>
      <c r="B4140" s="20"/>
      <c r="C4140" s="30"/>
      <c r="D4140" s="30"/>
      <c r="E4140" s="30"/>
      <c r="F4140" s="22"/>
      <c r="G4140" s="23"/>
      <c r="H4140" s="23"/>
      <c r="I4140" s="23"/>
      <c r="J4140" s="23"/>
      <c r="K4140" s="23"/>
      <c r="L4140" s="23"/>
      <c r="M4140" s="23"/>
      <c r="N4140" s="23"/>
      <c r="O4140" s="23"/>
      <c r="P4140" s="23"/>
      <c r="Q4140" s="23"/>
      <c r="R4140" s="23"/>
      <c r="S4140" s="23"/>
      <c r="T4140" s="23"/>
      <c r="U4140" s="23"/>
    </row>
    <row r="4141">
      <c r="A4141" s="20"/>
      <c r="B4141" s="20"/>
      <c r="C4141" s="30"/>
      <c r="D4141" s="30"/>
      <c r="E4141" s="30"/>
      <c r="F4141" s="22"/>
      <c r="G4141" s="23"/>
      <c r="H4141" s="23"/>
      <c r="I4141" s="23"/>
      <c r="J4141" s="23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</row>
    <row r="4142">
      <c r="A4142" s="20"/>
      <c r="B4142" s="20"/>
      <c r="C4142" s="30"/>
      <c r="D4142" s="30"/>
      <c r="E4142" s="30"/>
      <c r="F4142" s="22"/>
      <c r="G4142" s="23"/>
      <c r="H4142" s="23"/>
      <c r="I4142" s="23"/>
      <c r="J4142" s="23"/>
      <c r="K4142" s="23"/>
      <c r="L4142" s="23"/>
      <c r="M4142" s="23"/>
      <c r="N4142" s="23"/>
      <c r="O4142" s="23"/>
      <c r="P4142" s="23"/>
      <c r="Q4142" s="23"/>
      <c r="R4142" s="23"/>
      <c r="S4142" s="23"/>
      <c r="T4142" s="23"/>
      <c r="U4142" s="23"/>
    </row>
    <row r="4143">
      <c r="A4143" s="20"/>
      <c r="B4143" s="20"/>
      <c r="C4143" s="30"/>
      <c r="D4143" s="30"/>
      <c r="E4143" s="30"/>
      <c r="F4143" s="22"/>
      <c r="G4143" s="23"/>
      <c r="H4143" s="23"/>
      <c r="I4143" s="23"/>
      <c r="J4143" s="23"/>
      <c r="K4143" s="23"/>
      <c r="L4143" s="23"/>
      <c r="M4143" s="23"/>
      <c r="N4143" s="23"/>
      <c r="O4143" s="23"/>
      <c r="P4143" s="23"/>
      <c r="Q4143" s="23"/>
      <c r="R4143" s="23"/>
      <c r="S4143" s="23"/>
      <c r="T4143" s="23"/>
      <c r="U4143" s="23"/>
    </row>
    <row r="4144">
      <c r="A4144" s="20"/>
      <c r="B4144" s="20"/>
      <c r="C4144" s="30"/>
      <c r="D4144" s="30"/>
      <c r="E4144" s="30"/>
      <c r="F4144" s="22"/>
      <c r="G4144" s="23"/>
      <c r="H4144" s="23"/>
      <c r="I4144" s="23"/>
      <c r="J4144" s="23"/>
      <c r="K4144" s="23"/>
      <c r="L4144" s="23"/>
      <c r="M4144" s="23"/>
      <c r="N4144" s="23"/>
      <c r="O4144" s="23"/>
      <c r="P4144" s="23"/>
      <c r="Q4144" s="23"/>
      <c r="R4144" s="23"/>
      <c r="S4144" s="23"/>
      <c r="T4144" s="23"/>
      <c r="U4144" s="23"/>
    </row>
    <row r="4145">
      <c r="A4145" s="20"/>
      <c r="B4145" s="20"/>
      <c r="C4145" s="30"/>
      <c r="D4145" s="30"/>
      <c r="E4145" s="30"/>
      <c r="F4145" s="22"/>
      <c r="G4145" s="23"/>
      <c r="H4145" s="23"/>
      <c r="I4145" s="23"/>
      <c r="J4145" s="23"/>
      <c r="K4145" s="23"/>
      <c r="L4145" s="23"/>
      <c r="M4145" s="23"/>
      <c r="N4145" s="23"/>
      <c r="O4145" s="23"/>
      <c r="P4145" s="23"/>
      <c r="Q4145" s="23"/>
      <c r="R4145" s="23"/>
      <c r="S4145" s="23"/>
      <c r="T4145" s="23"/>
      <c r="U4145" s="23"/>
    </row>
    <row r="4146">
      <c r="A4146" s="20"/>
      <c r="B4146" s="20"/>
      <c r="C4146" s="30"/>
      <c r="D4146" s="30"/>
      <c r="E4146" s="30"/>
      <c r="F4146" s="22"/>
      <c r="G4146" s="23"/>
      <c r="H4146" s="23"/>
      <c r="I4146" s="23"/>
      <c r="J4146" s="23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</row>
    <row r="4147">
      <c r="A4147" s="20"/>
      <c r="B4147" s="20"/>
      <c r="C4147" s="30"/>
      <c r="D4147" s="30"/>
      <c r="E4147" s="30"/>
      <c r="F4147" s="22"/>
      <c r="G4147" s="23"/>
      <c r="H4147" s="23"/>
      <c r="I4147" s="23"/>
      <c r="J4147" s="23"/>
      <c r="K4147" s="23"/>
      <c r="L4147" s="23"/>
      <c r="M4147" s="23"/>
      <c r="N4147" s="23"/>
      <c r="O4147" s="23"/>
      <c r="P4147" s="23"/>
      <c r="Q4147" s="23"/>
      <c r="R4147" s="23"/>
      <c r="S4147" s="23"/>
      <c r="T4147" s="23"/>
      <c r="U4147" s="23"/>
    </row>
    <row r="4148">
      <c r="A4148" s="20"/>
      <c r="B4148" s="20"/>
      <c r="C4148" s="30"/>
      <c r="D4148" s="30"/>
      <c r="E4148" s="30"/>
      <c r="F4148" s="22"/>
      <c r="G4148" s="23"/>
      <c r="H4148" s="23"/>
      <c r="I4148" s="23"/>
      <c r="J4148" s="23"/>
      <c r="K4148" s="23"/>
      <c r="L4148" s="23"/>
      <c r="M4148" s="23"/>
      <c r="N4148" s="23"/>
      <c r="O4148" s="23"/>
      <c r="P4148" s="23"/>
      <c r="Q4148" s="23"/>
      <c r="R4148" s="23"/>
      <c r="S4148" s="23"/>
      <c r="T4148" s="23"/>
      <c r="U4148" s="23"/>
    </row>
    <row r="4149">
      <c r="A4149" s="20"/>
      <c r="B4149" s="20"/>
      <c r="C4149" s="30"/>
      <c r="D4149" s="30"/>
      <c r="E4149" s="30"/>
      <c r="F4149" s="22"/>
      <c r="G4149" s="23"/>
      <c r="H4149" s="23"/>
      <c r="I4149" s="23"/>
      <c r="J4149" s="23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</row>
    <row r="4150">
      <c r="A4150" s="20"/>
      <c r="B4150" s="20"/>
      <c r="C4150" s="30"/>
      <c r="D4150" s="30"/>
      <c r="E4150" s="30"/>
      <c r="F4150" s="22"/>
      <c r="G4150" s="23"/>
      <c r="H4150" s="23"/>
      <c r="I4150" s="23"/>
      <c r="J4150" s="23"/>
      <c r="K4150" s="23"/>
      <c r="L4150" s="23"/>
      <c r="M4150" s="23"/>
      <c r="N4150" s="23"/>
      <c r="O4150" s="23"/>
      <c r="P4150" s="23"/>
      <c r="Q4150" s="23"/>
      <c r="R4150" s="23"/>
      <c r="S4150" s="23"/>
      <c r="T4150" s="23"/>
      <c r="U4150" s="23"/>
    </row>
    <row r="4151">
      <c r="A4151" s="20"/>
      <c r="B4151" s="20"/>
      <c r="C4151" s="30"/>
      <c r="D4151" s="30"/>
      <c r="E4151" s="30"/>
      <c r="F4151" s="22"/>
      <c r="G4151" s="23"/>
      <c r="H4151" s="23"/>
      <c r="I4151" s="23"/>
      <c r="J4151" s="23"/>
      <c r="K4151" s="23"/>
      <c r="L4151" s="23"/>
      <c r="M4151" s="23"/>
      <c r="N4151" s="23"/>
      <c r="O4151" s="23"/>
      <c r="P4151" s="23"/>
      <c r="Q4151" s="23"/>
      <c r="R4151" s="23"/>
      <c r="S4151" s="23"/>
      <c r="T4151" s="23"/>
      <c r="U4151" s="23"/>
    </row>
    <row r="4152">
      <c r="A4152" s="20"/>
      <c r="B4152" s="20"/>
      <c r="C4152" s="30"/>
      <c r="D4152" s="30"/>
      <c r="E4152" s="30"/>
      <c r="F4152" s="22"/>
      <c r="G4152" s="23"/>
      <c r="H4152" s="23"/>
      <c r="I4152" s="23"/>
      <c r="J4152" s="23"/>
      <c r="K4152" s="23"/>
      <c r="L4152" s="23"/>
      <c r="M4152" s="23"/>
      <c r="N4152" s="23"/>
      <c r="O4152" s="23"/>
      <c r="P4152" s="23"/>
      <c r="Q4152" s="23"/>
      <c r="R4152" s="23"/>
      <c r="S4152" s="23"/>
      <c r="T4152" s="23"/>
      <c r="U4152" s="23"/>
    </row>
    <row r="4153">
      <c r="A4153" s="20"/>
      <c r="B4153" s="20"/>
      <c r="C4153" s="30"/>
      <c r="D4153" s="30"/>
      <c r="E4153" s="30"/>
      <c r="F4153" s="22"/>
      <c r="G4153" s="23"/>
      <c r="H4153" s="23"/>
      <c r="I4153" s="23"/>
      <c r="J4153" s="23"/>
      <c r="K4153" s="23"/>
      <c r="L4153" s="23"/>
      <c r="M4153" s="23"/>
      <c r="N4153" s="23"/>
      <c r="O4153" s="23"/>
      <c r="P4153" s="23"/>
      <c r="Q4153" s="23"/>
      <c r="R4153" s="23"/>
      <c r="S4153" s="23"/>
      <c r="T4153" s="23"/>
      <c r="U4153" s="23"/>
    </row>
    <row r="4154">
      <c r="A4154" s="20"/>
      <c r="B4154" s="20"/>
      <c r="C4154" s="30"/>
      <c r="D4154" s="30"/>
      <c r="E4154" s="30"/>
      <c r="F4154" s="22"/>
      <c r="G4154" s="23"/>
      <c r="H4154" s="23"/>
      <c r="I4154" s="23"/>
      <c r="J4154" s="23"/>
      <c r="K4154" s="23"/>
      <c r="L4154" s="23"/>
      <c r="M4154" s="23"/>
      <c r="N4154" s="23"/>
      <c r="O4154" s="23"/>
      <c r="P4154" s="23"/>
      <c r="Q4154" s="23"/>
      <c r="R4154" s="23"/>
      <c r="S4154" s="23"/>
      <c r="T4154" s="23"/>
      <c r="U4154" s="23"/>
    </row>
    <row r="4155">
      <c r="A4155" s="20"/>
      <c r="B4155" s="20"/>
      <c r="C4155" s="30"/>
      <c r="D4155" s="30"/>
      <c r="E4155" s="30"/>
      <c r="F4155" s="22"/>
      <c r="G4155" s="23"/>
      <c r="H4155" s="23"/>
      <c r="I4155" s="23"/>
      <c r="J4155" s="23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</row>
    <row r="4156">
      <c r="A4156" s="20"/>
      <c r="B4156" s="20"/>
      <c r="C4156" s="30"/>
      <c r="D4156" s="30"/>
      <c r="E4156" s="30"/>
      <c r="F4156" s="22"/>
      <c r="G4156" s="23"/>
      <c r="H4156" s="23"/>
      <c r="I4156" s="23"/>
      <c r="J4156" s="23"/>
      <c r="K4156" s="23"/>
      <c r="L4156" s="23"/>
      <c r="M4156" s="23"/>
      <c r="N4156" s="23"/>
      <c r="O4156" s="23"/>
      <c r="P4156" s="23"/>
      <c r="Q4156" s="23"/>
      <c r="R4156" s="23"/>
      <c r="S4156" s="23"/>
      <c r="T4156" s="23"/>
      <c r="U4156" s="23"/>
    </row>
    <row r="4157">
      <c r="A4157" s="20"/>
      <c r="B4157" s="20"/>
      <c r="C4157" s="30"/>
      <c r="D4157" s="30"/>
      <c r="E4157" s="30"/>
      <c r="F4157" s="22"/>
      <c r="G4157" s="23"/>
      <c r="H4157" s="23"/>
      <c r="I4157" s="23"/>
      <c r="J4157" s="23"/>
      <c r="K4157" s="23"/>
      <c r="L4157" s="23"/>
      <c r="M4157" s="23"/>
      <c r="N4157" s="23"/>
      <c r="O4157" s="23"/>
      <c r="P4157" s="23"/>
      <c r="Q4157" s="23"/>
      <c r="R4157" s="23"/>
      <c r="S4157" s="23"/>
      <c r="T4157" s="23"/>
      <c r="U4157" s="23"/>
    </row>
    <row r="4158">
      <c r="A4158" s="20"/>
      <c r="B4158" s="20"/>
      <c r="C4158" s="30"/>
      <c r="D4158" s="30"/>
      <c r="E4158" s="30"/>
      <c r="F4158" s="22"/>
      <c r="G4158" s="23"/>
      <c r="H4158" s="23"/>
      <c r="I4158" s="23"/>
      <c r="J4158" s="23"/>
      <c r="K4158" s="23"/>
      <c r="L4158" s="23"/>
      <c r="M4158" s="23"/>
      <c r="N4158" s="23"/>
      <c r="O4158" s="23"/>
      <c r="P4158" s="23"/>
      <c r="Q4158" s="23"/>
      <c r="R4158" s="23"/>
      <c r="S4158" s="23"/>
      <c r="T4158" s="23"/>
      <c r="U4158" s="23"/>
    </row>
    <row r="4159">
      <c r="A4159" s="20"/>
      <c r="B4159" s="20"/>
      <c r="C4159" s="30"/>
      <c r="D4159" s="30"/>
      <c r="E4159" s="30"/>
      <c r="F4159" s="22"/>
      <c r="G4159" s="23"/>
      <c r="H4159" s="23"/>
      <c r="I4159" s="23"/>
      <c r="J4159" s="23"/>
      <c r="K4159" s="23"/>
      <c r="L4159" s="23"/>
      <c r="M4159" s="23"/>
      <c r="N4159" s="23"/>
      <c r="O4159" s="23"/>
      <c r="P4159" s="23"/>
      <c r="Q4159" s="23"/>
      <c r="R4159" s="23"/>
      <c r="S4159" s="23"/>
      <c r="T4159" s="23"/>
      <c r="U4159" s="23"/>
    </row>
    <row r="4160">
      <c r="A4160" s="20"/>
      <c r="B4160" s="20"/>
      <c r="C4160" s="30"/>
      <c r="D4160" s="30"/>
      <c r="E4160" s="30"/>
      <c r="F4160" s="22"/>
      <c r="G4160" s="23"/>
      <c r="H4160" s="23"/>
      <c r="I4160" s="23"/>
      <c r="J4160" s="23"/>
      <c r="K4160" s="23"/>
      <c r="L4160" s="23"/>
      <c r="M4160" s="23"/>
      <c r="N4160" s="23"/>
      <c r="O4160" s="23"/>
      <c r="P4160" s="23"/>
      <c r="Q4160" s="23"/>
      <c r="R4160" s="23"/>
      <c r="S4160" s="23"/>
      <c r="T4160" s="23"/>
      <c r="U4160" s="23"/>
    </row>
    <row r="4161">
      <c r="A4161" s="20"/>
      <c r="B4161" s="20"/>
      <c r="C4161" s="30"/>
      <c r="D4161" s="30"/>
      <c r="E4161" s="30"/>
      <c r="F4161" s="22"/>
      <c r="G4161" s="23"/>
      <c r="H4161" s="23"/>
      <c r="I4161" s="23"/>
      <c r="J4161" s="23"/>
      <c r="K4161" s="23"/>
      <c r="L4161" s="23"/>
      <c r="M4161" s="23"/>
      <c r="N4161" s="23"/>
      <c r="O4161" s="23"/>
      <c r="P4161" s="23"/>
      <c r="Q4161" s="23"/>
      <c r="R4161" s="23"/>
      <c r="S4161" s="23"/>
      <c r="T4161" s="23"/>
      <c r="U4161" s="23"/>
    </row>
    <row r="4162">
      <c r="A4162" s="20"/>
      <c r="B4162" s="20"/>
      <c r="C4162" s="30"/>
      <c r="D4162" s="30"/>
      <c r="E4162" s="30"/>
      <c r="F4162" s="22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</row>
    <row r="4163">
      <c r="A4163" s="20"/>
      <c r="B4163" s="20"/>
      <c r="C4163" s="30"/>
      <c r="D4163" s="30"/>
      <c r="E4163" s="30"/>
      <c r="F4163" s="22"/>
      <c r="G4163" s="23"/>
      <c r="H4163" s="23"/>
      <c r="I4163" s="23"/>
      <c r="J4163" s="23"/>
      <c r="K4163" s="23"/>
      <c r="L4163" s="23"/>
      <c r="M4163" s="23"/>
      <c r="N4163" s="23"/>
      <c r="O4163" s="23"/>
      <c r="P4163" s="23"/>
      <c r="Q4163" s="23"/>
      <c r="R4163" s="23"/>
      <c r="S4163" s="23"/>
      <c r="T4163" s="23"/>
      <c r="U4163" s="23"/>
    </row>
    <row r="4164">
      <c r="A4164" s="20"/>
      <c r="B4164" s="20"/>
      <c r="C4164" s="30"/>
      <c r="D4164" s="30"/>
      <c r="E4164" s="30"/>
      <c r="F4164" s="22"/>
      <c r="G4164" s="23"/>
      <c r="H4164" s="23"/>
      <c r="I4164" s="23"/>
      <c r="J4164" s="23"/>
      <c r="K4164" s="23"/>
      <c r="L4164" s="23"/>
      <c r="M4164" s="23"/>
      <c r="N4164" s="23"/>
      <c r="O4164" s="23"/>
      <c r="P4164" s="23"/>
      <c r="Q4164" s="23"/>
      <c r="R4164" s="23"/>
      <c r="S4164" s="23"/>
      <c r="T4164" s="23"/>
      <c r="U4164" s="23"/>
    </row>
    <row r="4165">
      <c r="A4165" s="20"/>
      <c r="B4165" s="20"/>
      <c r="C4165" s="30"/>
      <c r="D4165" s="30"/>
      <c r="E4165" s="30"/>
      <c r="F4165" s="22"/>
      <c r="G4165" s="23"/>
      <c r="H4165" s="23"/>
      <c r="I4165" s="23"/>
      <c r="J4165" s="23"/>
      <c r="K4165" s="23"/>
      <c r="L4165" s="23"/>
      <c r="M4165" s="23"/>
      <c r="N4165" s="23"/>
      <c r="O4165" s="23"/>
      <c r="P4165" s="23"/>
      <c r="Q4165" s="23"/>
      <c r="R4165" s="23"/>
      <c r="S4165" s="23"/>
      <c r="T4165" s="23"/>
      <c r="U4165" s="23"/>
    </row>
    <row r="4166">
      <c r="A4166" s="20"/>
      <c r="B4166" s="20"/>
      <c r="C4166" s="30"/>
      <c r="D4166" s="30"/>
      <c r="E4166" s="30"/>
      <c r="F4166" s="22"/>
      <c r="G4166" s="23"/>
      <c r="H4166" s="23"/>
      <c r="I4166" s="23"/>
      <c r="J4166" s="23"/>
      <c r="K4166" s="23"/>
      <c r="L4166" s="23"/>
      <c r="M4166" s="23"/>
      <c r="N4166" s="23"/>
      <c r="O4166" s="23"/>
      <c r="P4166" s="23"/>
      <c r="Q4166" s="23"/>
      <c r="R4166" s="23"/>
      <c r="S4166" s="23"/>
      <c r="T4166" s="23"/>
      <c r="U4166" s="23"/>
    </row>
    <row r="4167">
      <c r="A4167" s="20"/>
      <c r="B4167" s="20"/>
      <c r="C4167" s="30"/>
      <c r="D4167" s="30"/>
      <c r="E4167" s="30"/>
      <c r="F4167" s="22"/>
      <c r="G4167" s="23"/>
      <c r="H4167" s="23"/>
      <c r="I4167" s="23"/>
      <c r="J4167" s="23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</row>
    <row r="4168">
      <c r="A4168" s="20"/>
      <c r="B4168" s="20"/>
      <c r="C4168" s="30"/>
      <c r="D4168" s="30"/>
      <c r="E4168" s="30"/>
      <c r="F4168" s="22"/>
      <c r="G4168" s="23"/>
      <c r="H4168" s="23"/>
      <c r="I4168" s="23"/>
      <c r="J4168" s="23"/>
      <c r="K4168" s="23"/>
      <c r="L4168" s="23"/>
      <c r="M4168" s="23"/>
      <c r="N4168" s="23"/>
      <c r="O4168" s="23"/>
      <c r="P4168" s="23"/>
      <c r="Q4168" s="23"/>
      <c r="R4168" s="23"/>
      <c r="S4168" s="23"/>
      <c r="T4168" s="23"/>
      <c r="U4168" s="23"/>
    </row>
    <row r="4169">
      <c r="A4169" s="20"/>
      <c r="B4169" s="20"/>
      <c r="C4169" s="30"/>
      <c r="D4169" s="30"/>
      <c r="E4169" s="30"/>
      <c r="F4169" s="22"/>
      <c r="G4169" s="23"/>
      <c r="H4169" s="23"/>
      <c r="I4169" s="23"/>
      <c r="J4169" s="23"/>
      <c r="K4169" s="23"/>
      <c r="L4169" s="23"/>
      <c r="M4169" s="23"/>
      <c r="N4169" s="23"/>
      <c r="O4169" s="23"/>
      <c r="P4169" s="23"/>
      <c r="Q4169" s="23"/>
      <c r="R4169" s="23"/>
      <c r="S4169" s="23"/>
      <c r="T4169" s="23"/>
      <c r="U4169" s="23"/>
    </row>
    <row r="4170">
      <c r="A4170" s="20"/>
      <c r="B4170" s="20"/>
      <c r="C4170" s="30"/>
      <c r="D4170" s="30"/>
      <c r="E4170" s="30"/>
      <c r="F4170" s="22"/>
      <c r="G4170" s="23"/>
      <c r="H4170" s="23"/>
      <c r="I4170" s="23"/>
      <c r="J4170" s="23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</row>
    <row r="4171">
      <c r="A4171" s="20"/>
      <c r="B4171" s="20"/>
      <c r="C4171" s="30"/>
      <c r="D4171" s="30"/>
      <c r="E4171" s="30"/>
      <c r="F4171" s="22"/>
      <c r="G4171" s="23"/>
      <c r="H4171" s="23"/>
      <c r="I4171" s="23"/>
      <c r="J4171" s="23"/>
      <c r="K4171" s="23"/>
      <c r="L4171" s="23"/>
      <c r="M4171" s="23"/>
      <c r="N4171" s="23"/>
      <c r="O4171" s="23"/>
      <c r="P4171" s="23"/>
      <c r="Q4171" s="23"/>
      <c r="R4171" s="23"/>
      <c r="S4171" s="23"/>
      <c r="T4171" s="23"/>
      <c r="U4171" s="23"/>
    </row>
    <row r="4172">
      <c r="A4172" s="20"/>
      <c r="B4172" s="20"/>
      <c r="C4172" s="30"/>
      <c r="D4172" s="30"/>
      <c r="E4172" s="30"/>
      <c r="F4172" s="22"/>
      <c r="G4172" s="23"/>
      <c r="H4172" s="23"/>
      <c r="I4172" s="23"/>
      <c r="J4172" s="23"/>
      <c r="K4172" s="23"/>
      <c r="L4172" s="23"/>
      <c r="M4172" s="23"/>
      <c r="N4172" s="23"/>
      <c r="O4172" s="23"/>
      <c r="P4172" s="23"/>
      <c r="Q4172" s="23"/>
      <c r="R4172" s="23"/>
      <c r="S4172" s="23"/>
      <c r="T4172" s="23"/>
      <c r="U4172" s="23"/>
    </row>
    <row r="4173">
      <c r="A4173" s="20"/>
      <c r="B4173" s="20"/>
      <c r="C4173" s="30"/>
      <c r="D4173" s="30"/>
      <c r="E4173" s="30"/>
      <c r="F4173" s="22"/>
      <c r="G4173" s="23"/>
      <c r="H4173" s="23"/>
      <c r="I4173" s="23"/>
      <c r="J4173" s="23"/>
      <c r="K4173" s="23"/>
      <c r="L4173" s="23"/>
      <c r="M4173" s="23"/>
      <c r="N4173" s="23"/>
      <c r="O4173" s="23"/>
      <c r="P4173" s="23"/>
      <c r="Q4173" s="23"/>
      <c r="R4173" s="23"/>
      <c r="S4173" s="23"/>
      <c r="T4173" s="23"/>
      <c r="U4173" s="23"/>
    </row>
    <row r="4174">
      <c r="A4174" s="20"/>
      <c r="B4174" s="20"/>
      <c r="C4174" s="30"/>
      <c r="D4174" s="30"/>
      <c r="E4174" s="30"/>
      <c r="F4174" s="22"/>
      <c r="G4174" s="23"/>
      <c r="H4174" s="23"/>
      <c r="I4174" s="23"/>
      <c r="J4174" s="23"/>
      <c r="K4174" s="23"/>
      <c r="L4174" s="23"/>
      <c r="M4174" s="23"/>
      <c r="N4174" s="23"/>
      <c r="O4174" s="23"/>
      <c r="P4174" s="23"/>
      <c r="Q4174" s="23"/>
      <c r="R4174" s="23"/>
      <c r="S4174" s="23"/>
      <c r="T4174" s="23"/>
      <c r="U4174" s="23"/>
    </row>
    <row r="4175">
      <c r="A4175" s="20"/>
      <c r="B4175" s="20"/>
      <c r="C4175" s="30"/>
      <c r="D4175" s="30"/>
      <c r="E4175" s="30"/>
      <c r="F4175" s="22"/>
      <c r="G4175" s="23"/>
      <c r="H4175" s="23"/>
      <c r="I4175" s="23"/>
      <c r="J4175" s="23"/>
      <c r="K4175" s="23"/>
      <c r="L4175" s="23"/>
      <c r="M4175" s="23"/>
      <c r="N4175" s="23"/>
      <c r="O4175" s="23"/>
      <c r="P4175" s="23"/>
      <c r="Q4175" s="23"/>
      <c r="R4175" s="23"/>
      <c r="S4175" s="23"/>
      <c r="T4175" s="23"/>
      <c r="U4175" s="23"/>
    </row>
    <row r="4176">
      <c r="A4176" s="20"/>
      <c r="B4176" s="20"/>
      <c r="C4176" s="30"/>
      <c r="D4176" s="30"/>
      <c r="E4176" s="30"/>
      <c r="F4176" s="22"/>
      <c r="G4176" s="23"/>
      <c r="H4176" s="23"/>
      <c r="I4176" s="23"/>
      <c r="J4176" s="23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</row>
    <row r="4177">
      <c r="A4177" s="20"/>
      <c r="B4177" s="20"/>
      <c r="C4177" s="30"/>
      <c r="D4177" s="30"/>
      <c r="E4177" s="30"/>
      <c r="F4177" s="22"/>
      <c r="G4177" s="23"/>
      <c r="H4177" s="23"/>
      <c r="I4177" s="23"/>
      <c r="J4177" s="23"/>
      <c r="K4177" s="23"/>
      <c r="L4177" s="23"/>
      <c r="M4177" s="23"/>
      <c r="N4177" s="23"/>
      <c r="O4177" s="23"/>
      <c r="P4177" s="23"/>
      <c r="Q4177" s="23"/>
      <c r="R4177" s="23"/>
      <c r="S4177" s="23"/>
      <c r="T4177" s="23"/>
      <c r="U4177" s="23"/>
    </row>
    <row r="4178">
      <c r="A4178" s="20"/>
      <c r="B4178" s="20"/>
      <c r="C4178" s="30"/>
      <c r="D4178" s="30"/>
      <c r="E4178" s="30"/>
      <c r="F4178" s="22"/>
      <c r="G4178" s="23"/>
      <c r="H4178" s="23"/>
      <c r="I4178" s="23"/>
      <c r="J4178" s="23"/>
      <c r="K4178" s="23"/>
      <c r="L4178" s="23"/>
      <c r="M4178" s="23"/>
      <c r="N4178" s="23"/>
      <c r="O4178" s="23"/>
      <c r="P4178" s="23"/>
      <c r="Q4178" s="23"/>
      <c r="R4178" s="23"/>
      <c r="S4178" s="23"/>
      <c r="T4178" s="23"/>
      <c r="U4178" s="23"/>
    </row>
    <row r="4179">
      <c r="A4179" s="20"/>
      <c r="B4179" s="20"/>
      <c r="C4179" s="30"/>
      <c r="D4179" s="30"/>
      <c r="E4179" s="30"/>
      <c r="F4179" s="22"/>
      <c r="G4179" s="23"/>
      <c r="H4179" s="23"/>
      <c r="I4179" s="23"/>
      <c r="J4179" s="23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</row>
    <row r="4180">
      <c r="A4180" s="20"/>
      <c r="B4180" s="20"/>
      <c r="C4180" s="30"/>
      <c r="D4180" s="30"/>
      <c r="E4180" s="30"/>
      <c r="F4180" s="22"/>
      <c r="G4180" s="23"/>
      <c r="H4180" s="23"/>
      <c r="I4180" s="23"/>
      <c r="J4180" s="23"/>
      <c r="K4180" s="23"/>
      <c r="L4180" s="23"/>
      <c r="M4180" s="23"/>
      <c r="N4180" s="23"/>
      <c r="O4180" s="23"/>
      <c r="P4180" s="23"/>
      <c r="Q4180" s="23"/>
      <c r="R4180" s="23"/>
      <c r="S4180" s="23"/>
      <c r="T4180" s="23"/>
      <c r="U4180" s="23"/>
    </row>
    <row r="4181">
      <c r="A4181" s="20"/>
      <c r="B4181" s="20"/>
      <c r="C4181" s="30"/>
      <c r="D4181" s="30"/>
      <c r="E4181" s="30"/>
      <c r="F4181" s="22"/>
      <c r="G4181" s="23"/>
      <c r="H4181" s="23"/>
      <c r="I4181" s="23"/>
      <c r="J4181" s="23"/>
      <c r="K4181" s="23"/>
      <c r="L4181" s="23"/>
      <c r="M4181" s="23"/>
      <c r="N4181" s="23"/>
      <c r="O4181" s="23"/>
      <c r="P4181" s="23"/>
      <c r="Q4181" s="23"/>
      <c r="R4181" s="23"/>
      <c r="S4181" s="23"/>
      <c r="T4181" s="23"/>
      <c r="U4181" s="23"/>
    </row>
    <row r="4182">
      <c r="A4182" s="20"/>
      <c r="B4182" s="20"/>
      <c r="C4182" s="30"/>
      <c r="D4182" s="30"/>
      <c r="E4182" s="30"/>
      <c r="F4182" s="22"/>
      <c r="G4182" s="23"/>
      <c r="H4182" s="23"/>
      <c r="I4182" s="23"/>
      <c r="J4182" s="23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</row>
    <row r="4183">
      <c r="A4183" s="20"/>
      <c r="B4183" s="20"/>
      <c r="C4183" s="30"/>
      <c r="D4183" s="30"/>
      <c r="E4183" s="30"/>
      <c r="F4183" s="22"/>
      <c r="G4183" s="23"/>
      <c r="H4183" s="23"/>
      <c r="I4183" s="23"/>
      <c r="J4183" s="23"/>
      <c r="K4183" s="23"/>
      <c r="L4183" s="23"/>
      <c r="M4183" s="23"/>
      <c r="N4183" s="23"/>
      <c r="O4183" s="23"/>
      <c r="P4183" s="23"/>
      <c r="Q4183" s="23"/>
      <c r="R4183" s="23"/>
      <c r="S4183" s="23"/>
      <c r="T4183" s="23"/>
      <c r="U4183" s="23"/>
    </row>
    <row r="4184">
      <c r="A4184" s="20"/>
      <c r="B4184" s="20"/>
      <c r="C4184" s="30"/>
      <c r="D4184" s="30"/>
      <c r="E4184" s="30"/>
      <c r="F4184" s="22"/>
      <c r="G4184" s="23"/>
      <c r="H4184" s="23"/>
      <c r="I4184" s="23"/>
      <c r="J4184" s="23"/>
      <c r="K4184" s="23"/>
      <c r="L4184" s="23"/>
      <c r="M4184" s="23"/>
      <c r="N4184" s="23"/>
      <c r="O4184" s="23"/>
      <c r="P4184" s="23"/>
      <c r="Q4184" s="23"/>
      <c r="R4184" s="23"/>
      <c r="S4184" s="23"/>
      <c r="T4184" s="23"/>
      <c r="U4184" s="23"/>
    </row>
    <row r="4185">
      <c r="A4185" s="20"/>
      <c r="B4185" s="20"/>
      <c r="C4185" s="30"/>
      <c r="D4185" s="30"/>
      <c r="E4185" s="30"/>
      <c r="F4185" s="22"/>
      <c r="G4185" s="23"/>
      <c r="H4185" s="23"/>
      <c r="I4185" s="23"/>
      <c r="J4185" s="23"/>
      <c r="K4185" s="23"/>
      <c r="L4185" s="23"/>
      <c r="M4185" s="23"/>
      <c r="N4185" s="23"/>
      <c r="O4185" s="23"/>
      <c r="P4185" s="23"/>
      <c r="Q4185" s="23"/>
      <c r="R4185" s="23"/>
      <c r="S4185" s="23"/>
      <c r="T4185" s="23"/>
      <c r="U4185" s="23"/>
    </row>
    <row r="4186">
      <c r="A4186" s="20"/>
      <c r="B4186" s="20"/>
      <c r="C4186" s="30"/>
      <c r="D4186" s="30"/>
      <c r="E4186" s="30"/>
      <c r="F4186" s="22"/>
      <c r="G4186" s="23"/>
      <c r="H4186" s="23"/>
      <c r="I4186" s="23"/>
      <c r="J4186" s="23"/>
      <c r="K4186" s="23"/>
      <c r="L4186" s="23"/>
      <c r="M4186" s="23"/>
      <c r="N4186" s="23"/>
      <c r="O4186" s="23"/>
      <c r="P4186" s="23"/>
      <c r="Q4186" s="23"/>
      <c r="R4186" s="23"/>
      <c r="S4186" s="23"/>
      <c r="T4186" s="23"/>
      <c r="U4186" s="23"/>
    </row>
    <row r="4187">
      <c r="A4187" s="20"/>
      <c r="B4187" s="20"/>
      <c r="C4187" s="30"/>
      <c r="D4187" s="30"/>
      <c r="E4187" s="30"/>
      <c r="F4187" s="22"/>
      <c r="G4187" s="23"/>
      <c r="H4187" s="23"/>
      <c r="I4187" s="23"/>
      <c r="J4187" s="23"/>
      <c r="K4187" s="23"/>
      <c r="L4187" s="23"/>
      <c r="M4187" s="23"/>
      <c r="N4187" s="23"/>
      <c r="O4187" s="23"/>
      <c r="P4187" s="23"/>
      <c r="Q4187" s="23"/>
      <c r="R4187" s="23"/>
      <c r="S4187" s="23"/>
      <c r="T4187" s="23"/>
      <c r="U4187" s="23"/>
    </row>
    <row r="4188">
      <c r="A4188" s="20"/>
      <c r="B4188" s="20"/>
      <c r="C4188" s="30"/>
      <c r="D4188" s="30"/>
      <c r="E4188" s="30"/>
      <c r="F4188" s="22"/>
      <c r="G4188" s="23"/>
      <c r="H4188" s="23"/>
      <c r="I4188" s="23"/>
      <c r="J4188" s="23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</row>
    <row r="4189">
      <c r="A4189" s="20"/>
      <c r="B4189" s="20"/>
      <c r="C4189" s="30"/>
      <c r="D4189" s="30"/>
      <c r="E4189" s="30"/>
      <c r="F4189" s="22"/>
      <c r="G4189" s="23"/>
      <c r="H4189" s="23"/>
      <c r="I4189" s="23"/>
      <c r="J4189" s="23"/>
      <c r="K4189" s="23"/>
      <c r="L4189" s="23"/>
      <c r="M4189" s="23"/>
      <c r="N4189" s="23"/>
      <c r="O4189" s="23"/>
      <c r="P4189" s="23"/>
      <c r="Q4189" s="23"/>
      <c r="R4189" s="23"/>
      <c r="S4189" s="23"/>
      <c r="T4189" s="23"/>
      <c r="U4189" s="23"/>
    </row>
    <row r="4190">
      <c r="A4190" s="20"/>
      <c r="B4190" s="20"/>
      <c r="C4190" s="30"/>
      <c r="D4190" s="30"/>
      <c r="E4190" s="30"/>
      <c r="F4190" s="22"/>
      <c r="G4190" s="23"/>
      <c r="H4190" s="23"/>
      <c r="I4190" s="23"/>
      <c r="J4190" s="23"/>
      <c r="K4190" s="23"/>
      <c r="L4190" s="23"/>
      <c r="M4190" s="23"/>
      <c r="N4190" s="23"/>
      <c r="O4190" s="23"/>
      <c r="P4190" s="23"/>
      <c r="Q4190" s="23"/>
      <c r="R4190" s="23"/>
      <c r="S4190" s="23"/>
      <c r="T4190" s="23"/>
      <c r="U4190" s="23"/>
    </row>
    <row r="4191">
      <c r="A4191" s="20"/>
      <c r="B4191" s="20"/>
      <c r="C4191" s="30"/>
      <c r="D4191" s="30"/>
      <c r="E4191" s="30"/>
      <c r="F4191" s="22"/>
      <c r="G4191" s="23"/>
      <c r="H4191" s="23"/>
      <c r="I4191" s="23"/>
      <c r="J4191" s="23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</row>
    <row r="4192">
      <c r="A4192" s="20"/>
      <c r="B4192" s="20"/>
      <c r="C4192" s="30"/>
      <c r="D4192" s="30"/>
      <c r="E4192" s="30"/>
      <c r="F4192" s="22"/>
      <c r="G4192" s="23"/>
      <c r="H4192" s="23"/>
      <c r="I4192" s="23"/>
      <c r="J4192" s="23"/>
      <c r="K4192" s="23"/>
      <c r="L4192" s="23"/>
      <c r="M4192" s="23"/>
      <c r="N4192" s="23"/>
      <c r="O4192" s="23"/>
      <c r="P4192" s="23"/>
      <c r="Q4192" s="23"/>
      <c r="R4192" s="23"/>
      <c r="S4192" s="23"/>
      <c r="T4192" s="23"/>
      <c r="U4192" s="23"/>
    </row>
    <row r="4193">
      <c r="A4193" s="20"/>
      <c r="B4193" s="20"/>
      <c r="C4193" s="30"/>
      <c r="D4193" s="30"/>
      <c r="E4193" s="30"/>
      <c r="F4193" s="22"/>
      <c r="G4193" s="23"/>
      <c r="H4193" s="23"/>
      <c r="I4193" s="23"/>
      <c r="J4193" s="23"/>
      <c r="K4193" s="23"/>
      <c r="L4193" s="23"/>
      <c r="M4193" s="23"/>
      <c r="N4193" s="23"/>
      <c r="O4193" s="23"/>
      <c r="P4193" s="23"/>
      <c r="Q4193" s="23"/>
      <c r="R4193" s="23"/>
      <c r="S4193" s="23"/>
      <c r="T4193" s="23"/>
      <c r="U4193" s="23"/>
    </row>
    <row r="4194">
      <c r="A4194" s="20"/>
      <c r="B4194" s="20"/>
      <c r="C4194" s="30"/>
      <c r="D4194" s="30"/>
      <c r="E4194" s="30"/>
      <c r="F4194" s="22"/>
      <c r="G4194" s="23"/>
      <c r="H4194" s="23"/>
      <c r="I4194" s="23"/>
      <c r="J4194" s="23"/>
      <c r="K4194" s="23"/>
      <c r="L4194" s="23"/>
      <c r="M4194" s="23"/>
      <c r="N4194" s="23"/>
      <c r="O4194" s="23"/>
      <c r="P4194" s="23"/>
      <c r="Q4194" s="23"/>
      <c r="R4194" s="23"/>
      <c r="S4194" s="23"/>
      <c r="T4194" s="23"/>
      <c r="U4194" s="23"/>
    </row>
    <row r="4195">
      <c r="A4195" s="20"/>
      <c r="B4195" s="20"/>
      <c r="C4195" s="30"/>
      <c r="D4195" s="30"/>
      <c r="E4195" s="30"/>
      <c r="F4195" s="22"/>
      <c r="G4195" s="23"/>
      <c r="H4195" s="23"/>
      <c r="I4195" s="23"/>
      <c r="J4195" s="23"/>
      <c r="K4195" s="23"/>
      <c r="L4195" s="23"/>
      <c r="M4195" s="23"/>
      <c r="N4195" s="23"/>
      <c r="O4195" s="23"/>
      <c r="P4195" s="23"/>
      <c r="Q4195" s="23"/>
      <c r="R4195" s="23"/>
      <c r="S4195" s="23"/>
      <c r="T4195" s="23"/>
      <c r="U4195" s="23"/>
    </row>
    <row r="4196">
      <c r="A4196" s="20"/>
      <c r="B4196" s="20"/>
      <c r="C4196" s="30"/>
      <c r="D4196" s="30"/>
      <c r="E4196" s="30"/>
      <c r="F4196" s="22"/>
      <c r="G4196" s="23"/>
      <c r="H4196" s="23"/>
      <c r="I4196" s="23"/>
      <c r="J4196" s="23"/>
      <c r="K4196" s="23"/>
      <c r="L4196" s="23"/>
      <c r="M4196" s="23"/>
      <c r="N4196" s="23"/>
      <c r="O4196" s="23"/>
      <c r="P4196" s="23"/>
      <c r="Q4196" s="23"/>
      <c r="R4196" s="23"/>
      <c r="S4196" s="23"/>
      <c r="T4196" s="23"/>
      <c r="U4196" s="23"/>
    </row>
    <row r="4197">
      <c r="A4197" s="20"/>
      <c r="B4197" s="20"/>
      <c r="C4197" s="30"/>
      <c r="D4197" s="30"/>
      <c r="E4197" s="30"/>
      <c r="F4197" s="22"/>
      <c r="G4197" s="23"/>
      <c r="H4197" s="23"/>
      <c r="I4197" s="23"/>
      <c r="J4197" s="23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</row>
    <row r="4198">
      <c r="A4198" s="20"/>
      <c r="B4198" s="20"/>
      <c r="C4198" s="30"/>
      <c r="D4198" s="30"/>
      <c r="E4198" s="30"/>
      <c r="F4198" s="22"/>
      <c r="G4198" s="23"/>
      <c r="H4198" s="23"/>
      <c r="I4198" s="23"/>
      <c r="J4198" s="23"/>
      <c r="K4198" s="23"/>
      <c r="L4198" s="23"/>
      <c r="M4198" s="23"/>
      <c r="N4198" s="23"/>
      <c r="O4198" s="23"/>
      <c r="P4198" s="23"/>
      <c r="Q4198" s="23"/>
      <c r="R4198" s="23"/>
      <c r="S4198" s="23"/>
      <c r="T4198" s="23"/>
      <c r="U4198" s="23"/>
    </row>
    <row r="4199">
      <c r="A4199" s="20"/>
      <c r="B4199" s="20"/>
      <c r="C4199" s="30"/>
      <c r="D4199" s="30"/>
      <c r="E4199" s="30"/>
      <c r="F4199" s="22"/>
      <c r="G4199" s="23"/>
      <c r="H4199" s="23"/>
      <c r="I4199" s="23"/>
      <c r="J4199" s="23"/>
      <c r="K4199" s="23"/>
      <c r="L4199" s="23"/>
      <c r="M4199" s="23"/>
      <c r="N4199" s="23"/>
      <c r="O4199" s="23"/>
      <c r="P4199" s="23"/>
      <c r="Q4199" s="23"/>
      <c r="R4199" s="23"/>
      <c r="S4199" s="23"/>
      <c r="T4199" s="23"/>
      <c r="U4199" s="23"/>
    </row>
    <row r="4200">
      <c r="A4200" s="20"/>
      <c r="B4200" s="20"/>
      <c r="C4200" s="30"/>
      <c r="D4200" s="30"/>
      <c r="E4200" s="30"/>
      <c r="F4200" s="22"/>
      <c r="G4200" s="23"/>
      <c r="H4200" s="23"/>
      <c r="I4200" s="23"/>
      <c r="J4200" s="23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</row>
    <row r="4201">
      <c r="A4201" s="20"/>
      <c r="B4201" s="20"/>
      <c r="C4201" s="30"/>
      <c r="D4201" s="30"/>
      <c r="E4201" s="30"/>
      <c r="F4201" s="22"/>
      <c r="G4201" s="23"/>
      <c r="H4201" s="23"/>
      <c r="I4201" s="23"/>
      <c r="J4201" s="23"/>
      <c r="K4201" s="23"/>
      <c r="L4201" s="23"/>
      <c r="M4201" s="23"/>
      <c r="N4201" s="23"/>
      <c r="O4201" s="23"/>
      <c r="P4201" s="23"/>
      <c r="Q4201" s="23"/>
      <c r="R4201" s="23"/>
      <c r="S4201" s="23"/>
      <c r="T4201" s="23"/>
      <c r="U4201" s="23"/>
    </row>
    <row r="4202">
      <c r="A4202" s="20"/>
      <c r="B4202" s="20"/>
      <c r="C4202" s="30"/>
      <c r="D4202" s="30"/>
      <c r="E4202" s="30"/>
      <c r="F4202" s="22"/>
      <c r="G4202" s="23"/>
      <c r="H4202" s="23"/>
      <c r="I4202" s="23"/>
      <c r="J4202" s="23"/>
      <c r="K4202" s="23"/>
      <c r="L4202" s="23"/>
      <c r="M4202" s="23"/>
      <c r="N4202" s="23"/>
      <c r="O4202" s="23"/>
      <c r="P4202" s="23"/>
      <c r="Q4202" s="23"/>
      <c r="R4202" s="23"/>
      <c r="S4202" s="23"/>
      <c r="T4202" s="23"/>
      <c r="U4202" s="23"/>
    </row>
    <row r="4203">
      <c r="A4203" s="20"/>
      <c r="B4203" s="20"/>
      <c r="C4203" s="30"/>
      <c r="D4203" s="30"/>
      <c r="E4203" s="30"/>
      <c r="F4203" s="22"/>
      <c r="G4203" s="23"/>
      <c r="H4203" s="23"/>
      <c r="I4203" s="23"/>
      <c r="J4203" s="23"/>
      <c r="K4203" s="23"/>
      <c r="L4203" s="23"/>
      <c r="M4203" s="23"/>
      <c r="N4203" s="23"/>
      <c r="O4203" s="23"/>
      <c r="P4203" s="23"/>
      <c r="Q4203" s="23"/>
      <c r="R4203" s="23"/>
      <c r="S4203" s="23"/>
      <c r="T4203" s="23"/>
      <c r="U4203" s="23"/>
    </row>
    <row r="4204">
      <c r="A4204" s="20"/>
      <c r="B4204" s="20"/>
      <c r="C4204" s="30"/>
      <c r="D4204" s="30"/>
      <c r="E4204" s="30"/>
      <c r="F4204" s="22"/>
      <c r="G4204" s="23"/>
      <c r="H4204" s="23"/>
      <c r="I4204" s="23"/>
      <c r="J4204" s="23"/>
      <c r="K4204" s="23"/>
      <c r="L4204" s="23"/>
      <c r="M4204" s="23"/>
      <c r="N4204" s="23"/>
      <c r="O4204" s="23"/>
      <c r="P4204" s="23"/>
      <c r="Q4204" s="23"/>
      <c r="R4204" s="23"/>
      <c r="S4204" s="23"/>
      <c r="T4204" s="23"/>
      <c r="U4204" s="23"/>
    </row>
    <row r="4205">
      <c r="A4205" s="20"/>
      <c r="B4205" s="20"/>
      <c r="C4205" s="30"/>
      <c r="D4205" s="30"/>
      <c r="E4205" s="30"/>
      <c r="F4205" s="22"/>
      <c r="G4205" s="23"/>
      <c r="H4205" s="23"/>
      <c r="I4205" s="23"/>
      <c r="J4205" s="23"/>
      <c r="K4205" s="23"/>
      <c r="L4205" s="23"/>
      <c r="M4205" s="23"/>
      <c r="N4205" s="23"/>
      <c r="O4205" s="23"/>
      <c r="P4205" s="23"/>
      <c r="Q4205" s="23"/>
      <c r="R4205" s="23"/>
      <c r="S4205" s="23"/>
      <c r="T4205" s="23"/>
      <c r="U4205" s="23"/>
    </row>
    <row r="4206">
      <c r="A4206" s="20"/>
      <c r="B4206" s="20"/>
      <c r="C4206" s="30"/>
      <c r="D4206" s="30"/>
      <c r="E4206" s="30"/>
      <c r="F4206" s="22"/>
      <c r="G4206" s="23"/>
      <c r="H4206" s="23"/>
      <c r="I4206" s="23"/>
      <c r="J4206" s="23"/>
      <c r="K4206" s="23"/>
      <c r="L4206" s="23"/>
      <c r="M4206" s="23"/>
      <c r="N4206" s="23"/>
      <c r="O4206" s="23"/>
      <c r="P4206" s="23"/>
      <c r="Q4206" s="23"/>
      <c r="R4206" s="23"/>
      <c r="S4206" s="23"/>
      <c r="T4206" s="23"/>
      <c r="U4206" s="23"/>
    </row>
    <row r="4207">
      <c r="A4207" s="20"/>
      <c r="B4207" s="20"/>
      <c r="C4207" s="30"/>
      <c r="D4207" s="30"/>
      <c r="E4207" s="30"/>
      <c r="F4207" s="22"/>
      <c r="G4207" s="23"/>
      <c r="H4207" s="23"/>
      <c r="I4207" s="23"/>
      <c r="J4207" s="23"/>
      <c r="K4207" s="23"/>
      <c r="L4207" s="23"/>
      <c r="M4207" s="23"/>
      <c r="N4207" s="23"/>
      <c r="O4207" s="23"/>
      <c r="P4207" s="23"/>
      <c r="Q4207" s="23"/>
      <c r="R4207" s="23"/>
      <c r="S4207" s="23"/>
      <c r="T4207" s="23"/>
      <c r="U4207" s="23"/>
    </row>
    <row r="4208">
      <c r="A4208" s="20"/>
      <c r="B4208" s="20"/>
      <c r="C4208" s="30"/>
      <c r="D4208" s="30"/>
      <c r="E4208" s="30"/>
      <c r="F4208" s="22"/>
      <c r="G4208" s="23"/>
      <c r="H4208" s="23"/>
      <c r="I4208" s="23"/>
      <c r="J4208" s="23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</row>
    <row r="4209">
      <c r="A4209" s="20"/>
      <c r="B4209" s="20"/>
      <c r="C4209" s="30"/>
      <c r="D4209" s="30"/>
      <c r="E4209" s="30"/>
      <c r="F4209" s="22"/>
      <c r="G4209" s="23"/>
      <c r="H4209" s="23"/>
      <c r="I4209" s="23"/>
      <c r="J4209" s="23"/>
      <c r="K4209" s="23"/>
      <c r="L4209" s="23"/>
      <c r="M4209" s="23"/>
      <c r="N4209" s="23"/>
      <c r="O4209" s="23"/>
      <c r="P4209" s="23"/>
      <c r="Q4209" s="23"/>
      <c r="R4209" s="23"/>
      <c r="S4209" s="23"/>
      <c r="T4209" s="23"/>
      <c r="U4209" s="23"/>
    </row>
    <row r="4210">
      <c r="A4210" s="20"/>
      <c r="B4210" s="20"/>
      <c r="C4210" s="30"/>
      <c r="D4210" s="30"/>
      <c r="E4210" s="30"/>
      <c r="F4210" s="22"/>
      <c r="G4210" s="23"/>
      <c r="H4210" s="23"/>
      <c r="I4210" s="23"/>
      <c r="J4210" s="23"/>
      <c r="K4210" s="23"/>
      <c r="L4210" s="23"/>
      <c r="M4210" s="23"/>
      <c r="N4210" s="23"/>
      <c r="O4210" s="23"/>
      <c r="P4210" s="23"/>
      <c r="Q4210" s="23"/>
      <c r="R4210" s="23"/>
      <c r="S4210" s="23"/>
      <c r="T4210" s="23"/>
      <c r="U4210" s="23"/>
    </row>
    <row r="4211">
      <c r="A4211" s="20"/>
      <c r="B4211" s="20"/>
      <c r="C4211" s="30"/>
      <c r="D4211" s="30"/>
      <c r="E4211" s="30"/>
      <c r="F4211" s="22"/>
      <c r="G4211" s="23"/>
      <c r="H4211" s="23"/>
      <c r="I4211" s="23"/>
      <c r="J4211" s="23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</row>
    <row r="4212">
      <c r="A4212" s="20"/>
      <c r="B4212" s="20"/>
      <c r="C4212" s="30"/>
      <c r="D4212" s="30"/>
      <c r="E4212" s="30"/>
      <c r="F4212" s="22"/>
      <c r="G4212" s="23"/>
      <c r="H4212" s="23"/>
      <c r="I4212" s="23"/>
      <c r="J4212" s="23"/>
      <c r="K4212" s="23"/>
      <c r="L4212" s="23"/>
      <c r="M4212" s="23"/>
      <c r="N4212" s="23"/>
      <c r="O4212" s="23"/>
      <c r="P4212" s="23"/>
      <c r="Q4212" s="23"/>
      <c r="R4212" s="23"/>
      <c r="S4212" s="23"/>
      <c r="T4212" s="23"/>
      <c r="U4212" s="23"/>
    </row>
    <row r="4213">
      <c r="A4213" s="20"/>
      <c r="B4213" s="20"/>
      <c r="C4213" s="30"/>
      <c r="D4213" s="30"/>
      <c r="E4213" s="30"/>
      <c r="F4213" s="22"/>
      <c r="G4213" s="23"/>
      <c r="H4213" s="23"/>
      <c r="I4213" s="23"/>
      <c r="J4213" s="23"/>
      <c r="K4213" s="23"/>
      <c r="L4213" s="23"/>
      <c r="M4213" s="23"/>
      <c r="N4213" s="23"/>
      <c r="O4213" s="23"/>
      <c r="P4213" s="23"/>
      <c r="Q4213" s="23"/>
      <c r="R4213" s="23"/>
      <c r="S4213" s="23"/>
      <c r="T4213" s="23"/>
      <c r="U4213" s="23"/>
    </row>
    <row r="4214">
      <c r="A4214" s="20"/>
      <c r="B4214" s="20"/>
      <c r="C4214" s="30"/>
      <c r="D4214" s="30"/>
      <c r="E4214" s="30"/>
      <c r="F4214" s="22"/>
      <c r="G4214" s="23"/>
      <c r="H4214" s="23"/>
      <c r="I4214" s="23"/>
      <c r="J4214" s="23"/>
      <c r="K4214" s="23"/>
      <c r="L4214" s="23"/>
      <c r="M4214" s="23"/>
      <c r="N4214" s="23"/>
      <c r="O4214" s="23"/>
      <c r="P4214" s="23"/>
      <c r="Q4214" s="23"/>
      <c r="R4214" s="23"/>
      <c r="S4214" s="23"/>
      <c r="T4214" s="23"/>
      <c r="U4214" s="23"/>
    </row>
    <row r="4215">
      <c r="A4215" s="20"/>
      <c r="B4215" s="20"/>
      <c r="C4215" s="30"/>
      <c r="D4215" s="30"/>
      <c r="E4215" s="30"/>
      <c r="F4215" s="22"/>
      <c r="G4215" s="23"/>
      <c r="H4215" s="23"/>
      <c r="I4215" s="23"/>
      <c r="J4215" s="23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</row>
    <row r="4216">
      <c r="A4216" s="20"/>
      <c r="B4216" s="20"/>
      <c r="C4216" s="30"/>
      <c r="D4216" s="30"/>
      <c r="E4216" s="30"/>
      <c r="F4216" s="22"/>
      <c r="G4216" s="23"/>
      <c r="H4216" s="23"/>
      <c r="I4216" s="23"/>
      <c r="J4216" s="23"/>
      <c r="K4216" s="23"/>
      <c r="L4216" s="23"/>
      <c r="M4216" s="23"/>
      <c r="N4216" s="23"/>
      <c r="O4216" s="23"/>
      <c r="P4216" s="23"/>
      <c r="Q4216" s="23"/>
      <c r="R4216" s="23"/>
      <c r="S4216" s="23"/>
      <c r="T4216" s="23"/>
      <c r="U4216" s="23"/>
    </row>
    <row r="4217">
      <c r="A4217" s="20"/>
      <c r="B4217" s="20"/>
      <c r="C4217" s="30"/>
      <c r="D4217" s="30"/>
      <c r="E4217" s="30"/>
      <c r="F4217" s="22"/>
      <c r="G4217" s="23"/>
      <c r="H4217" s="23"/>
      <c r="I4217" s="23"/>
      <c r="J4217" s="23"/>
      <c r="K4217" s="23"/>
      <c r="L4217" s="23"/>
      <c r="M4217" s="23"/>
      <c r="N4217" s="23"/>
      <c r="O4217" s="23"/>
      <c r="P4217" s="23"/>
      <c r="Q4217" s="23"/>
      <c r="R4217" s="23"/>
      <c r="S4217" s="23"/>
      <c r="T4217" s="23"/>
      <c r="U4217" s="23"/>
    </row>
    <row r="4218">
      <c r="A4218" s="20"/>
      <c r="B4218" s="20"/>
      <c r="C4218" s="30"/>
      <c r="D4218" s="30"/>
      <c r="E4218" s="30"/>
      <c r="F4218" s="22"/>
      <c r="G4218" s="23"/>
      <c r="H4218" s="23"/>
      <c r="I4218" s="23"/>
      <c r="J4218" s="23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</row>
    <row r="4219">
      <c r="A4219" s="20"/>
      <c r="B4219" s="20"/>
      <c r="C4219" s="30"/>
      <c r="D4219" s="30"/>
      <c r="E4219" s="30"/>
      <c r="F4219" s="22"/>
      <c r="G4219" s="23"/>
      <c r="H4219" s="23"/>
      <c r="I4219" s="23"/>
      <c r="J4219" s="23"/>
      <c r="K4219" s="23"/>
      <c r="L4219" s="23"/>
      <c r="M4219" s="23"/>
      <c r="N4219" s="23"/>
      <c r="O4219" s="23"/>
      <c r="P4219" s="23"/>
      <c r="Q4219" s="23"/>
      <c r="R4219" s="23"/>
      <c r="S4219" s="23"/>
      <c r="T4219" s="23"/>
      <c r="U4219" s="23"/>
    </row>
    <row r="4220">
      <c r="A4220" s="20"/>
      <c r="B4220" s="20"/>
      <c r="C4220" s="30"/>
      <c r="D4220" s="30"/>
      <c r="E4220" s="30"/>
      <c r="F4220" s="22"/>
      <c r="G4220" s="23"/>
      <c r="H4220" s="23"/>
      <c r="I4220" s="23"/>
      <c r="J4220" s="23"/>
      <c r="K4220" s="23"/>
      <c r="L4220" s="23"/>
      <c r="M4220" s="23"/>
      <c r="N4220" s="23"/>
      <c r="O4220" s="23"/>
      <c r="P4220" s="23"/>
      <c r="Q4220" s="23"/>
      <c r="R4220" s="23"/>
      <c r="S4220" s="23"/>
      <c r="T4220" s="23"/>
      <c r="U4220" s="23"/>
    </row>
    <row r="4221">
      <c r="A4221" s="20"/>
      <c r="B4221" s="20"/>
      <c r="C4221" s="30"/>
      <c r="D4221" s="30"/>
      <c r="E4221" s="30"/>
      <c r="F4221" s="22"/>
      <c r="G4221" s="23"/>
      <c r="H4221" s="23"/>
      <c r="I4221" s="23"/>
      <c r="J4221" s="23"/>
      <c r="K4221" s="23"/>
      <c r="L4221" s="23"/>
      <c r="M4221" s="23"/>
      <c r="N4221" s="23"/>
      <c r="O4221" s="23"/>
      <c r="P4221" s="23"/>
      <c r="Q4221" s="23"/>
      <c r="R4221" s="23"/>
      <c r="S4221" s="23"/>
      <c r="T4221" s="23"/>
      <c r="U4221" s="23"/>
    </row>
    <row r="4222">
      <c r="A4222" s="20"/>
      <c r="B4222" s="20"/>
      <c r="C4222" s="30"/>
      <c r="D4222" s="30"/>
      <c r="E4222" s="30"/>
      <c r="F4222" s="22"/>
      <c r="G4222" s="23"/>
      <c r="H4222" s="23"/>
      <c r="I4222" s="23"/>
      <c r="J4222" s="23"/>
      <c r="K4222" s="23"/>
      <c r="L4222" s="23"/>
      <c r="M4222" s="23"/>
      <c r="N4222" s="23"/>
      <c r="O4222" s="23"/>
      <c r="P4222" s="23"/>
      <c r="Q4222" s="23"/>
      <c r="R4222" s="23"/>
      <c r="S4222" s="23"/>
      <c r="T4222" s="23"/>
      <c r="U4222" s="23"/>
    </row>
    <row r="4223">
      <c r="A4223" s="20"/>
      <c r="B4223" s="20"/>
      <c r="C4223" s="30"/>
      <c r="D4223" s="30"/>
      <c r="E4223" s="30"/>
      <c r="F4223" s="22"/>
      <c r="G4223" s="23"/>
      <c r="H4223" s="23"/>
      <c r="I4223" s="23"/>
      <c r="J4223" s="23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</row>
    <row r="4224">
      <c r="A4224" s="20"/>
      <c r="B4224" s="20"/>
      <c r="C4224" s="30"/>
      <c r="D4224" s="30"/>
      <c r="E4224" s="30"/>
      <c r="F4224" s="22"/>
      <c r="G4224" s="23"/>
      <c r="H4224" s="23"/>
      <c r="I4224" s="23"/>
      <c r="J4224" s="23"/>
      <c r="K4224" s="23"/>
      <c r="L4224" s="23"/>
      <c r="M4224" s="23"/>
      <c r="N4224" s="23"/>
      <c r="O4224" s="23"/>
      <c r="P4224" s="23"/>
      <c r="Q4224" s="23"/>
      <c r="R4224" s="23"/>
      <c r="S4224" s="23"/>
      <c r="T4224" s="23"/>
      <c r="U4224" s="23"/>
    </row>
    <row r="4225">
      <c r="A4225" s="20"/>
      <c r="B4225" s="20"/>
      <c r="C4225" s="30"/>
      <c r="D4225" s="30"/>
      <c r="E4225" s="30"/>
      <c r="F4225" s="22"/>
      <c r="G4225" s="23"/>
      <c r="H4225" s="23"/>
      <c r="I4225" s="23"/>
      <c r="J4225" s="23"/>
      <c r="K4225" s="23"/>
      <c r="L4225" s="23"/>
      <c r="M4225" s="23"/>
      <c r="N4225" s="23"/>
      <c r="O4225" s="23"/>
      <c r="P4225" s="23"/>
      <c r="Q4225" s="23"/>
      <c r="R4225" s="23"/>
      <c r="S4225" s="23"/>
      <c r="T4225" s="23"/>
      <c r="U4225" s="23"/>
    </row>
    <row r="4226">
      <c r="A4226" s="20"/>
      <c r="B4226" s="20"/>
      <c r="C4226" s="30"/>
      <c r="D4226" s="30"/>
      <c r="E4226" s="30"/>
      <c r="F4226" s="22"/>
      <c r="G4226" s="23"/>
      <c r="H4226" s="23"/>
      <c r="I4226" s="23"/>
      <c r="J4226" s="23"/>
      <c r="K4226" s="23"/>
      <c r="L4226" s="23"/>
      <c r="M4226" s="23"/>
      <c r="N4226" s="23"/>
      <c r="O4226" s="23"/>
      <c r="P4226" s="23"/>
      <c r="Q4226" s="23"/>
      <c r="R4226" s="23"/>
      <c r="S4226" s="23"/>
      <c r="T4226" s="23"/>
      <c r="U4226" s="23"/>
    </row>
    <row r="4227">
      <c r="A4227" s="20"/>
      <c r="B4227" s="20"/>
      <c r="C4227" s="30"/>
      <c r="D4227" s="30"/>
      <c r="E4227" s="30"/>
      <c r="F4227" s="22"/>
      <c r="G4227" s="23"/>
      <c r="H4227" s="23"/>
      <c r="I4227" s="23"/>
      <c r="J4227" s="23"/>
      <c r="K4227" s="23"/>
      <c r="L4227" s="23"/>
      <c r="M4227" s="23"/>
      <c r="N4227" s="23"/>
      <c r="O4227" s="23"/>
      <c r="P4227" s="23"/>
      <c r="Q4227" s="23"/>
      <c r="R4227" s="23"/>
      <c r="S4227" s="23"/>
      <c r="T4227" s="23"/>
      <c r="U4227" s="23"/>
    </row>
    <row r="4228">
      <c r="A4228" s="20"/>
      <c r="B4228" s="20"/>
      <c r="C4228" s="30"/>
      <c r="D4228" s="30"/>
      <c r="E4228" s="30"/>
      <c r="F4228" s="22"/>
      <c r="G4228" s="23"/>
      <c r="H4228" s="23"/>
      <c r="I4228" s="23"/>
      <c r="J4228" s="23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</row>
    <row r="4229">
      <c r="A4229" s="20"/>
      <c r="B4229" s="20"/>
      <c r="C4229" s="30"/>
      <c r="D4229" s="30"/>
      <c r="E4229" s="30"/>
      <c r="F4229" s="22"/>
      <c r="G4229" s="23"/>
      <c r="H4229" s="23"/>
      <c r="I4229" s="23"/>
      <c r="J4229" s="23"/>
      <c r="K4229" s="23"/>
      <c r="L4229" s="23"/>
      <c r="M4229" s="23"/>
      <c r="N4229" s="23"/>
      <c r="O4229" s="23"/>
      <c r="P4229" s="23"/>
      <c r="Q4229" s="23"/>
      <c r="R4229" s="23"/>
      <c r="S4229" s="23"/>
      <c r="T4229" s="23"/>
      <c r="U4229" s="23"/>
    </row>
    <row r="4230">
      <c r="A4230" s="20"/>
      <c r="B4230" s="20"/>
      <c r="C4230" s="30"/>
      <c r="D4230" s="30"/>
      <c r="E4230" s="30"/>
      <c r="F4230" s="22"/>
      <c r="G4230" s="23"/>
      <c r="H4230" s="23"/>
      <c r="I4230" s="23"/>
      <c r="J4230" s="23"/>
      <c r="K4230" s="23"/>
      <c r="L4230" s="23"/>
      <c r="M4230" s="23"/>
      <c r="N4230" s="23"/>
      <c r="O4230" s="23"/>
      <c r="P4230" s="23"/>
      <c r="Q4230" s="23"/>
      <c r="R4230" s="23"/>
      <c r="S4230" s="23"/>
      <c r="T4230" s="23"/>
      <c r="U4230" s="23"/>
    </row>
    <row r="4231">
      <c r="A4231" s="20"/>
      <c r="B4231" s="20"/>
      <c r="C4231" s="30"/>
      <c r="D4231" s="30"/>
      <c r="E4231" s="30"/>
      <c r="F4231" s="22"/>
      <c r="G4231" s="23"/>
      <c r="H4231" s="23"/>
      <c r="I4231" s="23"/>
      <c r="J4231" s="23"/>
      <c r="K4231" s="23"/>
      <c r="L4231" s="23"/>
      <c r="M4231" s="23"/>
      <c r="N4231" s="23"/>
      <c r="O4231" s="23"/>
      <c r="P4231" s="23"/>
      <c r="Q4231" s="23"/>
      <c r="R4231" s="23"/>
      <c r="S4231" s="23"/>
      <c r="T4231" s="23"/>
      <c r="U4231" s="23"/>
    </row>
    <row r="4232">
      <c r="A4232" s="20"/>
      <c r="B4232" s="20"/>
      <c r="C4232" s="30"/>
      <c r="D4232" s="30"/>
      <c r="E4232" s="30"/>
      <c r="F4232" s="22"/>
      <c r="G4232" s="23"/>
      <c r="H4232" s="23"/>
      <c r="I4232" s="23"/>
      <c r="J4232" s="23"/>
      <c r="K4232" s="23"/>
      <c r="L4232" s="23"/>
      <c r="M4232" s="23"/>
      <c r="N4232" s="23"/>
      <c r="O4232" s="23"/>
      <c r="P4232" s="23"/>
      <c r="Q4232" s="23"/>
      <c r="R4232" s="23"/>
      <c r="S4232" s="23"/>
      <c r="T4232" s="23"/>
      <c r="U4232" s="23"/>
    </row>
    <row r="4233">
      <c r="A4233" s="20"/>
      <c r="B4233" s="20"/>
      <c r="C4233" s="30"/>
      <c r="D4233" s="30"/>
      <c r="E4233" s="30"/>
      <c r="F4233" s="22"/>
      <c r="G4233" s="23"/>
      <c r="H4233" s="23"/>
      <c r="I4233" s="23"/>
      <c r="J4233" s="23"/>
      <c r="K4233" s="23"/>
      <c r="L4233" s="23"/>
      <c r="M4233" s="23"/>
      <c r="N4233" s="23"/>
      <c r="O4233" s="23"/>
      <c r="P4233" s="23"/>
      <c r="Q4233" s="23"/>
      <c r="R4233" s="23"/>
      <c r="S4233" s="23"/>
      <c r="T4233" s="23"/>
      <c r="U4233" s="23"/>
    </row>
    <row r="4234">
      <c r="A4234" s="20"/>
      <c r="B4234" s="20"/>
      <c r="C4234" s="30"/>
      <c r="D4234" s="30"/>
      <c r="E4234" s="30"/>
      <c r="F4234" s="22"/>
      <c r="G4234" s="23"/>
      <c r="H4234" s="23"/>
      <c r="I4234" s="23"/>
      <c r="J4234" s="23"/>
      <c r="K4234" s="23"/>
      <c r="L4234" s="23"/>
      <c r="M4234" s="23"/>
      <c r="N4234" s="23"/>
      <c r="O4234" s="23"/>
      <c r="P4234" s="23"/>
      <c r="Q4234" s="23"/>
      <c r="R4234" s="23"/>
      <c r="S4234" s="23"/>
      <c r="T4234" s="23"/>
      <c r="U4234" s="23"/>
    </row>
    <row r="4235">
      <c r="A4235" s="20"/>
      <c r="B4235" s="20"/>
      <c r="C4235" s="30"/>
      <c r="D4235" s="30"/>
      <c r="E4235" s="30"/>
      <c r="F4235" s="22"/>
      <c r="G4235" s="23"/>
      <c r="H4235" s="23"/>
      <c r="I4235" s="23"/>
      <c r="J4235" s="23"/>
      <c r="K4235" s="23"/>
      <c r="L4235" s="23"/>
      <c r="M4235" s="23"/>
      <c r="N4235" s="23"/>
      <c r="O4235" s="23"/>
      <c r="P4235" s="23"/>
      <c r="Q4235" s="23"/>
      <c r="R4235" s="23"/>
      <c r="S4235" s="23"/>
      <c r="T4235" s="23"/>
      <c r="U4235" s="23"/>
    </row>
    <row r="4236">
      <c r="A4236" s="20"/>
      <c r="B4236" s="20"/>
      <c r="C4236" s="30"/>
      <c r="D4236" s="30"/>
      <c r="E4236" s="30"/>
      <c r="F4236" s="22"/>
      <c r="G4236" s="23"/>
      <c r="H4236" s="23"/>
      <c r="I4236" s="23"/>
      <c r="J4236" s="23"/>
      <c r="K4236" s="23"/>
      <c r="L4236" s="23"/>
      <c r="M4236" s="23"/>
      <c r="N4236" s="23"/>
      <c r="O4236" s="23"/>
      <c r="P4236" s="23"/>
      <c r="Q4236" s="23"/>
      <c r="R4236" s="23"/>
      <c r="S4236" s="23"/>
      <c r="T4236" s="23"/>
      <c r="U4236" s="23"/>
    </row>
    <row r="4237">
      <c r="A4237" s="20"/>
      <c r="B4237" s="20"/>
      <c r="C4237" s="30"/>
      <c r="D4237" s="30"/>
      <c r="E4237" s="30"/>
      <c r="F4237" s="22"/>
      <c r="G4237" s="23"/>
      <c r="H4237" s="23"/>
      <c r="I4237" s="23"/>
      <c r="J4237" s="23"/>
      <c r="K4237" s="23"/>
      <c r="L4237" s="23"/>
      <c r="M4237" s="23"/>
      <c r="N4237" s="23"/>
      <c r="O4237" s="23"/>
      <c r="P4237" s="23"/>
      <c r="Q4237" s="23"/>
      <c r="R4237" s="23"/>
      <c r="S4237" s="23"/>
      <c r="T4237" s="23"/>
      <c r="U4237" s="23"/>
    </row>
    <row r="4238">
      <c r="A4238" s="20"/>
      <c r="B4238" s="20"/>
      <c r="C4238" s="30"/>
      <c r="D4238" s="30"/>
      <c r="E4238" s="30"/>
      <c r="F4238" s="22"/>
      <c r="G4238" s="23"/>
      <c r="H4238" s="23"/>
      <c r="I4238" s="23"/>
      <c r="J4238" s="23"/>
      <c r="K4238" s="23"/>
      <c r="L4238" s="23"/>
      <c r="M4238" s="23"/>
      <c r="N4238" s="23"/>
      <c r="O4238" s="23"/>
      <c r="P4238" s="23"/>
      <c r="Q4238" s="23"/>
      <c r="R4238" s="23"/>
      <c r="S4238" s="23"/>
      <c r="T4238" s="23"/>
      <c r="U4238" s="23"/>
    </row>
    <row r="4239">
      <c r="A4239" s="20"/>
      <c r="B4239" s="20"/>
      <c r="C4239" s="30"/>
      <c r="D4239" s="30"/>
      <c r="E4239" s="30"/>
      <c r="F4239" s="22"/>
      <c r="G4239" s="23"/>
      <c r="H4239" s="23"/>
      <c r="I4239" s="23"/>
      <c r="J4239" s="23"/>
      <c r="K4239" s="23"/>
      <c r="L4239" s="23"/>
      <c r="M4239" s="23"/>
      <c r="N4239" s="23"/>
      <c r="O4239" s="23"/>
      <c r="P4239" s="23"/>
      <c r="Q4239" s="23"/>
      <c r="R4239" s="23"/>
      <c r="S4239" s="23"/>
      <c r="T4239" s="23"/>
      <c r="U4239" s="23"/>
    </row>
    <row r="4240">
      <c r="A4240" s="20"/>
      <c r="B4240" s="20"/>
      <c r="C4240" s="30"/>
      <c r="D4240" s="30"/>
      <c r="E4240" s="30"/>
      <c r="F4240" s="22"/>
      <c r="G4240" s="23"/>
      <c r="H4240" s="23"/>
      <c r="I4240" s="23"/>
      <c r="J4240" s="23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</row>
    <row r="4241">
      <c r="A4241" s="20"/>
      <c r="B4241" s="20"/>
      <c r="C4241" s="30"/>
      <c r="D4241" s="30"/>
      <c r="E4241" s="30"/>
      <c r="F4241" s="22"/>
      <c r="G4241" s="23"/>
      <c r="H4241" s="23"/>
      <c r="I4241" s="23"/>
      <c r="J4241" s="23"/>
      <c r="K4241" s="23"/>
      <c r="L4241" s="23"/>
      <c r="M4241" s="23"/>
      <c r="N4241" s="23"/>
      <c r="O4241" s="23"/>
      <c r="P4241" s="23"/>
      <c r="Q4241" s="23"/>
      <c r="R4241" s="23"/>
      <c r="S4241" s="23"/>
      <c r="T4241" s="23"/>
      <c r="U4241" s="23"/>
    </row>
    <row r="4242">
      <c r="A4242" s="20"/>
      <c r="B4242" s="20"/>
      <c r="C4242" s="30"/>
      <c r="D4242" s="30"/>
      <c r="E4242" s="30"/>
      <c r="F4242" s="22"/>
      <c r="G4242" s="23"/>
      <c r="H4242" s="23"/>
      <c r="I4242" s="23"/>
      <c r="J4242" s="23"/>
      <c r="K4242" s="23"/>
      <c r="L4242" s="23"/>
      <c r="M4242" s="23"/>
      <c r="N4242" s="23"/>
      <c r="O4242" s="23"/>
      <c r="P4242" s="23"/>
      <c r="Q4242" s="23"/>
      <c r="R4242" s="23"/>
      <c r="S4242" s="23"/>
      <c r="T4242" s="23"/>
      <c r="U4242" s="23"/>
    </row>
    <row r="4243">
      <c r="A4243" s="20"/>
      <c r="B4243" s="20"/>
      <c r="C4243" s="30"/>
      <c r="D4243" s="30"/>
      <c r="E4243" s="30"/>
      <c r="F4243" s="22"/>
      <c r="G4243" s="23"/>
      <c r="H4243" s="23"/>
      <c r="I4243" s="23"/>
      <c r="J4243" s="23"/>
      <c r="K4243" s="23"/>
      <c r="L4243" s="23"/>
      <c r="M4243" s="23"/>
      <c r="N4243" s="23"/>
      <c r="O4243" s="23"/>
      <c r="P4243" s="23"/>
      <c r="Q4243" s="23"/>
      <c r="R4243" s="23"/>
      <c r="S4243" s="23"/>
      <c r="T4243" s="23"/>
      <c r="U4243" s="23"/>
    </row>
    <row r="4244">
      <c r="A4244" s="20"/>
      <c r="B4244" s="20"/>
      <c r="C4244" s="30"/>
      <c r="D4244" s="30"/>
      <c r="E4244" s="30"/>
      <c r="F4244" s="22"/>
      <c r="G4244" s="23"/>
      <c r="H4244" s="23"/>
      <c r="I4244" s="23"/>
      <c r="J4244" s="23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</row>
    <row r="4245">
      <c r="A4245" s="20"/>
      <c r="B4245" s="20"/>
      <c r="C4245" s="30"/>
      <c r="D4245" s="30"/>
      <c r="E4245" s="30"/>
      <c r="F4245" s="22"/>
      <c r="G4245" s="23"/>
      <c r="H4245" s="23"/>
      <c r="I4245" s="23"/>
      <c r="J4245" s="23"/>
      <c r="K4245" s="23"/>
      <c r="L4245" s="23"/>
      <c r="M4245" s="23"/>
      <c r="N4245" s="23"/>
      <c r="O4245" s="23"/>
      <c r="P4245" s="23"/>
      <c r="Q4245" s="23"/>
      <c r="R4245" s="23"/>
      <c r="S4245" s="23"/>
      <c r="T4245" s="23"/>
      <c r="U4245" s="23"/>
    </row>
    <row r="4246">
      <c r="A4246" s="20"/>
      <c r="B4246" s="20"/>
      <c r="C4246" s="30"/>
      <c r="D4246" s="30"/>
      <c r="E4246" s="30"/>
      <c r="F4246" s="22"/>
      <c r="G4246" s="23"/>
      <c r="H4246" s="23"/>
      <c r="I4246" s="23"/>
      <c r="J4246" s="23"/>
      <c r="K4246" s="23"/>
      <c r="L4246" s="23"/>
      <c r="M4246" s="23"/>
      <c r="N4246" s="23"/>
      <c r="O4246" s="23"/>
      <c r="P4246" s="23"/>
      <c r="Q4246" s="23"/>
      <c r="R4246" s="23"/>
      <c r="S4246" s="23"/>
      <c r="T4246" s="23"/>
      <c r="U4246" s="23"/>
    </row>
    <row r="4247">
      <c r="A4247" s="20"/>
      <c r="B4247" s="20"/>
      <c r="C4247" s="30"/>
      <c r="D4247" s="30"/>
      <c r="E4247" s="30"/>
      <c r="F4247" s="22"/>
      <c r="G4247" s="23"/>
      <c r="H4247" s="23"/>
      <c r="I4247" s="23"/>
      <c r="J4247" s="23"/>
      <c r="K4247" s="23"/>
      <c r="L4247" s="23"/>
      <c r="M4247" s="23"/>
      <c r="N4247" s="23"/>
      <c r="O4247" s="23"/>
      <c r="P4247" s="23"/>
      <c r="Q4247" s="23"/>
      <c r="R4247" s="23"/>
      <c r="S4247" s="23"/>
      <c r="T4247" s="23"/>
      <c r="U4247" s="23"/>
    </row>
    <row r="4248">
      <c r="A4248" s="20"/>
      <c r="B4248" s="20"/>
      <c r="C4248" s="30"/>
      <c r="D4248" s="30"/>
      <c r="E4248" s="30"/>
      <c r="F4248" s="22"/>
      <c r="G4248" s="23"/>
      <c r="H4248" s="23"/>
      <c r="I4248" s="23"/>
      <c r="J4248" s="23"/>
      <c r="K4248" s="23"/>
      <c r="L4248" s="23"/>
      <c r="M4248" s="23"/>
      <c r="N4248" s="23"/>
      <c r="O4248" s="23"/>
      <c r="P4248" s="23"/>
      <c r="Q4248" s="23"/>
      <c r="R4248" s="23"/>
      <c r="S4248" s="23"/>
      <c r="T4248" s="23"/>
      <c r="U4248" s="23"/>
    </row>
    <row r="4249">
      <c r="A4249" s="20"/>
      <c r="B4249" s="20"/>
      <c r="C4249" s="30"/>
      <c r="D4249" s="30"/>
      <c r="E4249" s="30"/>
      <c r="F4249" s="22"/>
      <c r="G4249" s="23"/>
      <c r="H4249" s="23"/>
      <c r="I4249" s="23"/>
      <c r="J4249" s="23"/>
      <c r="K4249" s="23"/>
      <c r="L4249" s="23"/>
      <c r="M4249" s="23"/>
      <c r="N4249" s="23"/>
      <c r="O4249" s="23"/>
      <c r="P4249" s="23"/>
      <c r="Q4249" s="23"/>
      <c r="R4249" s="23"/>
      <c r="S4249" s="23"/>
      <c r="T4249" s="23"/>
      <c r="U4249" s="23"/>
    </row>
    <row r="4250">
      <c r="A4250" s="20"/>
      <c r="B4250" s="20"/>
      <c r="C4250" s="30"/>
      <c r="D4250" s="30"/>
      <c r="E4250" s="30"/>
      <c r="F4250" s="22"/>
      <c r="G4250" s="23"/>
      <c r="H4250" s="23"/>
      <c r="I4250" s="23"/>
      <c r="J4250" s="23"/>
      <c r="K4250" s="23"/>
      <c r="L4250" s="23"/>
      <c r="M4250" s="23"/>
      <c r="N4250" s="23"/>
      <c r="O4250" s="23"/>
      <c r="P4250" s="23"/>
      <c r="Q4250" s="23"/>
      <c r="R4250" s="23"/>
      <c r="S4250" s="23"/>
      <c r="T4250" s="23"/>
      <c r="U4250" s="23"/>
    </row>
    <row r="4251">
      <c r="A4251" s="20"/>
      <c r="B4251" s="20"/>
      <c r="C4251" s="30"/>
      <c r="D4251" s="30"/>
      <c r="E4251" s="30"/>
      <c r="F4251" s="22"/>
      <c r="G4251" s="23"/>
      <c r="H4251" s="23"/>
      <c r="I4251" s="23"/>
      <c r="J4251" s="23"/>
      <c r="K4251" s="23"/>
      <c r="L4251" s="23"/>
      <c r="M4251" s="23"/>
      <c r="N4251" s="23"/>
      <c r="O4251" s="23"/>
      <c r="P4251" s="23"/>
      <c r="Q4251" s="23"/>
      <c r="R4251" s="23"/>
      <c r="S4251" s="23"/>
      <c r="T4251" s="23"/>
      <c r="U4251" s="23"/>
    </row>
    <row r="4252">
      <c r="A4252" s="20"/>
      <c r="B4252" s="20"/>
      <c r="C4252" s="30"/>
      <c r="D4252" s="30"/>
      <c r="E4252" s="30"/>
      <c r="F4252" s="22"/>
      <c r="G4252" s="23"/>
      <c r="H4252" s="23"/>
      <c r="I4252" s="23"/>
      <c r="J4252" s="23"/>
      <c r="K4252" s="23"/>
      <c r="L4252" s="23"/>
      <c r="M4252" s="23"/>
      <c r="N4252" s="23"/>
      <c r="O4252" s="23"/>
      <c r="P4252" s="23"/>
      <c r="Q4252" s="23"/>
      <c r="R4252" s="23"/>
      <c r="S4252" s="23"/>
      <c r="T4252" s="23"/>
      <c r="U4252" s="23"/>
    </row>
    <row r="4253">
      <c r="A4253" s="20"/>
      <c r="B4253" s="20"/>
      <c r="C4253" s="30"/>
      <c r="D4253" s="30"/>
      <c r="E4253" s="30"/>
      <c r="F4253" s="22"/>
      <c r="G4253" s="23"/>
      <c r="H4253" s="23"/>
      <c r="I4253" s="23"/>
      <c r="J4253" s="23"/>
      <c r="K4253" s="23"/>
      <c r="L4253" s="23"/>
      <c r="M4253" s="23"/>
      <c r="N4253" s="23"/>
      <c r="O4253" s="23"/>
      <c r="P4253" s="23"/>
      <c r="Q4253" s="23"/>
      <c r="R4253" s="23"/>
      <c r="S4253" s="23"/>
      <c r="T4253" s="23"/>
      <c r="U4253" s="23"/>
    </row>
    <row r="4254">
      <c r="A4254" s="20"/>
      <c r="B4254" s="20"/>
      <c r="C4254" s="30"/>
      <c r="D4254" s="30"/>
      <c r="E4254" s="30"/>
      <c r="F4254" s="22"/>
      <c r="G4254" s="23"/>
      <c r="H4254" s="23"/>
      <c r="I4254" s="23"/>
      <c r="J4254" s="23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</row>
    <row r="4255">
      <c r="A4255" s="20"/>
      <c r="B4255" s="20"/>
      <c r="C4255" s="30"/>
      <c r="D4255" s="30"/>
      <c r="E4255" s="30"/>
      <c r="F4255" s="22"/>
      <c r="G4255" s="23"/>
      <c r="H4255" s="23"/>
      <c r="I4255" s="23"/>
      <c r="J4255" s="23"/>
      <c r="K4255" s="23"/>
      <c r="L4255" s="23"/>
      <c r="M4255" s="23"/>
      <c r="N4255" s="23"/>
      <c r="O4255" s="23"/>
      <c r="P4255" s="23"/>
      <c r="Q4255" s="23"/>
      <c r="R4255" s="23"/>
      <c r="S4255" s="23"/>
      <c r="T4255" s="23"/>
      <c r="U4255" s="23"/>
    </row>
    <row r="4256">
      <c r="A4256" s="20"/>
      <c r="B4256" s="20"/>
      <c r="C4256" s="30"/>
      <c r="D4256" s="30"/>
      <c r="E4256" s="30"/>
      <c r="F4256" s="22"/>
      <c r="G4256" s="23"/>
      <c r="H4256" s="23"/>
      <c r="I4256" s="23"/>
      <c r="J4256" s="23"/>
      <c r="K4256" s="23"/>
      <c r="L4256" s="23"/>
      <c r="M4256" s="23"/>
      <c r="N4256" s="23"/>
      <c r="O4256" s="23"/>
      <c r="P4256" s="23"/>
      <c r="Q4256" s="23"/>
      <c r="R4256" s="23"/>
      <c r="S4256" s="23"/>
      <c r="T4256" s="23"/>
      <c r="U4256" s="23"/>
    </row>
    <row r="4257">
      <c r="A4257" s="20"/>
      <c r="B4257" s="20"/>
      <c r="C4257" s="30"/>
      <c r="D4257" s="30"/>
      <c r="E4257" s="30"/>
      <c r="F4257" s="22"/>
      <c r="G4257" s="23"/>
      <c r="H4257" s="23"/>
      <c r="I4257" s="23"/>
      <c r="J4257" s="23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</row>
    <row r="4258">
      <c r="A4258" s="20"/>
      <c r="B4258" s="20"/>
      <c r="C4258" s="30"/>
      <c r="D4258" s="30"/>
      <c r="E4258" s="30"/>
      <c r="F4258" s="22"/>
      <c r="G4258" s="23"/>
      <c r="H4258" s="23"/>
      <c r="I4258" s="23"/>
      <c r="J4258" s="23"/>
      <c r="K4258" s="23"/>
      <c r="L4258" s="23"/>
      <c r="M4258" s="23"/>
      <c r="N4258" s="23"/>
      <c r="O4258" s="23"/>
      <c r="P4258" s="23"/>
      <c r="Q4258" s="23"/>
      <c r="R4258" s="23"/>
      <c r="S4258" s="23"/>
      <c r="T4258" s="23"/>
      <c r="U4258" s="23"/>
    </row>
    <row r="4259">
      <c r="A4259" s="20"/>
      <c r="B4259" s="20"/>
      <c r="C4259" s="30"/>
      <c r="D4259" s="30"/>
      <c r="E4259" s="30"/>
      <c r="F4259" s="22"/>
      <c r="G4259" s="23"/>
      <c r="H4259" s="23"/>
      <c r="I4259" s="23"/>
      <c r="J4259" s="23"/>
      <c r="K4259" s="23"/>
      <c r="L4259" s="23"/>
      <c r="M4259" s="23"/>
      <c r="N4259" s="23"/>
      <c r="O4259" s="23"/>
      <c r="P4259" s="23"/>
      <c r="Q4259" s="23"/>
      <c r="R4259" s="23"/>
      <c r="S4259" s="23"/>
      <c r="T4259" s="23"/>
      <c r="U4259" s="23"/>
    </row>
    <row r="4260">
      <c r="A4260" s="20"/>
      <c r="B4260" s="20"/>
      <c r="C4260" s="30"/>
      <c r="D4260" s="30"/>
      <c r="E4260" s="30"/>
      <c r="F4260" s="22"/>
      <c r="G4260" s="23"/>
      <c r="H4260" s="23"/>
      <c r="I4260" s="23"/>
      <c r="J4260" s="23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</row>
    <row r="4261">
      <c r="A4261" s="20"/>
      <c r="B4261" s="20"/>
      <c r="C4261" s="30"/>
      <c r="D4261" s="30"/>
      <c r="E4261" s="30"/>
      <c r="F4261" s="22"/>
      <c r="G4261" s="23"/>
      <c r="H4261" s="23"/>
      <c r="I4261" s="23"/>
      <c r="J4261" s="23"/>
      <c r="K4261" s="23"/>
      <c r="L4261" s="23"/>
      <c r="M4261" s="23"/>
      <c r="N4261" s="23"/>
      <c r="O4261" s="23"/>
      <c r="P4261" s="23"/>
      <c r="Q4261" s="23"/>
      <c r="R4261" s="23"/>
      <c r="S4261" s="23"/>
      <c r="T4261" s="23"/>
      <c r="U4261" s="23"/>
    </row>
    <row r="4262">
      <c r="A4262" s="20"/>
      <c r="B4262" s="20"/>
      <c r="C4262" s="30"/>
      <c r="D4262" s="30"/>
      <c r="E4262" s="30"/>
      <c r="F4262" s="22"/>
      <c r="G4262" s="23"/>
      <c r="H4262" s="23"/>
      <c r="I4262" s="23"/>
      <c r="J4262" s="23"/>
      <c r="K4262" s="23"/>
      <c r="L4262" s="23"/>
      <c r="M4262" s="23"/>
      <c r="N4262" s="23"/>
      <c r="O4262" s="23"/>
      <c r="P4262" s="23"/>
      <c r="Q4262" s="23"/>
      <c r="R4262" s="23"/>
      <c r="S4262" s="23"/>
      <c r="T4262" s="23"/>
      <c r="U4262" s="23"/>
    </row>
    <row r="4263">
      <c r="A4263" s="20"/>
      <c r="B4263" s="20"/>
      <c r="C4263" s="30"/>
      <c r="D4263" s="30"/>
      <c r="E4263" s="30"/>
      <c r="F4263" s="22"/>
      <c r="G4263" s="23"/>
      <c r="H4263" s="23"/>
      <c r="I4263" s="23"/>
      <c r="J4263" s="23"/>
      <c r="K4263" s="23"/>
      <c r="L4263" s="23"/>
      <c r="M4263" s="23"/>
      <c r="N4263" s="23"/>
      <c r="O4263" s="23"/>
      <c r="P4263" s="23"/>
      <c r="Q4263" s="23"/>
      <c r="R4263" s="23"/>
      <c r="S4263" s="23"/>
      <c r="T4263" s="23"/>
      <c r="U4263" s="23"/>
    </row>
    <row r="4264">
      <c r="A4264" s="20"/>
      <c r="B4264" s="20"/>
      <c r="C4264" s="30"/>
      <c r="D4264" s="30"/>
      <c r="E4264" s="30"/>
      <c r="F4264" s="22"/>
      <c r="G4264" s="23"/>
      <c r="H4264" s="23"/>
      <c r="I4264" s="23"/>
      <c r="J4264" s="23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</row>
    <row r="4265">
      <c r="A4265" s="20"/>
      <c r="B4265" s="20"/>
      <c r="C4265" s="30"/>
      <c r="D4265" s="30"/>
      <c r="E4265" s="30"/>
      <c r="F4265" s="22"/>
      <c r="G4265" s="23"/>
      <c r="H4265" s="23"/>
      <c r="I4265" s="23"/>
      <c r="J4265" s="23"/>
      <c r="K4265" s="23"/>
      <c r="L4265" s="23"/>
      <c r="M4265" s="23"/>
      <c r="N4265" s="23"/>
      <c r="O4265" s="23"/>
      <c r="P4265" s="23"/>
      <c r="Q4265" s="23"/>
      <c r="R4265" s="23"/>
      <c r="S4265" s="23"/>
      <c r="T4265" s="23"/>
      <c r="U4265" s="23"/>
    </row>
    <row r="4266">
      <c r="A4266" s="20"/>
      <c r="B4266" s="20"/>
      <c r="C4266" s="30"/>
      <c r="D4266" s="30"/>
      <c r="E4266" s="30"/>
      <c r="F4266" s="22"/>
      <c r="G4266" s="23"/>
      <c r="H4266" s="23"/>
      <c r="I4266" s="23"/>
      <c r="J4266" s="23"/>
      <c r="K4266" s="23"/>
      <c r="L4266" s="23"/>
      <c r="M4266" s="23"/>
      <c r="N4266" s="23"/>
      <c r="O4266" s="23"/>
      <c r="P4266" s="23"/>
      <c r="Q4266" s="23"/>
      <c r="R4266" s="23"/>
      <c r="S4266" s="23"/>
      <c r="T4266" s="23"/>
      <c r="U4266" s="23"/>
    </row>
    <row r="4267">
      <c r="A4267" s="20"/>
      <c r="B4267" s="20"/>
      <c r="C4267" s="30"/>
      <c r="D4267" s="30"/>
      <c r="E4267" s="30"/>
      <c r="F4267" s="22"/>
      <c r="G4267" s="23"/>
      <c r="H4267" s="23"/>
      <c r="I4267" s="23"/>
      <c r="J4267" s="23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</row>
    <row r="4268">
      <c r="A4268" s="20"/>
      <c r="B4268" s="20"/>
      <c r="C4268" s="30"/>
      <c r="D4268" s="30"/>
      <c r="E4268" s="30"/>
      <c r="F4268" s="22"/>
      <c r="G4268" s="23"/>
      <c r="H4268" s="23"/>
      <c r="I4268" s="23"/>
      <c r="J4268" s="23"/>
      <c r="K4268" s="23"/>
      <c r="L4268" s="23"/>
      <c r="M4268" s="23"/>
      <c r="N4268" s="23"/>
      <c r="O4268" s="23"/>
      <c r="P4268" s="23"/>
      <c r="Q4268" s="23"/>
      <c r="R4268" s="23"/>
      <c r="S4268" s="23"/>
      <c r="T4268" s="23"/>
      <c r="U4268" s="23"/>
    </row>
    <row r="4269">
      <c r="A4269" s="20"/>
      <c r="B4269" s="20"/>
      <c r="C4269" s="30"/>
      <c r="D4269" s="30"/>
      <c r="E4269" s="30"/>
      <c r="F4269" s="22"/>
      <c r="G4269" s="23"/>
      <c r="H4269" s="23"/>
      <c r="I4269" s="23"/>
      <c r="J4269" s="23"/>
      <c r="K4269" s="23"/>
      <c r="L4269" s="23"/>
      <c r="M4269" s="23"/>
      <c r="N4269" s="23"/>
      <c r="O4269" s="23"/>
      <c r="P4269" s="23"/>
      <c r="Q4269" s="23"/>
      <c r="R4269" s="23"/>
      <c r="S4269" s="23"/>
      <c r="T4269" s="23"/>
      <c r="U4269" s="23"/>
    </row>
    <row r="4270">
      <c r="A4270" s="20"/>
      <c r="B4270" s="20"/>
      <c r="C4270" s="30"/>
      <c r="D4270" s="30"/>
      <c r="E4270" s="30"/>
      <c r="F4270" s="22"/>
      <c r="G4270" s="23"/>
      <c r="H4270" s="23"/>
      <c r="I4270" s="23"/>
      <c r="J4270" s="23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</row>
    <row r="4271">
      <c r="A4271" s="20"/>
      <c r="B4271" s="20"/>
      <c r="C4271" s="30"/>
      <c r="D4271" s="30"/>
      <c r="E4271" s="30"/>
      <c r="F4271" s="22"/>
      <c r="G4271" s="23"/>
      <c r="H4271" s="23"/>
      <c r="I4271" s="23"/>
      <c r="J4271" s="23"/>
      <c r="K4271" s="23"/>
      <c r="L4271" s="23"/>
      <c r="M4271" s="23"/>
      <c r="N4271" s="23"/>
      <c r="O4271" s="23"/>
      <c r="P4271" s="23"/>
      <c r="Q4271" s="23"/>
      <c r="R4271" s="23"/>
      <c r="S4271" s="23"/>
      <c r="T4271" s="23"/>
      <c r="U4271" s="23"/>
    </row>
    <row r="4272">
      <c r="A4272" s="20"/>
      <c r="B4272" s="20"/>
      <c r="C4272" s="30"/>
      <c r="D4272" s="30"/>
      <c r="E4272" s="30"/>
      <c r="F4272" s="22"/>
      <c r="G4272" s="23"/>
      <c r="H4272" s="23"/>
      <c r="I4272" s="23"/>
      <c r="J4272" s="23"/>
      <c r="K4272" s="23"/>
      <c r="L4272" s="23"/>
      <c r="M4272" s="23"/>
      <c r="N4272" s="23"/>
      <c r="O4272" s="23"/>
      <c r="P4272" s="23"/>
      <c r="Q4272" s="23"/>
      <c r="R4272" s="23"/>
      <c r="S4272" s="23"/>
      <c r="T4272" s="23"/>
      <c r="U4272" s="23"/>
    </row>
    <row r="4273">
      <c r="A4273" s="20"/>
      <c r="B4273" s="20"/>
      <c r="C4273" s="30"/>
      <c r="D4273" s="30"/>
      <c r="E4273" s="30"/>
      <c r="F4273" s="22"/>
      <c r="G4273" s="23"/>
      <c r="H4273" s="23"/>
      <c r="I4273" s="23"/>
      <c r="J4273" s="23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</row>
    <row r="4274">
      <c r="A4274" s="20"/>
      <c r="B4274" s="20"/>
      <c r="C4274" s="30"/>
      <c r="D4274" s="30"/>
      <c r="E4274" s="30"/>
      <c r="F4274" s="22"/>
      <c r="G4274" s="23"/>
      <c r="H4274" s="23"/>
      <c r="I4274" s="23"/>
      <c r="J4274" s="23"/>
      <c r="K4274" s="23"/>
      <c r="L4274" s="23"/>
      <c r="M4274" s="23"/>
      <c r="N4274" s="23"/>
      <c r="O4274" s="23"/>
      <c r="P4274" s="23"/>
      <c r="Q4274" s="23"/>
      <c r="R4274" s="23"/>
      <c r="S4274" s="23"/>
      <c r="T4274" s="23"/>
      <c r="U4274" s="23"/>
    </row>
    <row r="4275">
      <c r="A4275" s="20"/>
      <c r="B4275" s="20"/>
      <c r="C4275" s="30"/>
      <c r="D4275" s="30"/>
      <c r="E4275" s="30"/>
      <c r="F4275" s="22"/>
      <c r="G4275" s="23"/>
      <c r="H4275" s="23"/>
      <c r="I4275" s="23"/>
      <c r="J4275" s="23"/>
      <c r="K4275" s="23"/>
      <c r="L4275" s="23"/>
      <c r="M4275" s="23"/>
      <c r="N4275" s="23"/>
      <c r="O4275" s="23"/>
      <c r="P4275" s="23"/>
      <c r="Q4275" s="23"/>
      <c r="R4275" s="23"/>
      <c r="S4275" s="23"/>
      <c r="T4275" s="23"/>
      <c r="U4275" s="23"/>
    </row>
    <row r="4276">
      <c r="A4276" s="20"/>
      <c r="B4276" s="20"/>
      <c r="C4276" s="30"/>
      <c r="D4276" s="30"/>
      <c r="E4276" s="30"/>
      <c r="F4276" s="22"/>
      <c r="G4276" s="23"/>
      <c r="H4276" s="23"/>
      <c r="I4276" s="23"/>
      <c r="J4276" s="23"/>
      <c r="K4276" s="23"/>
      <c r="L4276" s="23"/>
      <c r="M4276" s="23"/>
      <c r="N4276" s="23"/>
      <c r="O4276" s="23"/>
      <c r="P4276" s="23"/>
      <c r="Q4276" s="23"/>
      <c r="R4276" s="23"/>
      <c r="S4276" s="23"/>
      <c r="T4276" s="23"/>
      <c r="U4276" s="23"/>
    </row>
    <row r="4277">
      <c r="A4277" s="20"/>
      <c r="B4277" s="20"/>
      <c r="C4277" s="30"/>
      <c r="D4277" s="30"/>
      <c r="E4277" s="30"/>
      <c r="F4277" s="22"/>
      <c r="G4277" s="23"/>
      <c r="H4277" s="23"/>
      <c r="I4277" s="23"/>
      <c r="J4277" s="23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</row>
    <row r="4278">
      <c r="A4278" s="20"/>
      <c r="B4278" s="20"/>
      <c r="C4278" s="30"/>
      <c r="D4278" s="30"/>
      <c r="E4278" s="30"/>
      <c r="F4278" s="22"/>
      <c r="G4278" s="23"/>
      <c r="H4278" s="23"/>
      <c r="I4278" s="23"/>
      <c r="J4278" s="23"/>
      <c r="K4278" s="23"/>
      <c r="L4278" s="23"/>
      <c r="M4278" s="23"/>
      <c r="N4278" s="23"/>
      <c r="O4278" s="23"/>
      <c r="P4278" s="23"/>
      <c r="Q4278" s="23"/>
      <c r="R4278" s="23"/>
      <c r="S4278" s="23"/>
      <c r="T4278" s="23"/>
      <c r="U4278" s="23"/>
    </row>
    <row r="4279">
      <c r="A4279" s="20"/>
      <c r="B4279" s="20"/>
      <c r="C4279" s="30"/>
      <c r="D4279" s="30"/>
      <c r="E4279" s="30"/>
      <c r="F4279" s="22"/>
      <c r="G4279" s="23"/>
      <c r="H4279" s="23"/>
      <c r="I4279" s="23"/>
      <c r="J4279" s="23"/>
      <c r="K4279" s="23"/>
      <c r="L4279" s="23"/>
      <c r="M4279" s="23"/>
      <c r="N4279" s="23"/>
      <c r="O4279" s="23"/>
      <c r="P4279" s="23"/>
      <c r="Q4279" s="23"/>
      <c r="R4279" s="23"/>
      <c r="S4279" s="23"/>
      <c r="T4279" s="23"/>
      <c r="U4279" s="23"/>
    </row>
    <row r="4280">
      <c r="A4280" s="20"/>
      <c r="B4280" s="20"/>
      <c r="C4280" s="30"/>
      <c r="D4280" s="30"/>
      <c r="E4280" s="30"/>
      <c r="F4280" s="22"/>
      <c r="G4280" s="23"/>
      <c r="H4280" s="23"/>
      <c r="I4280" s="23"/>
      <c r="J4280" s="23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</row>
    <row r="4281">
      <c r="A4281" s="20"/>
      <c r="B4281" s="20"/>
      <c r="C4281" s="30"/>
      <c r="D4281" s="30"/>
      <c r="E4281" s="30"/>
      <c r="F4281" s="22"/>
      <c r="G4281" s="23"/>
      <c r="H4281" s="23"/>
      <c r="I4281" s="23"/>
      <c r="J4281" s="23"/>
      <c r="K4281" s="23"/>
      <c r="L4281" s="23"/>
      <c r="M4281" s="23"/>
      <c r="N4281" s="23"/>
      <c r="O4281" s="23"/>
      <c r="P4281" s="23"/>
      <c r="Q4281" s="23"/>
      <c r="R4281" s="23"/>
      <c r="S4281" s="23"/>
      <c r="T4281" s="23"/>
      <c r="U4281" s="23"/>
    </row>
    <row r="4282">
      <c r="A4282" s="20"/>
      <c r="B4282" s="20"/>
      <c r="C4282" s="30"/>
      <c r="D4282" s="30"/>
      <c r="E4282" s="30"/>
      <c r="F4282" s="22"/>
      <c r="G4282" s="23"/>
      <c r="H4282" s="23"/>
      <c r="I4282" s="23"/>
      <c r="J4282" s="23"/>
      <c r="K4282" s="23"/>
      <c r="L4282" s="23"/>
      <c r="M4282" s="23"/>
      <c r="N4282" s="23"/>
      <c r="O4282" s="23"/>
      <c r="P4282" s="23"/>
      <c r="Q4282" s="23"/>
      <c r="R4282" s="23"/>
      <c r="S4282" s="23"/>
      <c r="T4282" s="23"/>
      <c r="U4282" s="23"/>
    </row>
    <row r="4283">
      <c r="A4283" s="20"/>
      <c r="B4283" s="20"/>
      <c r="C4283" s="30"/>
      <c r="D4283" s="30"/>
      <c r="E4283" s="30"/>
      <c r="F4283" s="22"/>
      <c r="G4283" s="23"/>
      <c r="H4283" s="23"/>
      <c r="I4283" s="23"/>
      <c r="J4283" s="23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</row>
    <row r="4284">
      <c r="A4284" s="20"/>
      <c r="B4284" s="20"/>
      <c r="C4284" s="30"/>
      <c r="D4284" s="30"/>
      <c r="E4284" s="30"/>
      <c r="F4284" s="22"/>
      <c r="G4284" s="23"/>
      <c r="H4284" s="23"/>
      <c r="I4284" s="23"/>
      <c r="J4284" s="23"/>
      <c r="K4284" s="23"/>
      <c r="L4284" s="23"/>
      <c r="M4284" s="23"/>
      <c r="N4284" s="23"/>
      <c r="O4284" s="23"/>
      <c r="P4284" s="23"/>
      <c r="Q4284" s="23"/>
      <c r="R4284" s="23"/>
      <c r="S4284" s="23"/>
      <c r="T4284" s="23"/>
      <c r="U4284" s="23"/>
    </row>
    <row r="4285">
      <c r="A4285" s="20"/>
      <c r="B4285" s="20"/>
      <c r="C4285" s="30"/>
      <c r="D4285" s="30"/>
      <c r="E4285" s="30"/>
      <c r="F4285" s="22"/>
      <c r="G4285" s="23"/>
      <c r="H4285" s="23"/>
      <c r="I4285" s="23"/>
      <c r="J4285" s="23"/>
      <c r="K4285" s="23"/>
      <c r="L4285" s="23"/>
      <c r="M4285" s="23"/>
      <c r="N4285" s="23"/>
      <c r="O4285" s="23"/>
      <c r="P4285" s="23"/>
      <c r="Q4285" s="23"/>
      <c r="R4285" s="23"/>
      <c r="S4285" s="23"/>
      <c r="T4285" s="23"/>
      <c r="U4285" s="23"/>
    </row>
    <row r="4286">
      <c r="A4286" s="20"/>
      <c r="B4286" s="20"/>
      <c r="C4286" s="30"/>
      <c r="D4286" s="30"/>
      <c r="E4286" s="30"/>
      <c r="F4286" s="22"/>
      <c r="G4286" s="23"/>
      <c r="H4286" s="23"/>
      <c r="I4286" s="23"/>
      <c r="J4286" s="23"/>
      <c r="K4286" s="23"/>
      <c r="L4286" s="23"/>
      <c r="M4286" s="23"/>
      <c r="N4286" s="23"/>
      <c r="O4286" s="23"/>
      <c r="P4286" s="23"/>
      <c r="Q4286" s="23"/>
      <c r="R4286" s="23"/>
      <c r="S4286" s="23"/>
      <c r="T4286" s="23"/>
      <c r="U4286" s="23"/>
    </row>
    <row r="4287">
      <c r="A4287" s="20"/>
      <c r="B4287" s="20"/>
      <c r="C4287" s="30"/>
      <c r="D4287" s="30"/>
      <c r="E4287" s="30"/>
      <c r="F4287" s="22"/>
      <c r="G4287" s="23"/>
      <c r="H4287" s="23"/>
      <c r="I4287" s="23"/>
      <c r="J4287" s="23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</row>
    <row r="4288">
      <c r="A4288" s="20"/>
      <c r="B4288" s="20"/>
      <c r="C4288" s="30"/>
      <c r="D4288" s="30"/>
      <c r="E4288" s="30"/>
      <c r="F4288" s="22"/>
      <c r="G4288" s="23"/>
      <c r="H4288" s="23"/>
      <c r="I4288" s="23"/>
      <c r="J4288" s="23"/>
      <c r="K4288" s="23"/>
      <c r="L4288" s="23"/>
      <c r="M4288" s="23"/>
      <c r="N4288" s="23"/>
      <c r="O4288" s="23"/>
      <c r="P4288" s="23"/>
      <c r="Q4288" s="23"/>
      <c r="R4288" s="23"/>
      <c r="S4288" s="23"/>
      <c r="T4288" s="23"/>
      <c r="U4288" s="23"/>
    </row>
    <row r="4289">
      <c r="A4289" s="20"/>
      <c r="B4289" s="20"/>
      <c r="C4289" s="30"/>
      <c r="D4289" s="30"/>
      <c r="E4289" s="30"/>
      <c r="F4289" s="22"/>
      <c r="G4289" s="23"/>
      <c r="H4289" s="23"/>
      <c r="I4289" s="23"/>
      <c r="J4289" s="23"/>
      <c r="K4289" s="23"/>
      <c r="L4289" s="23"/>
      <c r="M4289" s="23"/>
      <c r="N4289" s="23"/>
      <c r="O4289" s="23"/>
      <c r="P4289" s="23"/>
      <c r="Q4289" s="23"/>
      <c r="R4289" s="23"/>
      <c r="S4289" s="23"/>
      <c r="T4289" s="23"/>
      <c r="U4289" s="23"/>
    </row>
    <row r="4290">
      <c r="A4290" s="20"/>
      <c r="B4290" s="20"/>
      <c r="C4290" s="30"/>
      <c r="D4290" s="30"/>
      <c r="E4290" s="30"/>
      <c r="F4290" s="22"/>
      <c r="G4290" s="23"/>
      <c r="H4290" s="23"/>
      <c r="I4290" s="23"/>
      <c r="J4290" s="23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</row>
    <row r="4291">
      <c r="A4291" s="20"/>
      <c r="B4291" s="20"/>
      <c r="C4291" s="30"/>
      <c r="D4291" s="30"/>
      <c r="E4291" s="30"/>
      <c r="F4291" s="22"/>
      <c r="G4291" s="23"/>
      <c r="H4291" s="23"/>
      <c r="I4291" s="23"/>
      <c r="J4291" s="23"/>
      <c r="K4291" s="23"/>
      <c r="L4291" s="23"/>
      <c r="M4291" s="23"/>
      <c r="N4291" s="23"/>
      <c r="O4291" s="23"/>
      <c r="P4291" s="23"/>
      <c r="Q4291" s="23"/>
      <c r="R4291" s="23"/>
      <c r="S4291" s="23"/>
      <c r="T4291" s="23"/>
      <c r="U4291" s="23"/>
    </row>
    <row r="4292">
      <c r="A4292" s="20"/>
      <c r="B4292" s="20"/>
      <c r="C4292" s="30"/>
      <c r="D4292" s="30"/>
      <c r="E4292" s="30"/>
      <c r="F4292" s="22"/>
      <c r="G4292" s="23"/>
      <c r="H4292" s="23"/>
      <c r="I4292" s="23"/>
      <c r="J4292" s="23"/>
      <c r="K4292" s="23"/>
      <c r="L4292" s="23"/>
      <c r="M4292" s="23"/>
      <c r="N4292" s="23"/>
      <c r="O4292" s="23"/>
      <c r="P4292" s="23"/>
      <c r="Q4292" s="23"/>
      <c r="R4292" s="23"/>
      <c r="S4292" s="23"/>
      <c r="T4292" s="23"/>
      <c r="U4292" s="23"/>
    </row>
    <row r="4293">
      <c r="A4293" s="20"/>
      <c r="B4293" s="20"/>
      <c r="C4293" s="30"/>
      <c r="D4293" s="30"/>
      <c r="E4293" s="30"/>
      <c r="F4293" s="22"/>
      <c r="G4293" s="23"/>
      <c r="H4293" s="23"/>
      <c r="I4293" s="23"/>
      <c r="J4293" s="23"/>
      <c r="K4293" s="23"/>
      <c r="L4293" s="23"/>
      <c r="M4293" s="23"/>
      <c r="N4293" s="23"/>
      <c r="O4293" s="23"/>
      <c r="P4293" s="23"/>
      <c r="Q4293" s="23"/>
      <c r="R4293" s="23"/>
      <c r="S4293" s="23"/>
      <c r="T4293" s="23"/>
      <c r="U4293" s="23"/>
    </row>
    <row r="4294">
      <c r="A4294" s="20"/>
      <c r="B4294" s="20"/>
      <c r="C4294" s="30"/>
      <c r="D4294" s="30"/>
      <c r="E4294" s="30"/>
      <c r="F4294" s="22"/>
      <c r="G4294" s="23"/>
      <c r="H4294" s="23"/>
      <c r="I4294" s="23"/>
      <c r="J4294" s="23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</row>
    <row r="4295">
      <c r="A4295" s="20"/>
      <c r="B4295" s="20"/>
      <c r="C4295" s="30"/>
      <c r="D4295" s="30"/>
      <c r="E4295" s="30"/>
      <c r="F4295" s="22"/>
      <c r="G4295" s="23"/>
      <c r="H4295" s="23"/>
      <c r="I4295" s="23"/>
      <c r="J4295" s="23"/>
      <c r="K4295" s="23"/>
      <c r="L4295" s="23"/>
      <c r="M4295" s="23"/>
      <c r="N4295" s="23"/>
      <c r="O4295" s="23"/>
      <c r="P4295" s="23"/>
      <c r="Q4295" s="23"/>
      <c r="R4295" s="23"/>
      <c r="S4295" s="23"/>
      <c r="T4295" s="23"/>
      <c r="U4295" s="23"/>
    </row>
    <row r="4296">
      <c r="A4296" s="20"/>
      <c r="B4296" s="20"/>
      <c r="C4296" s="30"/>
      <c r="D4296" s="30"/>
      <c r="E4296" s="30"/>
      <c r="F4296" s="22"/>
      <c r="G4296" s="23"/>
      <c r="H4296" s="23"/>
      <c r="I4296" s="23"/>
      <c r="J4296" s="23"/>
      <c r="K4296" s="23"/>
      <c r="L4296" s="23"/>
      <c r="M4296" s="23"/>
      <c r="N4296" s="23"/>
      <c r="O4296" s="23"/>
      <c r="P4296" s="23"/>
      <c r="Q4296" s="23"/>
      <c r="R4296" s="23"/>
      <c r="S4296" s="23"/>
      <c r="T4296" s="23"/>
      <c r="U4296" s="23"/>
    </row>
    <row r="4297">
      <c r="A4297" s="20"/>
      <c r="B4297" s="20"/>
      <c r="C4297" s="30"/>
      <c r="D4297" s="30"/>
      <c r="E4297" s="30"/>
      <c r="F4297" s="22"/>
      <c r="G4297" s="23"/>
      <c r="H4297" s="23"/>
      <c r="I4297" s="23"/>
      <c r="J4297" s="23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</row>
    <row r="4298">
      <c r="A4298" s="20"/>
      <c r="B4298" s="20"/>
      <c r="C4298" s="30"/>
      <c r="D4298" s="30"/>
      <c r="E4298" s="30"/>
      <c r="F4298" s="22"/>
      <c r="G4298" s="23"/>
      <c r="H4298" s="23"/>
      <c r="I4298" s="23"/>
      <c r="J4298" s="23"/>
      <c r="K4298" s="23"/>
      <c r="L4298" s="23"/>
      <c r="M4298" s="23"/>
      <c r="N4298" s="23"/>
      <c r="O4298" s="23"/>
      <c r="P4298" s="23"/>
      <c r="Q4298" s="23"/>
      <c r="R4298" s="23"/>
      <c r="S4298" s="23"/>
      <c r="T4298" s="23"/>
      <c r="U4298" s="23"/>
    </row>
    <row r="4299">
      <c r="A4299" s="20"/>
      <c r="B4299" s="20"/>
      <c r="C4299" s="30"/>
      <c r="D4299" s="30"/>
      <c r="E4299" s="30"/>
      <c r="F4299" s="22"/>
      <c r="G4299" s="23"/>
      <c r="H4299" s="23"/>
      <c r="I4299" s="23"/>
      <c r="J4299" s="23"/>
      <c r="K4299" s="23"/>
      <c r="L4299" s="23"/>
      <c r="M4299" s="23"/>
      <c r="N4299" s="23"/>
      <c r="O4299" s="23"/>
      <c r="P4299" s="23"/>
      <c r="Q4299" s="23"/>
      <c r="R4299" s="23"/>
      <c r="S4299" s="23"/>
      <c r="T4299" s="23"/>
      <c r="U4299" s="23"/>
    </row>
    <row r="4300">
      <c r="A4300" s="20"/>
      <c r="B4300" s="20"/>
      <c r="C4300" s="30"/>
      <c r="D4300" s="30"/>
      <c r="E4300" s="30"/>
      <c r="F4300" s="22"/>
      <c r="G4300" s="23"/>
      <c r="H4300" s="23"/>
      <c r="I4300" s="23"/>
      <c r="J4300" s="23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</row>
    <row r="4301">
      <c r="A4301" s="20"/>
      <c r="B4301" s="20"/>
      <c r="C4301" s="30"/>
      <c r="D4301" s="30"/>
      <c r="E4301" s="30"/>
      <c r="F4301" s="22"/>
      <c r="G4301" s="23"/>
      <c r="H4301" s="23"/>
      <c r="I4301" s="23"/>
      <c r="J4301" s="23"/>
      <c r="K4301" s="23"/>
      <c r="L4301" s="23"/>
      <c r="M4301" s="23"/>
      <c r="N4301" s="23"/>
      <c r="O4301" s="23"/>
      <c r="P4301" s="23"/>
      <c r="Q4301" s="23"/>
      <c r="R4301" s="23"/>
      <c r="S4301" s="23"/>
      <c r="T4301" s="23"/>
      <c r="U4301" s="23"/>
    </row>
    <row r="4302">
      <c r="A4302" s="20"/>
      <c r="B4302" s="20"/>
      <c r="C4302" s="30"/>
      <c r="D4302" s="30"/>
      <c r="E4302" s="30"/>
      <c r="F4302" s="22"/>
      <c r="G4302" s="23"/>
      <c r="H4302" s="23"/>
      <c r="I4302" s="23"/>
      <c r="J4302" s="23"/>
      <c r="K4302" s="23"/>
      <c r="L4302" s="23"/>
      <c r="M4302" s="23"/>
      <c r="N4302" s="23"/>
      <c r="O4302" s="23"/>
      <c r="P4302" s="23"/>
      <c r="Q4302" s="23"/>
      <c r="R4302" s="23"/>
      <c r="S4302" s="23"/>
      <c r="T4302" s="23"/>
      <c r="U4302" s="23"/>
    </row>
    <row r="4303">
      <c r="A4303" s="20"/>
      <c r="B4303" s="20"/>
      <c r="C4303" s="30"/>
      <c r="D4303" s="30"/>
      <c r="E4303" s="30"/>
      <c r="F4303" s="22"/>
      <c r="G4303" s="23"/>
      <c r="H4303" s="23"/>
      <c r="I4303" s="23"/>
      <c r="J4303" s="23"/>
      <c r="K4303" s="23"/>
      <c r="L4303" s="23"/>
      <c r="M4303" s="23"/>
      <c r="N4303" s="23"/>
      <c r="O4303" s="23"/>
      <c r="P4303" s="23"/>
      <c r="Q4303" s="23"/>
      <c r="R4303" s="23"/>
      <c r="S4303" s="23"/>
      <c r="T4303" s="23"/>
      <c r="U4303" s="23"/>
    </row>
    <row r="4304">
      <c r="A4304" s="20"/>
      <c r="B4304" s="20"/>
      <c r="C4304" s="30"/>
      <c r="D4304" s="30"/>
      <c r="E4304" s="30"/>
      <c r="F4304" s="22"/>
      <c r="G4304" s="23"/>
      <c r="H4304" s="23"/>
      <c r="I4304" s="23"/>
      <c r="J4304" s="23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</row>
    <row r="4305">
      <c r="A4305" s="20"/>
      <c r="B4305" s="20"/>
      <c r="C4305" s="30"/>
      <c r="D4305" s="30"/>
      <c r="E4305" s="30"/>
      <c r="F4305" s="22"/>
      <c r="G4305" s="23"/>
      <c r="H4305" s="23"/>
      <c r="I4305" s="23"/>
      <c r="J4305" s="23"/>
      <c r="K4305" s="23"/>
      <c r="L4305" s="23"/>
      <c r="M4305" s="23"/>
      <c r="N4305" s="23"/>
      <c r="O4305" s="23"/>
      <c r="P4305" s="23"/>
      <c r="Q4305" s="23"/>
      <c r="R4305" s="23"/>
      <c r="S4305" s="23"/>
      <c r="T4305" s="23"/>
      <c r="U4305" s="23"/>
    </row>
    <row r="4306">
      <c r="A4306" s="20"/>
      <c r="B4306" s="20"/>
      <c r="C4306" s="30"/>
      <c r="D4306" s="30"/>
      <c r="E4306" s="30"/>
      <c r="F4306" s="22"/>
      <c r="G4306" s="23"/>
      <c r="H4306" s="23"/>
      <c r="I4306" s="23"/>
      <c r="J4306" s="23"/>
      <c r="K4306" s="23"/>
      <c r="L4306" s="23"/>
      <c r="M4306" s="23"/>
      <c r="N4306" s="23"/>
      <c r="O4306" s="23"/>
      <c r="P4306" s="23"/>
      <c r="Q4306" s="23"/>
      <c r="R4306" s="23"/>
      <c r="S4306" s="23"/>
      <c r="T4306" s="23"/>
      <c r="U4306" s="23"/>
    </row>
    <row r="4307">
      <c r="A4307" s="20"/>
      <c r="B4307" s="20"/>
      <c r="C4307" s="30"/>
      <c r="D4307" s="30"/>
      <c r="E4307" s="30"/>
      <c r="F4307" s="22"/>
      <c r="G4307" s="23"/>
      <c r="H4307" s="23"/>
      <c r="I4307" s="23"/>
      <c r="J4307" s="23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</row>
    <row r="4308">
      <c r="A4308" s="20"/>
      <c r="B4308" s="20"/>
      <c r="C4308" s="30"/>
      <c r="D4308" s="30"/>
      <c r="E4308" s="30"/>
      <c r="F4308" s="22"/>
      <c r="G4308" s="23"/>
      <c r="H4308" s="23"/>
      <c r="I4308" s="23"/>
      <c r="J4308" s="23"/>
      <c r="K4308" s="23"/>
      <c r="L4308" s="23"/>
      <c r="M4308" s="23"/>
      <c r="N4308" s="23"/>
      <c r="O4308" s="23"/>
      <c r="P4308" s="23"/>
      <c r="Q4308" s="23"/>
      <c r="R4308" s="23"/>
      <c r="S4308" s="23"/>
      <c r="T4308" s="23"/>
      <c r="U4308" s="23"/>
    </row>
    <row r="4309">
      <c r="A4309" s="20"/>
      <c r="B4309" s="20"/>
      <c r="C4309" s="30"/>
      <c r="D4309" s="30"/>
      <c r="E4309" s="30"/>
      <c r="F4309" s="22"/>
      <c r="G4309" s="23"/>
      <c r="H4309" s="23"/>
      <c r="I4309" s="23"/>
      <c r="J4309" s="23"/>
      <c r="K4309" s="23"/>
      <c r="L4309" s="23"/>
      <c r="M4309" s="23"/>
      <c r="N4309" s="23"/>
      <c r="O4309" s="23"/>
      <c r="P4309" s="23"/>
      <c r="Q4309" s="23"/>
      <c r="R4309" s="23"/>
      <c r="S4309" s="23"/>
      <c r="T4309" s="23"/>
      <c r="U4309" s="23"/>
    </row>
    <row r="4310">
      <c r="A4310" s="20"/>
      <c r="B4310" s="20"/>
      <c r="C4310" s="30"/>
      <c r="D4310" s="30"/>
      <c r="E4310" s="30"/>
      <c r="F4310" s="22"/>
      <c r="G4310" s="23"/>
      <c r="H4310" s="23"/>
      <c r="I4310" s="23"/>
      <c r="J4310" s="23"/>
      <c r="K4310" s="23"/>
      <c r="L4310" s="23"/>
      <c r="M4310" s="23"/>
      <c r="N4310" s="23"/>
      <c r="O4310" s="23"/>
      <c r="P4310" s="23"/>
      <c r="Q4310" s="23"/>
      <c r="R4310" s="23"/>
      <c r="S4310" s="23"/>
      <c r="T4310" s="23"/>
      <c r="U4310" s="23"/>
    </row>
    <row r="4311">
      <c r="A4311" s="20"/>
      <c r="B4311" s="20"/>
      <c r="C4311" s="30"/>
      <c r="D4311" s="30"/>
      <c r="E4311" s="30"/>
      <c r="F4311" s="22"/>
      <c r="G4311" s="23"/>
      <c r="H4311" s="23"/>
      <c r="I4311" s="23"/>
      <c r="J4311" s="23"/>
      <c r="K4311" s="23"/>
      <c r="L4311" s="23"/>
      <c r="M4311" s="23"/>
      <c r="N4311" s="23"/>
      <c r="O4311" s="23"/>
      <c r="P4311" s="23"/>
      <c r="Q4311" s="23"/>
      <c r="R4311" s="23"/>
      <c r="S4311" s="23"/>
      <c r="T4311" s="23"/>
      <c r="U4311" s="23"/>
    </row>
    <row r="4312">
      <c r="A4312" s="20"/>
      <c r="B4312" s="20"/>
      <c r="C4312" s="30"/>
      <c r="D4312" s="30"/>
      <c r="E4312" s="30"/>
      <c r="F4312" s="22"/>
      <c r="G4312" s="23"/>
      <c r="H4312" s="23"/>
      <c r="I4312" s="23"/>
      <c r="J4312" s="23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</row>
    <row r="4313">
      <c r="A4313" s="20"/>
      <c r="B4313" s="20"/>
      <c r="C4313" s="30"/>
      <c r="D4313" s="30"/>
      <c r="E4313" s="30"/>
      <c r="F4313" s="22"/>
      <c r="G4313" s="23"/>
      <c r="H4313" s="23"/>
      <c r="I4313" s="23"/>
      <c r="J4313" s="23"/>
      <c r="K4313" s="23"/>
      <c r="L4313" s="23"/>
      <c r="M4313" s="23"/>
      <c r="N4313" s="23"/>
      <c r="O4313" s="23"/>
      <c r="P4313" s="23"/>
      <c r="Q4313" s="23"/>
      <c r="R4313" s="23"/>
      <c r="S4313" s="23"/>
      <c r="T4313" s="23"/>
      <c r="U4313" s="23"/>
    </row>
    <row r="4314">
      <c r="A4314" s="20"/>
      <c r="B4314" s="20"/>
      <c r="C4314" s="30"/>
      <c r="D4314" s="30"/>
      <c r="E4314" s="30"/>
      <c r="F4314" s="22"/>
      <c r="G4314" s="23"/>
      <c r="H4314" s="23"/>
      <c r="I4314" s="23"/>
      <c r="J4314" s="23"/>
      <c r="K4314" s="23"/>
      <c r="L4314" s="23"/>
      <c r="M4314" s="23"/>
      <c r="N4314" s="23"/>
      <c r="O4314" s="23"/>
      <c r="P4314" s="23"/>
      <c r="Q4314" s="23"/>
      <c r="R4314" s="23"/>
      <c r="S4314" s="23"/>
      <c r="T4314" s="23"/>
      <c r="U4314" s="23"/>
    </row>
    <row r="4315">
      <c r="A4315" s="20"/>
      <c r="B4315" s="20"/>
      <c r="C4315" s="30"/>
      <c r="D4315" s="30"/>
      <c r="E4315" s="30"/>
      <c r="F4315" s="22"/>
      <c r="G4315" s="23"/>
      <c r="H4315" s="23"/>
      <c r="I4315" s="23"/>
      <c r="J4315" s="23"/>
      <c r="K4315" s="23"/>
      <c r="L4315" s="23"/>
      <c r="M4315" s="23"/>
      <c r="N4315" s="23"/>
      <c r="O4315" s="23"/>
      <c r="P4315" s="23"/>
      <c r="Q4315" s="23"/>
      <c r="R4315" s="23"/>
      <c r="S4315" s="23"/>
      <c r="T4315" s="23"/>
      <c r="U4315" s="23"/>
    </row>
    <row r="4316">
      <c r="A4316" s="20"/>
      <c r="B4316" s="20"/>
      <c r="C4316" s="30"/>
      <c r="D4316" s="30"/>
      <c r="E4316" s="30"/>
      <c r="F4316" s="22"/>
      <c r="G4316" s="23"/>
      <c r="H4316" s="23"/>
      <c r="I4316" s="23"/>
      <c r="J4316" s="23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</row>
    <row r="4317">
      <c r="A4317" s="20"/>
      <c r="B4317" s="20"/>
      <c r="C4317" s="30"/>
      <c r="D4317" s="30"/>
      <c r="E4317" s="30"/>
      <c r="F4317" s="22"/>
      <c r="G4317" s="23"/>
      <c r="H4317" s="23"/>
      <c r="I4317" s="23"/>
      <c r="J4317" s="23"/>
      <c r="K4317" s="23"/>
      <c r="L4317" s="23"/>
      <c r="M4317" s="23"/>
      <c r="N4317" s="23"/>
      <c r="O4317" s="23"/>
      <c r="P4317" s="23"/>
      <c r="Q4317" s="23"/>
      <c r="R4317" s="23"/>
      <c r="S4317" s="23"/>
      <c r="T4317" s="23"/>
      <c r="U4317" s="23"/>
    </row>
    <row r="4318">
      <c r="A4318" s="20"/>
      <c r="B4318" s="20"/>
      <c r="C4318" s="30"/>
      <c r="D4318" s="30"/>
      <c r="E4318" s="30"/>
      <c r="F4318" s="22"/>
      <c r="G4318" s="23"/>
      <c r="H4318" s="23"/>
      <c r="I4318" s="23"/>
      <c r="J4318" s="23"/>
      <c r="K4318" s="23"/>
      <c r="L4318" s="23"/>
      <c r="M4318" s="23"/>
      <c r="N4318" s="23"/>
      <c r="O4318" s="23"/>
      <c r="P4318" s="23"/>
      <c r="Q4318" s="23"/>
      <c r="R4318" s="23"/>
      <c r="S4318" s="23"/>
      <c r="T4318" s="23"/>
      <c r="U4318" s="23"/>
    </row>
    <row r="4319">
      <c r="A4319" s="20"/>
      <c r="B4319" s="20"/>
      <c r="C4319" s="30"/>
      <c r="D4319" s="30"/>
      <c r="E4319" s="30"/>
      <c r="F4319" s="22"/>
      <c r="G4319" s="23"/>
      <c r="H4319" s="23"/>
      <c r="I4319" s="23"/>
      <c r="J4319" s="23"/>
      <c r="K4319" s="23"/>
      <c r="L4319" s="23"/>
      <c r="M4319" s="23"/>
      <c r="N4319" s="23"/>
      <c r="O4319" s="23"/>
      <c r="P4319" s="23"/>
      <c r="Q4319" s="23"/>
      <c r="R4319" s="23"/>
      <c r="S4319" s="23"/>
      <c r="T4319" s="23"/>
      <c r="U4319" s="23"/>
    </row>
    <row r="4320">
      <c r="A4320" s="20"/>
      <c r="B4320" s="20"/>
      <c r="C4320" s="30"/>
      <c r="D4320" s="30"/>
      <c r="E4320" s="30"/>
      <c r="F4320" s="22"/>
      <c r="G4320" s="23"/>
      <c r="H4320" s="23"/>
      <c r="I4320" s="23"/>
      <c r="J4320" s="23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</row>
    <row r="4321">
      <c r="A4321" s="20"/>
      <c r="B4321" s="20"/>
      <c r="C4321" s="30"/>
      <c r="D4321" s="30"/>
      <c r="E4321" s="30"/>
      <c r="F4321" s="22"/>
      <c r="G4321" s="23"/>
      <c r="H4321" s="23"/>
      <c r="I4321" s="23"/>
      <c r="J4321" s="23"/>
      <c r="K4321" s="23"/>
      <c r="L4321" s="23"/>
      <c r="M4321" s="23"/>
      <c r="N4321" s="23"/>
      <c r="O4321" s="23"/>
      <c r="P4321" s="23"/>
      <c r="Q4321" s="23"/>
      <c r="R4321" s="23"/>
      <c r="S4321" s="23"/>
      <c r="T4321" s="23"/>
      <c r="U4321" s="23"/>
    </row>
    <row r="4322">
      <c r="A4322" s="20"/>
      <c r="B4322" s="20"/>
      <c r="C4322" s="30"/>
      <c r="D4322" s="30"/>
      <c r="E4322" s="30"/>
      <c r="F4322" s="22"/>
      <c r="G4322" s="23"/>
      <c r="H4322" s="23"/>
      <c r="I4322" s="23"/>
      <c r="J4322" s="23"/>
      <c r="K4322" s="23"/>
      <c r="L4322" s="23"/>
      <c r="M4322" s="23"/>
      <c r="N4322" s="23"/>
      <c r="O4322" s="23"/>
      <c r="P4322" s="23"/>
      <c r="Q4322" s="23"/>
      <c r="R4322" s="23"/>
      <c r="S4322" s="23"/>
      <c r="T4322" s="23"/>
      <c r="U4322" s="23"/>
    </row>
    <row r="4323">
      <c r="A4323" s="20"/>
      <c r="B4323" s="20"/>
      <c r="C4323" s="30"/>
      <c r="D4323" s="30"/>
      <c r="E4323" s="30"/>
      <c r="F4323" s="22"/>
      <c r="G4323" s="23"/>
      <c r="H4323" s="23"/>
      <c r="I4323" s="23"/>
      <c r="J4323" s="23"/>
      <c r="K4323" s="23"/>
      <c r="L4323" s="23"/>
      <c r="M4323" s="23"/>
      <c r="N4323" s="23"/>
      <c r="O4323" s="23"/>
      <c r="P4323" s="23"/>
      <c r="Q4323" s="23"/>
      <c r="R4323" s="23"/>
      <c r="S4323" s="23"/>
      <c r="T4323" s="23"/>
      <c r="U4323" s="23"/>
    </row>
    <row r="4324">
      <c r="A4324" s="20"/>
      <c r="B4324" s="20"/>
      <c r="C4324" s="30"/>
      <c r="D4324" s="30"/>
      <c r="E4324" s="30"/>
      <c r="F4324" s="22"/>
      <c r="G4324" s="23"/>
      <c r="H4324" s="23"/>
      <c r="I4324" s="23"/>
      <c r="J4324" s="23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</row>
    <row r="4325">
      <c r="A4325" s="20"/>
      <c r="B4325" s="20"/>
      <c r="C4325" s="30"/>
      <c r="D4325" s="30"/>
      <c r="E4325" s="30"/>
      <c r="F4325" s="22"/>
      <c r="G4325" s="23"/>
      <c r="H4325" s="23"/>
      <c r="I4325" s="23"/>
      <c r="J4325" s="23"/>
      <c r="K4325" s="23"/>
      <c r="L4325" s="23"/>
      <c r="M4325" s="23"/>
      <c r="N4325" s="23"/>
      <c r="O4325" s="23"/>
      <c r="P4325" s="23"/>
      <c r="Q4325" s="23"/>
      <c r="R4325" s="23"/>
      <c r="S4325" s="23"/>
      <c r="T4325" s="23"/>
      <c r="U4325" s="23"/>
    </row>
    <row r="4326">
      <c r="A4326" s="20"/>
      <c r="B4326" s="20"/>
      <c r="C4326" s="30"/>
      <c r="D4326" s="30"/>
      <c r="E4326" s="30"/>
      <c r="F4326" s="22"/>
      <c r="G4326" s="23"/>
      <c r="H4326" s="23"/>
      <c r="I4326" s="23"/>
      <c r="J4326" s="23"/>
      <c r="K4326" s="23"/>
      <c r="L4326" s="23"/>
      <c r="M4326" s="23"/>
      <c r="N4326" s="23"/>
      <c r="O4326" s="23"/>
      <c r="P4326" s="23"/>
      <c r="Q4326" s="23"/>
      <c r="R4326" s="23"/>
      <c r="S4326" s="23"/>
      <c r="T4326" s="23"/>
      <c r="U4326" s="23"/>
    </row>
    <row r="4327">
      <c r="A4327" s="20"/>
      <c r="B4327" s="20"/>
      <c r="C4327" s="30"/>
      <c r="D4327" s="30"/>
      <c r="E4327" s="30"/>
      <c r="F4327" s="22"/>
      <c r="G4327" s="23"/>
      <c r="H4327" s="23"/>
      <c r="I4327" s="23"/>
      <c r="J4327" s="23"/>
      <c r="K4327" s="23"/>
      <c r="L4327" s="23"/>
      <c r="M4327" s="23"/>
      <c r="N4327" s="23"/>
      <c r="O4327" s="23"/>
      <c r="P4327" s="23"/>
      <c r="Q4327" s="23"/>
      <c r="R4327" s="23"/>
      <c r="S4327" s="23"/>
      <c r="T4327" s="23"/>
      <c r="U4327" s="23"/>
    </row>
    <row r="4328">
      <c r="A4328" s="20"/>
      <c r="B4328" s="20"/>
      <c r="C4328" s="30"/>
      <c r="D4328" s="30"/>
      <c r="E4328" s="30"/>
      <c r="F4328" s="22"/>
      <c r="G4328" s="23"/>
      <c r="H4328" s="23"/>
      <c r="I4328" s="23"/>
      <c r="J4328" s="23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</row>
    <row r="4329">
      <c r="A4329" s="20"/>
      <c r="B4329" s="20"/>
      <c r="C4329" s="30"/>
      <c r="D4329" s="30"/>
      <c r="E4329" s="30"/>
      <c r="F4329" s="22"/>
      <c r="G4329" s="23"/>
      <c r="H4329" s="23"/>
      <c r="I4329" s="23"/>
      <c r="J4329" s="23"/>
      <c r="K4329" s="23"/>
      <c r="L4329" s="23"/>
      <c r="M4329" s="23"/>
      <c r="N4329" s="23"/>
      <c r="O4329" s="23"/>
      <c r="P4329" s="23"/>
      <c r="Q4329" s="23"/>
      <c r="R4329" s="23"/>
      <c r="S4329" s="23"/>
      <c r="T4329" s="23"/>
      <c r="U4329" s="23"/>
    </row>
    <row r="4330">
      <c r="A4330" s="20"/>
      <c r="B4330" s="20"/>
      <c r="C4330" s="30"/>
      <c r="D4330" s="30"/>
      <c r="E4330" s="30"/>
      <c r="F4330" s="22"/>
      <c r="G4330" s="23"/>
      <c r="H4330" s="23"/>
      <c r="I4330" s="23"/>
      <c r="J4330" s="23"/>
      <c r="K4330" s="23"/>
      <c r="L4330" s="23"/>
      <c r="M4330" s="23"/>
      <c r="N4330" s="23"/>
      <c r="O4330" s="23"/>
      <c r="P4330" s="23"/>
      <c r="Q4330" s="23"/>
      <c r="R4330" s="23"/>
      <c r="S4330" s="23"/>
      <c r="T4330" s="23"/>
      <c r="U4330" s="23"/>
    </row>
    <row r="4331">
      <c r="A4331" s="20"/>
      <c r="B4331" s="20"/>
      <c r="C4331" s="30"/>
      <c r="D4331" s="30"/>
      <c r="E4331" s="30"/>
      <c r="F4331" s="22"/>
      <c r="G4331" s="23"/>
      <c r="H4331" s="23"/>
      <c r="I4331" s="23"/>
      <c r="J4331" s="23"/>
      <c r="K4331" s="23"/>
      <c r="L4331" s="23"/>
      <c r="M4331" s="23"/>
      <c r="N4331" s="23"/>
      <c r="O4331" s="23"/>
      <c r="P4331" s="23"/>
      <c r="Q4331" s="23"/>
      <c r="R4331" s="23"/>
      <c r="S4331" s="23"/>
      <c r="T4331" s="23"/>
      <c r="U4331" s="23"/>
    </row>
    <row r="4332">
      <c r="A4332" s="20"/>
      <c r="B4332" s="20"/>
      <c r="C4332" s="30"/>
      <c r="D4332" s="30"/>
      <c r="E4332" s="30"/>
      <c r="F4332" s="22"/>
      <c r="G4332" s="23"/>
      <c r="H4332" s="23"/>
      <c r="I4332" s="23"/>
      <c r="J4332" s="23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</row>
    <row r="4333">
      <c r="A4333" s="20"/>
      <c r="B4333" s="20"/>
      <c r="C4333" s="30"/>
      <c r="D4333" s="30"/>
      <c r="E4333" s="30"/>
      <c r="F4333" s="22"/>
      <c r="G4333" s="23"/>
      <c r="H4333" s="23"/>
      <c r="I4333" s="23"/>
      <c r="J4333" s="23"/>
      <c r="K4333" s="23"/>
      <c r="L4333" s="23"/>
      <c r="M4333" s="23"/>
      <c r="N4333" s="23"/>
      <c r="O4333" s="23"/>
      <c r="P4333" s="23"/>
      <c r="Q4333" s="23"/>
      <c r="R4333" s="23"/>
      <c r="S4333" s="23"/>
      <c r="T4333" s="23"/>
      <c r="U4333" s="23"/>
    </row>
    <row r="4334">
      <c r="A4334" s="20"/>
      <c r="B4334" s="20"/>
      <c r="C4334" s="30"/>
      <c r="D4334" s="30"/>
      <c r="E4334" s="30"/>
      <c r="F4334" s="22"/>
      <c r="G4334" s="23"/>
      <c r="H4334" s="23"/>
      <c r="I4334" s="23"/>
      <c r="J4334" s="23"/>
      <c r="K4334" s="23"/>
      <c r="L4334" s="23"/>
      <c r="M4334" s="23"/>
      <c r="N4334" s="23"/>
      <c r="O4334" s="23"/>
      <c r="P4334" s="23"/>
      <c r="Q4334" s="23"/>
      <c r="R4334" s="23"/>
      <c r="S4334" s="23"/>
      <c r="T4334" s="23"/>
      <c r="U4334" s="23"/>
    </row>
    <row r="4335">
      <c r="A4335" s="20"/>
      <c r="B4335" s="20"/>
      <c r="C4335" s="30"/>
      <c r="D4335" s="30"/>
      <c r="E4335" s="30"/>
      <c r="F4335" s="22"/>
      <c r="G4335" s="23"/>
      <c r="H4335" s="23"/>
      <c r="I4335" s="23"/>
      <c r="J4335" s="23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</row>
    <row r="4336">
      <c r="A4336" s="20"/>
      <c r="B4336" s="20"/>
      <c r="C4336" s="30"/>
      <c r="D4336" s="30"/>
      <c r="E4336" s="30"/>
      <c r="F4336" s="22"/>
      <c r="G4336" s="23"/>
      <c r="H4336" s="23"/>
      <c r="I4336" s="23"/>
      <c r="J4336" s="23"/>
      <c r="K4336" s="23"/>
      <c r="L4336" s="23"/>
      <c r="M4336" s="23"/>
      <c r="N4336" s="23"/>
      <c r="O4336" s="23"/>
      <c r="P4336" s="23"/>
      <c r="Q4336" s="23"/>
      <c r="R4336" s="23"/>
      <c r="S4336" s="23"/>
      <c r="T4336" s="23"/>
      <c r="U4336" s="23"/>
    </row>
    <row r="4337">
      <c r="A4337" s="20"/>
      <c r="B4337" s="20"/>
      <c r="C4337" s="30"/>
      <c r="D4337" s="30"/>
      <c r="E4337" s="30"/>
      <c r="F4337" s="22"/>
      <c r="G4337" s="23"/>
      <c r="H4337" s="23"/>
      <c r="I4337" s="23"/>
      <c r="J4337" s="23"/>
      <c r="K4337" s="23"/>
      <c r="L4337" s="23"/>
      <c r="M4337" s="23"/>
      <c r="N4337" s="23"/>
      <c r="O4337" s="23"/>
      <c r="P4337" s="23"/>
      <c r="Q4337" s="23"/>
      <c r="R4337" s="23"/>
      <c r="S4337" s="23"/>
      <c r="T4337" s="23"/>
      <c r="U4337" s="23"/>
    </row>
    <row r="4338">
      <c r="A4338" s="20"/>
      <c r="B4338" s="20"/>
      <c r="C4338" s="30"/>
      <c r="D4338" s="30"/>
      <c r="E4338" s="30"/>
      <c r="F4338" s="22"/>
      <c r="G4338" s="23"/>
      <c r="H4338" s="23"/>
      <c r="I4338" s="23"/>
      <c r="J4338" s="23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</row>
    <row r="4339">
      <c r="A4339" s="20"/>
      <c r="B4339" s="20"/>
      <c r="C4339" s="30"/>
      <c r="D4339" s="30"/>
      <c r="E4339" s="30"/>
      <c r="F4339" s="22"/>
      <c r="G4339" s="23"/>
      <c r="H4339" s="23"/>
      <c r="I4339" s="23"/>
      <c r="J4339" s="23"/>
      <c r="K4339" s="23"/>
      <c r="L4339" s="23"/>
      <c r="M4339" s="23"/>
      <c r="N4339" s="23"/>
      <c r="O4339" s="23"/>
      <c r="P4339" s="23"/>
      <c r="Q4339" s="23"/>
      <c r="R4339" s="23"/>
      <c r="S4339" s="23"/>
      <c r="T4339" s="23"/>
      <c r="U4339" s="23"/>
    </row>
    <row r="4340">
      <c r="A4340" s="20"/>
      <c r="B4340" s="20"/>
      <c r="C4340" s="30"/>
      <c r="D4340" s="30"/>
      <c r="E4340" s="30"/>
      <c r="F4340" s="22"/>
      <c r="G4340" s="23"/>
      <c r="H4340" s="23"/>
      <c r="I4340" s="23"/>
      <c r="J4340" s="23"/>
      <c r="K4340" s="23"/>
      <c r="L4340" s="23"/>
      <c r="M4340" s="23"/>
      <c r="N4340" s="23"/>
      <c r="O4340" s="23"/>
      <c r="P4340" s="23"/>
      <c r="Q4340" s="23"/>
      <c r="R4340" s="23"/>
      <c r="S4340" s="23"/>
      <c r="T4340" s="23"/>
      <c r="U4340" s="23"/>
    </row>
    <row r="4341">
      <c r="A4341" s="20"/>
      <c r="B4341" s="20"/>
      <c r="C4341" s="30"/>
      <c r="D4341" s="30"/>
      <c r="E4341" s="30"/>
      <c r="F4341" s="22"/>
      <c r="G4341" s="23"/>
      <c r="H4341" s="23"/>
      <c r="I4341" s="23"/>
      <c r="J4341" s="23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</row>
    <row r="4342">
      <c r="A4342" s="20"/>
      <c r="B4342" s="20"/>
      <c r="C4342" s="30"/>
      <c r="D4342" s="30"/>
      <c r="E4342" s="30"/>
      <c r="F4342" s="22"/>
      <c r="G4342" s="23"/>
      <c r="H4342" s="23"/>
      <c r="I4342" s="23"/>
      <c r="J4342" s="23"/>
      <c r="K4342" s="23"/>
      <c r="L4342" s="23"/>
      <c r="M4342" s="23"/>
      <c r="N4342" s="23"/>
      <c r="O4342" s="23"/>
      <c r="P4342" s="23"/>
      <c r="Q4342" s="23"/>
      <c r="R4342" s="23"/>
      <c r="S4342" s="23"/>
      <c r="T4342" s="23"/>
      <c r="U4342" s="23"/>
    </row>
    <row r="4343">
      <c r="A4343" s="20"/>
      <c r="B4343" s="20"/>
      <c r="C4343" s="30"/>
      <c r="D4343" s="30"/>
      <c r="E4343" s="30"/>
      <c r="F4343" s="22"/>
      <c r="G4343" s="23"/>
      <c r="H4343" s="23"/>
      <c r="I4343" s="23"/>
      <c r="J4343" s="23"/>
      <c r="K4343" s="23"/>
      <c r="L4343" s="23"/>
      <c r="M4343" s="23"/>
      <c r="N4343" s="23"/>
      <c r="O4343" s="23"/>
      <c r="P4343" s="23"/>
      <c r="Q4343" s="23"/>
      <c r="R4343" s="23"/>
      <c r="S4343" s="23"/>
      <c r="T4343" s="23"/>
      <c r="U4343" s="23"/>
    </row>
    <row r="4344">
      <c r="A4344" s="20"/>
      <c r="B4344" s="20"/>
      <c r="C4344" s="30"/>
      <c r="D4344" s="30"/>
      <c r="E4344" s="30"/>
      <c r="F4344" s="22"/>
      <c r="G4344" s="23"/>
      <c r="H4344" s="23"/>
      <c r="I4344" s="23"/>
      <c r="J4344" s="23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</row>
    <row r="4345">
      <c r="A4345" s="20"/>
      <c r="B4345" s="20"/>
      <c r="C4345" s="30"/>
      <c r="D4345" s="30"/>
      <c r="E4345" s="30"/>
      <c r="F4345" s="22"/>
      <c r="G4345" s="23"/>
      <c r="H4345" s="23"/>
      <c r="I4345" s="23"/>
      <c r="J4345" s="23"/>
      <c r="K4345" s="23"/>
      <c r="L4345" s="23"/>
      <c r="M4345" s="23"/>
      <c r="N4345" s="23"/>
      <c r="O4345" s="23"/>
      <c r="P4345" s="23"/>
      <c r="Q4345" s="23"/>
      <c r="R4345" s="23"/>
      <c r="S4345" s="23"/>
      <c r="T4345" s="23"/>
      <c r="U4345" s="23"/>
    </row>
    <row r="4346">
      <c r="A4346" s="20"/>
      <c r="B4346" s="20"/>
      <c r="C4346" s="30"/>
      <c r="D4346" s="30"/>
      <c r="E4346" s="30"/>
      <c r="F4346" s="22"/>
      <c r="G4346" s="23"/>
      <c r="H4346" s="23"/>
      <c r="I4346" s="23"/>
      <c r="J4346" s="23"/>
      <c r="K4346" s="23"/>
      <c r="L4346" s="23"/>
      <c r="M4346" s="23"/>
      <c r="N4346" s="23"/>
      <c r="O4346" s="23"/>
      <c r="P4346" s="23"/>
      <c r="Q4346" s="23"/>
      <c r="R4346" s="23"/>
      <c r="S4346" s="23"/>
      <c r="T4346" s="23"/>
      <c r="U4346" s="23"/>
    </row>
    <row r="4347">
      <c r="A4347" s="20"/>
      <c r="B4347" s="20"/>
      <c r="C4347" s="30"/>
      <c r="D4347" s="30"/>
      <c r="E4347" s="30"/>
      <c r="F4347" s="22"/>
      <c r="G4347" s="23"/>
      <c r="H4347" s="23"/>
      <c r="I4347" s="23"/>
      <c r="J4347" s="23"/>
      <c r="K4347" s="23"/>
      <c r="L4347" s="23"/>
      <c r="M4347" s="23"/>
      <c r="N4347" s="23"/>
      <c r="O4347" s="23"/>
      <c r="P4347" s="23"/>
      <c r="Q4347" s="23"/>
      <c r="R4347" s="23"/>
      <c r="S4347" s="23"/>
      <c r="T4347" s="23"/>
      <c r="U4347" s="23"/>
    </row>
    <row r="4348">
      <c r="A4348" s="20"/>
      <c r="B4348" s="20"/>
      <c r="C4348" s="30"/>
      <c r="D4348" s="30"/>
      <c r="E4348" s="30"/>
      <c r="F4348" s="22"/>
      <c r="G4348" s="23"/>
      <c r="H4348" s="23"/>
      <c r="I4348" s="23"/>
      <c r="J4348" s="23"/>
      <c r="K4348" s="23"/>
      <c r="L4348" s="23"/>
      <c r="M4348" s="23"/>
      <c r="N4348" s="23"/>
      <c r="O4348" s="23"/>
      <c r="P4348" s="23"/>
      <c r="Q4348" s="23"/>
      <c r="R4348" s="23"/>
      <c r="S4348" s="23"/>
      <c r="T4348" s="23"/>
      <c r="U4348" s="23"/>
    </row>
    <row r="4349">
      <c r="A4349" s="20"/>
      <c r="B4349" s="20"/>
      <c r="C4349" s="30"/>
      <c r="D4349" s="30"/>
      <c r="E4349" s="30"/>
      <c r="F4349" s="22"/>
      <c r="G4349" s="23"/>
      <c r="H4349" s="23"/>
      <c r="I4349" s="23"/>
      <c r="J4349" s="23"/>
      <c r="K4349" s="23"/>
      <c r="L4349" s="23"/>
      <c r="M4349" s="23"/>
      <c r="N4349" s="23"/>
      <c r="O4349" s="23"/>
      <c r="P4349" s="23"/>
      <c r="Q4349" s="23"/>
      <c r="R4349" s="23"/>
      <c r="S4349" s="23"/>
      <c r="T4349" s="23"/>
      <c r="U4349" s="23"/>
    </row>
    <row r="4350">
      <c r="A4350" s="20"/>
      <c r="B4350" s="20"/>
      <c r="C4350" s="30"/>
      <c r="D4350" s="30"/>
      <c r="E4350" s="30"/>
      <c r="F4350" s="22"/>
      <c r="G4350" s="23"/>
      <c r="H4350" s="23"/>
      <c r="I4350" s="23"/>
      <c r="J4350" s="23"/>
      <c r="K4350" s="23"/>
      <c r="L4350" s="23"/>
      <c r="M4350" s="23"/>
      <c r="N4350" s="23"/>
      <c r="O4350" s="23"/>
      <c r="P4350" s="23"/>
      <c r="Q4350" s="23"/>
      <c r="R4350" s="23"/>
      <c r="S4350" s="23"/>
      <c r="T4350" s="23"/>
      <c r="U4350" s="23"/>
    </row>
    <row r="4351">
      <c r="A4351" s="20"/>
      <c r="B4351" s="20"/>
      <c r="C4351" s="30"/>
      <c r="D4351" s="30"/>
      <c r="E4351" s="30"/>
      <c r="F4351" s="22"/>
      <c r="G4351" s="23"/>
      <c r="H4351" s="23"/>
      <c r="I4351" s="23"/>
      <c r="J4351" s="23"/>
      <c r="K4351" s="23"/>
      <c r="L4351" s="23"/>
      <c r="M4351" s="23"/>
      <c r="N4351" s="23"/>
      <c r="O4351" s="23"/>
      <c r="P4351" s="23"/>
      <c r="Q4351" s="23"/>
      <c r="R4351" s="23"/>
      <c r="S4351" s="23"/>
      <c r="T4351" s="23"/>
      <c r="U4351" s="23"/>
    </row>
    <row r="4352">
      <c r="A4352" s="20"/>
      <c r="B4352" s="20"/>
      <c r="C4352" s="30"/>
      <c r="D4352" s="30"/>
      <c r="E4352" s="30"/>
      <c r="F4352" s="22"/>
      <c r="G4352" s="23"/>
      <c r="H4352" s="23"/>
      <c r="I4352" s="23"/>
      <c r="J4352" s="23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</row>
    <row r="4353">
      <c r="A4353" s="20"/>
      <c r="B4353" s="20"/>
      <c r="C4353" s="30"/>
      <c r="D4353" s="30"/>
      <c r="E4353" s="30"/>
      <c r="F4353" s="22"/>
      <c r="G4353" s="23"/>
      <c r="H4353" s="23"/>
      <c r="I4353" s="23"/>
      <c r="J4353" s="23"/>
      <c r="K4353" s="23"/>
      <c r="L4353" s="23"/>
      <c r="M4353" s="23"/>
      <c r="N4353" s="23"/>
      <c r="O4353" s="23"/>
      <c r="P4353" s="23"/>
      <c r="Q4353" s="23"/>
      <c r="R4353" s="23"/>
      <c r="S4353" s="23"/>
      <c r="T4353" s="23"/>
      <c r="U4353" s="23"/>
    </row>
    <row r="4354">
      <c r="A4354" s="20"/>
      <c r="B4354" s="20"/>
      <c r="C4354" s="30"/>
      <c r="D4354" s="30"/>
      <c r="E4354" s="30"/>
      <c r="F4354" s="22"/>
      <c r="G4354" s="23"/>
      <c r="H4354" s="23"/>
      <c r="I4354" s="23"/>
      <c r="J4354" s="23"/>
      <c r="K4354" s="23"/>
      <c r="L4354" s="23"/>
      <c r="M4354" s="23"/>
      <c r="N4354" s="23"/>
      <c r="O4354" s="23"/>
      <c r="P4354" s="23"/>
      <c r="Q4354" s="23"/>
      <c r="R4354" s="23"/>
      <c r="S4354" s="23"/>
      <c r="T4354" s="23"/>
      <c r="U4354" s="23"/>
    </row>
    <row r="4355">
      <c r="A4355" s="20"/>
      <c r="B4355" s="20"/>
      <c r="C4355" s="30"/>
      <c r="D4355" s="30"/>
      <c r="E4355" s="30"/>
      <c r="F4355" s="22"/>
      <c r="G4355" s="23"/>
      <c r="H4355" s="23"/>
      <c r="I4355" s="23"/>
      <c r="J4355" s="23"/>
      <c r="K4355" s="23"/>
      <c r="L4355" s="23"/>
      <c r="M4355" s="23"/>
      <c r="N4355" s="23"/>
      <c r="O4355" s="23"/>
      <c r="P4355" s="23"/>
      <c r="Q4355" s="23"/>
      <c r="R4355" s="23"/>
      <c r="S4355" s="23"/>
      <c r="T4355" s="23"/>
      <c r="U4355" s="23"/>
    </row>
    <row r="4356">
      <c r="A4356" s="20"/>
      <c r="B4356" s="20"/>
      <c r="C4356" s="30"/>
      <c r="D4356" s="30"/>
      <c r="E4356" s="30"/>
      <c r="F4356" s="22"/>
      <c r="G4356" s="23"/>
      <c r="H4356" s="23"/>
      <c r="I4356" s="23"/>
      <c r="J4356" s="23"/>
      <c r="K4356" s="23"/>
      <c r="L4356" s="23"/>
      <c r="M4356" s="23"/>
      <c r="N4356" s="23"/>
      <c r="O4356" s="23"/>
      <c r="P4356" s="23"/>
      <c r="Q4356" s="23"/>
      <c r="R4356" s="23"/>
      <c r="S4356" s="23"/>
      <c r="T4356" s="23"/>
      <c r="U4356" s="23"/>
    </row>
    <row r="4357">
      <c r="A4357" s="20"/>
      <c r="B4357" s="20"/>
      <c r="C4357" s="30"/>
      <c r="D4357" s="30"/>
      <c r="E4357" s="30"/>
      <c r="F4357" s="22"/>
      <c r="G4357" s="23"/>
      <c r="H4357" s="23"/>
      <c r="I4357" s="23"/>
      <c r="J4357" s="23"/>
      <c r="K4357" s="23"/>
      <c r="L4357" s="23"/>
      <c r="M4357" s="23"/>
      <c r="N4357" s="23"/>
      <c r="O4357" s="23"/>
      <c r="P4357" s="23"/>
      <c r="Q4357" s="23"/>
      <c r="R4357" s="23"/>
      <c r="S4357" s="23"/>
      <c r="T4357" s="23"/>
      <c r="U4357" s="23"/>
    </row>
    <row r="4358">
      <c r="A4358" s="20"/>
      <c r="B4358" s="20"/>
      <c r="C4358" s="30"/>
      <c r="D4358" s="30"/>
      <c r="E4358" s="30"/>
      <c r="F4358" s="22"/>
      <c r="G4358" s="23"/>
      <c r="H4358" s="23"/>
      <c r="I4358" s="23"/>
      <c r="J4358" s="23"/>
      <c r="K4358" s="23"/>
      <c r="L4358" s="23"/>
      <c r="M4358" s="23"/>
      <c r="N4358" s="23"/>
      <c r="O4358" s="23"/>
      <c r="P4358" s="23"/>
      <c r="Q4358" s="23"/>
      <c r="R4358" s="23"/>
      <c r="S4358" s="23"/>
      <c r="T4358" s="23"/>
      <c r="U4358" s="23"/>
    </row>
    <row r="4359">
      <c r="A4359" s="20"/>
      <c r="B4359" s="20"/>
      <c r="C4359" s="30"/>
      <c r="D4359" s="30"/>
      <c r="E4359" s="30"/>
      <c r="F4359" s="22"/>
      <c r="G4359" s="23"/>
      <c r="H4359" s="23"/>
      <c r="I4359" s="23"/>
      <c r="J4359" s="23"/>
      <c r="K4359" s="23"/>
      <c r="L4359" s="23"/>
      <c r="M4359" s="23"/>
      <c r="N4359" s="23"/>
      <c r="O4359" s="23"/>
      <c r="P4359" s="23"/>
      <c r="Q4359" s="23"/>
      <c r="R4359" s="23"/>
      <c r="S4359" s="23"/>
      <c r="T4359" s="23"/>
      <c r="U4359" s="23"/>
    </row>
    <row r="4360">
      <c r="A4360" s="20"/>
      <c r="B4360" s="20"/>
      <c r="C4360" s="30"/>
      <c r="D4360" s="30"/>
      <c r="E4360" s="30"/>
      <c r="F4360" s="22"/>
      <c r="G4360" s="23"/>
      <c r="H4360" s="23"/>
      <c r="I4360" s="23"/>
      <c r="J4360" s="23"/>
      <c r="K4360" s="23"/>
      <c r="L4360" s="23"/>
      <c r="M4360" s="23"/>
      <c r="N4360" s="23"/>
      <c r="O4360" s="23"/>
      <c r="P4360" s="23"/>
      <c r="Q4360" s="23"/>
      <c r="R4360" s="23"/>
      <c r="S4360" s="23"/>
      <c r="T4360" s="23"/>
      <c r="U4360" s="23"/>
    </row>
    <row r="4361">
      <c r="A4361" s="20"/>
      <c r="B4361" s="20"/>
      <c r="C4361" s="30"/>
      <c r="D4361" s="30"/>
      <c r="E4361" s="30"/>
      <c r="F4361" s="22"/>
      <c r="G4361" s="23"/>
      <c r="H4361" s="23"/>
      <c r="I4361" s="23"/>
      <c r="J4361" s="23"/>
      <c r="K4361" s="23"/>
      <c r="L4361" s="23"/>
      <c r="M4361" s="23"/>
      <c r="N4361" s="23"/>
      <c r="O4361" s="23"/>
      <c r="P4361" s="23"/>
      <c r="Q4361" s="23"/>
      <c r="R4361" s="23"/>
      <c r="S4361" s="23"/>
      <c r="T4361" s="23"/>
      <c r="U4361" s="23"/>
    </row>
    <row r="4362">
      <c r="A4362" s="20"/>
      <c r="B4362" s="20"/>
      <c r="C4362" s="30"/>
      <c r="D4362" s="30"/>
      <c r="E4362" s="30"/>
      <c r="F4362" s="22"/>
      <c r="G4362" s="23"/>
      <c r="H4362" s="23"/>
      <c r="I4362" s="23"/>
      <c r="J4362" s="23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</row>
    <row r="4363">
      <c r="A4363" s="20"/>
      <c r="B4363" s="20"/>
      <c r="C4363" s="30"/>
      <c r="D4363" s="30"/>
      <c r="E4363" s="30"/>
      <c r="F4363" s="22"/>
      <c r="G4363" s="23"/>
      <c r="H4363" s="23"/>
      <c r="I4363" s="23"/>
      <c r="J4363" s="23"/>
      <c r="K4363" s="23"/>
      <c r="L4363" s="23"/>
      <c r="M4363" s="23"/>
      <c r="N4363" s="23"/>
      <c r="O4363" s="23"/>
      <c r="P4363" s="23"/>
      <c r="Q4363" s="23"/>
      <c r="R4363" s="23"/>
      <c r="S4363" s="23"/>
      <c r="T4363" s="23"/>
      <c r="U4363" s="23"/>
    </row>
    <row r="4364">
      <c r="A4364" s="20"/>
      <c r="B4364" s="20"/>
      <c r="C4364" s="30"/>
      <c r="D4364" s="30"/>
      <c r="E4364" s="30"/>
      <c r="F4364" s="22"/>
      <c r="G4364" s="23"/>
      <c r="H4364" s="23"/>
      <c r="I4364" s="23"/>
      <c r="J4364" s="23"/>
      <c r="K4364" s="23"/>
      <c r="L4364" s="23"/>
      <c r="M4364" s="23"/>
      <c r="N4364" s="23"/>
      <c r="O4364" s="23"/>
      <c r="P4364" s="23"/>
      <c r="Q4364" s="23"/>
      <c r="R4364" s="23"/>
      <c r="S4364" s="23"/>
      <c r="T4364" s="23"/>
      <c r="U4364" s="23"/>
    </row>
    <row r="4365">
      <c r="A4365" s="20"/>
      <c r="B4365" s="20"/>
      <c r="C4365" s="30"/>
      <c r="D4365" s="30"/>
      <c r="E4365" s="30"/>
      <c r="F4365" s="22"/>
      <c r="G4365" s="23"/>
      <c r="H4365" s="23"/>
      <c r="I4365" s="23"/>
      <c r="J4365" s="23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</row>
    <row r="4366">
      <c r="A4366" s="20"/>
      <c r="B4366" s="20"/>
      <c r="C4366" s="30"/>
      <c r="D4366" s="30"/>
      <c r="E4366" s="30"/>
      <c r="F4366" s="22"/>
      <c r="G4366" s="23"/>
      <c r="H4366" s="23"/>
      <c r="I4366" s="23"/>
      <c r="J4366" s="23"/>
      <c r="K4366" s="23"/>
      <c r="L4366" s="23"/>
      <c r="M4366" s="23"/>
      <c r="N4366" s="23"/>
      <c r="O4366" s="23"/>
      <c r="P4366" s="23"/>
      <c r="Q4366" s="23"/>
      <c r="R4366" s="23"/>
      <c r="S4366" s="23"/>
      <c r="T4366" s="23"/>
      <c r="U4366" s="23"/>
    </row>
    <row r="4367">
      <c r="A4367" s="20"/>
      <c r="B4367" s="20"/>
      <c r="C4367" s="30"/>
      <c r="D4367" s="30"/>
      <c r="E4367" s="30"/>
      <c r="F4367" s="22"/>
      <c r="G4367" s="23"/>
      <c r="H4367" s="23"/>
      <c r="I4367" s="23"/>
      <c r="J4367" s="23"/>
      <c r="K4367" s="23"/>
      <c r="L4367" s="23"/>
      <c r="M4367" s="23"/>
      <c r="N4367" s="23"/>
      <c r="O4367" s="23"/>
      <c r="P4367" s="23"/>
      <c r="Q4367" s="23"/>
      <c r="R4367" s="23"/>
      <c r="S4367" s="23"/>
      <c r="T4367" s="23"/>
      <c r="U4367" s="23"/>
    </row>
    <row r="4368">
      <c r="A4368" s="20"/>
      <c r="B4368" s="20"/>
      <c r="C4368" s="30"/>
      <c r="D4368" s="30"/>
      <c r="E4368" s="30"/>
      <c r="F4368" s="22"/>
      <c r="G4368" s="23"/>
      <c r="H4368" s="23"/>
      <c r="I4368" s="23"/>
      <c r="J4368" s="23"/>
      <c r="K4368" s="23"/>
      <c r="L4368" s="23"/>
      <c r="M4368" s="23"/>
      <c r="N4368" s="23"/>
      <c r="O4368" s="23"/>
      <c r="P4368" s="23"/>
      <c r="Q4368" s="23"/>
      <c r="R4368" s="23"/>
      <c r="S4368" s="23"/>
      <c r="T4368" s="23"/>
      <c r="U4368" s="23"/>
    </row>
    <row r="4369">
      <c r="A4369" s="20"/>
      <c r="B4369" s="20"/>
      <c r="C4369" s="30"/>
      <c r="D4369" s="30"/>
      <c r="E4369" s="30"/>
      <c r="F4369" s="22"/>
      <c r="G4369" s="23"/>
      <c r="H4369" s="23"/>
      <c r="I4369" s="23"/>
      <c r="J4369" s="23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</row>
    <row r="4370">
      <c r="A4370" s="20"/>
      <c r="B4370" s="20"/>
      <c r="C4370" s="30"/>
      <c r="D4370" s="30"/>
      <c r="E4370" s="30"/>
      <c r="F4370" s="22"/>
      <c r="G4370" s="23"/>
      <c r="H4370" s="23"/>
      <c r="I4370" s="23"/>
      <c r="J4370" s="23"/>
      <c r="K4370" s="23"/>
      <c r="L4370" s="23"/>
      <c r="M4370" s="23"/>
      <c r="N4370" s="23"/>
      <c r="O4370" s="23"/>
      <c r="P4370" s="23"/>
      <c r="Q4370" s="23"/>
      <c r="R4370" s="23"/>
      <c r="S4370" s="23"/>
      <c r="T4370" s="23"/>
      <c r="U4370" s="23"/>
    </row>
    <row r="4371">
      <c r="A4371" s="20"/>
      <c r="B4371" s="20"/>
      <c r="C4371" s="30"/>
      <c r="D4371" s="30"/>
      <c r="E4371" s="30"/>
      <c r="F4371" s="22"/>
      <c r="G4371" s="23"/>
      <c r="H4371" s="23"/>
      <c r="I4371" s="23"/>
      <c r="J4371" s="23"/>
      <c r="K4371" s="23"/>
      <c r="L4371" s="23"/>
      <c r="M4371" s="23"/>
      <c r="N4371" s="23"/>
      <c r="O4371" s="23"/>
      <c r="P4371" s="23"/>
      <c r="Q4371" s="23"/>
      <c r="R4371" s="23"/>
      <c r="S4371" s="23"/>
      <c r="T4371" s="23"/>
      <c r="U4371" s="23"/>
    </row>
    <row r="4372">
      <c r="A4372" s="20"/>
      <c r="B4372" s="20"/>
      <c r="C4372" s="30"/>
      <c r="D4372" s="30"/>
      <c r="E4372" s="30"/>
      <c r="F4372" s="22"/>
      <c r="G4372" s="23"/>
      <c r="H4372" s="23"/>
      <c r="I4372" s="23"/>
      <c r="J4372" s="23"/>
      <c r="K4372" s="23"/>
      <c r="L4372" s="23"/>
      <c r="M4372" s="23"/>
      <c r="N4372" s="23"/>
      <c r="O4372" s="23"/>
      <c r="P4372" s="23"/>
      <c r="Q4372" s="23"/>
      <c r="R4372" s="23"/>
      <c r="S4372" s="23"/>
      <c r="T4372" s="23"/>
      <c r="U4372" s="23"/>
    </row>
    <row r="4373">
      <c r="A4373" s="20"/>
      <c r="B4373" s="20"/>
      <c r="C4373" s="30"/>
      <c r="D4373" s="30"/>
      <c r="E4373" s="30"/>
      <c r="F4373" s="22"/>
      <c r="G4373" s="23"/>
      <c r="H4373" s="23"/>
      <c r="I4373" s="23"/>
      <c r="J4373" s="23"/>
      <c r="K4373" s="23"/>
      <c r="L4373" s="23"/>
      <c r="M4373" s="23"/>
      <c r="N4373" s="23"/>
      <c r="O4373" s="23"/>
      <c r="P4373" s="23"/>
      <c r="Q4373" s="23"/>
      <c r="R4373" s="23"/>
      <c r="S4373" s="23"/>
      <c r="T4373" s="23"/>
      <c r="U4373" s="23"/>
    </row>
    <row r="4374">
      <c r="A4374" s="20"/>
      <c r="B4374" s="20"/>
      <c r="C4374" s="30"/>
      <c r="D4374" s="30"/>
      <c r="E4374" s="30"/>
      <c r="F4374" s="22"/>
      <c r="G4374" s="23"/>
      <c r="H4374" s="23"/>
      <c r="I4374" s="23"/>
      <c r="J4374" s="23"/>
      <c r="K4374" s="23"/>
      <c r="L4374" s="23"/>
      <c r="M4374" s="23"/>
      <c r="N4374" s="23"/>
      <c r="O4374" s="23"/>
      <c r="P4374" s="23"/>
      <c r="Q4374" s="23"/>
      <c r="R4374" s="23"/>
      <c r="S4374" s="23"/>
      <c r="T4374" s="23"/>
      <c r="U4374" s="23"/>
    </row>
    <row r="4375">
      <c r="A4375" s="20"/>
      <c r="B4375" s="20"/>
      <c r="C4375" s="30"/>
      <c r="D4375" s="30"/>
      <c r="E4375" s="30"/>
      <c r="F4375" s="22"/>
      <c r="G4375" s="23"/>
      <c r="H4375" s="23"/>
      <c r="I4375" s="23"/>
      <c r="J4375" s="23"/>
      <c r="K4375" s="23"/>
      <c r="L4375" s="23"/>
      <c r="M4375" s="23"/>
      <c r="N4375" s="23"/>
      <c r="O4375" s="23"/>
      <c r="P4375" s="23"/>
      <c r="Q4375" s="23"/>
      <c r="R4375" s="23"/>
      <c r="S4375" s="23"/>
      <c r="T4375" s="23"/>
      <c r="U4375" s="23"/>
    </row>
    <row r="4376">
      <c r="A4376" s="20"/>
      <c r="B4376" s="20"/>
      <c r="C4376" s="30"/>
      <c r="D4376" s="30"/>
      <c r="E4376" s="30"/>
      <c r="F4376" s="22"/>
      <c r="G4376" s="23"/>
      <c r="H4376" s="23"/>
      <c r="I4376" s="23"/>
      <c r="J4376" s="23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</row>
    <row r="4377">
      <c r="A4377" s="20"/>
      <c r="B4377" s="20"/>
      <c r="C4377" s="30"/>
      <c r="D4377" s="30"/>
      <c r="E4377" s="30"/>
      <c r="F4377" s="22"/>
      <c r="G4377" s="23"/>
      <c r="H4377" s="23"/>
      <c r="I4377" s="23"/>
      <c r="J4377" s="23"/>
      <c r="K4377" s="23"/>
      <c r="L4377" s="23"/>
      <c r="M4377" s="23"/>
      <c r="N4377" s="23"/>
      <c r="O4377" s="23"/>
      <c r="P4377" s="23"/>
      <c r="Q4377" s="23"/>
      <c r="R4377" s="23"/>
      <c r="S4377" s="23"/>
      <c r="T4377" s="23"/>
      <c r="U4377" s="23"/>
    </row>
    <row r="4378">
      <c r="A4378" s="20"/>
      <c r="B4378" s="20"/>
      <c r="C4378" s="30"/>
      <c r="D4378" s="30"/>
      <c r="E4378" s="30"/>
      <c r="F4378" s="22"/>
      <c r="G4378" s="23"/>
      <c r="H4378" s="23"/>
      <c r="I4378" s="23"/>
      <c r="J4378" s="23"/>
      <c r="K4378" s="23"/>
      <c r="L4378" s="23"/>
      <c r="M4378" s="23"/>
      <c r="N4378" s="23"/>
      <c r="O4378" s="23"/>
      <c r="P4378" s="23"/>
      <c r="Q4378" s="23"/>
      <c r="R4378" s="23"/>
      <c r="S4378" s="23"/>
      <c r="T4378" s="23"/>
      <c r="U4378" s="23"/>
    </row>
    <row r="4379">
      <c r="A4379" s="20"/>
      <c r="B4379" s="20"/>
      <c r="C4379" s="30"/>
      <c r="D4379" s="30"/>
      <c r="E4379" s="30"/>
      <c r="F4379" s="22"/>
      <c r="G4379" s="23"/>
      <c r="H4379" s="23"/>
      <c r="I4379" s="23"/>
      <c r="J4379" s="23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</row>
    <row r="4380">
      <c r="A4380" s="20"/>
      <c r="B4380" s="20"/>
      <c r="C4380" s="30"/>
      <c r="D4380" s="30"/>
      <c r="E4380" s="30"/>
      <c r="F4380" s="22"/>
      <c r="G4380" s="23"/>
      <c r="H4380" s="23"/>
      <c r="I4380" s="23"/>
      <c r="J4380" s="23"/>
      <c r="K4380" s="23"/>
      <c r="L4380" s="23"/>
      <c r="M4380" s="23"/>
      <c r="N4380" s="23"/>
      <c r="O4380" s="23"/>
      <c r="P4380" s="23"/>
      <c r="Q4380" s="23"/>
      <c r="R4380" s="23"/>
      <c r="S4380" s="23"/>
      <c r="T4380" s="23"/>
      <c r="U4380" s="23"/>
    </row>
    <row r="4381">
      <c r="A4381" s="20"/>
      <c r="B4381" s="20"/>
      <c r="C4381" s="30"/>
      <c r="D4381" s="30"/>
      <c r="E4381" s="30"/>
      <c r="F4381" s="22"/>
      <c r="G4381" s="23"/>
      <c r="H4381" s="23"/>
      <c r="I4381" s="23"/>
      <c r="J4381" s="23"/>
      <c r="K4381" s="23"/>
      <c r="L4381" s="23"/>
      <c r="M4381" s="23"/>
      <c r="N4381" s="23"/>
      <c r="O4381" s="23"/>
      <c r="P4381" s="23"/>
      <c r="Q4381" s="23"/>
      <c r="R4381" s="23"/>
      <c r="S4381" s="23"/>
      <c r="T4381" s="23"/>
      <c r="U4381" s="23"/>
    </row>
    <row r="4382">
      <c r="A4382" s="20"/>
      <c r="B4382" s="20"/>
      <c r="C4382" s="30"/>
      <c r="D4382" s="30"/>
      <c r="E4382" s="30"/>
      <c r="F4382" s="22"/>
      <c r="G4382" s="23"/>
      <c r="H4382" s="23"/>
      <c r="I4382" s="23"/>
      <c r="J4382" s="23"/>
      <c r="K4382" s="23"/>
      <c r="L4382" s="23"/>
      <c r="M4382" s="23"/>
      <c r="N4382" s="23"/>
      <c r="O4382" s="23"/>
      <c r="P4382" s="23"/>
      <c r="Q4382" s="23"/>
      <c r="R4382" s="23"/>
      <c r="S4382" s="23"/>
      <c r="T4382" s="23"/>
      <c r="U4382" s="23"/>
    </row>
    <row r="4383">
      <c r="A4383" s="20"/>
      <c r="B4383" s="20"/>
      <c r="C4383" s="30"/>
      <c r="D4383" s="30"/>
      <c r="E4383" s="30"/>
      <c r="F4383" s="22"/>
      <c r="G4383" s="23"/>
      <c r="H4383" s="23"/>
      <c r="I4383" s="23"/>
      <c r="J4383" s="23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</row>
    <row r="4384">
      <c r="A4384" s="20"/>
      <c r="B4384" s="20"/>
      <c r="C4384" s="30"/>
      <c r="D4384" s="30"/>
      <c r="E4384" s="30"/>
      <c r="F4384" s="22"/>
      <c r="G4384" s="23"/>
      <c r="H4384" s="23"/>
      <c r="I4384" s="23"/>
      <c r="J4384" s="23"/>
      <c r="K4384" s="23"/>
      <c r="L4384" s="23"/>
      <c r="M4384" s="23"/>
      <c r="N4384" s="23"/>
      <c r="O4384" s="23"/>
      <c r="P4384" s="23"/>
      <c r="Q4384" s="23"/>
      <c r="R4384" s="23"/>
      <c r="S4384" s="23"/>
      <c r="T4384" s="23"/>
      <c r="U4384" s="23"/>
    </row>
    <row r="4385">
      <c r="A4385" s="20"/>
      <c r="B4385" s="20"/>
      <c r="C4385" s="30"/>
      <c r="D4385" s="30"/>
      <c r="E4385" s="30"/>
      <c r="F4385" s="22"/>
      <c r="G4385" s="23"/>
      <c r="H4385" s="23"/>
      <c r="I4385" s="23"/>
      <c r="J4385" s="23"/>
      <c r="K4385" s="23"/>
      <c r="L4385" s="23"/>
      <c r="M4385" s="23"/>
      <c r="N4385" s="23"/>
      <c r="O4385" s="23"/>
      <c r="P4385" s="23"/>
      <c r="Q4385" s="23"/>
      <c r="R4385" s="23"/>
      <c r="S4385" s="23"/>
      <c r="T4385" s="23"/>
      <c r="U4385" s="23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9.75"/>
    <col customWidth="1" min="3" max="3" width="13.63"/>
    <col customWidth="1" min="4" max="4" width="14.88"/>
  </cols>
  <sheetData>
    <row r="1">
      <c r="A1" s="1" t="s">
        <v>89</v>
      </c>
      <c r="B1" s="1" t="s">
        <v>576</v>
      </c>
      <c r="C1" s="1" t="s">
        <v>577</v>
      </c>
      <c r="D1" s="1" t="s">
        <v>366</v>
      </c>
    </row>
    <row r="2">
      <c r="A2" s="1" t="s">
        <v>578</v>
      </c>
      <c r="B2" s="1">
        <v>311.0</v>
      </c>
      <c r="C2" s="1">
        <v>7.0</v>
      </c>
      <c r="D2" s="1">
        <v>1.0</v>
      </c>
      <c r="E2" s="1" t="str">
        <f t="shared" ref="E2:E11" si="1">"INSERT INTO tblCourseStudentMapping VALUES (" &amp; A2 &amp; ", " &amp; B2 &amp; ", " &amp; C2 &amp; ", " &amp; D2 &amp; ");"</f>
        <v>INSERT INTO tblCourseStudentMapping VALUES (seqCourseStudentMapping.nextval, 311, 7, 1);</v>
      </c>
    </row>
    <row r="3">
      <c r="A3" s="1" t="s">
        <v>578</v>
      </c>
      <c r="B3" s="1">
        <v>312.0</v>
      </c>
      <c r="C3" s="1">
        <v>7.0</v>
      </c>
      <c r="D3" s="1">
        <v>2.0</v>
      </c>
      <c r="E3" s="1" t="str">
        <f t="shared" si="1"/>
        <v>INSERT INTO tblCourseStudentMapping VALUES (seqCourseStudentMapping.nextval, 312, 7, 2);</v>
      </c>
    </row>
    <row r="4">
      <c r="A4" s="1" t="s">
        <v>578</v>
      </c>
      <c r="B4" s="1">
        <v>313.0</v>
      </c>
      <c r="C4" s="1">
        <v>7.0</v>
      </c>
      <c r="D4" s="1">
        <v>3.0</v>
      </c>
      <c r="E4" s="1" t="str">
        <f t="shared" si="1"/>
        <v>INSERT INTO tblCourseStudentMapping VALUES (seqCourseStudentMapping.nextval, 313, 7, 3);</v>
      </c>
    </row>
    <row r="5">
      <c r="A5" s="1" t="s">
        <v>578</v>
      </c>
      <c r="B5" s="1">
        <v>314.0</v>
      </c>
      <c r="C5" s="1">
        <v>7.0</v>
      </c>
      <c r="D5" s="1">
        <v>4.0</v>
      </c>
      <c r="E5" s="1" t="str">
        <f t="shared" si="1"/>
        <v>INSERT INTO tblCourseStudentMapping VALUES (seqCourseStudentMapping.nextval, 314, 7, 4);</v>
      </c>
    </row>
    <row r="6">
      <c r="A6" s="1" t="s">
        <v>578</v>
      </c>
      <c r="B6" s="1">
        <v>315.0</v>
      </c>
      <c r="C6" s="1">
        <v>7.0</v>
      </c>
      <c r="D6" s="1">
        <v>5.0</v>
      </c>
      <c r="E6" s="1" t="str">
        <f t="shared" si="1"/>
        <v>INSERT INTO tblCourseStudentMapping VALUES (seqCourseStudentMapping.nextval, 315, 7, 5);</v>
      </c>
    </row>
    <row r="7">
      <c r="A7" s="1" t="s">
        <v>578</v>
      </c>
      <c r="B7" s="1">
        <v>316.0</v>
      </c>
      <c r="C7" s="1">
        <v>7.0</v>
      </c>
      <c r="D7" s="1">
        <v>6.0</v>
      </c>
      <c r="E7" s="1" t="str">
        <f t="shared" si="1"/>
        <v>INSERT INTO tblCourseStudentMapping VALUES (seqCourseStudentMapping.nextval, 316, 7, 6);</v>
      </c>
    </row>
    <row r="8">
      <c r="A8" s="1" t="s">
        <v>578</v>
      </c>
      <c r="B8" s="1">
        <v>317.0</v>
      </c>
      <c r="C8" s="1">
        <v>7.0</v>
      </c>
      <c r="D8" s="1">
        <v>7.0</v>
      </c>
      <c r="E8" s="1" t="str">
        <f t="shared" si="1"/>
        <v>INSERT INTO tblCourseStudentMapping VALUES (seqCourseStudentMapping.nextval, 317, 7, 7);</v>
      </c>
    </row>
    <row r="9">
      <c r="A9" s="1" t="s">
        <v>578</v>
      </c>
      <c r="B9" s="1">
        <v>318.0</v>
      </c>
      <c r="C9" s="1">
        <v>7.0</v>
      </c>
      <c r="D9" s="1">
        <v>8.0</v>
      </c>
      <c r="E9" s="1" t="str">
        <f t="shared" si="1"/>
        <v>INSERT INTO tblCourseStudentMapping VALUES (seqCourseStudentMapping.nextval, 318, 7, 8);</v>
      </c>
    </row>
    <row r="10">
      <c r="A10" s="1" t="s">
        <v>578</v>
      </c>
      <c r="B10" s="1">
        <v>319.0</v>
      </c>
      <c r="C10" s="1">
        <v>7.0</v>
      </c>
      <c r="D10" s="1">
        <v>9.0</v>
      </c>
      <c r="E10" s="1" t="str">
        <f t="shared" si="1"/>
        <v>INSERT INTO tblCourseStudentMapping VALUES (seqCourseStudentMapping.nextval, 319, 7, 9);</v>
      </c>
    </row>
    <row r="11">
      <c r="A11" s="1" t="s">
        <v>578</v>
      </c>
      <c r="B11" s="1">
        <v>320.0</v>
      </c>
      <c r="C11" s="1">
        <v>7.0</v>
      </c>
      <c r="D11" s="1">
        <v>10.0</v>
      </c>
      <c r="E11" s="1" t="str">
        <f t="shared" si="1"/>
        <v>INSERT INTO tblCourseStudentMapping VALUES (seqCourseStudentMapping.nextval, 320, 7, 10);</v>
      </c>
    </row>
  </sheetData>
  <drawing r:id="rId1"/>
</worksheet>
</file>